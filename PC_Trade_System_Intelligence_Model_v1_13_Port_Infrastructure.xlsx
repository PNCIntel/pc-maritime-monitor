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worksheets/sheet24.xml" ContentType="application/vnd.openxmlformats-officedocument.spreadsheetml.worksheet+xml"/>
  <Override PartName="/xl/tables/table23.xml" ContentType="application/vnd.openxmlformats-officedocument.spreadsheetml.table+xml"/>
  <Override PartName="/xl/worksheets/sheet25.xml" ContentType="application/vnd.openxmlformats-officedocument.spreadsheetml.worksheet+xml"/>
  <Override PartName="/xl/tables/table24.xml" ContentType="application/vnd.openxmlformats-officedocument.spreadsheetml.table+xml"/>
  <Override PartName="/xl/worksheets/sheet26.xml" ContentType="application/vnd.openxmlformats-officedocument.spreadsheetml.worksheet+xml"/>
  <Override PartName="/xl/tables/table25.xml" ContentType="application/vnd.openxmlformats-officedocument.spreadsheetml.table+xml"/>
  <Override PartName="/xl/worksheets/sheet27.xml" ContentType="application/vnd.openxmlformats-officedocument.spreadsheetml.worksheet+xml"/>
  <Override PartName="/xl/worksheets/sheet28.xml" ContentType="application/vnd.openxmlformats-officedocument.spreadsheetml.worksheet+xml"/>
  <Override PartName="/xl/tables/table26.xml" ContentType="application/vnd.openxmlformats-officedocument.spreadsheetml.table+xml"/>
  <Override PartName="/xl/worksheets/sheet29.xml" ContentType="application/vnd.openxmlformats-officedocument.spreadsheetml.worksheet+xml"/>
  <Override PartName="/xl/tables/table27.xml" ContentType="application/vnd.openxmlformats-officedocument.spreadsheetml.table+xml"/>
  <Override PartName="/xl/worksheets/sheet30.xml" ContentType="application/vnd.openxmlformats-officedocument.spreadsheetml.worksheet+xml"/>
  <Override PartName="/xl/tables/table28.xml" ContentType="application/vnd.openxmlformats-officedocument.spreadsheetml.table+xml"/>
  <Override PartName="/xl/worksheets/sheet31.xml" ContentType="application/vnd.openxmlformats-officedocument.spreadsheetml.worksheet+xml"/>
  <Override PartName="/xl/tables/table29.xml" ContentType="application/vnd.openxmlformats-officedocument.spreadsheetml.table+xml"/>
  <Override PartName="/xl/worksheets/sheet32.xml" ContentType="application/vnd.openxmlformats-officedocument.spreadsheetml.worksheet+xml"/>
  <Override PartName="/xl/tables/table30.xml" ContentType="application/vnd.openxmlformats-officedocument.spreadsheetml.table+xml"/>
  <Override PartName="/xl/worksheets/sheet33.xml" ContentType="application/vnd.openxmlformats-officedocument.spreadsheetml.worksheet+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worksheets/sheet37.xml" ContentType="application/vnd.openxmlformats-officedocument.spreadsheetml.worksheet+xml"/>
  <Override PartName="/xl/tables/table33.xml" ContentType="application/vnd.openxmlformats-officedocument.spreadsheetml.table+xml"/>
  <Override PartName="/xl/worksheets/sheet38.xml" ContentType="application/vnd.openxmlformats-officedocument.spreadsheetml.worksheet+xml"/>
  <Override PartName="/xl/tables/table34.xml" ContentType="application/vnd.openxmlformats-officedocument.spreadsheetml.table+xml"/>
  <Override PartName="/xl/worksheets/sheet39.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tables/table35.xml" ContentType="application/vnd.openxmlformats-officedocument.spreadsheetml.table+xml"/>
  <Override PartName="/xl/worksheets/sheet40.xml" ContentType="application/vnd.openxmlformats-officedocument.spreadsheetml.worksheet+xml"/>
  <Override PartName="/xl/tables/table36.xml" ContentType="application/vnd.openxmlformats-officedocument.spreadsheetml.table+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ables/table37.xml" ContentType="application/vnd.openxmlformats-officedocument.spreadsheetml.table+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drawings/drawing3.xml" ContentType="application/vnd.openxmlformats-officedocument.drawing+xml"/>
  <Override PartName="/xl/drawings/charts/chart3.xml" ContentType="application/vnd.openxmlformats-officedocument.drawingml.chart+xml"/>
  <Override PartName="/xl/tables/table38.xml" ContentType="application/vnd.openxmlformats-officedocument.spreadsheetml.table+xml"/>
  <Override PartName="/xl/worksheets/sheet68.xml" ContentType="application/vnd.openxmlformats-officedocument.spreadsheetml.worksheet+xml"/>
  <Override PartName="/xl/worksheets/sheet69.xml" ContentType="application/vnd.openxmlformats-officedocument.spreadsheetml.worksheet+xml"/>
  <Override PartName="/xl/tables/table39.xml" ContentType="application/vnd.openxmlformats-officedocument.spreadsheetml.table+xml"/>
  <Override PartName="/xl/worksheets/sheet70.xml" ContentType="application/vnd.openxmlformats-officedocument.spreadsheetml.worksheet+xml"/>
  <Override PartName="/xl/tables/table40.xml" ContentType="application/vnd.openxmlformats-officedocument.spreadsheetml.table+xml"/>
  <Override PartName="/xl/worksheets/sheet71.xml" ContentType="application/vnd.openxmlformats-officedocument.spreadsheetml.worksheet+xml"/>
  <Override PartName="/xl/tables/table41.xml" ContentType="application/vnd.openxmlformats-officedocument.spreadsheetml.table+xml"/>
  <Override PartName="/xl/worksheets/sheet72.xml" ContentType="application/vnd.openxmlformats-officedocument.spreadsheetml.worksheet+xml"/>
  <Override PartName="/xl/tables/table42.xml" ContentType="application/vnd.openxmlformats-officedocument.spreadsheetml.table+xml"/>
  <Override PartName="/xl/worksheets/sheet73.xml" ContentType="application/vnd.openxmlformats-officedocument.spreadsheetml.worksheet+xml"/>
  <Override PartName="/xl/tables/table43.xml" ContentType="application/vnd.openxmlformats-officedocument.spreadsheetml.table+xml"/>
  <Override PartName="/xl/worksheets/sheet74.xml" ContentType="application/vnd.openxmlformats-officedocument.spreadsheetml.worksheet+xml"/>
  <Override PartName="/xl/tables/table44.xml" ContentType="application/vnd.openxmlformats-officedocument.spreadsheetml.table+xml"/>
  <Override PartName="/xl/worksheets/sheet75.xml" ContentType="application/vnd.openxmlformats-officedocument.spreadsheetml.worksheet+xml"/>
  <Override PartName="/xl/tables/table45.xml" ContentType="application/vnd.openxmlformats-officedocument.spreadsheetml.table+xml"/>
  <Override PartName="/xl/worksheets/sheet76.xml" ContentType="application/vnd.openxmlformats-officedocument.spreadsheetml.worksheet+xml"/>
  <Override PartName="/xl/tables/table46.xml" ContentType="application/vnd.openxmlformats-officedocument.spreadsheetml.table+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bf72403804c4583" /></Relationships>
</file>

<file path=xl/workbook.xml><?xml version="1.0" encoding="utf-8"?>
<x:workbook xmlns:x="http://schemas.openxmlformats.org/spreadsheetml/2006/main">
  <x:sheets>
    <x:sheet xmlns:r="http://schemas.openxmlformats.org/officeDocument/2006/relationships" name="Dashboard" sheetId="1" r:id="R937f61a9b5e241b6"/>
    <x:sheet xmlns:r="http://schemas.openxmlformats.org/officeDocument/2006/relationships" name="Data Dictionary" sheetId="2" r:id="Rf8f949501bcf434f"/>
    <x:sheet xmlns:r="http://schemas.openxmlformats.org/officeDocument/2006/relationships" name="Entity Registry" sheetId="3" r:id="R68aaf5358c394196"/>
    <x:sheet xmlns:r="http://schemas.openxmlformats.org/officeDocument/2006/relationships" name="Companies" sheetId="4" r:id="Rcbe89a15561b4de7"/>
    <x:sheet xmlns:r="http://schemas.openxmlformats.org/officeDocument/2006/relationships" name="People" sheetId="5" r:id="Rfc58c2fe0f3a4a70"/>
    <x:sheet xmlns:r="http://schemas.openxmlformats.org/officeDocument/2006/relationships" name="Leadership Roles" sheetId="6" r:id="R452f707d8f554ef5"/>
    <x:sheet xmlns:r="http://schemas.openxmlformats.org/officeDocument/2006/relationships" name="Assets" sheetId="7" r:id="R755b42f8549f402d"/>
    <x:sheet xmlns:r="http://schemas.openxmlformats.org/officeDocument/2006/relationships" name="Ports" sheetId="8" r:id="R62661674c7e44e27"/>
    <x:sheet xmlns:r="http://schemas.openxmlformats.org/officeDocument/2006/relationships" name="Vessels" sheetId="9" r:id="Rd5f61fcf30094ae8"/>
    <x:sheet xmlns:r="http://schemas.openxmlformats.org/officeDocument/2006/relationships" name="Fleet Portfolios" sheetId="10" r:id="R73833e02fc2d4cdb"/>
    <x:sheet xmlns:r="http://schemas.openxmlformats.org/officeDocument/2006/relationships" name="Fleet Orders" sheetId="11" r:id="Ra22f146426d54b1c"/>
    <x:sheet xmlns:r="http://schemas.openxmlformats.org/officeDocument/2006/relationships" name="Aircraft" sheetId="12" r:id="R7622538b664a4eff"/>
    <x:sheet xmlns:r="http://schemas.openxmlformats.org/officeDocument/2006/relationships" name="Shipyards" sheetId="13" r:id="Ra06e2c34c16a4a15"/>
    <x:sheet xmlns:r="http://schemas.openxmlformats.org/officeDocument/2006/relationships" name="Investments" sheetId="14" r:id="R36806eb90a1d48d7"/>
    <x:sheet xmlns:r="http://schemas.openxmlformats.org/officeDocument/2006/relationships" name="Infrastructure Works" sheetId="15" r:id="R1f29ee7ba8eb44b5"/>
    <x:sheet xmlns:r="http://schemas.openxmlformats.org/officeDocument/2006/relationships" name="Strategic Events" sheetId="16" r:id="R4f79901fc1aa4c05"/>
    <x:sheet xmlns:r="http://schemas.openxmlformats.org/officeDocument/2006/relationships" name="Corridors" sheetId="17" r:id="Rf9466094624745c5"/>
    <x:sheet xmlns:r="http://schemas.openxmlformats.org/officeDocument/2006/relationships" name="Relationships" sheetId="18" r:id="R51cc97106e1a4047"/>
    <x:sheet xmlns:r="http://schemas.openxmlformats.org/officeDocument/2006/relationships" name="Sources" sheetId="19" r:id="R0964552049294bb5"/>
    <x:sheet xmlns:r="http://schemas.openxmlformats.org/officeDocument/2006/relationships" name="Research Queue" sheetId="20" r:id="Rc44ccef98a324ddc"/>
    <x:sheet xmlns:r="http://schemas.openxmlformats.org/officeDocument/2006/relationships" name="Streamlit Map" sheetId="21" r:id="Rb8919c8dc78a4d9f"/>
    <x:sheet xmlns:r="http://schemas.openxmlformats.org/officeDocument/2006/relationships" name="Event Taxonomy" sheetId="22" r:id="R4a69ddc014164951"/>
    <x:sheet xmlns:r="http://schemas.openxmlformats.org/officeDocument/2006/relationships" name="Event Observations" sheetId="23" r:id="Re379e9f7075d4dd1"/>
    <x:sheet xmlns:r="http://schemas.openxmlformats.org/officeDocument/2006/relationships" name="External Disruptions" sheetId="24" r:id="Rfbe786e12ce54cb6"/>
    <x:sheet xmlns:r="http://schemas.openxmlformats.org/officeDocument/2006/relationships" name="Event Impacts" sheetId="25" r:id="Raaa5525754484060"/>
    <x:sheet xmlns:r="http://schemas.openxmlformats.org/officeDocument/2006/relationships" name="Event Ingestion Map" sheetId="26" r:id="Rf527c3296ed147d8"/>
    <x:sheet xmlns:r="http://schemas.openxmlformats.org/officeDocument/2006/relationships" name="Event Model v1.1" sheetId="27" r:id="R49e2a8d15cb44bb4"/>
    <x:sheet xmlns:r="http://schemas.openxmlformats.org/officeDocument/2006/relationships" name="Vessel Relationships" sheetId="28" r:id="Rb418a18771c648b2"/>
    <x:sheet xmlns:r="http://schemas.openxmlformats.org/officeDocument/2006/relationships" name="Vessel Build Records" sheetId="29" r:id="R8b7641a8d1134015"/>
    <x:sheet xmlns:r="http://schemas.openxmlformats.org/officeDocument/2006/relationships" name="Vessel Contracts" sheetId="30" r:id="Rba2f4d93d3b343b0"/>
    <x:sheet xmlns:r="http://schemas.openxmlformats.org/officeDocument/2006/relationships" name="Fleet Coverage" sheetId="31" r:id="R3fd1a677c3174892"/>
    <x:sheet xmlns:r="http://schemas.openxmlformats.org/officeDocument/2006/relationships" name="Event Entity Links" sheetId="32" r:id="R6bc19f423bf24191"/>
    <x:sheet xmlns:r="http://schemas.openxmlformats.org/officeDocument/2006/relationships" name="Fleet Expansion v1.2" sheetId="33" r:id="R9df26022f4514391"/>
    <x:sheet xmlns:r="http://schemas.openxmlformats.org/officeDocument/2006/relationships" name="Vessel IMO Verification" sheetId="34" r:id="Rbd8aa4703128495b"/>
    <x:sheet xmlns:r="http://schemas.openxmlformats.org/officeDocument/2006/relationships" name="IMO Coverage" sheetId="35" r:id="R009a6df3ffce4b1a"/>
    <x:sheet xmlns:r="http://schemas.openxmlformats.org/officeDocument/2006/relationships" name="IMO Enrichment v1.3" sheetId="36" r:id="Rb7c2eaa472bf4933"/>
    <x:sheet xmlns:r="http://schemas.openxmlformats.org/officeDocument/2006/relationships" name="Fleet Research Universe" sheetId="37" r:id="Re0f25df95c594608"/>
    <x:sheet xmlns:r="http://schemas.openxmlformats.org/officeDocument/2006/relationships" name="Carrier Deployment Seeds" sheetId="38" r:id="Recf29321450347ea"/>
    <x:sheet xmlns:r="http://schemas.openxmlformats.org/officeDocument/2006/relationships" name="Fleet Ranking Snapshots" sheetId="39" r:id="R8262e5cdff934afd"/>
    <x:sheet xmlns:r="http://schemas.openxmlformats.org/officeDocument/2006/relationships" name="Tanker Fleet Universe" sheetId="40" r:id="R37125640c77846b0"/>
    <x:sheet xmlns:r="http://schemas.openxmlformats.org/officeDocument/2006/relationships" name="Vessel Restrictions" sheetId="41" r:id="Rd56060bbadf44e06"/>
    <x:sheet xmlns:r="http://schemas.openxmlformats.org/officeDocument/2006/relationships" name="Tradeability Assessments" sheetId="42" r:id="R2ddf410ec51f4ae1"/>
    <x:sheet xmlns:r="http://schemas.openxmlformats.org/officeDocument/2006/relationships" name="Vessel Transactions" sheetId="43" r:id="R5aee5bcaa002423a"/>
    <x:sheet xmlns:r="http://schemas.openxmlformats.org/officeDocument/2006/relationships" name="Tanker Corridor Exposure" sheetId="44" r:id="Rd0db054e5534400d"/>
    <x:sheet xmlns:r="http://schemas.openxmlformats.org/officeDocument/2006/relationships" name="Vessel Identifiers" sheetId="45" r:id="Ra60d0e79408746b6"/>
    <x:sheet xmlns:r="http://schemas.openxmlformats.org/officeDocument/2006/relationships" name="Ferry Systems" sheetId="46" r:id="R898fd291d3da4f74"/>
    <x:sheet xmlns:r="http://schemas.openxmlformats.org/officeDocument/2006/relationships" name="Ferry Routes" sheetId="47" r:id="R6b8e471852b64100"/>
    <x:sheet xmlns:r="http://schemas.openxmlformats.org/officeDocument/2006/relationships" name="Ferry Terminals" sheetId="48" r:id="R7ccbf770514042cf"/>
    <x:sheet xmlns:r="http://schemas.openxmlformats.org/officeDocument/2006/relationships" name="Ferry Vessel Staging" sheetId="49" r:id="Rca73ad584fbc4662"/>
    <x:sheet xmlns:r="http://schemas.openxmlformats.org/officeDocument/2006/relationships" name="Ferry Disruption Taxonomy" sheetId="50" r:id="R781e386bda914ddb"/>
    <x:sheet xmlns:r="http://schemas.openxmlformats.org/officeDocument/2006/relationships" name="Ferry Service Observations" sheetId="51" r:id="Rffa36699c91d44a0"/>
    <x:sheet xmlns:r="http://schemas.openxmlformats.org/officeDocument/2006/relationships" name="Ferry Performance" sheetId="52" r:id="Raaafd8eba40048d6"/>
    <x:sheet xmlns:r="http://schemas.openxmlformats.org/officeDocument/2006/relationships" name="Ferry Fleet Status" sheetId="53" r:id="R1aae3e173c8744fd"/>
    <x:sheet xmlns:r="http://schemas.openxmlformats.org/officeDocument/2006/relationships" name="Regional Systems" sheetId="54" r:id="R0c440e023a594d4d"/>
    <x:sheet xmlns:r="http://schemas.openxmlformats.org/officeDocument/2006/relationships" name="System Nodes" sheetId="55" r:id="Rc5cf0f7523af4ba5"/>
    <x:sheet xmlns:r="http://schemas.openxmlformats.org/officeDocument/2006/relationships" name="System Links" sheetId="56" r:id="R8aa7bb1e1b3849c0"/>
    <x:sheet xmlns:r="http://schemas.openxmlformats.org/officeDocument/2006/relationships" name="Great Lakes Ports" sheetId="57" r:id="Rf608b8f5176f4279"/>
    <x:sheet xmlns:r="http://schemas.openxmlformats.org/officeDocument/2006/relationships" name="Company System Footprints" sheetId="58" r:id="Rca1f972a12c44804"/>
    <x:sheet xmlns:r="http://schemas.openxmlformats.org/officeDocument/2006/relationships" name="Great Lakes Vessel Staging" sheetId="59" r:id="Red54f1c3a0514b5a"/>
    <x:sheet xmlns:r="http://schemas.openxmlformats.org/officeDocument/2006/relationships" name="Great Lakes Cargo Corridors" sheetId="60" r:id="Rb10ff3edefad46a0"/>
    <x:sheet xmlns:r="http://schemas.openxmlformats.org/officeDocument/2006/relationships" name="Great Lakes Cruise" sheetId="61" r:id="Re2bd21975d7c43d1"/>
    <x:sheet xmlns:r="http://schemas.openxmlformats.org/officeDocument/2006/relationships" name="Great Lakes Disruptions" sheetId="62" r:id="Rfaee3f82c70d4c38"/>
    <x:sheet xmlns:r="http://schemas.openxmlformats.org/officeDocument/2006/relationships" name="System Dependencies" sheetId="63" r:id="Rd6427676809f4f0e"/>
    <x:sheet xmlns:r="http://schemas.openxmlformats.org/officeDocument/2006/relationships" name="Global Vessel Staging" sheetId="64" r:id="R3653960e3ba14200"/>
    <x:sheet xmlns:r="http://schemas.openxmlformats.org/officeDocument/2006/relationships" name="Vessel Evidence" sheetId="65" r:id="R650e0e7a70fe4692"/>
    <x:sheet xmlns:r="http://schemas.openxmlformats.org/officeDocument/2006/relationships" name="Runtime Table Crosswalk" sheetId="66" r:id="R83d4bde968054a66"/>
    <x:sheet xmlns:r="http://schemas.openxmlformats.org/officeDocument/2006/relationships" name="Weather Labour Events" sheetId="67" r:id="R40015f71792e4c91"/>
    <x:sheet xmlns:r="http://schemas.openxmlformats.org/officeDocument/2006/relationships" name="Disruption Watch" sheetId="68" r:id="R41bfccdb03af4dbe"/>
    <x:sheet xmlns:r="http://schemas.openxmlformats.org/officeDocument/2006/relationships" name="Infrastructure Investors" sheetId="69" r:id="R245d62e5e93a46c6"/>
    <x:sheet xmlns:r="http://schemas.openxmlformats.org/officeDocument/2006/relationships" name="Infrastructure Holdings" sheetId="70" r:id="R6c8d459664534ba2"/>
    <x:sheet xmlns:r="http://schemas.openxmlformats.org/officeDocument/2006/relationships" name="Infrastructure Deals" sheetId="71" r:id="R49c6621e6deb48ce"/>
    <x:sheet xmlns:r="http://schemas.openxmlformats.org/officeDocument/2006/relationships" name="Economic Zones" sheetId="72" r:id="R6cecfb1715bc4180"/>
    <x:sheet xmlns:r="http://schemas.openxmlformats.org/officeDocument/2006/relationships" name="Logistics Real Estate" sheetId="73" r:id="R15e8d5cb04514422"/>
    <x:sheet xmlns:r="http://schemas.openxmlformats.org/officeDocument/2006/relationships" name="Dry Ports Inland Hubs" sheetId="74" r:id="Rad381963c4d74718"/>
    <x:sheet xmlns:r="http://schemas.openxmlformats.org/officeDocument/2006/relationships" name="Infrastructure Connections" sheetId="75" r:id="R284b832610e24973"/>
    <x:sheet xmlns:r="http://schemas.openxmlformats.org/officeDocument/2006/relationships" name="Integrated Logistics Networks" sheetId="76" r:id="R3f41b1d652d8426f"/>
    <x:sheet xmlns:r="http://schemas.openxmlformats.org/officeDocument/2006/relationships" name="Integrated Logistics v1.12" sheetId="77" r:id="R83030c8aa7c24aac"/>
    <x:sheet xmlns:r="http://schemas.openxmlformats.org/officeDocument/2006/relationships" name="Port Terminals" sheetId="78" r:id="Re4b951f6ca9549d4"/>
    <x:sheet xmlns:r="http://schemas.openxmlformats.org/officeDocument/2006/relationships" name="Port Berths" sheetId="79" r:id="R905a2da532074f88"/>
    <x:sheet xmlns:r="http://schemas.openxmlformats.org/officeDocument/2006/relationships" name="Port Equipment" sheetId="80" r:id="R94de3f21f6544ec3"/>
    <x:sheet xmlns:r="http://schemas.openxmlformats.org/officeDocument/2006/relationships" name="Port Ownership" sheetId="81" r:id="Rc07a2d981c8f4663"/>
    <x:sheet xmlns:r="http://schemas.openxmlformats.org/officeDocument/2006/relationships" name="Port News" sheetId="82" r:id="Ra3e27c26e7aa4619"/>
    <x:sheet xmlns:r="http://schemas.openxmlformats.org/officeDocument/2006/relationships" name="Port Model v1.13" sheetId="83" r:id="R43f2e101e7184b9b"/>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0"/>
    <x:numFmt numFmtId="202" formatCode="0.00"/>
    <x:numFmt numFmtId="203" formatCode="@"/>
    <x:numFmt numFmtId="204" formatCode="yyyy-mm-dd"/>
    <x:numFmt numFmtId="205" formatCode="#,##0"/>
  </x:numFmts>
  <x:fonts count="14">
    <x:font>
      <x:sz val="11"/>
      <x:name val="Carlito"/>
    </x:font>
    <x:font>
      <x:b/>
      <x:sz val="18"/>
      <x:color rgb="FFFFFFFF"/>
      <x:name val="Carlito"/>
    </x:font>
    <x:font>
      <x:sz val="11"/>
      <x:color rgb="FFDCE5EA"/>
      <x:name val="Carlito"/>
    </x:font>
    <x:font>
      <x:b/>
      <x:sz val="11"/>
      <x:color rgb="FF071B2C"/>
      <x:name val="Carlito"/>
    </x:font>
    <x:font>
      <x:sz val="11"/>
      <x:color rgb="FF172437"/>
      <x:name val="Carlito"/>
    </x:font>
    <x:font>
      <x:b/>
      <x:sz val="11"/>
      <x:color rgb="FFC8A55B"/>
      <x:name val="Carlito"/>
    </x:font>
    <x:font>
      <x:b/>
      <x:sz val="11"/>
      <x:color rgb="FFFFFFFF"/>
      <x:name val="Carlito"/>
    </x:font>
    <x:font>
      <x:b/>
      <x:sz val="16"/>
      <x:color rgb="FFFFFFFF"/>
      <x:name val="Carlito"/>
    </x:font>
    <x:font>
      <x:b/>
      <x:sz val="11"/>
      <x:color rgb="FF17365D"/>
      <x:name val="Carlito"/>
    </x:font>
    <x:font>
      <x:b/>
      <x:sz val="13"/>
      <x:name val="Carlito"/>
    </x:font>
    <x:font>
      <x:b/>
      <x:sz val="11"/>
      <x:name val="Carlito"/>
    </x:font>
    <x:font>
      <x:b/>
      <x:sz val="11"/>
      <x:color rgb="FF7F6000"/>
      <x:name val="Carlito"/>
    </x:font>
    <x:font>
      <x:b/>
      <x:sz val="12"/>
      <x:name val="Carlito"/>
    </x:font>
    <x:font>
      <x:b/>
      <x:sz val="12"/>
      <x:color rgb="FF17365D"/>
      <x:name val="Carlito"/>
    </x:font>
  </x:fonts>
  <x:fills count="45">
    <x:fill>
      <x:patternFill patternType="none"/>
    </x:fill>
    <x:fill>
      <x:patternFill patternType="gray125"/>
    </x:fill>
    <x:fill>
      <x:patternFill patternType="solid">
        <x:fgColor rgb="FF071B2C"/>
      </x:patternFill>
    </x:fill>
    <x:fill>
      <x:patternFill patternType="solid">
        <x:fgColor rgb="FF0D2940"/>
      </x:patternFill>
    </x:fill>
    <x:fill>
      <x:patternFill patternType="solid">
        <x:fgColor rgb="FFC8A55B"/>
      </x:patternFill>
    </x:fill>
    <x:fill>
      <x:patternFill patternType="solid">
        <x:fgColor rgb="FFF4F7FA"/>
      </x:patternFill>
    </x:fill>
    <x:fill>
      <x:patternFill patternType="solid">
        <x:fgColor rgb="FFFFF8E7"/>
      </x:patternFill>
    </x:fill>
    <x:fill>
      <x:patternFill patternType="solid">
        <x:fgColor rgb="FF071B2C"/>
      </x:patternFill>
    </x:fill>
    <x:fill>
      <x:patternFill patternType="solid">
        <x:fgColor rgb="FF0D2940"/>
      </x:patternFill>
    </x:fill>
    <x:fill>
      <x:patternFill patternType="solid">
        <x:fgColor rgb="FFC8A55B"/>
      </x:patternFill>
    </x:fill>
    <x:fill>
      <x:patternFill patternType="solid">
        <x:fgColor rgb="FFF4F7FA"/>
      </x:patternFill>
    </x:fill>
    <x:fill>
      <x:patternFill patternType="solid">
        <x:fgColor rgb="FFFFF8E7"/>
      </x:patternFill>
    </x:fill>
    <x:fill>
      <x:patternFill patternType="solid">
        <x:fgColor rgb="FF071B2C"/>
      </x:patternFill>
    </x:fill>
    <x:fill>
      <x:patternFill patternType="solid">
        <x:fgColor rgb="FF0D2940"/>
      </x:patternFill>
    </x:fill>
    <x:fill>
      <x:patternFill patternType="solid">
        <x:fgColor rgb="FFC8A55B"/>
      </x:patternFill>
    </x:fill>
    <x:fill>
      <x:patternFill patternType="solid">
        <x:fgColor rgb="FFF4F7FA"/>
      </x:patternFill>
    </x:fill>
    <x:fill>
      <x:patternFill patternType="solid">
        <x:fgColor rgb="FFFFF8E7"/>
      </x:patternFill>
    </x:fill>
    <x:fill>
      <x:patternFill patternType="solid">
        <x:fgColor rgb="FF071B2C"/>
      </x:patternFill>
    </x:fill>
    <x:fill>
      <x:patternFill patternType="solid">
        <x:fgColor rgb="FF0D2940"/>
      </x:patternFill>
    </x:fill>
    <x:fill>
      <x:patternFill patternType="solid">
        <x:fgColor rgb="FFC8A55B"/>
      </x:patternFill>
    </x:fill>
    <x:fill>
      <x:patternFill patternType="solid">
        <x:fgColor rgb="FFF4F7FA"/>
      </x:patternFill>
    </x:fill>
    <x:fill>
      <x:patternFill patternType="solid">
        <x:fgColor rgb="FFFFF8E7"/>
      </x:patternFill>
    </x:fill>
    <x:fill>
      <x:patternFill patternType="solid">
        <x:fgColor rgb="FF17365D"/>
      </x:patternFill>
    </x:fill>
    <x:fill>
      <x:patternFill patternType="solid">
        <x:fgColor rgb="FF0B1F33"/>
      </x:patternFill>
    </x:fill>
    <x:fill>
      <x:patternFill patternType="solid">
        <x:fgColor rgb="FFD9EAF7"/>
      </x:patternFill>
    </x:fill>
    <x:fill>
      <x:patternFill patternType="solid">
        <x:fgColor rgb="FFFFF2CC"/>
      </x:patternFill>
    </x:fill>
    <x:fill>
      <x:patternFill patternType="solid">
        <x:fgColor rgb="FF0B1F33"/>
      </x:patternFill>
    </x:fill>
    <x:fill>
      <x:patternFill patternType="solid">
        <x:fgColor rgb="FFD9EAF7"/>
      </x:patternFill>
    </x:fill>
    <x:fill>
      <x:patternFill patternType="solid">
        <x:fgColor rgb="FFFFF2CC"/>
      </x:patternFill>
    </x:fill>
    <x:fill>
      <x:patternFill patternType="solid">
        <x:fgColor rgb="FF17365D"/>
      </x:patternFill>
    </x:fill>
    <x:fill>
      <x:patternFill patternType="solid">
        <x:fgColor rgb="FF0B1F33"/>
      </x:patternFill>
    </x:fill>
    <x:fill>
      <x:patternFill patternType="solid">
        <x:fgColor rgb="FFD9EAF7"/>
      </x:patternFill>
    </x:fill>
    <x:fill>
      <x:patternFill patternType="solid">
        <x:fgColor rgb="FFFFF2CC"/>
      </x:patternFill>
    </x:fill>
    <x:fill>
      <x:patternFill patternType="solid">
        <x:fgColor rgb="FF17365D"/>
      </x:patternFill>
    </x:fill>
    <x:fill>
      <x:patternFill patternType="solid">
        <x:fgColor rgb="FF17365D"/>
      </x:patternFill>
    </x:fill>
    <x:fill>
      <x:patternFill patternType="solid">
        <x:fgColor rgb="FF0B1F33"/>
      </x:patternFill>
    </x:fill>
    <x:fill>
      <x:patternFill patternType="solid">
        <x:fgColor rgb="FFFFF2CC"/>
      </x:patternFill>
    </x:fill>
    <x:fill>
      <x:patternFill patternType="solid">
        <x:fgColor rgb="FF17365D"/>
      </x:patternFill>
    </x:fill>
    <x:fill>
      <x:patternFill patternType="solid">
        <x:fgColor rgb="FFD9EAF7"/>
      </x:patternFill>
    </x:fill>
    <x:fill>
      <x:patternFill patternType="solid">
        <x:fgColor rgb="FF071B2C"/>
      </x:patternFill>
    </x:fill>
    <x:fill>
      <x:patternFill patternType="solid">
        <x:fgColor rgb="FF0D2940"/>
      </x:patternFill>
    </x:fill>
    <x:fill>
      <x:patternFill patternType="solid">
        <x:fgColor rgb="FFC8A55B"/>
      </x:patternFill>
    </x:fill>
    <x:fill>
      <x:patternFill patternType="solid">
        <x:fgColor rgb="FFF4F7FA"/>
      </x:patternFill>
    </x:fill>
    <x:fill>
      <x:patternFill patternType="solid">
        <x:fgColor rgb="FFFFF8E7"/>
      </x:patternFill>
    </x:fill>
    <x:fill>
      <x:patternFill patternType="solid">
        <x:fgColor rgb="FF15314B"/>
      </x:patternFill>
    </x:fill>
  </x:fills>
  <x:borders count="2">
    <x:border/>
    <x:border/>
  </x:borders>
  <x:cellStyleXfs count="1">
    <x:xf numFmtId="0" fontId="0" fillId="0" borderId="0"/>
  </x:cellStyleXfs>
  <x:cellXfs count="23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4" fillId="6" borderId="0" xfId="0" applyNumberFormat="1" applyFont="1" applyFill="1" applyBorder="1" applyAlignment="1">
      <x:alignment vertical="top" wrapText="1"/>
    </x:xf>
    <x:xf numFmtId="0" fontId="0" fillId="6" borderId="1" xfId="0" applyNumberFormat="1" applyFont="1" applyFill="1" applyBorder="1"/>
    <x:xf numFmtId="0" fontId="4" fillId="6" borderId="1" xfId="0" applyNumberFormat="1" applyFont="1" applyFill="1" applyBorder="1"/>
    <x:xf numFmtId="0" fontId="4" fillId="6" borderId="1" xfId="0" applyNumberFormat="1" applyFont="1" applyFill="1" applyBorder="1" applyAlignment="1">
      <x:alignment wrapText="1"/>
    </x:xf>
    <x:xf numFmtId="0" fontId="4" fillId="6" borderId="1" xfId="0" applyNumberFormat="1" applyFont="1" applyFill="1" applyBorder="1" applyAlignment="1">
      <x:alignment vertical="top" wrapText="1"/>
    </x:xf>
    <x:xf numFmtId="0" fontId="5" fillId="3" borderId="0" xfId="0" applyNumberFormat="1" applyFont="1" applyFill="1" applyBorder="1"/>
    <x:xf numFmtId="0" fontId="5" fillId="3" borderId="1"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1" xfId="0" applyNumberFormat="1" applyFont="1" applyFill="1" applyBorder="1"/>
    <x:xf numFmtId="0" fontId="2" fillId="2" borderId="1" xfId="0" applyNumberFormat="1" applyFont="1" applyFill="1" applyBorder="1" applyAlignment="1">
      <x:alignment wrapText="1"/>
    </x:xf>
    <x:xf numFmtId="0" fontId="6" fillId="2" borderId="0" xfId="0" applyNumberFormat="1" applyFont="1" applyFill="1" applyBorder="1"/>
    <x:xf numFmtId="0" fontId="6" fillId="2" borderId="0" xfId="0" applyNumberFormat="1" applyFont="1" applyFill="1" applyBorder="1" applyAlignment="1">
      <x:alignment wrapText="1"/>
    </x:xf>
    <x:xf numFmtId="0" fontId="6" fillId="2" borderId="0" xfId="0" applyNumberFormat="1" applyFont="1" applyFill="1" applyBorder="1" applyAlignment="1">
      <x:alignment vertical="center" wrapText="1"/>
    </x:xf>
    <x:xf numFmtId="0" fontId="6" fillId="2" borderId="1" xfId="0" applyNumberFormat="1" applyFont="1" applyFill="1" applyBorder="1"/>
    <x:xf numFmtId="0" fontId="6" fillId="2" borderId="1" xfId="0" applyNumberFormat="1" applyFont="1" applyFill="1" applyBorder="1" applyAlignment="1">
      <x:alignment wrapText="1"/>
    </x:xf>
    <x:xf numFmtId="0" fontId="6" fillId="2" borderId="1" xfId="0" applyNumberFormat="1" applyFont="1" applyFill="1" applyBorder="1" applyAlignment="1">
      <x:alignment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0" fillId="0" borderId="0" xfId="0" applyNumberFormat="1" applyFont="1" applyFill="1" applyBorder="1"/>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wrapText="1"/>
    </x:xf>
    <x:xf numFmtId="0" fontId="6" fillId="7" borderId="0" xfId="0" applyNumberFormat="1" applyFont="1" applyFill="1" applyBorder="1" applyAlignment="1">
      <x:alignment vertical="center" wrapText="1"/>
    </x:xf>
    <x:xf numFmtId="0" fontId="1" fillId="7" borderId="0" xfId="0" applyNumberFormat="1" applyFont="1" applyFill="1" applyBorder="1"/>
    <x:xf numFmtId="0" fontId="0" fillId="8" borderId="0" xfId="0" applyNumberFormat="1" applyFont="1" applyFill="1" applyBorder="1"/>
    <x:xf numFmtId="0" fontId="2" fillId="8" borderId="0" xfId="0" applyNumberFormat="1" applyFont="1" applyFill="1" applyBorder="1"/>
    <x:xf numFmtId="0" fontId="2" fillId="8" borderId="0" xfId="0" applyNumberFormat="1" applyFont="1" applyFill="1" applyBorder="1" applyAlignment="1">
      <x:alignment wrapText="1"/>
    </x:xf>
    <x:xf numFmtId="0" fontId="0" fillId="9" borderId="0" xfId="0" applyNumberFormat="1" applyFont="1" applyFill="1" applyBorder="1"/>
    <x:xf numFmtId="0" fontId="3" fillId="9" borderId="0" xfId="0" applyNumberFormat="1" applyFont="1" applyFill="1" applyBorder="1"/>
    <x:xf numFmtId="0" fontId="0" fillId="10" borderId="0" xfId="0" applyNumberFormat="1" applyFont="1" applyFill="1" applyBorder="1"/>
    <x:xf numFmtId="0" fontId="4" fillId="10" borderId="0" xfId="0" applyNumberFormat="1" applyFont="1" applyFill="1" applyBorder="1"/>
    <x:xf numFmtId="0" fontId="0" fillId="11" borderId="0" xfId="0" applyNumberFormat="1" applyFont="1" applyFill="1" applyBorder="1"/>
    <x:xf numFmtId="0" fontId="4" fillId="11" borderId="0" xfId="0" applyNumberFormat="1" applyFont="1" applyFill="1" applyBorder="1"/>
    <x:xf numFmtId="0" fontId="4" fillId="11" borderId="0" xfId="0" applyNumberFormat="1" applyFont="1" applyFill="1" applyBorder="1" applyAlignment="1">
      <x:alignment wrapText="1"/>
    </x:xf>
    <x:xf numFmtId="0" fontId="0" fillId="12" borderId="0" xfId="0" applyNumberFormat="1" applyFont="1" applyFill="1" applyBorder="1"/>
    <x:xf numFmtId="0" fontId="6" fillId="12" borderId="0" xfId="0" applyNumberFormat="1" applyFont="1" applyFill="1" applyBorder="1"/>
    <x:xf numFmtId="0" fontId="6" fillId="12" borderId="0" xfId="0" applyNumberFormat="1" applyFont="1" applyFill="1" applyBorder="1" applyAlignment="1">
      <x:alignment wrapText="1"/>
    </x:xf>
    <x:xf numFmtId="0" fontId="6" fillId="12" borderId="0" xfId="0" applyNumberFormat="1" applyFont="1" applyFill="1" applyBorder="1" applyAlignment="1">
      <x:alignment vertical="center" wrapText="1"/>
    </x:xf>
    <x:xf numFmtId="200" fontId="4" fillId="0" borderId="0" xfId="0" applyNumberFormat="1" applyFont="1" applyFill="1" applyBorder="1" applyAlignment="1">
      <x:alignment vertical="top" wrapText="1"/>
    </x:xf>
    <x:xf numFmtId="0" fontId="1" fillId="12" borderId="0" xfId="0" applyNumberFormat="1" applyFont="1" applyFill="1" applyBorder="1"/>
    <x:xf numFmtId="0" fontId="0" fillId="13" borderId="0" xfId="0" applyNumberFormat="1" applyFont="1" applyFill="1" applyBorder="1"/>
    <x:xf numFmtId="0" fontId="2" fillId="13" borderId="0" xfId="0" applyNumberFormat="1" applyFont="1" applyFill="1" applyBorder="1"/>
    <x:xf numFmtId="0" fontId="2" fillId="13" borderId="0" xfId="0" applyNumberFormat="1" applyFont="1" applyFill="1" applyBorder="1" applyAlignment="1">
      <x:alignment wrapText="1"/>
    </x:xf>
    <x:xf numFmtId="0" fontId="0" fillId="14" borderId="0" xfId="0" applyNumberFormat="1" applyFont="1" applyFill="1" applyBorder="1"/>
    <x:xf numFmtId="0" fontId="3" fillId="14" borderId="0" xfId="0" applyNumberFormat="1" applyFont="1" applyFill="1" applyBorder="1"/>
    <x:xf numFmtId="0" fontId="0" fillId="15" borderId="0" xfId="0" applyNumberFormat="1" applyFont="1" applyFill="1" applyBorder="1"/>
    <x:xf numFmtId="0" fontId="4" fillId="15" borderId="0" xfId="0" applyNumberFormat="1" applyFont="1" applyFill="1" applyBorder="1"/>
    <x:xf numFmtId="0" fontId="0" fillId="16" borderId="0" xfId="0" applyNumberFormat="1" applyFont="1" applyFill="1" applyBorder="1"/>
    <x:xf numFmtId="0" fontId="4" fillId="16" borderId="0" xfId="0" applyNumberFormat="1" applyFont="1" applyFill="1" applyBorder="1"/>
    <x:xf numFmtId="0" fontId="4" fillId="16" borderId="0" xfId="0" applyNumberFormat="1" applyFont="1" applyFill="1" applyBorder="1" applyAlignment="1">
      <x:alignment wrapText="1"/>
    </x:xf>
    <x:xf numFmtId="0" fontId="4" fillId="16" borderId="0" xfId="0" applyNumberFormat="1" applyFont="1" applyFill="1" applyBorder="1" applyAlignment="1">
      <x:alignment vertical="top" wrapText="1"/>
    </x:xf>
    <x:xf numFmtId="0" fontId="5" fillId="13"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0" fillId="17" borderId="0" xfId="0" applyNumberFormat="1" applyFont="1" applyFill="1" applyBorder="1"/>
    <x:xf numFmtId="0" fontId="6" fillId="17" borderId="0" xfId="0" applyNumberFormat="1" applyFont="1" applyFill="1" applyBorder="1"/>
    <x:xf numFmtId="0" fontId="6" fillId="17" borderId="0" xfId="0" applyNumberFormat="1" applyFont="1" applyFill="1" applyBorder="1" applyAlignment="1">
      <x:alignment wrapText="1"/>
    </x:xf>
    <x:xf numFmtId="0" fontId="6" fillId="17" borderId="0" xfId="0" applyNumberFormat="1" applyFont="1" applyFill="1" applyBorder="1" applyAlignment="1">
      <x:alignment vertical="center" wrapText="1"/>
    </x:xf>
    <x:xf numFmtId="0" fontId="1" fillId="17" borderId="0" xfId="0" applyNumberFormat="1" applyFont="1" applyFill="1" applyBorder="1"/>
    <x:xf numFmtId="0" fontId="0" fillId="18" borderId="0" xfId="0" applyNumberFormat="1" applyFont="1" applyFill="1" applyBorder="1"/>
    <x:xf numFmtId="0" fontId="2" fillId="18" borderId="0" xfId="0" applyNumberFormat="1" applyFont="1" applyFill="1" applyBorder="1"/>
    <x:xf numFmtId="0" fontId="2" fillId="18" borderId="0" xfId="0" applyNumberFormat="1" applyFont="1" applyFill="1" applyBorder="1" applyAlignment="1">
      <x:alignment wrapText="1"/>
    </x:xf>
    <x:xf numFmtId="0" fontId="0" fillId="19" borderId="0" xfId="0" applyNumberFormat="1" applyFont="1" applyFill="1" applyBorder="1"/>
    <x:xf numFmtId="0" fontId="3" fillId="19" borderId="0" xfId="0" applyNumberFormat="1" applyFont="1" applyFill="1" applyBorder="1"/>
    <x:xf numFmtId="0" fontId="0" fillId="20" borderId="0" xfId="0" applyNumberFormat="1" applyFont="1" applyFill="1" applyBorder="1"/>
    <x:xf numFmtId="0" fontId="4" fillId="20" borderId="0" xfId="0" applyNumberFormat="1" applyFont="1" applyFill="1" applyBorder="1"/>
    <x:xf numFmtId="200" fontId="4" fillId="20" borderId="0" xfId="0" applyNumberFormat="1" applyFont="1" applyFill="1" applyBorder="1"/>
    <x:xf numFmtId="0" fontId="0" fillId="21" borderId="0" xfId="0" applyNumberFormat="1" applyFont="1" applyFill="1" applyBorder="1"/>
    <x:xf numFmtId="0" fontId="4" fillId="21" borderId="0" xfId="0" applyNumberFormat="1" applyFont="1" applyFill="1" applyBorder="1"/>
    <x:xf numFmtId="0" fontId="4" fillId="21" borderId="0" xfId="0" applyNumberFormat="1" applyFont="1" applyFill="1" applyBorder="1" applyAlignment="1">
      <x:alignment wrapText="1"/>
    </x:xf>
    <x:xf numFmtId="0" fontId="4" fillId="21" borderId="0" xfId="0" applyNumberFormat="1" applyFont="1" applyFill="1" applyBorder="1" applyAlignment="1">
      <x:alignment vertical="top" wrapText="1"/>
    </x:xf>
    <x:xf numFmtId="200" fontId="4" fillId="5" borderId="0" xfId="0" applyNumberFormat="1" applyFont="1" applyFill="1" applyBorder="1"/>
    <x:xf numFmtId="0" fontId="0" fillId="0" borderId="0" xfId="0" applyNumberFormat="1" applyFont="1" applyFill="1" applyBorder="1" applyAlignment="1">
      <x:alignment wrapText="1"/>
    </x:xf>
    <x:xf numFmtId="0" fontId="0" fillId="22" borderId="0" xfId="0" applyNumberFormat="1" applyFont="1" applyFill="1" applyBorder="1"/>
    <x:xf numFmtId="0" fontId="6" fillId="22" borderId="0" xfId="0" applyNumberFormat="1" applyFont="1" applyFill="1" applyBorder="1"/>
    <x:xf numFmtId="0" fontId="6" fillId="22" borderId="0" xfId="0" applyNumberFormat="1" applyFont="1" applyFill="1" applyBorder="1" applyAlignment="1">
      <x:alignment wrapText="1"/>
    </x:xf>
    <x:xf numFmtId="0" fontId="6" fillId="22" borderId="0" xfId="0" applyNumberFormat="1" applyFont="1" applyFill="1" applyBorder="1" applyAlignment="1">
      <x:alignment horizontal="center" wrapText="1"/>
    </x:xf>
    <x:xf numFmtId="0" fontId="6" fillId="22" borderId="0" xfId="0" applyNumberFormat="1" applyFont="1" applyFill="1" applyBorder="1" applyAlignment="1">
      <x:alignment horizontal="center" vertical="center" wrapText="1"/>
    </x:xf>
    <x:xf numFmtId="201"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203" fontId="0" fillId="0" borderId="0" xfId="0" applyNumberFormat="1" applyFont="1" applyFill="1" applyBorder="1" applyAlignment="1">
      <x:alignment wrapText="1"/>
    </x:xf>
    <x:xf numFmtId="200" fontId="0" fillId="0" borderId="0" xfId="0" applyNumberFormat="1" applyFont="1" applyFill="1" applyBorder="1"/>
    <x:xf numFmtId="200" fontId="0" fillId="0" borderId="0" xfId="0" applyNumberFormat="1" applyFont="1" applyFill="1" applyBorder="1" applyAlignment="1">
      <x:alignment wrapText="1"/>
    </x:xf>
    <x:xf numFmtId="0" fontId="0" fillId="23" borderId="0" xfId="0" applyNumberFormat="1" applyFont="1" applyFill="1" applyBorder="1"/>
    <x:xf numFmtId="0" fontId="7" fillId="23" borderId="0" xfId="0" applyNumberFormat="1" applyFont="1" applyFill="1" applyBorder="1"/>
    <x:xf numFmtId="0" fontId="7" fillId="23" borderId="0" xfId="0" applyNumberFormat="1" applyFont="1" applyFill="1" applyBorder="1" applyAlignment="1">
      <x:alignment horizontal="left"/>
    </x:xf>
    <x:xf numFmtId="0" fontId="7" fillId="23" borderId="0" xfId="0" applyNumberFormat="1" applyFont="1" applyFill="1" applyBorder="1" applyAlignment="1">
      <x:alignment horizontal="left" vertical="center"/>
    </x:xf>
    <x:xf numFmtId="0" fontId="0" fillId="24" borderId="0" xfId="0" applyNumberFormat="1" applyFont="1" applyFill="1" applyBorder="1"/>
    <x:xf numFmtId="0" fontId="8" fillId="24" borderId="0" xfId="0" applyNumberFormat="1" applyFont="1" applyFill="1" applyBorder="1"/>
    <x:xf numFmtId="0" fontId="8" fillId="24" borderId="0" xfId="0" applyNumberFormat="1" applyFont="1" applyFill="1" applyBorder="1" applyAlignment="1">
      <x:alignment wrapText="1"/>
    </x:xf>
    <x:xf numFmtId="0" fontId="8" fillId="24" borderId="0" xfId="0" applyNumberFormat="1" applyFont="1" applyFill="1" applyBorder="1" applyAlignment="1">
      <x:alignment vertical="center" wrapText="1"/>
    </x:xf>
    <x:xf numFmtId="0" fontId="9" fillId="0" borderId="0" xfId="0" applyNumberFormat="1" applyFont="1" applyFill="1" applyBorder="1"/>
    <x:xf numFmtId="0" fontId="9" fillId="0" borderId="0" xfId="0" applyNumberFormat="1" applyFont="1" applyFill="1" applyBorder="1" applyAlignment="1">
      <x:alignment horizontal="center"/>
    </x:xf>
    <x:xf numFmtId="0" fontId="10" fillId="0" borderId="0" xfId="0" applyNumberFormat="1" applyFont="1" applyFill="1" applyBorder="1"/>
    <x:xf numFmtId="0" fontId="10" fillId="0" borderId="0" xfId="0" applyNumberFormat="1" applyFont="1" applyFill="1" applyBorder="1" applyAlignment="1">
      <x:alignment horizontal="center"/>
    </x:xf>
    <x:xf numFmtId="0" fontId="0" fillId="25" borderId="0" xfId="0" applyNumberFormat="1" applyFont="1" applyFill="1" applyBorder="1"/>
    <x:xf numFmtId="0" fontId="11" fillId="25" borderId="0" xfId="0" applyNumberFormat="1" applyFont="1" applyFill="1" applyBorder="1"/>
    <x:xf numFmtId="0" fontId="11" fillId="25" borderId="0" xfId="0" applyNumberFormat="1" applyFont="1" applyFill="1" applyBorder="1" applyAlignment="1">
      <x:alignment wrapText="1"/>
    </x:xf>
    <x:xf numFmtId="0" fontId="11" fillId="25" borderId="0" xfId="0" applyNumberFormat="1" applyFont="1" applyFill="1" applyBorder="1" applyAlignment="1">
      <x:alignment vertical="center" wrapText="1"/>
    </x:xf>
    <x:xf numFmtId="0" fontId="0" fillId="26" borderId="0" xfId="0" applyNumberFormat="1" applyFont="1" applyFill="1" applyBorder="1"/>
    <x:xf numFmtId="0" fontId="7" fillId="26" borderId="0" xfId="0" applyNumberFormat="1" applyFont="1" applyFill="1" applyBorder="1"/>
    <x:xf numFmtId="0" fontId="7" fillId="26" borderId="0" xfId="0" applyNumberFormat="1" applyFont="1" applyFill="1" applyBorder="1" applyAlignment="1">
      <x:alignment horizontal="left"/>
    </x:xf>
    <x:xf numFmtId="0" fontId="7" fillId="26" borderId="0" xfId="0" applyNumberFormat="1" applyFont="1" applyFill="1" applyBorder="1" applyAlignment="1">
      <x:alignment horizontal="left" vertical="center"/>
    </x:xf>
    <x:xf numFmtId="0" fontId="0" fillId="27" borderId="0" xfId="0" applyNumberFormat="1" applyFont="1" applyFill="1" applyBorder="1"/>
    <x:xf numFmtId="0" fontId="8" fillId="27" borderId="0" xfId="0" applyNumberFormat="1" applyFont="1" applyFill="1" applyBorder="1"/>
    <x:xf numFmtId="0" fontId="8" fillId="27" borderId="0" xfId="0" applyNumberFormat="1" applyFont="1" applyFill="1" applyBorder="1" applyAlignment="1">
      <x:alignment wrapText="1"/>
    </x:xf>
    <x:xf numFmtId="0" fontId="8" fillId="27" borderId="0" xfId="0" applyNumberFormat="1" applyFont="1" applyFill="1" applyBorder="1" applyAlignment="1">
      <x:alignment horizontal="center" wrapText="1"/>
    </x:xf>
    <x:xf numFmtId="0" fontId="0" fillId="28" borderId="0" xfId="0" applyNumberFormat="1" applyFont="1" applyFill="1" applyBorder="1"/>
    <x:xf numFmtId="0" fontId="11" fillId="28" borderId="0" xfId="0" applyNumberFormat="1" applyFont="1" applyFill="1" applyBorder="1"/>
    <x:xf numFmtId="0" fontId="11" fillId="28" borderId="0" xfId="0" applyNumberFormat="1" applyFont="1" applyFill="1" applyBorder="1" applyAlignment="1">
      <x:alignment wrapText="1"/>
    </x:xf>
    <x:xf numFmtId="0" fontId="11" fillId="28" borderId="0" xfId="0" applyNumberFormat="1" applyFont="1" applyFill="1" applyBorder="1" applyAlignment="1">
      <x:alignment vertical="center" wrapText="1"/>
    </x:xf>
    <x:xf numFmtId="0" fontId="0" fillId="29" borderId="0" xfId="0" applyNumberFormat="1" applyFont="1" applyFill="1" applyBorder="1"/>
    <x:xf numFmtId="0" fontId="6" fillId="29" borderId="0" xfId="0" applyNumberFormat="1" applyFont="1" applyFill="1" applyBorder="1"/>
    <x:xf numFmtId="0" fontId="6" fillId="29" borderId="0" xfId="0" applyNumberFormat="1" applyFont="1" applyFill="1" applyBorder="1" applyAlignment="1">
      <x:alignment wrapText="1"/>
    </x:xf>
    <x:xf numFmtId="0" fontId="6" fillId="29" borderId="0" xfId="0" applyNumberFormat="1" applyFont="1" applyFill="1" applyBorder="1" applyAlignment="1">
      <x:alignment horizontal="center" wrapText="1"/>
    </x:xf>
    <x:xf numFmtId="0" fontId="6" fillId="29" borderId="0" xfId="0" applyNumberFormat="1" applyFont="1" applyFill="1" applyBorder="1" applyAlignment="1">
      <x:alignment horizontal="center" vertical="center" wrapText="1"/>
    </x:xf>
    <x:xf numFmtId="0" fontId="8" fillId="24" borderId="0" xfId="0" applyNumberFormat="1" applyFont="1" applyFill="1" applyBorder="1" applyAlignment="1">
      <x:alignment horizontal="center" wrapText="1"/>
    </x:xf>
    <x:xf numFmtId="0" fontId="0" fillId="30" borderId="0" xfId="0" applyNumberFormat="1" applyFont="1" applyFill="1" applyBorder="1"/>
    <x:xf numFmtId="0" fontId="7" fillId="30" borderId="0" xfId="0" applyNumberFormat="1" applyFont="1" applyFill="1" applyBorder="1"/>
    <x:xf numFmtId="0" fontId="7" fillId="30" borderId="0" xfId="0" applyNumberFormat="1" applyFont="1" applyFill="1" applyBorder="1" applyAlignment="1">
      <x:alignment vertical="center"/>
    </x:xf>
    <x:xf numFmtId="0" fontId="0" fillId="31" borderId="0" xfId="0" applyNumberFormat="1" applyFont="1" applyFill="1" applyBorder="1"/>
    <x:xf numFmtId="0" fontId="8" fillId="31" borderId="0" xfId="0" applyNumberFormat="1" applyFont="1" applyFill="1" applyBorder="1"/>
    <x:xf numFmtId="0" fontId="8" fillId="31" borderId="0" xfId="0" applyNumberFormat="1" applyFont="1" applyFill="1" applyBorder="1" applyAlignment="1">
      <x:alignment wrapText="1"/>
    </x:xf>
    <x:xf numFmtId="0" fontId="8" fillId="31" borderId="0" xfId="0" applyNumberFormat="1" applyFont="1" applyFill="1" applyBorder="1" applyAlignment="1">
      <x:alignment horizontal="center" wrapText="1"/>
    </x:xf>
    <x:xf numFmtId="200" fontId="9" fillId="0" borderId="0" xfId="0" applyNumberFormat="1" applyFont="1" applyFill="1" applyBorder="1" applyAlignment="1">
      <x:alignment horizontal="center"/>
    </x:xf>
    <x:xf numFmtId="0" fontId="0" fillId="32" borderId="0" xfId="0" applyNumberFormat="1" applyFont="1" applyFill="1" applyBorder="1"/>
    <x:xf numFmtId="0" fontId="11" fillId="32" borderId="0" xfId="0" applyNumberFormat="1" applyFont="1" applyFill="1" applyBorder="1"/>
    <x:xf numFmtId="0" fontId="11" fillId="32" borderId="0" xfId="0" applyNumberFormat="1" applyFont="1" applyFill="1" applyBorder="1" applyAlignment="1">
      <x:alignment wrapText="1"/>
    </x:xf>
    <x:xf numFmtId="0" fontId="11" fillId="32" borderId="0" xfId="0" applyNumberFormat="1" applyFont="1" applyFill="1" applyBorder="1" applyAlignment="1">
      <x:alignment vertical="center" wrapText="1"/>
    </x:xf>
    <x:xf numFmtId="0" fontId="0" fillId="33" borderId="0" xfId="0" applyNumberFormat="1" applyFont="1" applyFill="1" applyBorder="1"/>
    <x:xf numFmtId="0" fontId="6" fillId="33" borderId="0" xfId="0" applyNumberFormat="1" applyFont="1" applyFill="1" applyBorder="1"/>
    <x:xf numFmtId="0" fontId="6" fillId="33" borderId="0" xfId="0" applyNumberFormat="1" applyFont="1" applyFill="1" applyBorder="1" applyAlignment="1">
      <x:alignment wrapText="1"/>
    </x:xf>
    <x:xf numFmtId="0" fontId="7" fillId="23" borderId="0" xfId="0" applyNumberFormat="1" applyFont="1" applyFill="1" applyBorder="1" applyAlignment="1">
      <x:alignment vertical="center"/>
    </x:xf>
    <x:xf numFmtId="203" fontId="4" fillId="0" borderId="0" xfId="0" applyNumberFormat="1" applyFont="1" applyFill="1" applyBorder="1" applyAlignment="1">
      <x:alignment vertical="top" wrapText="1"/>
    </x:xf>
    <x:xf numFmtId="0" fontId="0" fillId="34" borderId="0" xfId="0" applyNumberFormat="1" applyFont="1" applyFill="1" applyBorder="1" applyAlignment="1">
      <x:alignment wrapText="1"/>
    </x:xf>
    <x:xf numFmtId="0" fontId="6" fillId="34" borderId="0" xfId="0" applyNumberFormat="1" applyFont="1" applyFill="1" applyBorder="1" applyAlignment="1">
      <x:alignment wrapText="1"/>
    </x:xf>
    <x:xf numFmtId="0" fontId="6" fillId="34" borderId="0" xfId="0" applyNumberFormat="1" applyFont="1" applyFill="1" applyBorder="1" applyAlignment="1">
      <x:alignment vertical="center" wrapText="1"/>
    </x:xf>
    <x:xf numFmtId="0" fontId="0" fillId="34" borderId="0" xfId="0" applyNumberFormat="1" applyFont="1" applyFill="1" applyBorder="1"/>
    <x:xf numFmtId="0" fontId="6" fillId="34" borderId="0" xfId="0" applyNumberFormat="1" applyFont="1" applyFill="1" applyBorder="1"/>
    <x:xf numFmtId="0" fontId="6" fillId="34" borderId="0" xfId="0" applyNumberFormat="1" applyFont="1" applyFill="1" applyBorder="1" applyAlignment="1">
      <x:alignment horizontal="center" vertical="center" wrapText="1"/>
    </x:xf>
    <x:xf numFmtId="0" fontId="0" fillId="22" borderId="0" xfId="0" applyNumberFormat="1" applyFont="1" applyFill="1" applyBorder="1" applyAlignment="1">
      <x:alignment wrapText="1"/>
    </x:xf>
    <x:xf numFmtId="0" fontId="6" fillId="22" borderId="0" xfId="0" applyNumberFormat="1" applyFont="1" applyFill="1" applyBorder="1" applyAlignment="1">
      <x:alignment vertical="center" wrapText="1"/>
    </x:xf>
    <x:xf numFmtId="0" fontId="0" fillId="35" borderId="0" xfId="0" applyNumberFormat="1" applyFont="1" applyFill="1" applyBorder="1"/>
    <x:xf numFmtId="0" fontId="7" fillId="35" borderId="0" xfId="0" applyNumberFormat="1" applyFont="1" applyFill="1" applyBorder="1"/>
    <x:xf numFmtId="0" fontId="7" fillId="35" borderId="0" xfId="0" applyNumberFormat="1" applyFont="1" applyFill="1" applyBorder="1" applyAlignment="1">
      <x:alignment vertical="center"/>
    </x:xf>
    <x:xf numFmtId="0" fontId="0" fillId="36" borderId="0" xfId="0" applyNumberFormat="1" applyFont="1" applyFill="1" applyBorder="1"/>
    <x:xf numFmtId="0" fontId="11" fillId="36" borderId="0" xfId="0" applyNumberFormat="1" applyFont="1" applyFill="1" applyBorder="1"/>
    <x:xf numFmtId="0" fontId="11" fillId="36" borderId="0" xfId="0" applyNumberFormat="1" applyFont="1" applyFill="1" applyBorder="1" applyAlignment="1">
      <x:alignment wrapText="1"/>
    </x:xf>
    <x:xf numFmtId="0" fontId="0" fillId="37" borderId="0" xfId="0" applyNumberFormat="1" applyFont="1" applyFill="1" applyBorder="1"/>
    <x:xf numFmtId="0" fontId="6" fillId="37" borderId="0" xfId="0" applyNumberFormat="1" applyFont="1" applyFill="1" applyBorder="1"/>
    <x:xf numFmtId="0" fontId="6" fillId="37" borderId="0" xfId="0" applyNumberFormat="1" applyFont="1" applyFill="1" applyBorder="1" applyAlignment="1">
      <x:alignment wrapText="1"/>
    </x:xf>
    <x:xf numFmtId="0" fontId="6" fillId="37" borderId="0" xfId="0" applyNumberFormat="1" applyFont="1" applyFill="1" applyBorder="1" applyAlignment="1">
      <x:alignment horizontal="center" wrapText="1"/>
    </x:xf>
    <x:xf numFmtId="0" fontId="6" fillId="37" borderId="0" xfId="0" applyNumberFormat="1" applyFont="1" applyFill="1" applyBorder="1" applyAlignment="1">
      <x:alignment horizontal="center" vertical="center" wrapText="1"/>
    </x:xf>
    <x:xf numFmtId="204" fontId="0" fillId="0" borderId="0" xfId="0" applyNumberFormat="1" applyFont="1" applyFill="1" applyBorder="1" applyAlignment="1">
      <x:alignment wrapText="1"/>
    </x:xf>
    <x:xf numFmtId="0" fontId="0" fillId="38" borderId="0" xfId="0" applyNumberFormat="1" applyFont="1" applyFill="1" applyBorder="1"/>
    <x:xf numFmtId="0" fontId="8" fillId="38" borderId="0" xfId="0" applyNumberFormat="1" applyFont="1" applyFill="1" applyBorder="1"/>
    <x:xf numFmtId="0" fontId="8" fillId="38" borderId="0" xfId="0" applyNumberFormat="1" applyFont="1" applyFill="1" applyBorder="1" applyAlignment="1">
      <x:alignment wrapText="1"/>
    </x:xf>
    <x:xf numFmtId="0" fontId="8" fillId="38" borderId="0" xfId="0" applyNumberFormat="1" applyFont="1" applyFill="1" applyBorder="1" applyAlignment="1">
      <x:alignment horizontal="center" wrapText="1"/>
    </x:xf>
    <x:xf numFmtId="0" fontId="12" fillId="0" borderId="0" xfId="0" applyNumberFormat="1" applyFont="1" applyFill="1" applyBorder="1"/>
    <x:xf numFmtId="0" fontId="12" fillId="0" borderId="0" xfId="0" applyNumberFormat="1" applyFont="1" applyFill="1" applyBorder="1" applyAlignment="1">
      <x:alignment horizontal="center"/>
    </x:xf>
    <x:xf numFmtId="0" fontId="6" fillId="37" borderId="0" xfId="0" applyNumberFormat="1" applyFont="1" applyFill="1" applyBorder="1" applyAlignment="1">
      <x:alignment vertical="center" wrapText="1"/>
    </x:xf>
    <x:xf numFmtId="205" fontId="0" fillId="0" borderId="0" xfId="0" applyNumberFormat="1" applyFont="1" applyFill="1" applyBorder="1" applyAlignment="1">
      <x:alignment wrapText="1"/>
    </x:xf>
    <x:xf numFmtId="205" fontId="0" fillId="0" borderId="0" xfId="0" applyNumberFormat="1" applyFont="1" applyFill="1" applyBorder="1"/>
    <x:xf numFmtId="0" fontId="1" fillId="35" borderId="0" xfId="0" applyNumberFormat="1" applyFont="1" applyFill="1" applyBorder="1"/>
    <x:xf numFmtId="0" fontId="3" fillId="37" borderId="0" xfId="0" applyNumberFormat="1" applyFont="1" applyFill="1" applyBorder="1"/>
    <x:xf numFmtId="0" fontId="12" fillId="38" borderId="0" xfId="0" applyNumberFormat="1" applyFont="1" applyFill="1" applyBorder="1" applyAlignment="1">
      <x:alignment horizontal="center"/>
    </x:xf>
    <x:xf numFmtId="0" fontId="13" fillId="38" borderId="0" xfId="0" applyNumberFormat="1" applyFont="1" applyFill="1" applyBorder="1" applyAlignment="1">
      <x:alignment horizontal="center"/>
    </x:xf>
    <x:xf numFmtId="0" fontId="13" fillId="38" borderId="0" xfId="0" applyNumberFormat="1" applyFont="1" applyFill="1" applyBorder="1" applyAlignment="1">
      <x:alignment horizontal="center" wrapText="1"/>
    </x:xf>
    <x:xf numFmtId="0" fontId="1" fillId="23" borderId="0" xfId="0" applyNumberFormat="1" applyFont="1" applyFill="1" applyBorder="1"/>
    <x:xf numFmtId="0" fontId="3" fillId="22" borderId="0" xfId="0" applyNumberFormat="1" applyFont="1" applyFill="1" applyBorder="1"/>
    <x:xf numFmtId="0" fontId="12" fillId="24" borderId="0" xfId="0" applyNumberFormat="1" applyFont="1" applyFill="1" applyBorder="1" applyAlignment="1">
      <x:alignment horizontal="center"/>
    </x:xf>
    <x:xf numFmtId="0" fontId="13" fillId="24" borderId="0" xfId="0" applyNumberFormat="1" applyFont="1" applyFill="1" applyBorder="1" applyAlignment="1">
      <x:alignment horizontal="center"/>
    </x:xf>
    <x:xf numFmtId="0" fontId="13" fillId="24" borderId="0" xfId="0" applyNumberFormat="1" applyFont="1" applyFill="1" applyBorder="1" applyAlignment="1">
      <x:alignment horizontal="center" wrapText="1"/>
    </x:xf>
    <x:xf numFmtId="0" fontId="0" fillId="39" borderId="0" xfId="0" applyNumberFormat="1" applyFont="1" applyFill="1" applyBorder="1"/>
    <x:xf numFmtId="0" fontId="6" fillId="39" borderId="0" xfId="0" applyNumberFormat="1" applyFont="1" applyFill="1" applyBorder="1"/>
    <x:xf numFmtId="0" fontId="6" fillId="39" borderId="0" xfId="0" applyNumberFormat="1" applyFont="1" applyFill="1" applyBorder="1" applyAlignment="1">
      <x:alignment wrapText="1"/>
    </x:xf>
    <x:xf numFmtId="0" fontId="6" fillId="39" borderId="0" xfId="0" applyNumberFormat="1" applyFont="1" applyFill="1" applyBorder="1" applyAlignment="1">
      <x:alignment vertical="center" wrapText="1"/>
    </x:xf>
    <x:xf numFmtId="0" fontId="1" fillId="39" borderId="0" xfId="0" applyNumberFormat="1" applyFont="1" applyFill="1" applyBorder="1"/>
    <x:xf numFmtId="0" fontId="0" fillId="40" borderId="0" xfId="0" applyNumberFormat="1" applyFont="1" applyFill="1" applyBorder="1"/>
    <x:xf numFmtId="0" fontId="2" fillId="40" borderId="0" xfId="0" applyNumberFormat="1" applyFont="1" applyFill="1" applyBorder="1"/>
    <x:xf numFmtId="0" fontId="2" fillId="40" borderId="0" xfId="0" applyNumberFormat="1" applyFont="1" applyFill="1" applyBorder="1" applyAlignment="1">
      <x:alignment wrapText="1"/>
    </x:xf>
    <x:xf numFmtId="0" fontId="0" fillId="41" borderId="0" xfId="0" applyNumberFormat="1" applyFont="1" applyFill="1" applyBorder="1"/>
    <x:xf numFmtId="0" fontId="3" fillId="41" borderId="0" xfId="0" applyNumberFormat="1" applyFont="1" applyFill="1" applyBorder="1"/>
    <x:xf numFmtId="0" fontId="0" fillId="42" borderId="0" xfId="0" applyNumberFormat="1" applyFont="1" applyFill="1" applyBorder="1"/>
    <x:xf numFmtId="0" fontId="4" fillId="42" borderId="0" xfId="0" applyNumberFormat="1" applyFont="1" applyFill="1" applyBorder="1"/>
    <x:xf numFmtId="0" fontId="0" fillId="43" borderId="0" xfId="0" applyNumberFormat="1" applyFont="1" applyFill="1" applyBorder="1"/>
    <x:xf numFmtId="0" fontId="4" fillId="43" borderId="0" xfId="0" applyNumberFormat="1" applyFont="1" applyFill="1" applyBorder="1"/>
    <x:xf numFmtId="0" fontId="4" fillId="43" borderId="0" xfId="0" applyNumberFormat="1" applyFont="1" applyFill="1" applyBorder="1" applyAlignment="1">
      <x:alignment wrapText="1"/>
    </x:xf>
    <x:xf numFmtId="0" fontId="4" fillId="43" borderId="0" xfId="0" applyNumberFormat="1" applyFont="1" applyFill="1" applyBorder="1" applyAlignment="1">
      <x:alignment vertical="top" wrapText="1"/>
    </x:xf>
    <x:xf numFmtId="0" fontId="5" fillId="40" borderId="0" xfId="0" applyNumberFormat="1" applyFont="1" applyFill="1" applyBorder="1"/>
    <x:xf numFmtId="0" fontId="2" fillId="39" borderId="0" xfId="0" applyNumberFormat="1" applyFont="1" applyFill="1" applyBorder="1"/>
    <x:xf numFmtId="0" fontId="2" fillId="39" borderId="0" xfId="0" applyNumberFormat="1" applyFont="1" applyFill="1" applyBorder="1" applyAlignment="1">
      <x:alignment wrapText="1"/>
    </x:xf>
    <x:xf numFmtId="0" fontId="2" fillId="39" borderId="0" xfId="0" applyNumberFormat="1" applyFont="1" applyFill="1" applyBorder="1" applyAlignment="1">
      <x:alignment vertical="top" wrapText="1"/>
    </x:xf>
    <x:xf numFmtId="0" fontId="6" fillId="44" borderId="0" xfId="0" applyNumberFormat="1" applyFont="1" applyFill="1" applyBorder="1" applyAlignment="1">
      <x:alignment vertical="center" wrapText="1"/>
    </x:xf>
    <x:xf numFmtId="0" fontId="0" fillId="44" borderId="0" xfId="0" applyNumberFormat="1" applyFont="1" applyFill="1" applyBorder="1"/>
    <x:xf numFmtId="0" fontId="6" fillId="44" borderId="0" xfId="0" applyNumberFormat="1" applyFont="1" applyFill="1" applyBorder="1"/>
    <x:xf numFmtId="0" fontId="6" fillId="44" borderId="0" xfId="0" applyNumberFormat="1" applyFont="1" applyFill="1" applyBorder="1" applyAlignment="1">
      <x:alignment wrapText="1"/>
    </x:xf>
    <x:xf numFmtId="0" fontId="7" fillId="44" borderId="0" xfId="0" applyNumberFormat="1" applyFont="1" applyFill="1" applyBorder="1"/>
    <x:xf numFmtId="0" fontId="7" fillId="44" borderId="0" xfId="0" applyNumberFormat="1" applyFont="1" applyFill="1" applyBorder="1" applyAlignment="1">
      <x:alignment wrapText="1"/>
    </x:xf>
    <x:xf numFmtId="0" fontId="3" fillId="4" borderId="0" xfId="0" applyNumberFormat="1" applyFont="1" applyFill="1" applyBorder="1" applyAlignment="1">
      <x:alignment wrapText="1"/>
    </x:xf>
    <x:xf numFmtId="0" fontId="4" fillId="5" borderId="0" xfId="0" applyNumberFormat="1" applyFont="1" applyFill="1" applyBorder="1" applyAlignment="1">
      <x:alignment wrapText="1"/>
    </x:xf>
    <x:xf numFmtId="0" fontId="5" fillId="3" borderId="0" xfId="0" applyNumberFormat="1" applyFont="1" applyFill="1" applyBorder="1" applyAlignment="1">
      <x:alignment wrapText="1"/>
    </x:xf>
  </x:cellXfs>
  <x:cellStyles count="1">
    <x:cellStyle name="Normal" xfId="0"/>
  </x:cellStyles>
  <x:dxfs count="4">
    <x:dxf>
      <x:font>
        <x:b/>
      </x:font>
      <x:fill>
        <x:patternFill>
          <x:bgColor rgb="FFFCE4D6"/>
        </x:patternFill>
      </x:fill>
    </x:dxf>
    <x:dxf>
      <x:fill>
        <x:patternFill>
          <x:bgColor rgb="FFFFF2CC"/>
        </x:patternFill>
      </x:fill>
    </x:dxf>
    <x:dxf>
      <x:fill>
        <x:patternFill>
          <x:bgColor rgb="FFE2F0D9"/>
        </x:patternFill>
      </x:fill>
    </x:dxf>
    <x:dxf>
      <x:font>
        <x:b/>
      </x:font>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4dec2b018da4b33" /><Relationship Type="http://schemas.openxmlformats.org/officeDocument/2006/relationships/theme" Target="/xl/theme/theme1.xml" Id="R43c79126f0de4743" /><Relationship Type="http://schemas.openxmlformats.org/officeDocument/2006/relationships/sharedStrings" Target="/xl/sharedStrings.xml" Id="R9cb7338ebb7940eb" /><Relationship Type="http://schemas.openxmlformats.org/officeDocument/2006/relationships/worksheet" Target="/xl/worksheets/sheet1.xml" Id="R937f61a9b5e241b6" /><Relationship Type="http://schemas.openxmlformats.org/officeDocument/2006/relationships/worksheet" Target="/xl/worksheets/sheet2.xml" Id="Rf8f949501bcf434f" /><Relationship Type="http://schemas.openxmlformats.org/officeDocument/2006/relationships/worksheet" Target="/xl/worksheets/sheet3.xml" Id="R68aaf5358c394196" /><Relationship Type="http://schemas.openxmlformats.org/officeDocument/2006/relationships/worksheet" Target="/xl/worksheets/sheet4.xml" Id="Rcbe89a15561b4de7" /><Relationship Type="http://schemas.openxmlformats.org/officeDocument/2006/relationships/worksheet" Target="/xl/worksheets/sheet5.xml" Id="Rfc58c2fe0f3a4a70" /><Relationship Type="http://schemas.openxmlformats.org/officeDocument/2006/relationships/worksheet" Target="/xl/worksheets/sheet6.xml" Id="R452f707d8f554ef5" /><Relationship Type="http://schemas.openxmlformats.org/officeDocument/2006/relationships/worksheet" Target="/xl/worksheets/sheet7.xml" Id="R755b42f8549f402d" /><Relationship Type="http://schemas.openxmlformats.org/officeDocument/2006/relationships/worksheet" Target="/xl/worksheets/sheet8.xml" Id="R62661674c7e44e27" /><Relationship Type="http://schemas.openxmlformats.org/officeDocument/2006/relationships/worksheet" Target="/xl/worksheets/sheet9.xml" Id="Rd5f61fcf30094ae8" /><Relationship Type="http://schemas.openxmlformats.org/officeDocument/2006/relationships/worksheet" Target="/xl/worksheets/sheet10.xml" Id="R73833e02fc2d4cdb" /><Relationship Type="http://schemas.openxmlformats.org/officeDocument/2006/relationships/worksheet" Target="/xl/worksheets/sheet11.xml" Id="Ra22f146426d54b1c" /><Relationship Type="http://schemas.openxmlformats.org/officeDocument/2006/relationships/worksheet" Target="/xl/worksheets/sheet12.xml" Id="R7622538b664a4eff" /><Relationship Type="http://schemas.openxmlformats.org/officeDocument/2006/relationships/worksheet" Target="/xl/worksheets/sheet13.xml" Id="Ra06e2c34c16a4a15" /><Relationship Type="http://schemas.openxmlformats.org/officeDocument/2006/relationships/worksheet" Target="/xl/worksheets/sheet14.xml" Id="R36806eb90a1d48d7" /><Relationship Type="http://schemas.openxmlformats.org/officeDocument/2006/relationships/worksheet" Target="/xl/worksheets/sheet15.xml" Id="R1f29ee7ba8eb44b5" /><Relationship Type="http://schemas.openxmlformats.org/officeDocument/2006/relationships/worksheet" Target="/xl/worksheets/sheet16.xml" Id="R4f79901fc1aa4c05" /><Relationship Type="http://schemas.openxmlformats.org/officeDocument/2006/relationships/worksheet" Target="/xl/worksheets/sheet17.xml" Id="Rf9466094624745c5" /><Relationship Type="http://schemas.openxmlformats.org/officeDocument/2006/relationships/worksheet" Target="/xl/worksheets/sheet18.xml" Id="R51cc97106e1a4047" /><Relationship Type="http://schemas.openxmlformats.org/officeDocument/2006/relationships/worksheet" Target="/xl/worksheets/sheet19.xml" Id="R0964552049294bb5" /><Relationship Type="http://schemas.openxmlformats.org/officeDocument/2006/relationships/worksheet" Target="/xl/worksheets/sheet20.xml" Id="Rc44ccef98a324ddc" /><Relationship Type="http://schemas.openxmlformats.org/officeDocument/2006/relationships/worksheet" Target="/xl/worksheets/sheet21.xml" Id="Rb8919c8dc78a4d9f" /><Relationship Type="http://schemas.openxmlformats.org/officeDocument/2006/relationships/worksheet" Target="/xl/worksheets/sheet22.xml" Id="R4a69ddc014164951" /><Relationship Type="http://schemas.openxmlformats.org/officeDocument/2006/relationships/worksheet" Target="/xl/worksheets/sheet23.xml" Id="Re379e9f7075d4dd1" /><Relationship Type="http://schemas.openxmlformats.org/officeDocument/2006/relationships/worksheet" Target="/xl/worksheets/sheet24.xml" Id="Rfbe786e12ce54cb6" /><Relationship Type="http://schemas.openxmlformats.org/officeDocument/2006/relationships/worksheet" Target="/xl/worksheets/sheet25.xml" Id="Raaa5525754484060" /><Relationship Type="http://schemas.openxmlformats.org/officeDocument/2006/relationships/worksheet" Target="/xl/worksheets/sheet26.xml" Id="Rf527c3296ed147d8" /><Relationship Type="http://schemas.openxmlformats.org/officeDocument/2006/relationships/worksheet" Target="/xl/worksheets/sheet27.xml" Id="R49e2a8d15cb44bb4" /><Relationship Type="http://schemas.openxmlformats.org/officeDocument/2006/relationships/worksheet" Target="/xl/worksheets/sheet28.xml" Id="Rb418a18771c648b2" /><Relationship Type="http://schemas.openxmlformats.org/officeDocument/2006/relationships/worksheet" Target="/xl/worksheets/sheet29.xml" Id="R8b7641a8d1134015" /><Relationship Type="http://schemas.openxmlformats.org/officeDocument/2006/relationships/worksheet" Target="/xl/worksheets/sheet30.xml" Id="Rba2f4d93d3b343b0" /><Relationship Type="http://schemas.openxmlformats.org/officeDocument/2006/relationships/worksheet" Target="/xl/worksheets/sheet31.xml" Id="R3fd1a677c3174892" /><Relationship Type="http://schemas.openxmlformats.org/officeDocument/2006/relationships/worksheet" Target="/xl/worksheets/sheet32.xml" Id="R6bc19f423bf24191" /><Relationship Type="http://schemas.openxmlformats.org/officeDocument/2006/relationships/worksheet" Target="/xl/worksheets/sheet33.xml" Id="R9df26022f4514391" /><Relationship Type="http://schemas.openxmlformats.org/officeDocument/2006/relationships/worksheet" Target="/xl/worksheets/sheet34.xml" Id="Rbd8aa4703128495b" /><Relationship Type="http://schemas.openxmlformats.org/officeDocument/2006/relationships/worksheet" Target="/xl/worksheets/sheet35.xml" Id="R009a6df3ffce4b1a" /><Relationship Type="http://schemas.openxmlformats.org/officeDocument/2006/relationships/worksheet" Target="/xl/worksheets/sheet36.xml" Id="Rb7c2eaa472bf4933" /><Relationship Type="http://schemas.openxmlformats.org/officeDocument/2006/relationships/worksheet" Target="/xl/worksheets/sheet37.xml" Id="Re0f25df95c594608" /><Relationship Type="http://schemas.openxmlformats.org/officeDocument/2006/relationships/worksheet" Target="/xl/worksheets/sheet38.xml" Id="Recf29321450347ea" /><Relationship Type="http://schemas.openxmlformats.org/officeDocument/2006/relationships/worksheet" Target="/xl/worksheets/sheet39.xml" Id="R8262e5cdff934afd" /><Relationship Type="http://schemas.openxmlformats.org/officeDocument/2006/relationships/worksheet" Target="/xl/worksheets/sheet40.xml" Id="R37125640c77846b0" /><Relationship Type="http://schemas.openxmlformats.org/officeDocument/2006/relationships/worksheet" Target="/xl/worksheets/sheet41.xml" Id="Rd56060bbadf44e06" /><Relationship Type="http://schemas.openxmlformats.org/officeDocument/2006/relationships/worksheet" Target="/xl/worksheets/sheet42.xml" Id="R2ddf410ec51f4ae1" /><Relationship Type="http://schemas.openxmlformats.org/officeDocument/2006/relationships/worksheet" Target="/xl/worksheets/sheet43.xml" Id="R5aee5bcaa002423a" /><Relationship Type="http://schemas.openxmlformats.org/officeDocument/2006/relationships/worksheet" Target="/xl/worksheets/sheet44.xml" Id="Rd0db054e5534400d" /><Relationship Type="http://schemas.openxmlformats.org/officeDocument/2006/relationships/worksheet" Target="/xl/worksheets/sheet45.xml" Id="Ra60d0e79408746b6" /><Relationship Type="http://schemas.openxmlformats.org/officeDocument/2006/relationships/worksheet" Target="/xl/worksheets/sheet46.xml" Id="R898fd291d3da4f74" /><Relationship Type="http://schemas.openxmlformats.org/officeDocument/2006/relationships/worksheet" Target="/xl/worksheets/sheet47.xml" Id="R6b8e471852b64100" /><Relationship Type="http://schemas.openxmlformats.org/officeDocument/2006/relationships/worksheet" Target="/xl/worksheets/sheet48.xml" Id="R7ccbf770514042cf" /><Relationship Type="http://schemas.openxmlformats.org/officeDocument/2006/relationships/worksheet" Target="/xl/worksheets/sheet49.xml" Id="Rca73ad584fbc4662" /><Relationship Type="http://schemas.openxmlformats.org/officeDocument/2006/relationships/worksheet" Target="/xl/worksheets/sheet50.xml" Id="R781e386bda914ddb" /><Relationship Type="http://schemas.openxmlformats.org/officeDocument/2006/relationships/worksheet" Target="/xl/worksheets/sheet51.xml" Id="Rffa36699c91d44a0" /><Relationship Type="http://schemas.openxmlformats.org/officeDocument/2006/relationships/worksheet" Target="/xl/worksheets/sheet52.xml" Id="Raaafd8eba40048d6" /><Relationship Type="http://schemas.openxmlformats.org/officeDocument/2006/relationships/worksheet" Target="/xl/worksheets/sheet53.xml" Id="R1aae3e173c8744fd" /><Relationship Type="http://schemas.openxmlformats.org/officeDocument/2006/relationships/worksheet" Target="/xl/worksheets/sheet54.xml" Id="R0c440e023a594d4d" /><Relationship Type="http://schemas.openxmlformats.org/officeDocument/2006/relationships/worksheet" Target="/xl/worksheets/sheet55.xml" Id="Rc5cf0f7523af4ba5" /><Relationship Type="http://schemas.openxmlformats.org/officeDocument/2006/relationships/worksheet" Target="/xl/worksheets/sheet56.xml" Id="R8aa7bb1e1b3849c0" /><Relationship Type="http://schemas.openxmlformats.org/officeDocument/2006/relationships/worksheet" Target="/xl/worksheets/sheet57.xml" Id="Rf608b8f5176f4279" /><Relationship Type="http://schemas.openxmlformats.org/officeDocument/2006/relationships/worksheet" Target="/xl/worksheets/sheet58.xml" Id="Rca1f972a12c44804" /><Relationship Type="http://schemas.openxmlformats.org/officeDocument/2006/relationships/worksheet" Target="/xl/worksheets/sheet59.xml" Id="Red54f1c3a0514b5a" /><Relationship Type="http://schemas.openxmlformats.org/officeDocument/2006/relationships/worksheet" Target="/xl/worksheets/sheet60.xml" Id="Rb10ff3edefad46a0" /><Relationship Type="http://schemas.openxmlformats.org/officeDocument/2006/relationships/worksheet" Target="/xl/worksheets/sheet61.xml" Id="Re2bd21975d7c43d1" /><Relationship Type="http://schemas.openxmlformats.org/officeDocument/2006/relationships/worksheet" Target="/xl/worksheets/sheet62.xml" Id="Rfaee3f82c70d4c38" /><Relationship Type="http://schemas.openxmlformats.org/officeDocument/2006/relationships/worksheet" Target="/xl/worksheets/sheet63.xml" Id="Rd6427676809f4f0e" /><Relationship Type="http://schemas.openxmlformats.org/officeDocument/2006/relationships/worksheet" Target="/xl/worksheets/sheet64.xml" Id="R3653960e3ba14200" /><Relationship Type="http://schemas.openxmlformats.org/officeDocument/2006/relationships/worksheet" Target="/xl/worksheets/sheet65.xml" Id="R650e0e7a70fe4692" /><Relationship Type="http://schemas.openxmlformats.org/officeDocument/2006/relationships/worksheet" Target="/xl/worksheets/sheet66.xml" Id="R83d4bde968054a66" /><Relationship Type="http://schemas.openxmlformats.org/officeDocument/2006/relationships/worksheet" Target="/xl/worksheets/sheet67.xml" Id="R40015f71792e4c91" /><Relationship Type="http://schemas.openxmlformats.org/officeDocument/2006/relationships/worksheet" Target="/xl/worksheets/sheet68.xml" Id="R41bfccdb03af4dbe" /><Relationship Type="http://schemas.openxmlformats.org/officeDocument/2006/relationships/worksheet" Target="/xl/worksheets/sheet69.xml" Id="R245d62e5e93a46c6" /><Relationship Type="http://schemas.openxmlformats.org/officeDocument/2006/relationships/worksheet" Target="/xl/worksheets/sheet70.xml" Id="R6c8d459664534ba2" /><Relationship Type="http://schemas.openxmlformats.org/officeDocument/2006/relationships/worksheet" Target="/xl/worksheets/sheet71.xml" Id="R49c6621e6deb48ce" /><Relationship Type="http://schemas.openxmlformats.org/officeDocument/2006/relationships/worksheet" Target="/xl/worksheets/sheet72.xml" Id="R6cecfb1715bc4180" /><Relationship Type="http://schemas.openxmlformats.org/officeDocument/2006/relationships/worksheet" Target="/xl/worksheets/sheet73.xml" Id="R15e8d5cb04514422" /><Relationship Type="http://schemas.openxmlformats.org/officeDocument/2006/relationships/worksheet" Target="/xl/worksheets/sheet74.xml" Id="Rad381963c4d74718" /><Relationship Type="http://schemas.openxmlformats.org/officeDocument/2006/relationships/worksheet" Target="/xl/worksheets/sheet75.xml" Id="R284b832610e24973" /><Relationship Type="http://schemas.openxmlformats.org/officeDocument/2006/relationships/worksheet" Target="/xl/worksheets/sheet76.xml" Id="R3f41b1d652d8426f" /><Relationship Type="http://schemas.openxmlformats.org/officeDocument/2006/relationships/worksheet" Target="/xl/worksheets/sheet77.xml" Id="R83030c8aa7c24aac" /><Relationship Type="http://schemas.openxmlformats.org/officeDocument/2006/relationships/worksheet" Target="/xl/worksheets/sheet78.xml" Id="Re4b951f6ca9549d4" /><Relationship Type="http://schemas.openxmlformats.org/officeDocument/2006/relationships/worksheet" Target="/xl/worksheets/sheet79.xml" Id="R905a2da532074f88" /><Relationship Type="http://schemas.openxmlformats.org/officeDocument/2006/relationships/worksheet" Target="/xl/worksheets/sheet80.xml" Id="R94de3f21f6544ec3" /><Relationship Type="http://schemas.openxmlformats.org/officeDocument/2006/relationships/worksheet" Target="/xl/worksheets/sheet81.xml" Id="Rc07a2d981c8f4663" /><Relationship Type="http://schemas.openxmlformats.org/officeDocument/2006/relationships/worksheet" Target="/xl/worksheets/sheet82.xml" Id="Ra3e27c26e7aa4619" /><Relationship Type="http://schemas.openxmlformats.org/officeDocument/2006/relationships/worksheet" Target="/xl/worksheets/sheet83.xml" Id="R43f2e101e7184b9b" /></Relationships>
</file>

<file path=xl/drawings/_rels/drawing1.xml.rels>&#65279;<?xml version="1.0" encoding="utf-8"?><Relationships xmlns="http://schemas.openxmlformats.org/package/2006/relationships"><Relationship Type="http://schemas.openxmlformats.org/officeDocument/2006/relationships/chart" Target="/xl/drawings/charts/chart1.xml" Id="Re9b4146c256243cc" /></Relationships>
</file>

<file path=xl/drawings/_rels/drawing2.xml.rels>&#65279;<?xml version="1.0" encoding="utf-8"?><Relationships xmlns="http://schemas.openxmlformats.org/package/2006/relationships"><Relationship Type="http://schemas.openxmlformats.org/officeDocument/2006/relationships/chart" Target="/xl/drawings/charts/chart2.xml" Id="R51b8582e93c348de" /></Relationships>
</file>

<file path=xl/drawings/_rels/drawing3.xml.rels>&#65279;<?xml version="1.0" encoding="utf-8"?><Relationships xmlns="http://schemas.openxmlformats.org/package/2006/relationships"><Relationship Type="http://schemas.openxmlformats.org/officeDocument/2006/relationships/chart" Target="/xl/drawings/charts/chart3.xml" Id="R940988c20a77409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Model v1 seed coverage</a:t>
            </a:r>
          </a:p>
        </c:rich>
      </c:tx>
    </c:title>
    <c:plotArea>
      <c:barChart>
        <c:barDir val="col"/>
        <c:varyColors val="0"/>
        <c:ser>
          <c:idx val="0"/>
          <c:order val="0"/>
          <c:tx>
            <c:v>Records</c:v>
          </c:tx>
          <c:cat>
            <c:strRef>
              <c:f>'Dashboard'!$J$3:$J$9</c:f>
              <c:strCache>
                <c:ptCount val="0"/>
              </c:strCache>
            </c:strRef>
          </c:cat>
          <c:val>
            <c:numRef>
              <c:f>'Dashboard'!$K$3:$K$9</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Benchmark Tradeable VLCC Fleets</a:t>
            </a:r>
          </a:p>
        </c:rich>
      </c:tx>
    </c:title>
    <c:plotArea>
      <c:barChart>
        <c:barDir val="col"/>
        <c:varyColors val="0"/>
        <c:ser>
          <c:idx val="0"/>
          <c:order val="0"/>
          <c:tx>
            <c:v>VLCC Count</c:v>
          </c:tx>
          <c:cat>
            <c:strRef>
              <c:f>'Fleet Ranking Snapshots'!$N$3:$N$12</c:f>
              <c:strCache>
                <c:ptCount val="0"/>
              </c:strCache>
            </c:strRef>
          </c:cat>
          <c:val>
            <c:numRef>
              <c:f>'Fleet Ranking Snapshots'!$O$3:$O$12</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First-Pass Disruption Events by Family</a:t>
            </a:r>
          </a:p>
        </c:rich>
      </c:tx>
    </c:title>
    <c:plotArea>
      <c:barChart>
        <c:barDir val="col"/>
        <c:varyColors val="0"/>
        <c:ser>
          <c:idx val="0"/>
          <c:order val="0"/>
          <c:tx>
            <c:v>Count</c:v>
          </c:tx>
          <c:cat>
            <c:strRef>
              <c:f>'Weather Labour Events'!$V$6:$V$10</c:f>
              <c:strCache>
                <c:ptCount val="0"/>
              </c:strCache>
            </c:strRef>
          </c:cat>
          <c:val>
            <c:numRef>
              <c:f>'Weather Labour Events'!$W$6:$W$10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1</xdr:row>
      <xdr:rowOff>0</xdr:rowOff>
    </xdr:from>
    <xdr:to>
      <xdr:col>17</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9b4146c256243cc"/>
        </a:graphicData>
      </a:graphic>
    </xdr:graphicFrame>
    <xdr:clientData/>
  </xdr:twoCellAnchor>
</xdr:wsDr>
</file>

<file path=xl/drawings/drawing2.xml><?xml version="1.0" encoding="utf-8"?>
<xdr:wsDr xmlns:xdr="http://schemas.openxmlformats.org/drawingml/2006/spreadsheetDrawing">
  <xdr:twoCellAnchor>
    <xdr:from>
      <xdr:col>13</xdr:col>
      <xdr:colOff>0</xdr:colOff>
      <xdr:row>13</xdr:row>
      <xdr:rowOff>0</xdr:rowOff>
    </xdr:from>
    <xdr:to>
      <xdr:col>22</xdr:col>
      <xdr:colOff>0</xdr:colOff>
      <xdr:row>32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1b8582e93c348de"/>
        </a:graphicData>
      </a:graphic>
    </xdr:graphicFrame>
    <xdr:clientData/>
  </xdr:twoCellAnchor>
</xdr:wsDr>
</file>

<file path=xl/drawings/drawing3.xml><?xml version="1.0" encoding="utf-8"?>
<xdr:wsDr xmlns:xdr="http://schemas.openxmlformats.org/drawingml/2006/spreadsheetDrawing">
  <xdr:twoCellAnchor>
    <xdr:from>
      <xdr:col>21</xdr:col>
      <xdr:colOff>0</xdr:colOff>
      <xdr:row>11</xdr:row>
      <xdr:rowOff>0</xdr:rowOff>
    </xdr:from>
    <xdr:to>
      <xdr:col>29</xdr:col>
      <xdr:colOff>0</xdr:colOff>
      <xdr:row>28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40988c20a77409c"/>
        </a:graphicData>
      </a:graphic>
    </xdr:graphicFrame>
    <xdr:clientData/>
  </xdr:twoCellAnchor>
</xdr:wsDr>
</file>

<file path=xl/tables/table1.xml><?xml version="1.0" encoding="utf-8"?>
<x:table xmlns:x="http://schemas.openxmlformats.org/spreadsheetml/2006/main" id="1" name="DataDictionaryTable" displayName="DataDictionaryTable" ref="A1:D27" headerRowCount="1" totalsRowCount="0" totalsRowShown="0">
  <x:tableColumns count="4">
    <x:tableColumn id="1" name="Table"/>
    <x:tableColumn id="2" name="Primary Key"/>
    <x:tableColumn id="3" name="Purpose"/>
    <x:tableColumn id="4" name="Minimum relationship"/>
  </x:tableColumns>
  <x:tableStyleInfo name="TableStyleMedium2" showFirstColumn="0" showLastColumn="0" showRowStripes="1" showColumnStripes="0"/>
</x:table>
</file>

<file path=xl/tables/table2.xml><?xml version="1.0" encoding="utf-8"?>
<x:table xmlns:x="http://schemas.openxmlformats.org/spreadsheetml/2006/main" id="2" name="EntityRegistryTable" displayName="EntityRegistryTable" ref="A1:F417" headerRowCount="1" totalsRowCount="0" totalsRowShown="0">
  <x:tableColumns count="6">
    <x:tableColumn id="1" name="Entity ID"/>
    <x:tableColumn id="2" name="Entity Type"/>
    <x:tableColumn id="3" name="Canonical Name"/>
    <x:tableColumn id="4" name="Country"/>
    <x:tableColumn id="5" name="Parent Entity ID"/>
    <x:tableColumn id="6" name="Status"/>
  </x:tableColumns>
  <x:tableStyleInfo name="TableStyleMedium2" showFirstColumn="0" showLastColumn="0" showRowStripes="1" showColumnStripes="0"/>
</x:table>
</file>

<file path=xl/tables/table3.xml><?xml version="1.0" encoding="utf-8"?>
<x:table xmlns:x="http://schemas.openxmlformats.org/spreadsheetml/2006/main" id="3" name="CompaniesTable" displayName="CompaniesTable" ref="A1:M55" headerRowCount="1" totalsRowCount="0" totalsRowShown="0">
  <x:tableColumns count="13">
    <x:tableColumn id="1" name="Company ID"/>
    <x:tableColumn id="2" name="Company"/>
    <x:tableColumn id="3" name="Entity Type"/>
    <x:tableColumn id="4" name="HQ City"/>
    <x:tableColumn id="5" name="HQ Country"/>
    <x:tableColumn id="6" name="Ownership"/>
    <x:tableColumn id="7" name="Business Segments"/>
    <x:tableColumn id="8" name="Senior Leader"/>
    <x:tableColumn id="9" name="Title"/>
    <x:tableColumn id="10" name="Scale / Network Notes"/>
    <x:tableColumn id="11" name="Status"/>
    <x:tableColumn id="12" name="Source ID"/>
    <x:tableColumn id="13" name="As Of"/>
  </x:tableColumns>
  <x:tableStyleInfo name="TableStyleMedium2" showFirstColumn="0" showLastColumn="0" showRowStripes="1" showColumnStripes="0"/>
</x:table>
</file>

<file path=xl/tables/table4.xml><?xml version="1.0" encoding="utf-8"?>
<x:table xmlns:x="http://schemas.openxmlformats.org/spreadsheetml/2006/main" id="4" name="PeopleTable" displayName="PeopleTable" ref="A1:G34" headerRowCount="1" totalsRowCount="0" totalsRowShown="0">
  <x:tableColumns count="7">
    <x:tableColumn id="1" name="Person ID"/>
    <x:tableColumn id="2" name="Name"/>
    <x:tableColumn id="3" name="Nationality"/>
    <x:tableColumn id="4" name="Location"/>
    <x:tableColumn id="5" name="Status"/>
    <x:tableColumn id="6" name="Source ID"/>
    <x:tableColumn id="7" name="As Of"/>
  </x:tableColumns>
  <x:tableStyleInfo name="TableStyleMedium2" showFirstColumn="0" showLastColumn="0" showRowStripes="1" showColumnStripes="0"/>
</x:table>
</file>

<file path=xl/tables/table5.xml><?xml version="1.0" encoding="utf-8"?>
<x:table xmlns:x="http://schemas.openxmlformats.org/spreadsheetml/2006/main" id="5" name="LeadershipRolesTable" displayName="LeadershipRolesTable" ref="A1:I34" headerRowCount="1" totalsRowCount="0" totalsRowShown="0">
  <x:tableColumns count="9">
    <x:tableColumn id="1" name="Role ID"/>
    <x:tableColumn id="2" name="Person ID"/>
    <x:tableColumn id="3" name="Company ID"/>
    <x:tableColumn id="4" name="Title"/>
    <x:tableColumn id="5" name="Scope"/>
    <x:tableColumn id="6" name="Status"/>
    <x:tableColumn id="7" name="Effective From"/>
    <x:tableColumn id="8" name="Effective To"/>
    <x:tableColumn id="9" name="Source ID"/>
  </x:tableColumns>
  <x:tableStyleInfo name="TableStyleMedium2" showFirstColumn="0" showLastColumn="0" showRowStripes="1" showColumnStripes="0"/>
</x:table>
</file>

<file path=xl/tables/table6.xml><?xml version="1.0" encoding="utf-8"?>
<x:table xmlns:x="http://schemas.openxmlformats.org/spreadsheetml/2006/main" id="6" name="AssetsTable" displayName="AssetsTable" ref="A1:K74" headerRowCount="1" totalsRowCount="0" totalsRowShown="0">
  <x:tableColumns count="11">
    <x:tableColumn id="1" name="Asset ID"/>
    <x:tableColumn id="2" name="Company ID"/>
    <x:tableColumn id="3" name="Asset"/>
    <x:tableColumn id="4" name="Asset Type"/>
    <x:tableColumn id="5" name="Location"/>
    <x:tableColumn id="6" name="Country"/>
    <x:tableColumn id="7" name="Role / Function"/>
    <x:tableColumn id="8" name="Primary Mode"/>
    <x:tableColumn id="9" name="Status"/>
    <x:tableColumn id="10" name="Ownership / Operating Interest"/>
    <x:tableColumn id="11" name="Source ID"/>
  </x:tableColumns>
  <x:tableStyleInfo name="TableStyleMedium2" showFirstColumn="0" showLastColumn="0" showRowStripes="1" showColumnStripes="0"/>
</x:table>
</file>

<file path=xl/tables/table7.xml><?xml version="1.0" encoding="utf-8"?>
<x:table xmlns:x="http://schemas.openxmlformats.org/spreadsheetml/2006/main" id="7" name="PortsTable" displayName="PortsTable" ref="A1:K57" headerRowCount="1" totalsRowCount="0" totalsRowShown="0">
  <x:tableColumns count="11">
    <x:tableColumn id="1" name="Port ID"/>
    <x:tableColumn id="2" name="Port / Facility"/>
    <x:tableColumn id="3" name="Country"/>
    <x:tableColumn id="4" name="Latitude"/>
    <x:tableColumn id="5" name="Longitude"/>
    <x:tableColumn id="6" name="Operator Company ID"/>
    <x:tableColumn id="7" name="Operator"/>
    <x:tableColumn id="8" name="Facility Type"/>
    <x:tableColumn id="9" name="Key Role"/>
    <x:tableColumn id="10" name="Coverage Note"/>
    <x:tableColumn id="11" name="Source ID"/>
  </x:tableColumns>
  <x:tableStyleInfo name="TableStyleMedium2" showFirstColumn="0" showLastColumn="0" showRowStripes="1" showColumnStripes="0"/>
</x:table>
</file>

<file path=xl/tables/table8.xml><?xml version="1.0" encoding="utf-8"?>
<x:table xmlns:x="http://schemas.openxmlformats.org/spreadsheetml/2006/main" id="8" name="VesselsTable" displayName="VesselsTable" ref="A1:S169" headerRowCount="1" totalsRowCount="0" totalsRowShown="0">
  <x:tableColumns count="19">
    <x:tableColumn id="1" name="Vessel ID"/>
    <x:tableColumn id="2" name="Vessel Name"/>
    <x:tableColumn id="3" name="IMO"/>
    <x:tableColumn id="4" name="Owner Company ID"/>
    <x:tableColumn id="5" name="Operator Company ID"/>
    <x:tableColumn id="6" name="Vessel Type"/>
    <x:tableColumn id="7" name="Subtype / Class"/>
    <x:tableColumn id="8" name="Flag"/>
    <x:tableColumn id="9" name="Year Built"/>
    <x:tableColumn id="10" name="DWT"/>
    <x:tableColumn id="11" name="Capacity"/>
    <x:tableColumn id="12" name="Ramp Capacity"/>
    <x:tableColumn id="13" name="Free Height"/>
    <x:tableColumn id="14" name="Home Port"/>
    <x:tableColumn id="15" name="Primary Service"/>
    <x:tableColumn id="16" name="Fuel / Propulsion"/>
    <x:tableColumn id="17" name="Status"/>
    <x:tableColumn id="18" name="Source ID"/>
    <x:tableColumn id="19" name="Completeness Note"/>
  </x:tableColumns>
  <x:tableStyleInfo name="TableStyleMedium2" showFirstColumn="0" showLastColumn="0" showRowStripes="1" showColumnStripes="0"/>
</x:table>
</file>

<file path=xl/tables/table9.xml><?xml version="1.0" encoding="utf-8"?>
<x:table xmlns:x="http://schemas.openxmlformats.org/spreadsheetml/2006/main" id="9" name="FleetPortfoliosTable" displayName="FleetPortfoliosTable" ref="A1:I31" headerRowCount="1" totalsRowCount="0" totalsRowShown="0">
  <x:tableColumns count="9">
    <x:tableColumn id="1" name="Fleet ID"/>
    <x:tableColumn id="2" name="Company ID"/>
    <x:tableColumn id="3" name="Mode"/>
    <x:tableColumn id="4" name="Measure"/>
    <x:tableColumn id="5" name="Count"/>
    <x:tableColumn id="6" name="Capacity / Scale"/>
    <x:tableColumn id="7" name="Notes"/>
    <x:tableColumn id="8" name="Source ID"/>
    <x:tableColumn id="9" name="As Of"/>
  </x:tableColumns>
  <x:tableStyleInfo name="TableStyleMedium2" showFirstColumn="0" showLastColumn="0" showRowStripes="1" showColumnStripes="0"/>
</x:table>
</file>

<file path=xl/tables/table10.xml><?xml version="1.0" encoding="utf-8"?>
<x:table xmlns:x="http://schemas.openxmlformats.org/spreadsheetml/2006/main" id="10" name="FleetOrdersTable" displayName="FleetOrdersTable" ref="A1:O30" headerRowCount="1" totalsRowCount="0" totalsRowShown="0">
  <x:tableColumns count="15">
    <x:tableColumn id="1" name="Order ID"/>
    <x:tableColumn id="2" name="Buyer / Operator Company ID"/>
    <x:tableColumn id="3" name="Asset / Vessel Type"/>
    <x:tableColumn id="4" name="Quantity"/>
    <x:tableColumn id="5" name="Capacity / Program"/>
    <x:tableColumn id="6" name="Fuel / Propulsion"/>
    <x:tableColumn id="7" name="Shipyard / Builder"/>
    <x:tableColumn id="8" name="Build Country"/>
    <x:tableColumn id="9" name="Order / Announced Date"/>
    <x:tableColumn id="10" name="Delivery Window"/>
    <x:tableColumn id="11" name="Value"/>
    <x:tableColumn id="12" name="Currency"/>
    <x:tableColumn id="13" name="Status"/>
    <x:tableColumn id="14" name="Strategic Rationale"/>
    <x:tableColumn id="15" name="Source ID"/>
  </x:tableColumns>
  <x:tableStyleInfo name="TableStyleMedium2" showFirstColumn="0" showLastColumn="0" showRowStripes="1" showColumnStripes="0"/>
</x:table>
</file>

<file path=xl/tables/table11.xml><?xml version="1.0" encoding="utf-8"?>
<x:table xmlns:x="http://schemas.openxmlformats.org/spreadsheetml/2006/main" id="11" name="AircraftTable" displayName="AircraftTable" ref="A1:K3" headerRowCount="1" totalsRowCount="0" totalsRowShown="0">
  <x:tableColumns count="11">
    <x:tableColumn id="1" name="Aircraft ID"/>
    <x:tableColumn id="2" name="Operator Company ID"/>
    <x:tableColumn id="3" name="Aircraft Type"/>
    <x:tableColumn id="4" name="Role"/>
    <x:tableColumn id="5" name="Count"/>
    <x:tableColumn id="6" name="Status"/>
    <x:tableColumn id="7" name="Payload"/>
    <x:tableColumn id="8" name="Registration"/>
    <x:tableColumn id="9" name="Hub"/>
    <x:tableColumn id="10" name="Owner / Lessor"/>
    <x:tableColumn id="11" name="Source ID"/>
  </x:tableColumns>
  <x:tableStyleInfo name="TableStyleMedium2" showFirstColumn="0" showLastColumn="0" showRowStripes="1" showColumnStripes="0"/>
</x:table>
</file>

<file path=xl/tables/table12.xml><?xml version="1.0" encoding="utf-8"?>
<x:table xmlns:x="http://schemas.openxmlformats.org/spreadsheetml/2006/main" id="12" name="ShipyardsTable" displayName="ShipyardsTable" ref="A1:I27" headerRowCount="1" totalsRowCount="0" totalsRowShown="0">
  <x:tableColumns count="9">
    <x:tableColumn id="1" name="Shipyard ID"/>
    <x:tableColumn id="2" name="Shipyard"/>
    <x:tableColumn id="3" name="Country"/>
    <x:tableColumn id="4" name="Location"/>
    <x:tableColumn id="5" name="Primary Segment"/>
    <x:tableColumn id="6" name="Build Specialism"/>
    <x:tableColumn id="7" name="Status"/>
    <x:tableColumn id="8" name="Strategic Note"/>
    <x:tableColumn id="9" name="Source ID"/>
  </x:tableColumns>
  <x:tableStyleInfo name="TableStyleMedium2" showFirstColumn="0" showLastColumn="0" showRowStripes="1" showColumnStripes="0"/>
</x:table>
</file>

<file path=xl/tables/table13.xml><?xml version="1.0" encoding="utf-8"?>
<x:table xmlns:x="http://schemas.openxmlformats.org/spreadsheetml/2006/main" id="13" name="InvestmentsTable" displayName="InvestmentsTable" ref="A1:M13" headerRowCount="1" totalsRowCount="0" totalsRowShown="0">
  <x:tableColumns count="13">
    <x:tableColumn id="1" name="Investment ID"/>
    <x:tableColumn id="2" name="Company ID"/>
    <x:tableColumn id="3" name="Project"/>
    <x:tableColumn id="4" name="Country"/>
    <x:tableColumn id="5" name="Asset / Location"/>
    <x:tableColumn id="6" name="Announced Date"/>
    <x:tableColumn id="7" name="Reported Value"/>
    <x:tableColumn id="8" name="Currency"/>
    <x:tableColumn id="9" name="USD Value if Reported"/>
    <x:tableColumn id="10" name="Status"/>
    <x:tableColumn id="11" name="Capacity / Scope"/>
    <x:tableColumn id="12" name="Strategic Relevance"/>
    <x:tableColumn id="13" name="Source ID"/>
  </x:tableColumns>
  <x:tableStyleInfo name="TableStyleMedium2" showFirstColumn="0" showLastColumn="0" showRowStripes="1" showColumnStripes="0"/>
</x:table>
</file>

<file path=xl/tables/table14.xml><?xml version="1.0" encoding="utf-8"?>
<x:table xmlns:x="http://schemas.openxmlformats.org/spreadsheetml/2006/main" id="14" name="InfrastructureWorksTable" displayName="InfrastructureWorksTable" ref="A1:M9" headerRowCount="1" totalsRowCount="0" totalsRowShown="0">
  <x:tableColumns count="13">
    <x:tableColumn id="1" name="Work ID"/>
    <x:tableColumn id="2" name="Company ID"/>
    <x:tableColumn id="3" name="Asset / Location"/>
    <x:tableColumn id="4" name="Country"/>
    <x:tableColumn id="5" name="Work Type"/>
    <x:tableColumn id="6" name="Project / Description"/>
    <x:tableColumn id="7" name="Announced Date"/>
    <x:tableColumn id="8" name="Status"/>
    <x:tableColumn id="9" name="Reported Value"/>
    <x:tableColumn id="10" name="Currency"/>
    <x:tableColumn id="11" name="Capacity / Scope"/>
    <x:tableColumn id="12" name="Strategic Relevance"/>
    <x:tableColumn id="13" name="Source ID"/>
  </x:tableColumns>
  <x:tableStyleInfo name="TableStyleMedium2" showFirstColumn="0" showLastColumn="0" showRowStripes="1" showColumnStripes="0"/>
</x:table>
</file>

<file path=xl/tables/table15.xml><?xml version="1.0" encoding="utf-8"?>
<x:table xmlns:x="http://schemas.openxmlformats.org/spreadsheetml/2006/main" id="15" name="StrategicEventsTable" displayName="StrategicEventsTable" ref="A1:J5" headerRowCount="1" totalsRowCount="0" totalsRowShown="0">
  <x:tableColumns count="10">
    <x:tableColumn id="1" name="Event ID"/>
    <x:tableColumn id="2" name="Date"/>
    <x:tableColumn id="3" name="Event Type"/>
    <x:tableColumn id="4" name="Subject Entity ID"/>
    <x:tableColumn id="5" name="Location"/>
    <x:tableColumn id="6" name="Title"/>
    <x:tableColumn id="7" name="Description"/>
    <x:tableColumn id="8" name="Operational Impact"/>
    <x:tableColumn id="9" name="Financial / Strategic Impact"/>
    <x:tableColumn id="10" name="Source ID"/>
  </x:tableColumns>
  <x:tableStyleInfo name="TableStyleMedium2" showFirstColumn="0" showLastColumn="0" showRowStripes="1" showColumnStripes="0"/>
</x:table>
</file>

<file path=xl/tables/table16.xml><?xml version="1.0" encoding="utf-8"?>
<x:table xmlns:x="http://schemas.openxmlformats.org/spreadsheetml/2006/main" id="16" name="CorridorsTable" displayName="CorridorsTable" ref="A1:I5" headerRowCount="1" totalsRowCount="0" totalsRowShown="0">
  <x:tableColumns count="9">
    <x:tableColumn id="1" name="Corridor ID"/>
    <x:tableColumn id="2" name="Corridor"/>
    <x:tableColumn id="3" name="Type"/>
    <x:tableColumn id="4" name="Country / Region"/>
    <x:tableColumn id="5" name="Connects"/>
    <x:tableColumn id="6" name="Primary Traffic"/>
    <x:tableColumn id="7" name="Status"/>
    <x:tableColumn id="8" name="Strategic Note"/>
    <x:tableColumn id="9" name="Source ID"/>
  </x:tableColumns>
  <x:tableStyleInfo name="TableStyleMedium2" showFirstColumn="0" showLastColumn="0" showRowStripes="1" showColumnStripes="0"/>
</x:table>
</file>

<file path=xl/tables/table17.xml><?xml version="1.0" encoding="utf-8"?>
<x:table xmlns:x="http://schemas.openxmlformats.org/spreadsheetml/2006/main" id="17" name="RelationshipsTable" displayName="RelationshipsTable" ref="A1:G35" headerRowCount="1" totalsRowCount="0" totalsRowShown="0">
  <x:tableColumns count="7">
    <x:tableColumn id="1" name="Relationship ID"/>
    <x:tableColumn id="2" name="Source Entity"/>
    <x:tableColumn id="3" name="Relationship"/>
    <x:tableColumn id="4" name="Target Entity"/>
    <x:tableColumn id="5" name="As Of"/>
    <x:tableColumn id="6" name="Confidence"/>
    <x:tableColumn id="7" name="Source ID"/>
  </x:tableColumns>
  <x:tableStyleInfo name="TableStyleMedium2" showFirstColumn="0" showLastColumn="0" showRowStripes="1" showColumnStripes="0"/>
</x:table>
</file>

<file path=xl/tables/table18.xml><?xml version="1.0" encoding="utf-8"?>
<x:table xmlns:x="http://schemas.openxmlformats.org/spreadsheetml/2006/main" id="18" name="SourcesTable" displayName="SourcesTable" ref="A1:F111" headerRowCount="1" totalsRowCount="0" totalsRowShown="0">
  <x:tableColumns count="6">
    <x:tableColumn id="1" name="Source ID"/>
    <x:tableColumn id="2" name="Publisher"/>
    <x:tableColumn id="3" name="Source Note"/>
    <x:tableColumn id="4" name="URL"/>
    <x:tableColumn id="5" name="Checked As Of"/>
    <x:tableColumn id="6" name="Source Type"/>
  </x:tableColumns>
  <x:tableStyleInfo name="TableStyleMedium2" showFirstColumn="0" showLastColumn="0" showRowStripes="1" showColumnStripes="0"/>
</x:table>
</file>

<file path=xl/tables/table19.xml><?xml version="1.0" encoding="utf-8"?>
<x:table xmlns:x="http://schemas.openxmlformats.org/spreadsheetml/2006/main" id="19" name="ResearchQueueTable" displayName="ResearchQueueTable" ref="A1:F30" headerRowCount="1" totalsRowCount="0" totalsRowShown="0">
  <x:tableColumns count="6">
    <x:tableColumn id="1" name="Research ID"/>
    <x:tableColumn id="2" name="Dataset"/>
    <x:tableColumn id="3" name="Subject"/>
    <x:tableColumn id="4" name="Priority"/>
    <x:tableColumn id="5" name="Task"/>
    <x:tableColumn id="6" name="Status"/>
  </x:tableColumns>
  <x:tableStyleInfo name="TableStyleMedium2" showFirstColumn="0" showLastColumn="0" showRowStripes="1" showColumnStripes="0"/>
</x:table>
</file>

<file path=xl/tables/table20.xml><?xml version="1.0" encoding="utf-8"?>
<x:table xmlns:x="http://schemas.openxmlformats.org/spreadsheetml/2006/main" id="20" name="StreamlitMapTable" displayName="StreamlitMapTable" ref="A1:D15" headerRowCount="1" totalsRowCount="0" totalsRowShown="0">
  <x:tableColumns count="4">
    <x:tableColumn id="1" name="Page / Module"/>
    <x:tableColumn id="2" name="Purpose"/>
    <x:tableColumn id="3" name="Tables"/>
    <x:tableColumn id="4" name="Presentation"/>
  </x:tableColumns>
  <x:tableStyleInfo name="TableStyleMedium2" showFirstColumn="0" showLastColumn="0" showRowStripes="1" showColumnStripes="0"/>
</x:table>
</file>

<file path=xl/tables/table21.xml><?xml version="1.0" encoding="utf-8"?>
<x:table xmlns:x="http://schemas.openxmlformats.org/spreadsheetml/2006/main" id="21" name="EventTaxonomyTable" displayName="EventTaxonomyTable" ref="A1:D16" headerRowCount="1" totalsRowCount="0" totalsRowShown="0">
  <x:tableColumns count="4">
    <x:tableColumn id="1" name="Event Family"/>
    <x:tableColumn id="2" name="Definition"/>
    <x:tableColumn id="3" name="Modes"/>
    <x:tableColumn id="4" name="Example"/>
  </x:tableColumns>
  <x:tableStyleInfo name="TableStyleMedium2" showFirstColumn="0" showLastColumn="0" showRowStripes="1" showColumnStripes="0"/>
</x:table>
</file>

<file path=xl/tables/table22.xml><?xml version="1.0" encoding="utf-8"?>
<x:table xmlns:x="http://schemas.openxmlformats.org/spreadsheetml/2006/main" id="22" name="EventObservationsTable" displayName="EventObservationsTable" ref="A1:AC587" headerRowCount="1" totalsRowCount="0" totalsRowShown="0">
  <x:tableColumns count="29">
    <x:tableColumn id="1" name="Observation ID"/>
    <x:tableColumn id="2" name="Canonical Event ID"/>
    <x:tableColumn id="3" name="Source Dataset"/>
    <x:tableColumn id="4" name="Source Record ID"/>
    <x:tableColumn id="5" name="Date"/>
    <x:tableColumn id="6" name="Event Family"/>
    <x:tableColumn id="7" name="Event Type"/>
    <x:tableColumn id="8" name="Subtype"/>
    <x:tableColumn id="9" name="Mode"/>
    <x:tableColumn id="10" name="Region / Theatre"/>
    <x:tableColumn id="11" name="Country"/>
    <x:tableColumn id="12" name="Location"/>
    <x:tableColumn id="13" name="Latitude"/>
    <x:tableColumn id="14" name="Longitude"/>
    <x:tableColumn id="15" name="Subject Name"/>
    <x:tableColumn id="16" name="Subject Identifier"/>
    <x:tableColumn id="17" name="Asset Type"/>
    <x:tableColumn id="18" name="Actor / Attribution"/>
    <x:tableColumn id="19" name="Description"/>
    <x:tableColumn id="20" name="Outcome / Damage"/>
    <x:tableColumn id="21" name="Fatalities"/>
    <x:tableColumn id="22" name="Injuries"/>
    <x:tableColumn id="23" name="Operational Impact"/>
    <x:tableColumn id="24" name="Trade Impact"/>
    <x:tableColumn id="25" name="Severity"/>
    <x:tableColumn id="26" name="Confidence"/>
    <x:tableColumn id="27" name="Source Reference"/>
    <x:tableColumn id="28" name="Resolution Status"/>
    <x:tableColumn id="29" name="Notes"/>
  </x:tableColumns>
  <x:tableStyleInfo name="TableStyleMedium2" showFirstColumn="0" showLastColumn="0" showRowStripes="1" showColumnStripes="0"/>
</x:table>
</file>

<file path=xl/tables/table23.xml><?xml version="1.0" encoding="utf-8"?>
<x:table xmlns:x="http://schemas.openxmlformats.org/spreadsheetml/2006/main" id="23" name="ExternalDisruptionsTable" displayName="ExternalDisruptionsTable" ref="A1:O10" headerRowCount="1" totalsRowCount="0" totalsRowShown="0">
  <x:tableColumns count="15">
    <x:tableColumn id="1" name="External Event ID"/>
    <x:tableColumn id="2" name="Date"/>
    <x:tableColumn id="3" name="Event Family"/>
    <x:tableColumn id="4" name="Event Type"/>
    <x:tableColumn id="5" name="Mode"/>
    <x:tableColumn id="6" name="Country / Countries"/>
    <x:tableColumn id="7" name="Location"/>
    <x:tableColumn id="8" name="Title"/>
    <x:tableColumn id="9" name="Description"/>
    <x:tableColumn id="10" name="Assets / Modes Affected"/>
    <x:tableColumn id="11" name="Operational / Trade Impact"/>
    <x:tableColumn id="12" name="Status"/>
    <x:tableColumn id="13" name="Confidence"/>
    <x:tableColumn id="14" name="Primary Source"/>
    <x:tableColumn id="15" name="Secondary Source"/>
  </x:tableColumns>
  <x:tableStyleInfo name="TableStyleMedium2" showFirstColumn="0" showLastColumn="0" showRowStripes="1" showColumnStripes="0"/>
</x:table>
</file>

<file path=xl/tables/table24.xml><?xml version="1.0" encoding="utf-8"?>
<x:table xmlns:x="http://schemas.openxmlformats.org/spreadsheetml/2006/main" id="24" name="EventImpactsTable" displayName="EventImpactsTable" ref="A1:J11" headerRowCount="1" totalsRowCount="0" totalsRowShown="0">
  <x:tableColumns count="10">
    <x:tableColumn id="1" name="Impact ID"/>
    <x:tableColumn id="2" name="External Event ID"/>
    <x:tableColumn id="3" name="Mode"/>
    <x:tableColumn id="4" name="Impact Type"/>
    <x:tableColumn id="5" name="Asset / Geography"/>
    <x:tableColumn id="6" name="Status"/>
    <x:tableColumn id="7" name="Severity"/>
    <x:tableColumn id="8" name="Time Horizon"/>
    <x:tableColumn id="9" name="Operational Effect"/>
    <x:tableColumn id="10" name="Trade / Commercial Effect"/>
  </x:tableColumns>
  <x:tableStyleInfo name="TableStyleMedium2" showFirstColumn="0" showLastColumn="0" showRowStripes="1" showColumnStripes="0"/>
</x:table>
</file>

<file path=xl/tables/table25.xml><?xml version="1.0" encoding="utf-8"?>
<x:table xmlns:x="http://schemas.openxmlformats.org/spreadsheetml/2006/main" id="25" name="EventIngestionMapTable" displayName="EventIngestionMapTable" ref="A1:E16" headerRowCount="1" totalsRowCount="0" totalsRowShown="0">
  <x:tableColumns count="5">
    <x:tableColumn id="1" name="Source Dataset"/>
    <x:tableColumn id="2" name="Rows"/>
    <x:tableColumn id="3" name="Model Role"/>
    <x:tableColumn id="4" name="Primary Family / Layer"/>
    <x:tableColumn id="5" name="Treatment"/>
  </x:tableColumns>
  <x:tableStyleInfo name="TableStyleMedium2" showFirstColumn="0" showLastColumn="0" showRowStripes="1" showColumnStripes="0"/>
</x:table>
</file>

<file path=xl/tables/table26.xml><?xml version="1.0" encoding="utf-8"?>
<x:table xmlns:x="http://schemas.openxmlformats.org/spreadsheetml/2006/main" id="26" name="VesselRelationshipsTable" displayName="VesselRelationshipsTable" ref="A1:J315" headerRowCount="1" totalsRowCount="0" totalsRowShown="0">
  <x:tableColumns count="10">
    <x:tableColumn id="1" name="Vessel Relationship ID"/>
    <x:tableColumn id="2" name="Vessel ID"/>
    <x:tableColumn id="3" name="Vessel Name"/>
    <x:tableColumn id="4" name="Company ID"/>
    <x:tableColumn id="5" name="Relationship Type"/>
    <x:tableColumn id="6" name="Effective From"/>
    <x:tableColumn id="7" name="Effective To"/>
    <x:tableColumn id="8" name="Confidence"/>
    <x:tableColumn id="9" name="Source ID"/>
    <x:tableColumn id="10" name="Notes"/>
  </x:tableColumns>
  <x:tableStyleInfo name="TableStyleMedium2" showFirstColumn="0" showLastColumn="0" showRowStripes="1" showColumnStripes="0"/>
</x:table>
</file>

<file path=xl/tables/table27.xml><?xml version="1.0" encoding="utf-8"?>
<x:table xmlns:x="http://schemas.openxmlformats.org/spreadsheetml/2006/main" id="27" name="VesselBuildRecordsTable" displayName="VesselBuildRecordsTable" ref="A1:N64" headerRowCount="1" totalsRowCount="0" totalsRowShown="0">
  <x:tableColumns count="14">
    <x:tableColumn id="1" name="Build Record ID"/>
    <x:tableColumn id="2" name="Vessel ID"/>
    <x:tableColumn id="3" name="Vessel Name"/>
    <x:tableColumn id="4" name="Shipyard ID"/>
    <x:tableColumn id="5" name="Shipyard"/>
    <x:tableColumn id="6" name="Build Country"/>
    <x:tableColumn id="7" name="Hull No."/>
    <x:tableColumn id="8" name="Order Date"/>
    <x:tableColumn id="9" name="Delivery Date / Year"/>
    <x:tableColumn id="10" name="Build Status"/>
    <x:tableColumn id="11" name="Capacity"/>
    <x:tableColumn id="12" name="Fuel / Propulsion"/>
    <x:tableColumn id="13" name="Source ID"/>
    <x:tableColumn id="14" name="Notes"/>
  </x:tableColumns>
  <x:tableStyleInfo name="TableStyleMedium2" showFirstColumn="0" showLastColumn="0" showRowStripes="1" showColumnStripes="0"/>
</x:table>
</file>

<file path=xl/tables/table28.xml><?xml version="1.0" encoding="utf-8"?>
<x:table xmlns:x="http://schemas.openxmlformats.org/spreadsheetml/2006/main" id="28" name="VesselContractsTable" displayName="VesselContractsTable" ref="A1:O8" headerRowCount="1" totalsRowCount="0" totalsRowShown="0">
  <x:tableColumns count="15">
    <x:tableColumn id="1" name="Contract ID"/>
    <x:tableColumn id="2" name="Vessel ID"/>
    <x:tableColumn id="3" name="Vessel Name"/>
    <x:tableColumn id="4" name="Fleet / Order Reference"/>
    <x:tableColumn id="5" name="Company ID"/>
    <x:tableColumn id="6" name="Role"/>
    <x:tableColumn id="7" name="Counterparty"/>
    <x:tableColumn id="8" name="Start"/>
    <x:tableColumn id="9" name="Term"/>
    <x:tableColumn id="10" name="Rate / Value"/>
    <x:tableColumn id="11" name="Cargo / Service"/>
    <x:tableColumn id="12" name="Route / Corridor"/>
    <x:tableColumn id="13" name="Status"/>
    <x:tableColumn id="14" name="Source ID"/>
    <x:tableColumn id="15" name="Notes"/>
  </x:tableColumns>
  <x:tableStyleInfo name="TableStyleMedium2" showFirstColumn="0" showLastColumn="0" showRowStripes="1" showColumnStripes="0"/>
</x:table>
</file>

<file path=xl/tables/table29.xml><?xml version="1.0" encoding="utf-8"?>
<x:table xmlns:x="http://schemas.openxmlformats.org/spreadsheetml/2006/main" id="29" name="FleetCoverageTable" displayName="FleetCoverageTable" ref="A1:K13" headerRowCount="1" totalsRowCount="0" totalsRowShown="0">
  <x:tableColumns count="11">
    <x:tableColumn id="1" name="Coverage ID"/>
    <x:tableColumn id="2" name="Company ID"/>
    <x:tableColumn id="3" name="Dataset"/>
    <x:tableColumn id="4" name="Known Total"/>
    <x:tableColumn id="5" name="Individual Records Captured"/>
    <x:tableColumn id="6" name="Capture %"/>
    <x:tableColumn id="7" name="Coverage Status"/>
    <x:tableColumn id="8" name="Definition / Caveat"/>
    <x:tableColumn id="9" name="Last Verified"/>
    <x:tableColumn id="10" name="Priority"/>
    <x:tableColumn id="11" name="Source ID"/>
  </x:tableColumns>
  <x:tableStyleInfo name="TableStyleMedium2" showFirstColumn="0" showLastColumn="0" showRowStripes="1" showColumnStripes="0"/>
</x:table>
</file>

<file path=xl/tables/table30.xml><?xml version="1.0" encoding="utf-8"?>
<x:table xmlns:x="http://schemas.openxmlformats.org/spreadsheetml/2006/main" id="30" name="EventEntityLinksTable" displayName="EventEntityLinksTable" ref="A1:J7" headerRowCount="1" totalsRowCount="0" totalsRowShown="0">
  <x:tableColumns count="10">
    <x:tableColumn id="1" name="Event Link ID"/>
    <x:tableColumn id="2" name="Observation ID"/>
    <x:tableColumn id="3" name="Canonical Event ID"/>
    <x:tableColumn id="4" name="Entity ID"/>
    <x:tableColumn id="5" name="Entity Type"/>
    <x:tableColumn id="6" name="Link Type"/>
    <x:tableColumn id="7" name="Match Basis"/>
    <x:tableColumn id="8" name="Confidence"/>
    <x:tableColumn id="9" name="Source Dataset"/>
    <x:tableColumn id="10" name="Notes"/>
  </x:tableColumns>
  <x:tableStyleInfo name="TableStyleMedium2" showFirstColumn="0" showLastColumn="0" showRowStripes="1" showColumnStripes="0"/>
</x:table>
</file>

<file path=xl/tables/table31.xml><?xml version="1.0" encoding="utf-8"?>
<x:table xmlns:x="http://schemas.openxmlformats.org/spreadsheetml/2006/main" id="31" name="VesselIMOVerificationTable" displayName="VesselIMOVerificationTable" ref="A1:L169" headerRowCount="1" totalsRowCount="0" totalsRowShown="0">
  <x:tableColumns count="12">
    <x:tableColumn id="1" name="Vessel ID"/>
    <x:tableColumn id="2" name="Vessel Name"/>
    <x:tableColumn id="3" name="Owner Company ID"/>
    <x:tableColumn id="4" name="Owner Name"/>
    <x:tableColumn id="5" name="IMO"/>
    <x:tableColumn id="6" name="Verification Status"/>
    <x:tableColumn id="7" name="Confidence"/>
    <x:tableColumn id="8" name="Verified As Of"/>
    <x:tableColumn id="9" name="IMO Verification URL"/>
    <x:tableColumn id="10" name="Fleet Source ID"/>
    <x:tableColumn id="11" name="Vessel Status"/>
    <x:tableColumn id="12" name="Notes"/>
  </x:tableColumns>
  <x:tableStyleInfo name="TableStyleMedium2" showFirstColumn="0" showLastColumn="0" showRowStripes="1" showColumnStripes="0"/>
</x:table>
</file>

<file path=xl/tables/table32.xml><?xml version="1.0" encoding="utf-8"?>
<x:table xmlns:x="http://schemas.openxmlformats.org/spreadsheetml/2006/main" id="32" name="IMOCoverageTable" displayName="IMOCoverageTable" ref="A1:H12" headerRowCount="1" totalsRowCount="0" totalsRowShown="0">
  <x:tableColumns count="8">
    <x:tableColumn id="1" name="Owner Company ID"/>
    <x:tableColumn id="2" name="Owner Name"/>
    <x:tableColumn id="3" name="Individual Vessel Records"/>
    <x:tableColumn id="4" name="With IMO"/>
    <x:tableColumn id="5" name="Without IMO"/>
    <x:tableColumn id="6" name="IMO Coverage %"/>
    <x:tableColumn id="7" name="Coverage Status"/>
    <x:tableColumn id="8" name="Verified As Of"/>
  </x:tableColumns>
  <x:tableStyleInfo name="TableStyleMedium2" showFirstColumn="0" showLastColumn="0" showRowStripes="1" showColumnStripes="0"/>
</x:table>
</file>

<file path=xl/tables/table33.xml><?xml version="1.0" encoding="utf-8"?>
<x:table xmlns:x="http://schemas.openxmlformats.org/spreadsheetml/2006/main" id="33" name="FleetResearchUniverseTable" displayName="FleetResearchUniverseTable" ref="A7:M75" headerRowCount="1" totalsRowCount="0" totalsRowShown="0">
  <x:tableColumns count="13">
    <x:tableColumn id="1" name="Priority"/>
    <x:tableColumn id="2" name="Segment"/>
    <x:tableColumn id="3" name="Company / Brand"/>
    <x:tableColumn id="4" name="Parent / Strategic Link"/>
    <x:tableColumn id="5" name="Company ID"/>
    <x:tableColumn id="6" name="Canonical Status"/>
    <x:tableColumn id="7" name="Fleet Scope to Capture"/>
    <x:tableColumn id="8" name="Why Included"/>
    <x:tableColumn id="9" name="Primary Seed Source"/>
    <x:tableColumn id="10" name="Research Status"/>
    <x:tableColumn id="11" name="Known Fleet Snapshot"/>
    <x:tableColumn id="12" name="Last Verified"/>
    <x:tableColumn id="13" name="Notes"/>
  </x:tableColumns>
  <x:tableStyleInfo name="TableStyleMedium2" showFirstColumn="0" showLastColumn="0" showRowStripes="1" showColumnStripes="0"/>
</x:table>
</file>

<file path=xl/tables/table34.xml><?xml version="1.0" encoding="utf-8"?>
<x:table xmlns:x="http://schemas.openxmlformats.org/spreadsheetml/2006/main" id="34" name="CarrierDeploymentSeedTable" displayName="CarrierDeploymentSeedTable" ref="A7:Q92" headerRowCount="1" totalsRowCount="0" totalsRowShown="0">
  <x:tableColumns count="17">
    <x:tableColumn id="1" name="Seed ID"/>
    <x:tableColumn id="2" name="Company ID"/>
    <x:tableColumn id="3" name="Carrier"/>
    <x:tableColumn id="4" name="Carrier Code"/>
    <x:tableColumn id="5" name="Vessel Name"/>
    <x:tableColumn id="6" name="IMO"/>
    <x:tableColumn id="7" name="Evidence Type"/>
    <x:tableColumn id="8" name="Origin"/>
    <x:tableColumn id="9" name="Destination"/>
    <x:tableColumn id="10" name="Departure"/>
    <x:tableColumn id="11" name="Arrival"/>
    <x:tableColumn id="12" name="Relationship"/>
    <x:tableColumn id="13" name="Ownership Inference"/>
    <x:tableColumn id="14" name="Source ID"/>
    <x:tableColumn id="15" name="Source URL"/>
    <x:tableColumn id="16" name="Verified As Of"/>
    <x:tableColumn id="17" name="Canonical Vessel ID"/>
  </x:tableColumns>
  <x:tableStyleInfo name="TableStyleMedium2" showFirstColumn="0" showLastColumn="0" showRowStripes="1" showColumnStripes="0"/>
</x:table>
</file>

<file path=xl/tables/table35.xml><?xml version="1.0" encoding="utf-8"?>
<x:table xmlns:x="http://schemas.openxmlformats.org/spreadsheetml/2006/main" id="35" name="FleetRankingSnapshotsTable" displayName="FleetRankingSnapshotsTable" ref="A8:L19" headerRowCount="1" totalsRowCount="0" totalsRowShown="0">
  <x:tableColumns count="12">
    <x:tableColumn id="1" name="Ranking ID"/>
    <x:tableColumn id="2" name="Published Rank"/>
    <x:tableColumn id="3" name="Company ID"/>
    <x:tableColumn id="4" name="Company"/>
    <x:tableColumn id="5" name="VLCC Count"/>
    <x:tableColumn id="6" name="Metric / Scope"/>
    <x:tableColumn id="7" name="Included in Tradeable Ranking"/>
    <x:tableColumn id="8" name="Hypothetical Rank if Included"/>
    <x:tableColumn id="9" name="As Of"/>
    <x:tableColumn id="10" name="Source ID"/>
    <x:tableColumn id="11" name="Confidence"/>
    <x:tableColumn id="12" name="Notes"/>
  </x:tableColumns>
  <x:tableStyleInfo name="TableStyleMedium2" showFirstColumn="0" showLastColumn="0" showRowStripes="1" showColumnStripes="0"/>
</x:table>
</file>

<file path=xl/tables/table36.xml><?xml version="1.0" encoding="utf-8"?>
<x:table xmlns:x="http://schemas.openxmlformats.org/spreadsheetml/2006/main" id="36" name="TankerFleetUniverseTable" displayName="TankerFleetUniverseTable" ref="A5:R18" headerRowCount="1" totalsRowCount="0" totalsRowShown="0">
  <x:tableColumns count="18">
    <x:tableColumn id="1" name="Universe ID"/>
    <x:tableColumn id="2" name="Company ID"/>
    <x:tableColumn id="3" name="Company"/>
    <x:tableColumn id="4" name="Parent / Group"/>
    <x:tableColumn id="5" name="Segment"/>
    <x:tableColumn id="6" name="Relationship Basis"/>
    <x:tableColumn id="7" name="Fleet Count"/>
    <x:tableColumn id="8" name="Owned Count"/>
    <x:tableColumn id="9" name="Chartered / Managed Count"/>
    <x:tableColumn id="10" name="Orderbook Count"/>
    <x:tableColumn id="11" name="Metric Scope"/>
    <x:tableColumn id="12" name="Tradeability Scope"/>
    <x:tableColumn id="13" name="Sanctions Treatment"/>
    <x:tableColumn id="14" name="As Of"/>
    <x:tableColumn id="15" name="Confidence"/>
    <x:tableColumn id="16" name="Source ID"/>
    <x:tableColumn id="17" name="Source URL"/>
    <x:tableColumn id="18" name="Notes"/>
  </x:tableColumns>
  <x:tableStyleInfo name="TableStyleMedium2" showFirstColumn="0" showLastColumn="0" showRowStripes="1" showColumnStripes="0"/>
</x:table>
</file>

<file path=xl/tables/table37.xml><?xml version="1.0" encoding="utf-8"?>
<x:table xmlns:x="http://schemas.openxmlformats.org/spreadsheetml/2006/main" id="37" name="TankerCorridorExposureTable" displayName="TankerCorridorExposureTable" ref="A1:O6" headerRowCount="1" totalsRowCount="0" totalsRowShown="0">
  <x:tableColumns count="15">
    <x:tableColumn id="1" name="Exposure ID"/>
    <x:tableColumn id="2" name="Company ID"/>
    <x:tableColumn id="3" name="Company"/>
    <x:tableColumn id="4" name="Vessel Segment"/>
    <x:tableColumn id="5" name="Commodity"/>
    <x:tableColumn id="6" name="Origin / Supply System"/>
    <x:tableColumn id="7" name="Destination / Demand System"/>
    <x:tableColumn id="8" name="Chokepoints / Transfer Zones"/>
    <x:tableColumn id="9" name="Operating Pattern"/>
    <x:tableColumn id="10" name="Exposure Type"/>
    <x:tableColumn id="11" name="As Of"/>
    <x:tableColumn id="12" name="Confidence"/>
    <x:tableColumn id="13" name="Source ID"/>
    <x:tableColumn id="14" name="Source URL"/>
    <x:tableColumn id="15" name="Notes"/>
  </x:tableColumns>
  <x:tableStyleInfo name="TableStyleMedium2" showFirstColumn="0" showLastColumn="0" showRowStripes="1" showColumnStripes="0"/>
</x:table>
</file>

<file path=xl/tables/table38.xml><?xml version="1.0" encoding="utf-8"?>
<x:table xmlns:x="http://schemas.openxmlformats.org/spreadsheetml/2006/main" id="38" name="WeatherLabourEventsTable" displayName="WeatherLabourEventsTable" ref="A7:T32" headerRowCount="1" totalsRowCount="0" totalsRowShown="0">
  <x:tableColumns count="20">
    <x:tableColumn id="1" name="External Event ID"/>
    <x:tableColumn id="2" name="Date"/>
    <x:tableColumn id="3" name="Event Family"/>
    <x:tableColumn id="4" name="Event Type"/>
    <x:tableColumn id="5" name="Subtype"/>
    <x:tableColumn id="6" name="Mode"/>
    <x:tableColumn id="7" name="Region / Theatre"/>
    <x:tableColumn id="8" name="Country / Countries"/>
    <x:tableColumn id="9" name="Location"/>
    <x:tableColumn id="10" name="Title"/>
    <x:tableColumn id="11" name="Status"/>
    <x:tableColumn id="12" name="Severity"/>
    <x:tableColumn id="13" name="Time Horizon"/>
    <x:tableColumn id="14" name="Operational Impact"/>
    <x:tableColumn id="15" name="Trade / Commercial Impact"/>
    <x:tableColumn id="16" name="Actor / Driver"/>
    <x:tableColumn id="17" name="Primary Source ID"/>
    <x:tableColumn id="18" name="Primary Source URL"/>
    <x:tableColumn id="19" name="Secondary Source URL"/>
    <x:tableColumn id="20" name="Last Verified"/>
  </x:tableColumns>
  <x:tableStyleInfo name="TableStyleMedium2" showFirstColumn="0" showLastColumn="0" showRowStripes="1" showColumnStripes="0"/>
</x:table>
</file>

<file path=xl/tables/table39.xml><?xml version="1.0" encoding="utf-8"?>
<x:table xmlns:x="http://schemas.openxmlformats.org/spreadsheetml/2006/main" id="39" name="InfrastructureInvestorsTable" displayName="InfrastructureInvestorsTable" ref="A6:O34" headerRowCount="1" totalsRowCount="0" totalsRowShown="0">
  <x:tableColumns count="15">
    <x:tableColumn id="1" name="Investor ID"/>
    <x:tableColumn id="2" name="Company ID"/>
    <x:tableColumn id="3" name="Investor / Platform"/>
    <x:tableColumn id="4" name="Investor Type"/>
    <x:tableColumn id="5" name="Parent / Manager"/>
    <x:tableColumn id="6" name="HQ Country"/>
    <x:tableColumn id="7" name="Core Strategies"/>
    <x:tableColumn id="8" name="Port / Terminal Exposure"/>
    <x:tableColumn id="9" name="Logistics Real Estate Exposure"/>
    <x:tableColumn id="10" name="Economic Zone / Inland Exposure"/>
    <x:tableColumn id="11" name="Current Scale / Notes"/>
    <x:tableColumn id="12" name="Canonical Status"/>
    <x:tableColumn id="13" name="Research Priority"/>
    <x:tableColumn id="14" name="Source ID"/>
    <x:tableColumn id="15" name="Verified As Of"/>
  </x:tableColumns>
  <x:tableStyleInfo name="TableStyleMedium2" showFirstColumn="0" showLastColumn="0" showRowStripes="1" showColumnStripes="0"/>
</x:table>
</file>

<file path=xl/tables/table40.xml><?xml version="1.0" encoding="utf-8"?>
<x:table xmlns:x="http://schemas.openxmlformats.org/spreadsheetml/2006/main" id="40" name="InfrastructureHoldingsTable" displayName="InfrastructureHoldingsTable" ref="A1:P15" headerRowCount="1" totalsRowCount="0" totalsRowShown="0">
  <x:tableColumns count="16">
    <x:tableColumn id="1" name="Holding ID"/>
    <x:tableColumn id="2" name="Investor Company ID"/>
    <x:tableColumn id="3" name="Investor"/>
    <x:tableColumn id="4" name="Target Entity / Asset ID"/>
    <x:tableColumn id="5" name="Target / Asset"/>
    <x:tableColumn id="6" name="Asset Class"/>
    <x:tableColumn id="7" name="Country / Region"/>
    <x:tableColumn id="8" name="Interest %"/>
    <x:tableColumn id="9" name="Interest Type"/>
    <x:tableColumn id="10" name="Operating Control"/>
    <x:tableColumn id="11" name="Effective From"/>
    <x:tableColumn id="12" name="Effective To"/>
    <x:tableColumn id="13" name="Status"/>
    <x:tableColumn id="14" name="Source ID"/>
    <x:tableColumn id="15" name="Source URL"/>
    <x:tableColumn id="16" name="Notes"/>
  </x:tableColumns>
  <x:tableStyleInfo name="TableStyleMedium2" showFirstColumn="0" showLastColumn="0" showRowStripes="1" showColumnStripes="0"/>
</x:table>
</file>

<file path=xl/tables/table41.xml><?xml version="1.0" encoding="utf-8"?>
<x:table xmlns:x="http://schemas.openxmlformats.org/spreadsheetml/2006/main" id="41" name="InfrastructureDealsTable" displayName="InfrastructureDealsTable" ref="A1:T13" headerRowCount="1" totalsRowCount="0" totalsRowShown="0">
  <x:tableColumns count="20">
    <x:tableColumn id="1" name="Deal ID"/>
    <x:tableColumn id="2" name="Announced Date"/>
    <x:tableColumn id="3" name="Completed / Effective Date"/>
    <x:tableColumn id="4" name="Investor / Buyer IDs"/>
    <x:tableColumn id="5" name="Co-Investor / Partner IDs"/>
    <x:tableColumn id="6" name="Seller / Counterparty"/>
    <x:tableColumn id="7" name="Target Entity / Asset ID"/>
    <x:tableColumn id="8" name="Target / Asset"/>
    <x:tableColumn id="9" name="Asset Class"/>
    <x:tableColumn id="10" name="Country / Region"/>
    <x:tableColumn id="11" name="Deal Type"/>
    <x:tableColumn id="12" name="Equity %"/>
    <x:tableColumn id="13" name="Reported Value"/>
    <x:tableColumn id="14" name="Currency"/>
    <x:tableColumn id="15" name="Operating Control"/>
    <x:tableColumn id="16" name="Status"/>
    <x:tableColumn id="17" name="Regulatory / Political Status"/>
    <x:tableColumn id="18" name="Source ID"/>
    <x:tableColumn id="19" name="Source URL"/>
    <x:tableColumn id="20" name="Notes"/>
  </x:tableColumns>
  <x:tableStyleInfo name="TableStyleMedium2" showFirstColumn="0" showLastColumn="0" showRowStripes="1" showColumnStripes="0"/>
</x:table>
</file>

<file path=xl/tables/table42.xml><?xml version="1.0" encoding="utf-8"?>
<x:table xmlns:x="http://schemas.openxmlformats.org/spreadsheetml/2006/main" id="42" name="EconomicZonesTable" displayName="EconomicZonesTable" ref="A1:U5" headerRowCount="1" totalsRowCount="0" totalsRowShown="0">
  <x:tableColumns count="21">
    <x:tableColumn id="1" name="Zone ID"/>
    <x:tableColumn id="2" name="Asset ID"/>
    <x:tableColumn id="3" name="Zone Name"/>
    <x:tableColumn id="4" name="Country"/>
    <x:tableColumn id="5" name="City / Region"/>
    <x:tableColumn id="6" name="Zone Type"/>
    <x:tableColumn id="7" name="Operator Company ID"/>
    <x:tableColumn id="8" name="Parent / Owner Company ID"/>
    <x:tableColumn id="9" name="Total Area km²"/>
    <x:tableColumn id="10" name="Free Zone Area km²"/>
    <x:tableColumn id="11" name="Warehouse / Built Logistics Area sqm"/>
    <x:tableColumn id="12" name="Customs / Bonded Status"/>
    <x:tableColumn id="13" name="Linked Port(s)"/>
    <x:tableColumn id="14" name="Rail Connection"/>
    <x:tableColumn id="15" name="Airport Connection"/>
    <x:tableColumn id="16" name="Road / Inland Connectivity"/>
    <x:tableColumn id="17" name="Key Activities / Industries"/>
    <x:tableColumn id="18" name="Status"/>
    <x:tableColumn id="19" name="Source ID"/>
    <x:tableColumn id="20" name="Source URL"/>
    <x:tableColumn id="21" name="Notes"/>
  </x:tableColumns>
  <x:tableStyleInfo name="TableStyleMedium2" showFirstColumn="0" showLastColumn="0" showRowStripes="1" showColumnStripes="0"/>
</x:table>
</file>

<file path=xl/tables/table43.xml><?xml version="1.0" encoding="utf-8"?>
<x:table xmlns:x="http://schemas.openxmlformats.org/spreadsheetml/2006/main" id="43" name="LogisticsRealEstateTable" displayName="LogisticsRealEstateTable" ref="A1:T9" headerRowCount="1" totalsRowCount="0" totalsRowShown="0">
  <x:tableColumns count="20">
    <x:tableColumn id="1" name="LRE ID"/>
    <x:tableColumn id="2" name="Asset ID"/>
    <x:tableColumn id="3" name="Asset / Portfolio"/>
    <x:tableColumn id="4" name="Country / Region"/>
    <x:tableColumn id="5" name="Location"/>
    <x:tableColumn id="6" name="Investor / Owner Company IDs"/>
    <x:tableColumn id="7" name="Developer / Manager"/>
    <x:tableColumn id="8" name="Asset Type"/>
    <x:tableColumn id="9" name="Reported Area"/>
    <x:tableColumn id="10" name="Area Unit"/>
    <x:tableColumn id="11" name="Properties / Units"/>
    <x:tableColumn id="12" name="Rail Access"/>
    <x:tableColumn id="13" name="Port Connection"/>
    <x:tableColumn id="14" name="Airport Connection"/>
    <x:tableColumn id="15" name="Tenant / Occupier Profile"/>
    <x:tableColumn id="16" name="Status"/>
    <x:tableColumn id="17" name="Related Deal ID"/>
    <x:tableColumn id="18" name="Source ID"/>
    <x:tableColumn id="19" name="Source URL"/>
    <x:tableColumn id="20" name="Notes"/>
  </x:tableColumns>
  <x:tableStyleInfo name="TableStyleMedium2" showFirstColumn="0" showLastColumn="0" showRowStripes="1" showColumnStripes="0"/>
</x:table>
</file>

<file path=xl/tables/table44.xml><?xml version="1.0" encoding="utf-8"?>
<x:table xmlns:x="http://schemas.openxmlformats.org/spreadsheetml/2006/main" id="44" name="DryPortsInlandHubsTable" displayName="DryPortsInlandHubsTable" ref="A1:Y6" headerRowCount="1" totalsRowCount="0" totalsRowShown="0">
  <x:tableColumns count="25">
    <x:tableColumn id="1" name="Hub ID"/>
    <x:tableColumn id="2" name="Asset ID"/>
    <x:tableColumn id="3" name="Hub Name"/>
    <x:tableColumn id="4" name="Country"/>
    <x:tableColumn id="5" name="City / Region"/>
    <x:tableColumn id="6" name="Operator Company ID"/>
    <x:tableColumn id="7" name="Parent / Investor Company ID"/>
    <x:tableColumn id="8" name="Ownership %"/>
    <x:tableColumn id="9" name="Hub Type"/>
    <x:tableColumn id="10" name="Status"/>
    <x:tableColumn id="11" name="UN/LOCODE"/>
    <x:tableColumn id="12" name="Customs / Bonded Status"/>
    <x:tableColumn id="13" name="Rail Access"/>
    <x:tableColumn id="14" name="Road Access"/>
    <x:tableColumn id="15" name="Air Access"/>
    <x:tableColumn id="16" name="Linked Seaports / Gateways"/>
    <x:tableColumn id="17" name="Annual Capacity TEU"/>
    <x:tableColumn id="18" name="Container Yard sqm"/>
    <x:tableColumn id="19" name="Warehouse sqm"/>
    <x:tableColumn id="20" name="Land Area"/>
    <x:tableColumn id="21" name="Land Area Unit"/>
    <x:tableColumn id="22" name="Key Cargo / Functions"/>
    <x:tableColumn id="23" name="Source ID"/>
    <x:tableColumn id="24" name="Source URL"/>
    <x:tableColumn id="25" name="Notes"/>
  </x:tableColumns>
  <x:tableStyleInfo name="TableStyleMedium2" showFirstColumn="0" showLastColumn="0" showRowStripes="1" showColumnStripes="0"/>
</x:table>
</file>

<file path=xl/tables/table45.xml><?xml version="1.0" encoding="utf-8"?>
<x:table xmlns:x="http://schemas.openxmlformats.org/spreadsheetml/2006/main" id="45" name="InfrastructureConnectionsTable" displayName="InfrastructureConnectionsTable" ref="A1:N24" headerRowCount="1" totalsRowCount="0" totalsRowShown="0">
  <x:tableColumns count="14">
    <x:tableColumn id="1" name="Connection ID"/>
    <x:tableColumn id="2" name="Source Asset ID"/>
    <x:tableColumn id="3" name="Source Asset"/>
    <x:tableColumn id="4" name="Target Entity / Asset ID"/>
    <x:tableColumn id="5" name="Target / Node"/>
    <x:tableColumn id="6" name="Target Type"/>
    <x:tableColumn id="7" name="Mode"/>
    <x:tableColumn id="8" name="Relationship"/>
    <x:tableColumn id="9" name="Corridor ID"/>
    <x:tableColumn id="10" name="Commodity / Traffic"/>
    <x:tableColumn id="11" name="Status"/>
    <x:tableColumn id="12" name="Source ID"/>
    <x:tableColumn id="13" name="Source URL"/>
    <x:tableColumn id="14" name="Notes"/>
  </x:tableColumns>
  <x:tableStyleInfo name="TableStyleMedium2" showFirstColumn="0" showLastColumn="0" showRowStripes="1" showColumnStripes="0"/>
</x:table>
</file>

<file path=xl/tables/table46.xml><?xml version="1.0" encoding="utf-8"?>
<x:table xmlns:x="http://schemas.openxmlformats.org/spreadsheetml/2006/main" id="46" name="IntegratedLogisticsNetworksTable" displayName="IntegratedLogisticsNetworksTable" ref="A1:Q14" headerRowCount="1" totalsRowCount="0" totalsRowShown="0">
  <x:tableColumns count="17">
    <x:tableColumn id="1" name="Network ID"/>
    <x:tableColumn id="2" name="Parent Company ID"/>
    <x:tableColumn id="3" name="Platform / Division Company ID"/>
    <x:tableColumn id="4" name="Platform / Division"/>
    <x:tableColumn id="5" name="Network Role"/>
    <x:tableColumn id="6" name="Modes"/>
    <x:tableColumn id="7" name="Asset Model"/>
    <x:tableColumn id="8" name="Reported Scale"/>
    <x:tableColumn id="9" name="Key Hubs / Nodes"/>
    <x:tableColumn id="10" name="Geographic Footprint"/>
    <x:tableColumn id="11" name="External Customer Offering"/>
    <x:tableColumn id="12" name="Strategic / Market Signal"/>
    <x:tableColumn id="13" name="Status"/>
    <x:tableColumn id="14" name="Source ID"/>
    <x:tableColumn id="15" name="Source URL"/>
    <x:tableColumn id="16" name="As Of"/>
    <x:tableColumn id="17"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4e6adc3178994db7" /></Relationships>
</file>

<file path=xl/worksheets/_rels/sheet2.xml.rels>&#65279;<?xml version="1.0" encoding="utf-8"?><Relationships xmlns="http://schemas.openxmlformats.org/package/2006/relationships"><Relationship Type="http://schemas.openxmlformats.org/officeDocument/2006/relationships/table" Target="/xl/tables/table1.xml" Id="Rdac4980a315740c5" /></Relationships>
</file>

<file path=xl/worksheets/_rels/sheet3.xml.rels>&#65279;<?xml version="1.0" encoding="utf-8"?><Relationships xmlns="http://schemas.openxmlformats.org/package/2006/relationships"><Relationship Type="http://schemas.openxmlformats.org/officeDocument/2006/relationships/table" Target="/xl/tables/table2.xml" Id="Rf7d0044265164e5b" /></Relationships>
</file>

<file path=xl/worksheets/_rels/sheet4.xml.rels>&#65279;<?xml version="1.0" encoding="utf-8"?><Relationships xmlns="http://schemas.openxmlformats.org/package/2006/relationships"><Relationship Type="http://schemas.openxmlformats.org/officeDocument/2006/relationships/table" Target="/xl/tables/table3.xml" Id="Rbcb856413b3d44a1" /></Relationships>
</file>

<file path=xl/worksheets/_rels/sheet5.xml.rels>&#65279;<?xml version="1.0" encoding="utf-8"?><Relationships xmlns="http://schemas.openxmlformats.org/package/2006/relationships"><Relationship Type="http://schemas.openxmlformats.org/officeDocument/2006/relationships/table" Target="/xl/tables/table4.xml" Id="R5a7d36d90a0c42c0" /></Relationships>
</file>

<file path=xl/worksheets/_rels/sheet6.xml.rels>&#65279;<?xml version="1.0" encoding="utf-8"?><Relationships xmlns="http://schemas.openxmlformats.org/package/2006/relationships"><Relationship Type="http://schemas.openxmlformats.org/officeDocument/2006/relationships/table" Target="/xl/tables/table5.xml" Id="Rdbc63da177a44e5c" /></Relationships>
</file>

<file path=xl/worksheets/_rels/sheet7.xml.rels>&#65279;<?xml version="1.0" encoding="utf-8"?><Relationships xmlns="http://schemas.openxmlformats.org/package/2006/relationships"><Relationship Type="http://schemas.openxmlformats.org/officeDocument/2006/relationships/table" Target="/xl/tables/table6.xml" Id="Rb96215b9a2e24314" /></Relationships>
</file>

<file path=xl/worksheets/_rels/sheet8.xml.rels>&#65279;<?xml version="1.0" encoding="utf-8"?><Relationships xmlns="http://schemas.openxmlformats.org/package/2006/relationships"><Relationship Type="http://schemas.openxmlformats.org/officeDocument/2006/relationships/table" Target="/xl/tables/table7.xml" Id="Ra0c9f297335143cb" /></Relationships>
</file>

<file path=xl/worksheets/_rels/sheet9.xml.rels>&#65279;<?xml version="1.0" encoding="utf-8"?><Relationships xmlns="http://schemas.openxmlformats.org/package/2006/relationships"><Relationship Type="http://schemas.openxmlformats.org/officeDocument/2006/relationships/table" Target="/xl/tables/table8.xml" Id="Rc88241ab47c14ca0" /></Relationships>
</file>

<file path=xl/worksheets/_rels/sheet10.xml.rels>&#65279;<?xml version="1.0" encoding="utf-8"?><Relationships xmlns="http://schemas.openxmlformats.org/package/2006/relationships"><Relationship Type="http://schemas.openxmlformats.org/officeDocument/2006/relationships/table" Target="/xl/tables/table9.xml" Id="R2a44b07148114f5d" /></Relationships>
</file>

<file path=xl/worksheets/_rels/sheet11.xml.rels>&#65279;<?xml version="1.0" encoding="utf-8"?><Relationships xmlns="http://schemas.openxmlformats.org/package/2006/relationships"><Relationship Type="http://schemas.openxmlformats.org/officeDocument/2006/relationships/table" Target="/xl/tables/table10.xml" Id="R7f8e7ad3eefc44a6" /></Relationships>
</file>

<file path=xl/worksheets/_rels/sheet12.xml.rels>&#65279;<?xml version="1.0" encoding="utf-8"?><Relationships xmlns="http://schemas.openxmlformats.org/package/2006/relationships"><Relationship Type="http://schemas.openxmlformats.org/officeDocument/2006/relationships/table" Target="/xl/tables/table11.xml" Id="Rf998409303e64187" /></Relationships>
</file>

<file path=xl/worksheets/_rels/sheet13.xml.rels>&#65279;<?xml version="1.0" encoding="utf-8"?><Relationships xmlns="http://schemas.openxmlformats.org/package/2006/relationships"><Relationship Type="http://schemas.openxmlformats.org/officeDocument/2006/relationships/table" Target="/xl/tables/table12.xml" Id="R4d11a924de584ffa" /></Relationships>
</file>

<file path=xl/worksheets/_rels/sheet14.xml.rels>&#65279;<?xml version="1.0" encoding="utf-8"?><Relationships xmlns="http://schemas.openxmlformats.org/package/2006/relationships"><Relationship Type="http://schemas.openxmlformats.org/officeDocument/2006/relationships/table" Target="/xl/tables/table13.xml" Id="Rbdffcba8cd2a43e9" /></Relationships>
</file>

<file path=xl/worksheets/_rels/sheet15.xml.rels>&#65279;<?xml version="1.0" encoding="utf-8"?><Relationships xmlns="http://schemas.openxmlformats.org/package/2006/relationships"><Relationship Type="http://schemas.openxmlformats.org/officeDocument/2006/relationships/table" Target="/xl/tables/table14.xml" Id="Re6cf9555390343d4" /></Relationships>
</file>

<file path=xl/worksheets/_rels/sheet16.xml.rels>&#65279;<?xml version="1.0" encoding="utf-8"?><Relationships xmlns="http://schemas.openxmlformats.org/package/2006/relationships"><Relationship Type="http://schemas.openxmlformats.org/officeDocument/2006/relationships/table" Target="/xl/tables/table15.xml" Id="R0528ca27eb5c4e2a" /></Relationships>
</file>

<file path=xl/worksheets/_rels/sheet17.xml.rels>&#65279;<?xml version="1.0" encoding="utf-8"?><Relationships xmlns="http://schemas.openxmlformats.org/package/2006/relationships"><Relationship Type="http://schemas.openxmlformats.org/officeDocument/2006/relationships/table" Target="/xl/tables/table16.xml" Id="Rfb3ce426ae044ae0" /></Relationships>
</file>

<file path=xl/worksheets/_rels/sheet18.xml.rels>&#65279;<?xml version="1.0" encoding="utf-8"?><Relationships xmlns="http://schemas.openxmlformats.org/package/2006/relationships"><Relationship Type="http://schemas.openxmlformats.org/officeDocument/2006/relationships/table" Target="/xl/tables/table17.xml" Id="R15c7606ff34b4999" /></Relationships>
</file>

<file path=xl/worksheets/_rels/sheet19.xml.rels>&#65279;<?xml version="1.0" encoding="utf-8"?><Relationships xmlns="http://schemas.openxmlformats.org/package/2006/relationships"><Relationship Type="http://schemas.openxmlformats.org/officeDocument/2006/relationships/table" Target="/xl/tables/table18.xml" Id="Ra1a48126e79c4b75" /></Relationships>
</file>

<file path=xl/worksheets/_rels/sheet20.xml.rels>&#65279;<?xml version="1.0" encoding="utf-8"?><Relationships xmlns="http://schemas.openxmlformats.org/package/2006/relationships"><Relationship Type="http://schemas.openxmlformats.org/officeDocument/2006/relationships/table" Target="/xl/tables/table19.xml" Id="R9d172223839d429d" /></Relationships>
</file>

<file path=xl/worksheets/_rels/sheet21.xml.rels>&#65279;<?xml version="1.0" encoding="utf-8"?><Relationships xmlns="http://schemas.openxmlformats.org/package/2006/relationships"><Relationship Type="http://schemas.openxmlformats.org/officeDocument/2006/relationships/table" Target="/xl/tables/table20.xml" Id="R70bb582e485c41c3" /></Relationships>
</file>

<file path=xl/worksheets/_rels/sheet22.xml.rels>&#65279;<?xml version="1.0" encoding="utf-8"?><Relationships xmlns="http://schemas.openxmlformats.org/package/2006/relationships"><Relationship Type="http://schemas.openxmlformats.org/officeDocument/2006/relationships/table" Target="/xl/tables/table21.xml" Id="R6fc81858fa7f4408" /></Relationships>
</file>

<file path=xl/worksheets/_rels/sheet23.xml.rels>&#65279;<?xml version="1.0" encoding="utf-8"?><Relationships xmlns="http://schemas.openxmlformats.org/package/2006/relationships"><Relationship Type="http://schemas.openxmlformats.org/officeDocument/2006/relationships/table" Target="/xl/tables/table22.xml" Id="Rddbc31f6f1bf4ae6" /></Relationships>
</file>

<file path=xl/worksheets/_rels/sheet24.xml.rels>&#65279;<?xml version="1.0" encoding="utf-8"?><Relationships xmlns="http://schemas.openxmlformats.org/package/2006/relationships"><Relationship Type="http://schemas.openxmlformats.org/officeDocument/2006/relationships/table" Target="/xl/tables/table23.xml" Id="R0c24b036f9084e87" /></Relationships>
</file>

<file path=xl/worksheets/_rels/sheet25.xml.rels>&#65279;<?xml version="1.0" encoding="utf-8"?><Relationships xmlns="http://schemas.openxmlformats.org/package/2006/relationships"><Relationship Type="http://schemas.openxmlformats.org/officeDocument/2006/relationships/table" Target="/xl/tables/table24.xml" Id="Re373468a9158449a" /></Relationships>
</file>

<file path=xl/worksheets/_rels/sheet26.xml.rels>&#65279;<?xml version="1.0" encoding="utf-8"?><Relationships xmlns="http://schemas.openxmlformats.org/package/2006/relationships"><Relationship Type="http://schemas.openxmlformats.org/officeDocument/2006/relationships/table" Target="/xl/tables/table25.xml" Id="R3666dc87d951413f" /></Relationships>
</file>

<file path=xl/worksheets/_rels/sheet28.xml.rels>&#65279;<?xml version="1.0" encoding="utf-8"?><Relationships xmlns="http://schemas.openxmlformats.org/package/2006/relationships"><Relationship Type="http://schemas.openxmlformats.org/officeDocument/2006/relationships/table" Target="/xl/tables/table26.xml" Id="R0ff934108cb54594" /></Relationships>
</file>

<file path=xl/worksheets/_rels/sheet29.xml.rels>&#65279;<?xml version="1.0" encoding="utf-8"?><Relationships xmlns="http://schemas.openxmlformats.org/package/2006/relationships"><Relationship Type="http://schemas.openxmlformats.org/officeDocument/2006/relationships/table" Target="/xl/tables/table27.xml" Id="R7214926bb6624970" /></Relationships>
</file>

<file path=xl/worksheets/_rels/sheet30.xml.rels>&#65279;<?xml version="1.0" encoding="utf-8"?><Relationships xmlns="http://schemas.openxmlformats.org/package/2006/relationships"><Relationship Type="http://schemas.openxmlformats.org/officeDocument/2006/relationships/table" Target="/xl/tables/table28.xml" Id="R3cd999dc75144242" /></Relationships>
</file>

<file path=xl/worksheets/_rels/sheet31.xml.rels>&#65279;<?xml version="1.0" encoding="utf-8"?><Relationships xmlns="http://schemas.openxmlformats.org/package/2006/relationships"><Relationship Type="http://schemas.openxmlformats.org/officeDocument/2006/relationships/table" Target="/xl/tables/table29.xml" Id="Rbbb414833ec447f8" /></Relationships>
</file>

<file path=xl/worksheets/_rels/sheet32.xml.rels>&#65279;<?xml version="1.0" encoding="utf-8"?><Relationships xmlns="http://schemas.openxmlformats.org/package/2006/relationships"><Relationship Type="http://schemas.openxmlformats.org/officeDocument/2006/relationships/table" Target="/xl/tables/table30.xml" Id="Re7e4f8f342b5421d" /></Relationships>
</file>

<file path=xl/worksheets/_rels/sheet34.xml.rels>&#65279;<?xml version="1.0" encoding="utf-8"?><Relationships xmlns="http://schemas.openxmlformats.org/package/2006/relationships"><Relationship Type="http://schemas.openxmlformats.org/officeDocument/2006/relationships/table" Target="/xl/tables/table31.xml" Id="Radd7144b094c4e66" /></Relationships>
</file>

<file path=xl/worksheets/_rels/sheet35.xml.rels>&#65279;<?xml version="1.0" encoding="utf-8"?><Relationships xmlns="http://schemas.openxmlformats.org/package/2006/relationships"><Relationship Type="http://schemas.openxmlformats.org/officeDocument/2006/relationships/table" Target="/xl/tables/table32.xml" Id="R04e0db99fed94d4e" /></Relationships>
</file>

<file path=xl/worksheets/_rels/sheet37.xml.rels>&#65279;<?xml version="1.0" encoding="utf-8"?><Relationships xmlns="http://schemas.openxmlformats.org/package/2006/relationships"><Relationship Type="http://schemas.openxmlformats.org/officeDocument/2006/relationships/table" Target="/xl/tables/table33.xml" Id="R1a87431aa7a54e17" /></Relationships>
</file>

<file path=xl/worksheets/_rels/sheet38.xml.rels>&#65279;<?xml version="1.0" encoding="utf-8"?><Relationships xmlns="http://schemas.openxmlformats.org/package/2006/relationships"><Relationship Type="http://schemas.openxmlformats.org/officeDocument/2006/relationships/table" Target="/xl/tables/table34.xml" Id="Rba36988555e4471e" /></Relationships>
</file>

<file path=xl/worksheets/_rels/sheet39.xml.rels>&#65279;<?xml version="1.0" encoding="utf-8"?><Relationships xmlns="http://schemas.openxmlformats.org/package/2006/relationships"><Relationship Type="http://schemas.openxmlformats.org/officeDocument/2006/relationships/drawing" Target="/xl/drawings/drawing2.xml" Id="Ra49ba134a0304225" /><Relationship Type="http://schemas.openxmlformats.org/officeDocument/2006/relationships/table" Target="/xl/tables/table35.xml" Id="Rfaf48deec35d473c" /></Relationships>
</file>

<file path=xl/worksheets/_rels/sheet40.xml.rels>&#65279;<?xml version="1.0" encoding="utf-8"?><Relationships xmlns="http://schemas.openxmlformats.org/package/2006/relationships"><Relationship Type="http://schemas.openxmlformats.org/officeDocument/2006/relationships/table" Target="/xl/tables/table36.xml" Id="Rdf39fbd845f84f6a" /></Relationships>
</file>

<file path=xl/worksheets/_rels/sheet44.xml.rels>&#65279;<?xml version="1.0" encoding="utf-8"?><Relationships xmlns="http://schemas.openxmlformats.org/package/2006/relationships"><Relationship Type="http://schemas.openxmlformats.org/officeDocument/2006/relationships/table" Target="/xl/tables/table37.xml" Id="Rf7fc08c383cb43a1" /></Relationships>
</file>

<file path=xl/worksheets/_rels/sheet67.xml.rels>&#65279;<?xml version="1.0" encoding="utf-8"?><Relationships xmlns="http://schemas.openxmlformats.org/package/2006/relationships"><Relationship Type="http://schemas.openxmlformats.org/officeDocument/2006/relationships/drawing" Target="/xl/drawings/drawing3.xml" Id="R165073de0c114d8c" /><Relationship Type="http://schemas.openxmlformats.org/officeDocument/2006/relationships/table" Target="/xl/tables/table38.xml" Id="Rbddec5e775fe43d4" /></Relationships>
</file>

<file path=xl/worksheets/_rels/sheet69.xml.rels>&#65279;<?xml version="1.0" encoding="utf-8"?><Relationships xmlns="http://schemas.openxmlformats.org/package/2006/relationships"><Relationship Type="http://schemas.openxmlformats.org/officeDocument/2006/relationships/table" Target="/xl/tables/table39.xml" Id="R19e776bf7d8e48db" /></Relationships>
</file>

<file path=xl/worksheets/_rels/sheet70.xml.rels>&#65279;<?xml version="1.0" encoding="utf-8"?><Relationships xmlns="http://schemas.openxmlformats.org/package/2006/relationships"><Relationship Type="http://schemas.openxmlformats.org/officeDocument/2006/relationships/table" Target="/xl/tables/table40.xml" Id="R5334c6f283c24b05" /></Relationships>
</file>

<file path=xl/worksheets/_rels/sheet71.xml.rels>&#65279;<?xml version="1.0" encoding="utf-8"?><Relationships xmlns="http://schemas.openxmlformats.org/package/2006/relationships"><Relationship Type="http://schemas.openxmlformats.org/officeDocument/2006/relationships/table" Target="/xl/tables/table41.xml" Id="Rdbe523679969442c" /></Relationships>
</file>

<file path=xl/worksheets/_rels/sheet72.xml.rels>&#65279;<?xml version="1.0" encoding="utf-8"?><Relationships xmlns="http://schemas.openxmlformats.org/package/2006/relationships"><Relationship Type="http://schemas.openxmlformats.org/officeDocument/2006/relationships/table" Target="/xl/tables/table42.xml" Id="Rfa7c6be7c75b452f" /></Relationships>
</file>

<file path=xl/worksheets/_rels/sheet73.xml.rels>&#65279;<?xml version="1.0" encoding="utf-8"?><Relationships xmlns="http://schemas.openxmlformats.org/package/2006/relationships"><Relationship Type="http://schemas.openxmlformats.org/officeDocument/2006/relationships/table" Target="/xl/tables/table43.xml" Id="R92a195c73880498e" /></Relationships>
</file>

<file path=xl/worksheets/_rels/sheet74.xml.rels>&#65279;<?xml version="1.0" encoding="utf-8"?><Relationships xmlns="http://schemas.openxmlformats.org/package/2006/relationships"><Relationship Type="http://schemas.openxmlformats.org/officeDocument/2006/relationships/table" Target="/xl/tables/table44.xml" Id="R2cdcba5832da435b" /></Relationships>
</file>

<file path=xl/worksheets/_rels/sheet75.xml.rels>&#65279;<?xml version="1.0" encoding="utf-8"?><Relationships xmlns="http://schemas.openxmlformats.org/package/2006/relationships"><Relationship Type="http://schemas.openxmlformats.org/officeDocument/2006/relationships/table" Target="/xl/tables/table45.xml" Id="Re23aed9a966d4352" /></Relationships>
</file>

<file path=xl/worksheets/_rels/sheet76.xml.rels>&#65279;<?xml version="1.0" encoding="utf-8"?><Relationships xmlns="http://schemas.openxmlformats.org/package/2006/relationships"><Relationship Type="http://schemas.openxmlformats.org/officeDocument/2006/relationships/table" Target="/xl/tables/table46.xml" Id="R33b2340800574e50" /></Relationships>
</file>

<file path=xl/worksheets/sheet1.xml><?xml version="1.0" encoding="utf-8"?>
<x:worksheet xmlns:x="http://schemas.openxmlformats.org/spreadsheetml/2006/main">
  <x:sheetFormatPr defaultRowHeight="15"/>
  <x:sheetData>
    <x:row r="1">
      <x:c r="A1" s="228" t="str">
        <x:v>P&amp;C Trade System Intelligence Model v1.13 — Port Infrastructure &amp; Terminal Networks</x:v>
      </x:c>
      <x:c r="B1" s="228"/>
      <x:c r="C1" s="228"/>
      <x:c r="D1" s="228"/>
      <x:c r="E1" s="228"/>
      <x:c r="F1" s="228"/>
      <x:c r="G1" s="228"/>
      <x:c r="H1" s="228"/>
      <x:c r="I1" s="228"/>
      <x:c r="J1" s="228"/>
      <x:c r="K1" s="228"/>
    </x:row>
    <x:row r="2">
      <x:c r="A2" s="8" t="str">
        <x:v>Unified trade-system model linking companies, fleets, parent ports, physical terminals, berths, terminal equipment, ownership/JV structures, port news, inland logistics, corridors and disruption events.</x:v>
      </x:c>
      <x:c r="B2" s="8"/>
      <x:c r="C2" s="8"/>
      <x:c r="D2" s="8"/>
      <x:c r="E2" s="8"/>
      <x:c r="F2" s="8"/>
      <x:c r="G2" s="8"/>
      <x:c r="H2" s="8"/>
      <x:c r="I2" s="102"/>
      <x:c r="J2" s="105" t="str">
        <x:v>Dataset</x:v>
      </x:c>
      <x:c r="K2" s="105" t="str">
        <x:v>Records</x:v>
      </x:c>
    </x:row>
    <x:row r="3">
      <x:c r="A3" s="102"/>
      <x:c r="B3" s="102"/>
      <x:c r="C3" s="102"/>
      <x:c r="D3" s="102"/>
      <x:c r="E3" s="102"/>
      <x:c r="F3" s="102"/>
      <x:c r="G3" s="102"/>
      <x:c r="H3" s="102"/>
      <x:c r="I3" s="102"/>
      <x:c r="J3" s="102" t="str">
        <x:v>Companies</x:v>
      </x:c>
      <x:c r="K3" s="102" t="n">
        <x:v>173</x:v>
      </x:c>
    </x:row>
    <x:row r="4">
      <x:c r="A4" s="105" t="str">
        <x:v>Metric</x:v>
      </x:c>
      <x:c r="B4" s="105" t="str">
        <x:v>Count</x:v>
      </x:c>
      <x:c r="C4" s="102"/>
      <x:c r="D4" s="229" t="str">
        <x:v>v1.13 canonical-port principle</x:v>
      </x:c>
      <x:c r="E4" s="229"/>
      <x:c r="F4" s="229"/>
      <x:c r="G4" s="229"/>
      <x:c r="H4" s="229"/>
      <x:c r="I4" s="102"/>
      <x:c r="J4" s="102" t="str">
        <x:v>Vessels</x:v>
      </x:c>
      <x:c r="K4" s="102" t="n">
        <x:v>358</x:v>
      </x:c>
    </x:row>
    <x:row r="5">
      <x:c r="A5" s="230" t="str">
        <x:v>Companies</x:v>
      </x:c>
      <x:c r="B5" s="230" t="n">
        <x:v>173</x:v>
      </x:c>
      <x:c r="C5" s="102"/>
      <x:c r="D5" s="23" t="str">
        <x:v>A physical terminal exists once in the canonical model. Operators, investors, concessions and JV partners are attached through Port Ownership rather than duplicated as separate terminals.</x:v>
      </x:c>
      <x:c r="E5" s="23"/>
      <x:c r="F5" s="23"/>
      <x:c r="G5" s="23"/>
      <x:c r="H5" s="23"/>
      <x:c r="I5" s="102"/>
      <x:c r="J5" s="102" t="str">
        <x:v>Canonical port terminals</x:v>
      </x:c>
      <x:c r="K5" s="102" t="n">
        <x:v>245</x:v>
      </x:c>
    </x:row>
    <x:row r="6">
      <x:c r="A6" s="230" t="str">
        <x:v>People</x:v>
      </x:c>
      <x:c r="B6" s="230" t="n">
        <x:v>41</x:v>
      </x:c>
      <x:c r="C6" s="102"/>
      <x:c r="D6" s="23"/>
      <x:c r="E6" s="23"/>
      <x:c r="F6" s="23"/>
      <x:c r="G6" s="23"/>
      <x:c r="H6" s="23"/>
      <x:c r="I6" s="102"/>
      <x:c r="J6" s="102" t="str">
        <x:v>Parent ports</x:v>
      </x:c>
      <x:c r="K6" s="102" t="n">
        <x:v>246</x:v>
      </x:c>
    </x:row>
    <x:row r="7">
      <x:c r="A7" s="230" t="str">
        <x:v>Assets</x:v>
      </x:c>
      <x:c r="B7" s="230" t="n">
        <x:v>98</x:v>
      </x:c>
      <x:c r="C7" s="102"/>
      <x:c r="D7" s="23"/>
      <x:c r="E7" s="23"/>
      <x:c r="F7" s="23"/>
      <x:c r="G7" s="23"/>
      <x:c r="H7" s="23"/>
      <x:c r="I7" s="102"/>
      <x:c r="J7" s="102" t="str">
        <x:v>Berth records</x:v>
      </x:c>
      <x:c r="K7" s="102" t="n">
        <x:v>125</x:v>
      </x:c>
    </x:row>
    <x:row r="8">
      <x:c r="A8" s="230" t="str">
        <x:v>Parent ports</x:v>
      </x:c>
      <x:c r="B8" s="230" t="n">
        <x:v>246</x:v>
      </x:c>
      <x:c r="C8" s="102"/>
      <x:c r="D8" s="23"/>
      <x:c r="E8" s="23"/>
      <x:c r="F8" s="23"/>
      <x:c r="G8" s="23"/>
      <x:c r="H8" s="23"/>
      <x:c r="I8" s="102"/>
      <x:c r="J8" s="102" t="str">
        <x:v>Equipment records</x:v>
      </x:c>
      <x:c r="K8" s="102" t="n">
        <x:v>192</x:v>
      </x:c>
    </x:row>
    <x:row r="9">
      <x:c r="A9" s="230" t="str">
        <x:v>Port terminals</x:v>
      </x:c>
      <x:c r="B9" s="230" t="n">
        <x:v>245</x:v>
      </x:c>
      <x:c r="C9" s="102"/>
      <x:c r="D9" s="23"/>
      <x:c r="E9" s="23"/>
      <x:c r="F9" s="23"/>
      <x:c r="G9" s="23"/>
      <x:c r="H9" s="23"/>
      <x:c r="I9" s="102"/>
      <x:c r="J9" s="102" t="str">
        <x:v>Port news</x:v>
      </x:c>
      <x:c r="K9" s="102" t="n">
        <x:v>66</x:v>
      </x:c>
    </x:row>
    <x:row r="10">
      <x:c r="A10" s="230" t="str">
        <x:v>Port berth records</x:v>
      </x:c>
      <x:c r="B10" s="230" t="n">
        <x:v>125</x:v>
      </x:c>
      <x:c r="C10" s="102"/>
      <x:c r="D10" s="102"/>
      <x:c r="E10" s="102"/>
      <x:c r="F10" s="102"/>
      <x:c r="G10" s="102"/>
      <x:c r="H10" s="102"/>
      <x:c r="I10" s="102"/>
      <x:c r="J10" s="102" t="str">
        <x:v>Sources</x:v>
      </x:c>
      <x:c r="K10" s="102" t="n">
        <x:v>318</x:v>
      </x:c>
    </x:row>
    <x:row r="11">
      <x:c r="A11" s="230" t="str">
        <x:v>Port equipment records</x:v>
      </x:c>
      <x:c r="B11" s="230" t="n">
        <x:v>192</x:v>
      </x:c>
      <x:c r="C11" s="102"/>
      <x:c r="D11" s="231" t="str">
        <x:v>Dry-port / inland rule</x:v>
      </x:c>
      <x:c r="E11" s="231"/>
      <x:c r="F11" s="231"/>
      <x:c r="G11" s="231"/>
      <x:c r="H11" s="231"/>
      <x:c r="I11" s="102"/>
      <x:c r="J11" s="102" t="str">
        <x:v>Infrastructure connections</x:v>
      </x:c>
      <x:c r="K11" s="102" t="n">
        <x:v>34</x:v>
      </x:c>
    </x:row>
    <x:row r="12">
      <x:c r="A12" s="230" t="str">
        <x:v>Port ownership / operator edges</x:v>
      </x:c>
      <x:c r="B12" s="230" t="n">
        <x:v>264</x:v>
      </x:c>
      <x:c r="C12" s="102"/>
      <x:c r="D12" s="31" t="str">
        <x:v>A dry port or inland hub is modeled as its own canonical asset with operator, investor, customs/bonded status, rail-road-air connections and linked seaports. Tbilisi, Al Faya, Al Ghail and CentrePort are therefore queryable as infrastructure nodes rather than notes inside port investments.</x:v>
      </x:c>
      <x:c r="E12" s="31"/>
      <x:c r="F12" s="31"/>
      <x:c r="G12" s="31"/>
      <x:c r="H12" s="31"/>
      <x:c r="I12" s="102"/>
      <x:c r="J12" s="102" t="str">
        <x:v>Weather/labour/protest events</x:v>
      </x:c>
      <x:c r="K12" s="102" t="n">
        <x:v>25</x:v>
      </x:c>
    </x:row>
    <x:row r="13">
      <x:c r="A13" s="102" t="str">
        <x:v>Port news / developments</x:v>
      </x:c>
      <x:c r="B13" s="102" t="n">
        <x:v>66</x:v>
      </x:c>
      <x:c r="C13" s="102"/>
      <x:c r="D13" s="31"/>
      <x:c r="E13" s="31"/>
      <x:c r="F13" s="31"/>
      <x:c r="G13" s="31"/>
      <x:c r="H13" s="31"/>
      <x:c r="I13" s="102"/>
      <x:c r="J13" s="102" t="str">
        <x:v>Sources</x:v>
      </x:c>
      <x:c r="K13" s="102" t="n">
        <x:v>318</x:v>
      </x:c>
    </x:row>
    <x:row r="14">
      <x:c r="A14" s="102" t="str">
        <x:v>Sources</x:v>
      </x:c>
      <x:c r="B14" s="102" t="n">
        <x:v>318</x:v>
      </x:c>
      <x:c r="C14" s="102"/>
      <x:c r="D14" s="31"/>
      <x:c r="E14" s="31"/>
      <x:c r="F14" s="31"/>
      <x:c r="G14" s="31"/>
      <x:c r="H14" s="31"/>
      <x:c r="I14" s="102"/>
      <x:c r="J14" s="102" t="str">
        <x:v>Research queue</x:v>
      </x:c>
      <x:c r="K14" s="102" t="n">
        <x:v>87</x:v>
      </x:c>
    </x:row>
    <x:row r="15">
      <x:c r="A15" s="102" t="str">
        <x:v>Research queue</x:v>
      </x:c>
      <x:c r="B15" s="102" t="n">
        <x:v>87</x:v>
      </x:c>
      <x:c r="C15" s="102"/>
      <x:c r="D15" s="31"/>
      <x:c r="E15" s="31"/>
      <x:c r="F15" s="31"/>
      <x:c r="G15" s="31"/>
      <x:c r="H15" s="31"/>
      <x:c r="I15" s="102"/>
      <x:c r="J15" s="102" t="str">
        <x:v>Integrated logistics rows</x:v>
      </x:c>
      <x:c r="K15" s="102" t="n">
        <x:v>13</x:v>
      </x:c>
    </x:row>
    <x:row r="16">
      <x:c r="A16" s="102" t="str">
        <x:v>Dry ports / inland hubs</x:v>
      </x:c>
      <x:c r="B16" s="102" t="n">
        <x:v>5</x:v>
      </x:c>
      <x:c r="C16" s="102"/>
      <x:c r="D16" s="31"/>
      <x:c r="E16" s="31"/>
      <x:c r="F16" s="31"/>
      <x:c r="G16" s="31"/>
      <x:c r="H16" s="31"/>
      <x:c r="I16" s="102"/>
      <x:c r="J16" s="102"/>
      <x:c r="K16" s="102"/>
    </x:row>
  </x:sheetData>
  <x:mergeCells>
    <x:mergeCell ref="A1:H1"/>
    <x:mergeCell ref="A2:H2"/>
    <x:mergeCell ref="D4:H4"/>
    <x:mergeCell ref="D5:H9"/>
    <x:mergeCell ref="D11:H11"/>
    <x:mergeCell ref="D12:H16"/>
  </x:mergeCells>
  <x:pageMargins left="0.7" right="0.7" top="0.75" bottom="0.75" header="0.3" footer="0.3"/>
  <x:drawing xmlns:r="http://schemas.openxmlformats.org/officeDocument/2006/relationships" r:id="R4e6adc3178994db7"/>
</x:worksheet>
</file>

<file path=xl/worksheets/sheet2.xml><?xml version="1.0" encoding="utf-8"?>
<x:worksheet xmlns:x="http://schemas.openxmlformats.org/spreadsheetml/2006/main">
  <x:sheetFormatPr defaultRowHeight="15"/>
  <x:cols>
    <x:col min="1" max="1" width="18" hidden="0" customWidth="1"/>
    <x:col min="2" max="2" width="18" hidden="0" customWidth="1"/>
    <x:col min="3" max="3" width="34" hidden="0" customWidth="1"/>
    <x:col min="4" max="4" width="18" hidden="0" customWidth="1"/>
  </x:cols>
  <x:sheetData>
    <x:row r="1">
      <x:c r="A1" s="190" t="str">
        <x:v>Table</x:v>
      </x:c>
      <x:c r="B1" s="190" t="str">
        <x:v>Primary Key</x:v>
      </x:c>
      <x:c r="C1" s="190" t="str">
        <x:v>Purpose</x:v>
      </x:c>
      <x:c r="D1" s="190" t="str">
        <x:v>Minimum relationship</x:v>
      </x:c>
    </x:row>
    <x:row r="2">
      <x:c r="A2" s="42" t="str">
        <x:v>entity_registry</x:v>
      </x:c>
      <x:c r="B2" s="42" t="str">
        <x:v>entity_id</x:v>
      </x:c>
      <x:c r="C2" s="42" t="str">
        <x:v>Universal lookup for every named entity</x:v>
      </x:c>
      <x:c r="D2" s="42" t="str">
        <x:v>entity_id links to specialist table</x:v>
      </x:c>
    </x:row>
    <x:row r="3">
      <x:c r="A3" s="42" t="str">
        <x:v>companies</x:v>
      </x:c>
      <x:c r="B3" s="42" t="str">
        <x:v>company_id</x:v>
      </x:c>
      <x:c r="C3" s="42" t="str">
        <x:v>Corporate parent / subsidiary / operator entities</x:v>
      </x:c>
      <x:c r="D3" s="42" t="str">
        <x:v>relationships.source/target</x:v>
      </x:c>
    </x:row>
    <x:row r="4">
      <x:c r="A4" s="42" t="str">
        <x:v>people</x:v>
      </x:c>
      <x:c r="B4" s="42" t="str">
        <x:v>person_id</x:v>
      </x:c>
      <x:c r="C4" s="42" t="str">
        <x:v>Named people</x:v>
      </x:c>
      <x:c r="D4" s="42" t="str">
        <x:v>leadership_roles.person_id</x:v>
      </x:c>
    </x:row>
    <x:row r="5">
      <x:c r="A5" s="42" t="str">
        <x:v>leadership_roles</x:v>
      </x:c>
      <x:c r="B5" s="42" t="str">
        <x:v>role_id</x:v>
      </x:c>
      <x:c r="C5" s="42" t="str">
        <x:v>Time-bounded company roles</x:v>
      </x:c>
      <x:c r="D5" s="42" t="str">
        <x:v>person_id + company_id</x:v>
      </x:c>
    </x:row>
    <x:row r="6">
      <x:c r="A6" s="42" t="str">
        <x:v>ports</x:v>
      </x:c>
      <x:c r="B6" s="42" t="str">
        <x:v>port_id</x:v>
      </x:c>
      <x:c r="C6" s="42" t="str">
        <x:v>Port authority / facility layer</x:v>
      </x:c>
      <x:c r="D6" s="42" t="str">
        <x:v>operator_company_id + assets</x:v>
      </x:c>
    </x:row>
    <x:row r="7">
      <x:c r="A7" s="42" t="str">
        <x:v>assets</x:v>
      </x:c>
      <x:c r="B7" s="42" t="str">
        <x:v>asset_id</x:v>
      </x:c>
      <x:c r="C7" s="42" t="str">
        <x:v>Terminals, hubs, warehouses, yards, terminals</x:v>
      </x:c>
      <x:c r="D7" s="42" t="str">
        <x:v>company_id</x:v>
      </x:c>
    </x:row>
    <x:row r="8">
      <x:c r="A8" s="42" t="str">
        <x:v>vessels</x:v>
      </x:c>
      <x:c r="B8" s="42" t="str">
        <x:v>vessel_id</x:v>
      </x:c>
      <x:c r="C8" s="42" t="str">
        <x:v>Individual vessel register</x:v>
      </x:c>
      <x:c r="D8" s="42" t="str">
        <x:v>owner_company_id / operator_company_id</x:v>
      </x:c>
    </x:row>
    <x:row r="9">
      <x:c r="A9" s="42" t="str">
        <x:v>fleet_portfolios</x:v>
      </x:c>
      <x:c r="B9" s="42" t="str">
        <x:v>fleet_id</x:v>
      </x:c>
      <x:c r="C9" s="42" t="str">
        <x:v>Fleet summary where individual records are incomplete</x:v>
      </x:c>
      <x:c r="D9" s="42" t="str">
        <x:v>company_id</x:v>
      </x:c>
    </x:row>
    <x:row r="10">
      <x:c r="A10" s="42" t="str">
        <x:v>fleet_orders</x:v>
      </x:c>
      <x:c r="B10" s="42" t="str">
        <x:v>order_id</x:v>
      </x:c>
      <x:c r="C10" s="42" t="str">
        <x:v>Newbuilds, aircraft orders, naval contracts</x:v>
      </x:c>
      <x:c r="D10" s="42" t="str">
        <x:v>buyer_company_id + shipyard</x:v>
      </x:c>
    </x:row>
    <x:row r="11">
      <x:c r="A11" s="42" t="str">
        <x:v>aircraft</x:v>
      </x:c>
      <x:c r="B11" s="42" t="str">
        <x:v>aircraft_id</x:v>
      </x:c>
      <x:c r="C11" s="42" t="str">
        <x:v>Aircraft fleet layer</x:v>
      </x:c>
      <x:c r="D11" s="42" t="str">
        <x:v>operator_company_id</x:v>
      </x:c>
    </x:row>
    <x:row r="12">
      <x:c r="A12" s="42" t="str">
        <x:v>shipyards</x:v>
      </x:c>
      <x:c r="B12" s="42" t="str">
        <x:v>shipyard_id</x:v>
      </x:c>
      <x:c r="C12" s="42" t="str">
        <x:v>Industrial build locations</x:v>
      </x:c>
      <x:c r="D12" s="42" t="str">
        <x:v>fleet_orders.shipyard</x:v>
      </x:c>
    </x:row>
    <x:row r="13">
      <x:c r="A13" s="42" t="str">
        <x:v>investments</x:v>
      </x:c>
      <x:c r="B13" s="42" t="str">
        <x:v>investment_id</x:v>
      </x:c>
      <x:c r="C13" s="42" t="str">
        <x:v>Capex / M&amp;A / concessions</x:v>
      </x:c>
      <x:c r="D13" s="42" t="str">
        <x:v>company_id + asset/location</x:v>
      </x:c>
    </x:row>
    <x:row r="14">
      <x:c r="A14" s="42" t="str">
        <x:v>infrastructure_works</x:v>
      </x:c>
      <x:c r="B14" s="42" t="str">
        <x:v>work_id</x:v>
      </x:c>
      <x:c r="C14" s="42" t="str">
        <x:v>Dredging, berth, rail, warehouse, modernization</x:v>
      </x:c>
      <x:c r="D14" s="42" t="str">
        <x:v>company_id + asset/location</x:v>
      </x:c>
    </x:row>
    <x:row r="15">
      <x:c r="A15" s="42" t="str">
        <x:v>events</x:v>
      </x:c>
      <x:c r="B15" s="42" t="str">
        <x:v>event_id</x:v>
      </x:c>
      <x:c r="C15" s="42" t="str">
        <x:v>Cyber, conflict, corridor closure, corporate events</x:v>
      </x:c>
      <x:c r="D15" s="42" t="str">
        <x:v>subject_entity_id</x:v>
      </x:c>
    </x:row>
    <x:row r="16">
      <x:c r="A16" s="42" t="str">
        <x:v>corridors</x:v>
      </x:c>
      <x:c r="B16" s="42" t="str">
        <x:v>corridor_id</x:v>
      </x:c>
      <x:c r="C16" s="42" t="str">
        <x:v>Chokepoints and trade corridors</x:v>
      </x:c>
      <x:c r="D16" s="42" t="str">
        <x:v>events + relationships</x:v>
      </x:c>
    </x:row>
    <x:row r="17">
      <x:c r="A17" s="42" t="str">
        <x:v>relationships</x:v>
      </x:c>
      <x:c r="B17" s="42" t="str">
        <x:v>relationship_id</x:v>
      </x:c>
      <x:c r="C17" s="42" t="str">
        <x:v>Graph edge table</x:v>
      </x:c>
      <x:c r="D17" s="42" t="str">
        <x:v>source_entity + target_entity</x:v>
      </x:c>
    </x:row>
    <x:row r="18">
      <x:c r="A18" s="42" t="str">
        <x:v>sources</x:v>
      </x:c>
      <x:c r="B18" s="42" t="str">
        <x:v>source_id</x:v>
      </x:c>
      <x:c r="C18" s="42" t="str">
        <x:v>Audit trail / provenance</x:v>
      </x:c>
      <x:c r="D18" s="42" t="str">
        <x:v>referenced from all tables</x:v>
      </x:c>
    </x:row>
    <x:row r="19">
      <x:c r="A19" s="42" t="str">
        <x:v>research_queue</x:v>
      </x:c>
      <x:c r="B19" s="42" t="str">
        <x:v>research_id</x:v>
      </x:c>
      <x:c r="C19" s="42" t="str">
        <x:v>Data completeness control</x:v>
      </x:c>
      <x:c r="D19" s="42" t="str">
        <x:v>subject + dataset</x:v>
      </x:c>
    </x:row>
    <x:row r="20">
      <x:c r="A20" s="42" t="str">
        <x:v>vessel_relationships</x:v>
      </x:c>
      <x:c r="B20" s="42" t="str">
        <x:v>vessel_relationship_id</x:v>
      </x:c>
      <x:c r="C20" s="42" t="str">
        <x:v>Time-bounded owner/operator/charterer/cargo-principal relationships for individual vessels</x:v>
      </x:c>
      <x:c r="D20" s="42" t="str">
        <x:v>vessel_id + company_id</x:v>
      </x:c>
    </x:row>
    <x:row r="21">
      <x:c r="A21" s="102" t="str">
        <x:v>vessel_build_records</x:v>
      </x:c>
      <x:c r="B21" s="102" t="str">
        <x:v>build_record_id</x:v>
      </x:c>
      <x:c r="C21" s="102" t="str">
        <x:v>Links individual vessels to shipyards, hulls, delivery dates and propulsion</x:v>
      </x:c>
      <x:c r="D21" s="102" t="str">
        <x:v>vessel_id + shipyard_id</x:v>
      </x:c>
    </x:row>
    <x:row r="22">
      <x:c r="A22" s="102" t="str">
        <x:v>vessel_contracts</x:v>
      </x:c>
      <x:c r="B22" s="102" t="str">
        <x:v>contract_id</x:v>
      </x:c>
      <x:c r="C22" s="102" t="str">
        <x:v>Time-charter, voyage-charter and fleet-program relationships without conflating ownership</x:v>
      </x:c>
      <x:c r="D22" s="102" t="str">
        <x:v>vessel_id/order + company_id/counterparty</x:v>
      </x:c>
    </x:row>
    <x:row r="23">
      <x:c r="A23" s="102" t="str">
        <x:v>fleet_coverage</x:v>
      </x:c>
      <x:c r="B23" s="102" t="str">
        <x:v>coverage_id</x:v>
      </x:c>
      <x:c r="C23" s="102" t="str">
        <x:v>Explicit completeness control and known-total vs captured-record measurement</x:v>
      </x:c>
      <x:c r="D23" s="102" t="str">
        <x:v>company_id + dataset</x:v>
      </x:c>
    </x:row>
    <x:row r="24">
      <x:c r="A24" s="102" t="str">
        <x:v>event_entity_links</x:v>
      </x:c>
      <x:c r="B24" s="102" t="str">
        <x:v>event_link_id</x:v>
      </x:c>
      <x:c r="C24" s="102" t="str">
        <x:v>Connects event observations to resolved vessel/company/asset entities</x:v>
      </x:c>
      <x:c r="D24" s="102" t="str">
        <x:v>observation_id + entity_id</x:v>
      </x:c>
    </x:row>
    <x:row r="25">
      <x:c r="A25" s="102" t="str">
        <x:v>vessel_imo_verification</x:v>
      </x:c>
      <x:c r="B25" s="102" t="str">
        <x:v>vessel_id</x:v>
      </x:c>
      <x:c r="C25" s="102" t="str">
        <x:v>IMO provenance, verification status and per-vessel lookup URL</x:v>
      </x:c>
      <x:c r="D25" s="102" t="str">
        <x:v>vessel_id + IMO</x:v>
      </x:c>
    </x:row>
    <x:row r="26">
      <x:c r="A26" s="102" t="str">
        <x:v>imo_coverage</x:v>
      </x:c>
      <x:c r="B26" s="102" t="str">
        <x:v>owner_company_id</x:v>
      </x:c>
      <x:c r="C26" s="102" t="str">
        <x:v>Measures IMO completeness across the canonical individual-vessel register</x:v>
      </x:c>
      <x:c r="D26" s="102" t="str">
        <x:v>owner_company_id + vessels</x:v>
      </x:c>
    </x:row>
    <x:row r="27">
      <x:c r="A27" s="102" t="str">
        <x:v>vessel_identifiers</x:v>
      </x:c>
      <x:c r="B27" s="102" t="str">
        <x:v>vessel_id</x:v>
      </x:c>
      <x:c r="C27" s="102" t="str">
        <x:v>Multiple identity keys for domestic and international vessels: IMO, MMSI, USCG, Canadian and national registry identifiers</x:v>
      </x:c>
      <x:c r="D27" s="102" t="str">
        <x:v>vessel_id + identifier</x:v>
      </x:c>
    </x:row>
    <x:row r="28">
      <x:c r="A28" s="102" t="str">
        <x:v>ferry_systems</x:v>
      </x:c>
      <x:c r="B28" s="102" t="str">
        <x:v>system_id</x:v>
      </x:c>
      <x:c r="C28" s="102" t="str">
        <x:v>Global ferry-system / operator registry linking company, ownership, geography and service model</x:v>
      </x:c>
      <x:c r="D28" s="102" t="str">
        <x:v>system_id + operator_company_id</x:v>
      </x:c>
    </x:row>
    <x:row r="29">
      <x:c r="A29" s="102" t="str">
        <x:v>ferry_routes</x:v>
      </x:c>
      <x:c r="B29" s="102" t="str">
        <x:v>route_id</x:v>
      </x:c>
      <x:c r="C29" s="102" t="str">
        <x:v>Point-to-point or multi-stop passenger/vehicle/freight ferry services</x:v>
      </x:c>
      <x:c r="D29" s="102" t="str">
        <x:v>system_id + route endpoints</x:v>
      </x:c>
    </x:row>
    <x:row r="30">
      <x:c r="A30" s="102" t="str">
        <x:v>ferry_terminals</x:v>
      </x:c>
      <x:c r="B30" s="102" t="str">
        <x:v>terminal_id</x:v>
      </x:c>
      <x:c r="C30" s="102" t="str">
        <x:v>Ferry terminal / landing nodes with ownership, capacity, border and multimodal connections</x:v>
      </x:c>
      <x:c r="D30" s="102" t="str">
        <x:v>terminal_id + system_id</x:v>
      </x:c>
    </x:row>
    <x:row r="31">
      <x:c r="A31" s="102" t="str">
        <x:v>ferry_vessel_staging</x:v>
      </x:c>
      <x:c r="B31" s="102" t="str">
        <x:v>staging_id</x:v>
      </x:c>
      <x:c r="C31" s="102" t="str">
        <x:v>Research staging for ferry-vessel names/specs before canonical IMO/entity resolution</x:v>
      </x:c>
      <x:c r="D31" s="102" t="str">
        <x:v>system_id + vessel_name</x:v>
      </x:c>
    </x:row>
    <x:row r="32">
      <x:c r="A32" s="102" t="str">
        <x:v>ferry_service_observations</x:v>
      </x:c>
      <x:c r="B32" s="102" t="str">
        <x:v>observation_id</x:v>
      </x:c>
      <x:c r="C32" s="102" t="str">
        <x:v>Sailing-level or advisory-level delay, cancellation, substitution, diversion and restoration observations</x:v>
      </x:c>
      <x:c r="D32" s="102" t="str">
        <x:v>system_id + route_id + date</x:v>
      </x:c>
    </x:row>
    <x:row r="33">
      <x:c r="A33" s="102" t="str">
        <x:v>ferry_performance</x:v>
      </x:c>
      <x:c r="B33" s="102" t="str">
        <x:v>performance_id</x:v>
      </x:c>
      <x:c r="C33" s="102" t="str">
        <x:v>Aggregated reliability, cancellations, ridership, utilization and cause metrics by period/system/route</x:v>
      </x:c>
      <x:c r="D33" s="102" t="str">
        <x:v>system_id + period</x:v>
      </x:c>
    </x:row>
    <x:row r="34">
      <x:c r="A34" s="102" t="str">
        <x:v>ferry_fleet_status</x:v>
      </x:c>
      <x:c r="B34" s="102" t="str">
        <x:v>status_id</x:v>
      </x:c>
      <x:c r="C34" s="102" t="str">
        <x:v>Time-series state of ferry vessels: in service, reserve, overhaul, commissioning, laid up, replacement</x:v>
      </x:c>
      <x:c r="D34" s="102" t="str">
        <x:v>system_id + vessel + as_of</x:v>
      </x:c>
    </x:row>
    <x:row r="35">
      <x:c r="A35" s="102" t="str">
        <x:v>ferry_disruption_taxonomy</x:v>
      </x:c>
      <x:c r="B35" s="102" t="str">
        <x:v>cause_id</x:v>
      </x:c>
      <x:c r="C35" s="102" t="str">
        <x:v>Normalized cause taxonomy for ferry delays and cancellations</x:v>
      </x:c>
      <x:c r="D35" s="102" t="str">
        <x:v>cause_family + cause_detail</x:v>
      </x:c>
    </x:row>
    <x:row r="36">
      <x:c r="A36" s="102" t="str">
        <x:v>regional_systems</x:v>
      </x:c>
      <x:c r="B36" s="102" t="str">
        <x:v>system_id</x:v>
      </x:c>
      <x:c r="C36" s="102" t="str">
        <x:v>Generic bounded maritime / trade system layer for Great Lakes, canals, seas and future regions</x:v>
      </x:c>
      <x:c r="D36" s="102" t="str">
        <x:v>system_id</x:v>
      </x:c>
    </x:row>
    <x:row r="37">
      <x:c r="A37" s="102" t="str">
        <x:v>system_nodes</x:v>
      </x:c>
      <x:c r="B37" s="102" t="str">
        <x:v>node_id</x:v>
      </x:c>
      <x:c r="C37" s="102" t="str">
        <x:v>Critical infrastructure, ports, locks, channels, bridges and other system nodes</x:v>
      </x:c>
      <x:c r="D37" s="102" t="str">
        <x:v>system_id + node_id</x:v>
      </x:c>
    </x:row>
    <x:row r="38">
      <x:c r="A38" s="102" t="str">
        <x:v>system_links</x:v>
      </x:c>
      <x:c r="B38" s="102" t="str">
        <x:v>link_id</x:v>
      </x:c>
      <x:c r="C38" s="102" t="str">
        <x:v>Navigable or multimodal connections between system areas / nodes</x:v>
      </x:c>
      <x:c r="D38" s="102" t="str">
        <x:v>system_id + from/to</x:v>
      </x:c>
    </x:row>
    <x:row r="39">
      <x:c r="A39" s="102" t="str">
        <x:v>company_system_footprints</x:v>
      </x:c>
      <x:c r="B39" s="102" t="str">
        <x:v>footprint_id</x:v>
      </x:c>
      <x:c r="C39" s="102" t="str">
        <x:v>Company exposure to a regional system plus cross-regional business footprints</x:v>
      </x:c>
      <x:c r="D39" s="102" t="str">
        <x:v>company_id + system_id</x:v>
      </x:c>
    </x:row>
    <x:row r="40">
      <x:c r="A40" s="102" t="str">
        <x:v>great_lakes_ports</x:v>
      </x:c>
      <x:c r="B40" s="102" t="str">
        <x:v>gl_port_id</x:v>
      </x:c>
      <x:c r="C40" s="102" t="str">
        <x:v>Great Lakes/St. Lawrence port staging layer before full canonical port/terminal population</x:v>
      </x:c>
      <x:c r="D40" s="102" t="str">
        <x:v>gl_port_id</x:v>
      </x:c>
    </x:row>
    <x:row r="41">
      <x:c r="A41" s="102" t="str">
        <x:v>great_lakes_vessel_staging</x:v>
      </x:c>
      <x:c r="B41" s="102" t="str">
        <x:v>staging_id</x:v>
      </x:c>
      <x:c r="C41" s="102" t="str">
        <x:v>Great Lakes vessel research staging before IMO / national-ID canonicalization</x:v>
      </x:c>
      <x:c r="D41" s="102" t="str">
        <x:v>company_id + vessel_name</x:v>
      </x:c>
    </x:row>
    <x:row r="42">
      <x:c r="A42" s="102" t="str">
        <x:v>great_lakes_cargo_corridors</x:v>
      </x:c>
      <x:c r="B42" s="102" t="str">
        <x:v>corridor_id</x:v>
      </x:c>
      <x:c r="C42" s="102" t="str">
        <x:v>Commodity and passenger-flow corridors with infrastructure dependencies</x:v>
      </x:c>
      <x:c r="D42" s="102" t="str">
        <x:v>corridor_id</x:v>
      </x:c>
    </x:row>
    <x:row r="43">
      <x:c r="A43" s="102" t="str">
        <x:v>great_lakes_cruise</x:v>
      </x:c>
      <x:c r="B43" s="102" t="str">
        <x:v>cruise_record_id</x:v>
      </x:c>
      <x:c r="C43" s="102" t="str">
        <x:v>Great Lakes cruise companies, ships, ports and seasonal deployment</x:v>
      </x:c>
      <x:c r="D43" s="102" t="str">
        <x:v>company_id + vessel</x:v>
      </x:c>
    </x:row>
    <x:row r="44">
      <x:c r="A44" s="102" t="str">
        <x:v>great_lakes_disruptions</x:v>
      </x:c>
      <x:c r="B44" s="102" t="str">
        <x:v>gl_cause_id</x:v>
      </x:c>
      <x:c r="C44" s="102" t="str">
        <x:v>Great Lakes operational disruption taxonomy mapped to navigation, industry and passenger impacts</x:v>
      </x:c>
      <x:c r="D44" s="102" t="str">
        <x:v>cause_id</x:v>
      </x:c>
    </x:row>
    <x:row r="45">
      <x:c r="A45" s="102" t="str">
        <x:v>system_dependencies</x:v>
      </x:c>
      <x:c r="B45" s="102" t="str">
        <x:v>dependency_id</x:v>
      </x:c>
      <x:c r="C45" s="102" t="str">
        <x:v>Explicit dependency graph linking companies, ports, flows and vessels to critical nodes / links</x:v>
      </x:c>
      <x:c r="D45" s="102" t="str">
        <x:v>subject + dependency node</x:v>
      </x:c>
    </x:row>
    <x:row r="46">
      <x:c r="A46" s="102" t="str">
        <x:v>global_vessel_staging</x:v>
      </x:c>
      <x:c r="B46" s="102" t="str">
        <x:v>staging_id</x:v>
      </x:c>
      <x:c r="C46" s="102" t="str">
        <x:v>Cross-regional vessel-discovery queue before canonical IMO/entity resolution</x:v>
      </x:c>
      <x:c r="D46" s="102" t="str">
        <x:v>company_id + vessel_name</x:v>
      </x:c>
    </x:row>
    <x:row r="47">
      <x:c r="A47" s="102" t="str">
        <x:v>vessel_evidence</x:v>
      </x:c>
      <x:c r="B47" s="102" t="str">
        <x:v>evidence_id</x:v>
      </x:c>
      <x:c r="C47" s="102" t="str">
        <x:v>Row-wise provenance for vessel identity, fleet association, freshness and confidence</x:v>
      </x:c>
      <x:c r="D47" s="102" t="str">
        <x:v>vessel_id + source_id</x:v>
      </x:c>
    </x:row>
    <x:row r="48">
      <x:c r="A48" s="102" t="str">
        <x:v>fleet_research_universe</x:v>
      </x:c>
      <x:c r="B48" s="102" t="str">
        <x:v>company / brand</x:v>
      </x:c>
      <x:c r="C48" s="102" t="str">
        <x:v>Prioritized master universe for fleet harvesting across liner, feeder, ferry, cruise, Great Lakes, bulk, tanker and energy shipping</x:v>
      </x:c>
      <x:c r="D48" s="102" t="str">
        <x:v>links to companies + fleet_coverage + research_queue</x:v>
      </x:c>
    </x:row>
    <x:row r="49">
      <x:c r="A49" s="102" t="str">
        <x:v>carrier_deployment_seeds</x:v>
      </x:c>
      <x:c r="B49" s="102" t="str">
        <x:v>seed_id</x:v>
      </x:c>
      <x:c r="C49" s="102" t="str">
        <x:v>Time-stamped carrier schedule/service evidence without conflating deployment with ownership</x:v>
      </x:c>
      <x:c r="D49" s="102" t="str">
        <x:v>company_id + vessel_id + source_id</x:v>
      </x:c>
    </x:row>
    <x:row r="50">
      <x:c r="A50" s="102" t="str">
        <x:v>fleet_ranking_snapshots</x:v>
      </x:c>
      <x:c r="B50" s="102" t="str">
        <x:v>ranking_id</x:v>
      </x:c>
      <x:c r="C50" s="102" t="str">
        <x:v>Time-stamped methodology-aware fleet rankings preserving scope and exclusions</x:v>
      </x:c>
      <x:c r="D50" s="102" t="str">
        <x:v>company_id + source_id + as_of</x:v>
      </x:c>
    </x:row>
    <x:row r="51">
      <x:c r="A51" s="102" t="str">
        <x:v>tanker_fleet_universe</x:v>
      </x:c>
      <x:c r="B51" s="102" t="str">
        <x:v>universe_id</x:v>
      </x:c>
      <x:c r="C51" s="102" t="str">
        <x:v>Tanker/VLCC company totals with owned/operated/controlled/chartered/orderbook distinctions</x:v>
      </x:c>
      <x:c r="D51" s="102" t="str">
        <x:v>company_id + metric_scope + as_of</x:v>
      </x:c>
    </x:row>
    <x:row r="52">
      <x:c r="A52" s="102" t="str">
        <x:v>vessel_restrictions</x:v>
      </x:c>
      <x:c r="B52" s="102" t="str">
        <x:v>restriction_id</x:v>
      </x:c>
      <x:c r="C52" s="102" t="str">
        <x:v>Time-bounded sanctions, blacklists, port bans, detention, class, flag and insurance restrictions at IMO level</x:v>
      </x:c>
      <x:c r="D52" s="102" t="str">
        <x:v>vessel_id/IMO + authority + effective_date</x:v>
      </x:c>
    </x:row>
    <x:row r="53">
      <x:c r="A53" s="102" t="str">
        <x:v>tradeability_assessments</x:v>
      </x:c>
      <x:c r="B53" s="102" t="str">
        <x:v>assessment_id</x:v>
      </x:c>
      <x:c r="C53" s="102" t="str">
        <x:v>Analytical assessment of vessel tradeability using restriction evidence</x:v>
      </x:c>
      <x:c r="D53" s="102" t="str">
        <x:v>vessel_id/IMO + as_of + restriction evidence</x:v>
      </x:c>
    </x:row>
    <x:row r="54">
      <x:c r="A54" s="102" t="str">
        <x:v>vessel_transactions</x:v>
      </x:c>
      <x:c r="B54" s="102" t="str">
        <x:v>transaction_id</x:v>
      </x:c>
      <x:c r="C54" s="102" t="str">
        <x:v>Purchases, sales, sale-leasebacks and fleet acquisitions preserving historical ownership</x:v>
      </x:c>
      <x:c r="D54" s="102" t="str">
        <x:v>vessel_id/IMO + buyer/seller + transaction_date</x:v>
      </x:c>
    </x:row>
    <x:row r="55">
      <x:c r="A55" s="102" t="str">
        <x:v>tanker_corridor_exposure</x:v>
      </x:c>
      <x:c r="B55" s="102" t="str">
        <x:v>exposure_id</x:v>
      </x:c>
      <x:c r="C55" s="102" t="str">
        <x:v>Links tanker fleets to commodity systems, chokepoints, STS zones and route dependencies</x:v>
      </x:c>
      <x:c r="D55" s="102" t="str">
        <x:v>company_id/vessel segment + corridor + source</x:v>
      </x:c>
    </x:row>
    <x:row r="56">
      <x:c r="A56" s="102" t="str">
        <x:v>runtime_table_crosswalk</x:v>
      </x:c>
      <x:c r="B56" s="102" t="str">
        <x:v>runtime_file</x:v>
      </x:c>
      <x:c r="C56" s="102" t="str">
        <x:v>Maps GitHub/Streamlit runtime CSVs to canonical workbook sheets or ingestion layers</x:v>
      </x:c>
      <x:c r="D56" s="102" t="str">
        <x:v>runtime file + workbook sheet/layer</x:v>
      </x:c>
    </x:row>
    <x:row r="57">
      <x:c r="A57" s="102" t="str">
        <x:v>weather_labour_events</x:v>
      </x:c>
      <x:c r="B57" s="102" t="str">
        <x:v>external_event_id</x:v>
      </x:c>
      <x:c r="C57" s="102" t="str">
        <x:v>Focused operational-disruption view for weather, natural hazard, labour, protest and civil-unrest events that affect trade or transport</x:v>
      </x:c>
      <x:c r="D57" s="102" t="str">
        <x:v>external_event_id + source_id + event_observation</x:v>
      </x:c>
    </x:row>
    <x:row r="58">
      <x:c r="A58" s="102" t="str">
        <x:v>disruption_watch</x:v>
      </x:c>
      <x:c r="B58" s="102" t="str">
        <x:v>watch_id</x:v>
      </x:c>
      <x:c r="C58" s="102" t="str">
        <x:v>Forward watch for threatened/planned disruption that has not yet become a confirmed event</x:v>
      </x:c>
      <x:c r="D58" s="102" t="str">
        <x:v>watch_id + trigger/threshold + source_id</x:v>
      </x:c>
    </x:row>
    <x:row r="59">
      <x:c r="A59" s="102" t="str">
        <x:v>infrastructure_investors</x:v>
      </x:c>
      <x:c r="B59" s="102" t="str">
        <x:v>investor_id</x:v>
      </x:c>
      <x:c r="C59" s="102" t="str">
        <x:v>Global capital universe covering port investors, infrastructure managers, logistics real estate and sovereign/pension capital</x:v>
      </x:c>
      <x:c r="D59" s="102" t="str">
        <x:v>company_id + source_id</x:v>
      </x:c>
    </x:row>
    <x:row r="60">
      <x:c r="A60" s="102" t="str">
        <x:v>infrastructure_holdings</x:v>
      </x:c>
      <x:c r="B60" s="102" t="str">
        <x:v>holding_id</x:v>
      </x:c>
      <x:c r="C60" s="102" t="str">
        <x:v>Time-bounded ownership/economic interests in port, logistics, inland and zone assets</x:v>
      </x:c>
      <x:c r="D60" s="102" t="str">
        <x:v>investor_company_id + target_entity/asset + effective date</x:v>
      </x:c>
    </x:row>
    <x:row r="61">
      <x:c r="A61" s="102" t="str">
        <x:v>infrastructure_deals</x:v>
      </x:c>
      <x:c r="B61" s="102" t="str">
        <x:v>deal_id</x:v>
      </x:c>
      <x:c r="C61" s="102" t="str">
        <x:v>Completed, proposed, partial-disposition and JV transactions affecting ports, logistics real estate, dry ports and economic zones</x:v>
      </x:c>
      <x:c r="D61" s="102" t="str">
        <x:v>investor/buyer + target + date + status</x:v>
      </x:c>
    </x:row>
    <x:row r="62">
      <x:c r="A62" s="102" t="str">
        <x:v>economic_zones</x:v>
      </x:c>
      <x:c r="B62" s="102" t="str">
        <x:v>zone_id</x:v>
      </x:c>
      <x:c r="C62" s="102" t="str">
        <x:v>Free zones, economic cities and port-linked industrial/logistics zones</x:v>
      </x:c>
      <x:c r="D62" s="102" t="str">
        <x:v>asset_id + operator_company_id + parent/owner</x:v>
      </x:c>
    </x:row>
    <x:row r="63">
      <x:c r="A63" s="102" t="str">
        <x:v>logistics_real_estate</x:v>
      </x:c>
      <x:c r="B63" s="102" t="str">
        <x:v>lre_id</x:v>
      </x:c>
      <x:c r="C63" s="102" t="str">
        <x:v>Warehouses, logistics parks, industrial portfolios and transport-linked logistics property</x:v>
      </x:c>
      <x:c r="D63" s="102" t="str">
        <x:v>asset_id + owner/investor + deal/source</x:v>
      </x:c>
    </x:row>
    <x:row r="64">
      <x:c r="A64" s="102" t="str">
        <x:v>dry_ports_inland_hubs</x:v>
      </x:c>
      <x:c r="B64" s="102" t="str">
        <x:v>hub_id</x:v>
      </x:c>
      <x:c r="C64" s="102" t="str">
        <x:v>Dry ports, inland ports, intermodal hubs and inland cargo terminals</x:v>
      </x:c>
      <x:c r="D64" s="102" t="str">
        <x:v>asset_id + operator + seaport/rail/road connections</x:v>
      </x:c>
    </x:row>
    <x:row r="65">
      <x:c r="A65" s="102" t="str">
        <x:v>infrastructure_connections</x:v>
      </x:c>
      <x:c r="B65" s="102" t="str">
        <x:v>connection_id</x:v>
      </x:c>
      <x:c r="C65" s="102" t="str">
        <x:v>Graph edges linking ports, dry ports, economic zones, logistics real estate, rail, roads, airports and corridors</x:v>
      </x:c>
      <x:c r="D65" s="102" t="str">
        <x:v>source_asset_id + target node + mode/corridor</x:v>
      </x:c>
    </x:row>
    <x:row r="66">
      <x:c r="A66" s="42" t="str">
        <x:v>integrated_logistics_networks</x:v>
      </x:c>
      <x:c r="B66" s="42" t="str">
        <x:v>network_id</x:v>
      </x:c>
      <x:c r="C66" s="42" t="str">
        <x:v>Cross-modal operating-network layer for integrators, commerce platforms and logistics groups</x:v>
      </x:c>
      <x:c r="D66" s="42" t="str">
        <x:v>parent_company_id + platform/division + modes + physical/network scale + source</x:v>
      </x:c>
    </x:row>
    <x:row r="67">
      <x:c r="A67" s="102" t="str">
        <x:v>port_terminals</x:v>
      </x:c>
      <x:c r="B67" s="102" t="str">
        <x:v>terminal_id</x:v>
      </x:c>
      <x:c r="C67" s="102" t="str">
        <x:v>Canonical physical terminal/facility layer with capacity, area, quay, depth, berth, rail, reefer and source summaries</x:v>
      </x:c>
      <x:c r="D67" s="102" t="str">
        <x:v>terminal_id + port_id + primary_operator_company_id</x:v>
      </x:c>
    </x:row>
    <x:row r="68">
      <x:c r="A68" s="102" t="str">
        <x:v>port_berths</x:v>
      </x:c>
      <x:c r="B68" s="102" t="str">
        <x:v>berth_record_id</x:v>
      </x:c>
      <x:c r="C68" s="102" t="str">
        <x:v>Berth/interface-level quay length, depth, use and status</x:v>
      </x:c>
      <x:c r="D68" s="102" t="str">
        <x:v>terminal_id + source_asset_id</x:v>
      </x:c>
    </x:row>
    <x:row r="69">
      <x:c r="A69" s="102" t="str">
        <x:v>port_equipment</x:v>
      </x:c>
      <x:c r="B69" s="102" t="str">
        <x:v>equipment_record_id</x:v>
      </x:c>
      <x:c r="C69" s="102" t="str">
        <x:v>Row-wise cargo-handling equipment including STS, RTG, RMG, ASC, straddles and support equipment</x:v>
      </x:c>
      <x:c r="D69" s="102" t="str">
        <x:v>terminal_id + equipment_type</x:v>
      </x:c>
    </x:row>
    <x:row r="70">
      <x:c r="A70" s="102" t="str">
        <x:v>port_ownership</x:v>
      </x:c>
      <x:c r="B70" s="102" t="str">
        <x:v>ownership_id</x:v>
      </x:c>
      <x:c r="C70" s="102" t="str">
        <x:v>Equity, concession, minority investment, operator-control and JV relationships for physical terminals</x:v>
      </x:c>
      <x:c r="D70" s="102" t="str">
        <x:v>terminal_id + company_id + relationship</x:v>
      </x:c>
    </x:row>
    <x:row r="71">
      <x:c r="A71" s="102" t="str">
        <x:v>port_news</x:v>
      </x:c>
      <x:c r="B71" s="102" t="str">
        <x:v>news_id</x:v>
      </x:c>
      <x:c r="C71" s="102" t="str">
        <x:v>Terminal-linked current developments with live URLs, separate from static infrastructure</x:v>
      </x:c>
      <x:c r="D71" s="102" t="str">
        <x:v>terminal_id + date + source_asset_id</x:v>
      </x:c>
    </x:row>
  </x:sheetData>
  <x:pageMargins left="0.7" right="0.7" top="0.75" bottom="0.75" header="0.3" footer="0.3"/>
  <x:tableParts count="1">
    <x:tablePart xmlns:r="http://schemas.openxmlformats.org/officeDocument/2006/relationships" r:id="Rdac4980a315740c5"/>
  </x:tableParts>
</x:worksheet>
</file>

<file path=xl/worksheets/sheet3.xml><?xml version="1.0" encoding="utf-8"?>
<x:worksheet xmlns:x="http://schemas.openxmlformats.org/spreadsheetml/2006/main">
  <x:sheetFormatPr defaultRowHeight="15"/>
  <x:cols>
    <x:col min="1" max="1" width="18" hidden="0" customWidth="1"/>
    <x:col min="2" max="2" width="18" hidden="0" customWidth="1"/>
    <x:col min="3" max="3" width="24" hidden="0" customWidth="1"/>
    <x:col min="4" max="4" width="18" hidden="0" customWidth="1"/>
    <x:col min="5" max="5" width="18" hidden="0" customWidth="1"/>
    <x:col min="6" max="6" width="18" hidden="0" customWidth="1"/>
  </x:cols>
  <x:sheetData>
    <x:row r="1">
      <x:c r="A1" s="190" t="str">
        <x:v>Entity ID</x:v>
      </x:c>
      <x:c r="B1" s="190" t="str">
        <x:v>Entity Type</x:v>
      </x:c>
      <x:c r="C1" s="190" t="str">
        <x:v>Canonical Name</x:v>
      </x:c>
      <x:c r="D1" s="190" t="str">
        <x:v>Country</x:v>
      </x:c>
      <x:c r="E1" s="190" t="str">
        <x:v>Parent Entity ID</x:v>
      </x:c>
      <x:c r="F1" s="190" t="str">
        <x:v>Status</x:v>
      </x:c>
      <x:c r="G1" s="165"/>
      <x:c r="H1" s="165"/>
      <x:c r="I1" s="165"/>
      <x:c r="J1" s="165"/>
      <x:c r="K1" s="165"/>
      <x:c r="L1" s="165"/>
      <x:c r="M1" s="165"/>
      <x:c r="N1" s="165"/>
      <x:c r="O1" s="165"/>
      <x:c r="P1" s="165"/>
      <x:c r="Q1" s="165"/>
      <x:c r="R1" s="165"/>
      <x:c r="S1" s="165"/>
      <x:c r="T1" s="165"/>
      <x:c r="U1" s="165"/>
      <x:c r="V1" s="165"/>
      <x:c r="W1" s="165"/>
      <x:c r="X1" s="165"/>
      <x:c r="Y1" s="165"/>
      <x:c r="Z1" s="165"/>
      <x:c r="AA1" s="165"/>
      <x:c r="AB1" s="165"/>
      <x:c r="AC1" s="165"/>
      <x:c r="AD1" s="165"/>
      <x:c r="AE1" s="165"/>
      <x:c r="AF1" s="165"/>
      <x:c r="AG1" s="165"/>
      <x:c r="AH1" s="165"/>
      <x:c r="AI1" s="165"/>
      <x:c r="AJ1" s="165"/>
      <x:c r="AK1" s="165"/>
      <x:c r="AL1" s="165"/>
      <x:c r="AM1" s="165"/>
      <x:c r="AN1" s="165"/>
      <x:c r="AO1" s="165"/>
      <x:c r="AP1" s="165"/>
      <x:c r="AQ1" s="165"/>
      <x:c r="AR1" s="165"/>
      <x:c r="AS1" s="165"/>
      <x:c r="AT1" s="165"/>
      <x:c r="AU1" s="165"/>
      <x:c r="AV1" s="165"/>
      <x:c r="AW1" s="165"/>
      <x:c r="AX1" s="165"/>
      <x:c r="AY1" s="165"/>
      <x:c r="AZ1" s="165"/>
    </x:row>
    <x:row r="2">
      <x:c r="A2" s="42" t="str">
        <x:v>PERSON_0001</x:v>
      </x:c>
      <x:c r="B2" s="42" t="str">
        <x:v>Person</x:v>
      </x:c>
      <x:c r="C2" s="42" t="str">
        <x:v>Rodolphe Saadé</x:v>
      </x:c>
      <x:c r="D2" s="42"/>
      <x:c r="E2" s="42"/>
      <x:c r="F2" s="42" t="str">
        <x:v>Active</x:v>
      </x:c>
    </x:row>
    <x:row r="3">
      <x:c r="A3" s="42" t="str">
        <x:v>PERSON_0002</x:v>
      </x:c>
      <x:c r="B3" s="42" t="str">
        <x:v>Person</x:v>
      </x:c>
      <x:c r="C3" s="42" t="str">
        <x:v>Patrick Moebel</x:v>
      </x:c>
      <x:c r="D3" s="42"/>
      <x:c r="E3" s="42"/>
      <x:c r="F3" s="42" t="str">
        <x:v>Active</x:v>
      </x:c>
    </x:row>
    <x:row r="4">
      <x:c r="A4" s="42" t="str">
        <x:v>PERSON_0003</x:v>
      </x:c>
      <x:c r="B4" s="42" t="str">
        <x:v>Person</x:v>
      </x:c>
      <x:c r="C4" s="42" t="str">
        <x:v>Keith Svendsen</x:v>
      </x:c>
      <x:c r="D4" s="42"/>
      <x:c r="E4" s="42"/>
      <x:c r="F4" s="42" t="str">
        <x:v>Active</x:v>
      </x:c>
    </x:row>
    <x:row r="5">
      <x:c r="A5" s="42" t="str">
        <x:v>PERSON_0004</x:v>
      </x:c>
      <x:c r="B5" s="42" t="str">
        <x:v>Person</x:v>
      </x:c>
      <x:c r="C5" s="42" t="str">
        <x:v>Peter Wikström</x:v>
      </x:c>
      <x:c r="D5" s="42"/>
      <x:c r="E5" s="42"/>
      <x:c r="F5" s="42" t="str">
        <x:v>Active</x:v>
      </x:c>
    </x:row>
    <x:row r="6">
      <x:c r="A6" s="42" t="str">
        <x:v>PERSON_0005</x:v>
      </x:c>
      <x:c r="B6" s="42" t="str">
        <x:v>Person</x:v>
      </x:c>
      <x:c r="C6" s="42" t="str">
        <x:v>Yuvraj Narayan</x:v>
      </x:c>
      <x:c r="D6" s="42"/>
      <x:c r="E6" s="42"/>
      <x:c r="F6" s="42" t="str">
        <x:v>Active</x:v>
      </x:c>
    </x:row>
    <x:row r="7">
      <x:c r="A7" s="42" t="str">
        <x:v>PERSON_0006</x:v>
      </x:c>
      <x:c r="B7" s="42" t="str">
        <x:v>Person</x:v>
      </x:c>
      <x:c r="C7" s="42" t="str">
        <x:v>Ahmad Yousef Al-Hassan</x:v>
      </x:c>
      <x:c r="D7" s="42"/>
      <x:c r="E7" s="42"/>
      <x:c r="F7" s="42" t="str">
        <x:v>Active</x:v>
      </x:c>
    </x:row>
    <x:row r="8">
      <x:c r="A8" s="42" t="str">
        <x:v>PERSON_0007</x:v>
      </x:c>
      <x:c r="B8" s="42" t="str">
        <x:v>Person</x:v>
      </x:c>
      <x:c r="C8" s="42" t="str">
        <x:v>Captain Mohamed Juma Al Shamisi</x:v>
      </x:c>
      <x:c r="D8" s="42"/>
      <x:c r="E8" s="42"/>
      <x:c r="F8" s="42" t="str">
        <x:v>Active</x:v>
      </x:c>
    </x:row>
    <x:row r="9">
      <x:c r="A9" s="42" t="str">
        <x:v>PERSON_0008</x:v>
      </x:c>
      <x:c r="B9" s="42" t="str">
        <x:v>Person</x:v>
      </x:c>
      <x:c r="C9" s="42" t="str">
        <x:v>Jochen Thewes</x:v>
      </x:c>
      <x:c r="D9" s="42"/>
      <x:c r="E9" s="42"/>
      <x:c r="F9" s="42" t="str">
        <x:v>Active</x:v>
      </x:c>
    </x:row>
    <x:row r="10">
      <x:c r="A10" s="42" t="str">
        <x:v>PERSON_0009</x:v>
      </x:c>
      <x:c r="B10" s="42" t="str">
        <x:v>Person</x:v>
      </x:c>
      <x:c r="C10" s="42" t="str">
        <x:v>Farid Belbouab</x:v>
      </x:c>
      <x:c r="D10" s="42"/>
      <x:c r="E10" s="42"/>
      <x:c r="F10" s="42" t="str">
        <x:v>Active</x:v>
      </x:c>
    </x:row>
    <x:row r="11">
      <x:c r="A11" s="42" t="str">
        <x:v>PERSON_0010</x:v>
      </x:c>
      <x:c r="B11" s="42" t="str">
        <x:v>Person</x:v>
      </x:c>
      <x:c r="C11" s="42" t="str">
        <x:v>Simon Farhat</x:v>
      </x:c>
      <x:c r="D11" s="42"/>
      <x:c r="E11" s="42"/>
      <x:c r="F11" s="42" t="str">
        <x:v>Active</x:v>
      </x:c>
    </x:row>
    <x:row r="12">
      <x:c r="A12" s="42" t="str">
        <x:v>PERSON_0011</x:v>
      </x:c>
      <x:c r="B12" s="42" t="str">
        <x:v>Person</x:v>
      </x:c>
      <x:c r="C12" s="42" t="str">
        <x:v>Richard Forson</x:v>
      </x:c>
      <x:c r="D12" s="42"/>
      <x:c r="E12" s="42"/>
      <x:c r="F12" s="42" t="str">
        <x:v>Active</x:v>
      </x:c>
    </x:row>
    <x:row r="13">
      <x:c r="A13" s="42" t="str">
        <x:v>PERSON_0012</x:v>
      </x:c>
      <x:c r="B13" s="42" t="str">
        <x:v>Person</x:v>
      </x:c>
      <x:c r="C13" s="42" t="str">
        <x:v>Domenico Ceci</x:v>
      </x:c>
      <x:c r="D13" s="42"/>
      <x:c r="E13" s="42"/>
      <x:c r="F13" s="42" t="str">
        <x:v>Active</x:v>
      </x:c>
    </x:row>
    <x:row r="14">
      <x:c r="A14" s="42" t="str">
        <x:v>PERSON_0013</x:v>
      </x:c>
      <x:c r="B14" s="42" t="str">
        <x:v>Person</x:v>
      </x:c>
      <x:c r="C14" s="42" t="str">
        <x:v>Maxim Straus</x:v>
      </x:c>
      <x:c r="D14" s="42"/>
      <x:c r="E14" s="42"/>
      <x:c r="F14" s="42" t="str">
        <x:v>Active</x:v>
      </x:c>
    </x:row>
    <x:row r="15">
      <x:c r="A15" s="42" t="str">
        <x:v>PERSON_0014</x:v>
      </x:c>
      <x:c r="B15" s="42" t="str">
        <x:v>Person</x:v>
      </x:c>
      <x:c r="C15" s="42" t="str">
        <x:v>Pierroberto Folgiero</x:v>
      </x:c>
      <x:c r="D15" s="42"/>
      <x:c r="E15" s="42"/>
      <x:c r="F15" s="42" t="str">
        <x:v>Active</x:v>
      </x:c>
    </x:row>
    <x:row r="16">
      <x:c r="A16" s="42" t="str">
        <x:v>PERSON_0015</x:v>
      </x:c>
      <x:c r="B16" s="42" t="str">
        <x:v>Person</x:v>
      </x:c>
      <x:c r="C16" s="42" t="str">
        <x:v>Soren Toft</x:v>
      </x:c>
      <x:c r="D16" s="42"/>
      <x:c r="E16" s="42"/>
      <x:c r="F16" s="42" t="str">
        <x:v>Active</x:v>
      </x:c>
    </x:row>
    <x:row r="17">
      <x:c r="A17" s="42" t="str">
        <x:v>UKP001</x:v>
      </x:c>
      <x:c r="B17" s="42" t="str">
        <x:v>Port</x:v>
      </x:c>
      <x:c r="C17" s="42" t="str">
        <x:v>Ayr</x:v>
      </x:c>
      <x:c r="D17" s="42" t="str">
        <x:v>United Kingdom</x:v>
      </x:c>
      <x:c r="E17" s="42" t="str">
        <x:v>COMP_ABP</x:v>
      </x:c>
      <x:c r="F17" s="42" t="str">
        <x:v>Active</x:v>
      </x:c>
    </x:row>
    <x:row r="18">
      <x:c r="A18" s="42" t="str">
        <x:v>UKP002</x:v>
      </x:c>
      <x:c r="B18" s="42" t="str">
        <x:v>Port</x:v>
      </x:c>
      <x:c r="C18" s="42" t="str">
        <x:v>Barrow</x:v>
      </x:c>
      <x:c r="D18" s="42" t="str">
        <x:v>United Kingdom</x:v>
      </x:c>
      <x:c r="E18" s="42" t="str">
        <x:v>COMP_ABP</x:v>
      </x:c>
      <x:c r="F18" s="42" t="str">
        <x:v>Active</x:v>
      </x:c>
    </x:row>
    <x:row r="19">
      <x:c r="A19" s="42" t="str">
        <x:v>UKP003</x:v>
      </x:c>
      <x:c r="B19" s="42" t="str">
        <x:v>Port</x:v>
      </x:c>
      <x:c r="C19" s="42" t="str">
        <x:v>Barry</x:v>
      </x:c>
      <x:c r="D19" s="42" t="str">
        <x:v>United Kingdom</x:v>
      </x:c>
      <x:c r="E19" s="42" t="str">
        <x:v>COMP_ABP</x:v>
      </x:c>
      <x:c r="F19" s="42" t="str">
        <x:v>Active</x:v>
      </x:c>
    </x:row>
    <x:row r="20">
      <x:c r="A20" s="42" t="str">
        <x:v>UKP004</x:v>
      </x:c>
      <x:c r="B20" s="42" t="str">
        <x:v>Port</x:v>
      </x:c>
      <x:c r="C20" s="42" t="str">
        <x:v>Cardiff</x:v>
      </x:c>
      <x:c r="D20" s="42" t="str">
        <x:v>United Kingdom</x:v>
      </x:c>
      <x:c r="E20" s="42" t="str">
        <x:v>COMP_ABP</x:v>
      </x:c>
      <x:c r="F20" s="42" t="str">
        <x:v>Active</x:v>
      </x:c>
    </x:row>
    <x:row r="21">
      <x:c r="A21" s="42" t="str">
        <x:v>UKP005</x:v>
      </x:c>
      <x:c r="B21" s="42" t="str">
        <x:v>Port</x:v>
      </x:c>
      <x:c r="C21" s="42" t="str">
        <x:v>Fleetwood</x:v>
      </x:c>
      <x:c r="D21" s="42" t="str">
        <x:v>United Kingdom</x:v>
      </x:c>
      <x:c r="E21" s="42" t="str">
        <x:v>COMP_ABP</x:v>
      </x:c>
      <x:c r="F21" s="42" t="str">
        <x:v>Active</x:v>
      </x:c>
    </x:row>
    <x:row r="22">
      <x:c r="A22" s="42" t="str">
        <x:v>UKP006</x:v>
      </x:c>
      <x:c r="B22" s="42" t="str">
        <x:v>Port</x:v>
      </x:c>
      <x:c r="C22" s="42" t="str">
        <x:v>Garston</x:v>
      </x:c>
      <x:c r="D22" s="42" t="str">
        <x:v>United Kingdom</x:v>
      </x:c>
      <x:c r="E22" s="42" t="str">
        <x:v>COMP_ABP</x:v>
      </x:c>
      <x:c r="F22" s="42" t="str">
        <x:v>Active</x:v>
      </x:c>
    </x:row>
    <x:row r="23">
      <x:c r="A23" s="42" t="str">
        <x:v>UKP007</x:v>
      </x:c>
      <x:c r="B23" s="42" t="str">
        <x:v>Port</x:v>
      </x:c>
      <x:c r="C23" s="42" t="str">
        <x:v>Goole</x:v>
      </x:c>
      <x:c r="D23" s="42" t="str">
        <x:v>United Kingdom</x:v>
      </x:c>
      <x:c r="E23" s="42" t="str">
        <x:v>COMP_ABP</x:v>
      </x:c>
      <x:c r="F23" s="42" t="str">
        <x:v>Active</x:v>
      </x:c>
    </x:row>
    <x:row r="24">
      <x:c r="A24" s="42" t="str">
        <x:v>UKP008</x:v>
      </x:c>
      <x:c r="B24" s="42" t="str">
        <x:v>Port</x:v>
      </x:c>
      <x:c r="C24" s="42" t="str">
        <x:v>Grimsby</x:v>
      </x:c>
      <x:c r="D24" s="42" t="str">
        <x:v>United Kingdom</x:v>
      </x:c>
      <x:c r="E24" s="42" t="str">
        <x:v>COMP_ABP</x:v>
      </x:c>
      <x:c r="F24" s="42" t="str">
        <x:v>Active</x:v>
      </x:c>
    </x:row>
    <x:row r="25">
      <x:c r="A25" s="42" t="str">
        <x:v>UKP009</x:v>
      </x:c>
      <x:c r="B25" s="42" t="str">
        <x:v>Port</x:v>
      </x:c>
      <x:c r="C25" s="42" t="str">
        <x:v>Hams Hall Terminal</x:v>
      </x:c>
      <x:c r="D25" s="42" t="str">
        <x:v>United Kingdom</x:v>
      </x:c>
      <x:c r="E25" s="42" t="str">
        <x:v>COMP_ABP</x:v>
      </x:c>
      <x:c r="F25" s="42" t="str">
        <x:v>Active</x:v>
      </x:c>
    </x:row>
    <x:row r="26">
      <x:c r="A26" s="42" t="str">
        <x:v>UKP010</x:v>
      </x:c>
      <x:c r="B26" s="42" t="str">
        <x:v>Port</x:v>
      </x:c>
      <x:c r="C26" s="42" t="str">
        <x:v>Hull</x:v>
      </x:c>
      <x:c r="D26" s="42" t="str">
        <x:v>United Kingdom</x:v>
      </x:c>
      <x:c r="E26" s="42" t="str">
        <x:v>COMP_ABP</x:v>
      </x:c>
      <x:c r="F26" s="42" t="str">
        <x:v>Active</x:v>
      </x:c>
    </x:row>
    <x:row r="27">
      <x:c r="A27" s="42" t="str">
        <x:v>UKP011</x:v>
      </x:c>
      <x:c r="B27" s="42" t="str">
        <x:v>Port</x:v>
      </x:c>
      <x:c r="C27" s="42" t="str">
        <x:v>Immingham</x:v>
      </x:c>
      <x:c r="D27" s="42" t="str">
        <x:v>United Kingdom</x:v>
      </x:c>
      <x:c r="E27" s="42" t="str">
        <x:v>COMP_ABP</x:v>
      </x:c>
      <x:c r="F27" s="42" t="str">
        <x:v>Active</x:v>
      </x:c>
    </x:row>
    <x:row r="28">
      <x:c r="A28" s="42" t="str">
        <x:v>UKP012</x:v>
      </x:c>
      <x:c r="B28" s="42" t="str">
        <x:v>Port</x:v>
      </x:c>
      <x:c r="C28" s="42" t="str">
        <x:v>Ipswich</x:v>
      </x:c>
      <x:c r="D28" s="42" t="str">
        <x:v>United Kingdom</x:v>
      </x:c>
      <x:c r="E28" s="42" t="str">
        <x:v>COMP_ABP</x:v>
      </x:c>
      <x:c r="F28" s="42" t="str">
        <x:v>Active</x:v>
      </x:c>
    </x:row>
    <x:row r="29">
      <x:c r="A29" s="42" t="str">
        <x:v>UKP013</x:v>
      </x:c>
      <x:c r="B29" s="42" t="str">
        <x:v>Port</x:v>
      </x:c>
      <x:c r="C29" s="42" t="str">
        <x:v>King's Lynn</x:v>
      </x:c>
      <x:c r="D29" s="42" t="str">
        <x:v>United Kingdom</x:v>
      </x:c>
      <x:c r="E29" s="42" t="str">
        <x:v>COMP_ABP</x:v>
      </x:c>
      <x:c r="F29" s="42" t="str">
        <x:v>Active</x:v>
      </x:c>
    </x:row>
    <x:row r="30">
      <x:c r="A30" s="42" t="str">
        <x:v>UKP014</x:v>
      </x:c>
      <x:c r="B30" s="42" t="str">
        <x:v>Port</x:v>
      </x:c>
      <x:c r="C30" s="42" t="str">
        <x:v>Lowestoft</x:v>
      </x:c>
      <x:c r="D30" s="42" t="str">
        <x:v>United Kingdom</x:v>
      </x:c>
      <x:c r="E30" s="42" t="str">
        <x:v>COMP_ABP</x:v>
      </x:c>
      <x:c r="F30" s="42" t="str">
        <x:v>Active</x:v>
      </x:c>
    </x:row>
    <x:row r="31">
      <x:c r="A31" s="42" t="str">
        <x:v>UKP015</x:v>
      </x:c>
      <x:c r="B31" s="42" t="str">
        <x:v>Port</x:v>
      </x:c>
      <x:c r="C31" s="42" t="str">
        <x:v>Newport</x:v>
      </x:c>
      <x:c r="D31" s="42" t="str">
        <x:v>United Kingdom</x:v>
      </x:c>
      <x:c r="E31" s="42" t="str">
        <x:v>COMP_ABP</x:v>
      </x:c>
      <x:c r="F31" s="42" t="str">
        <x:v>Active</x:v>
      </x:c>
    </x:row>
    <x:row r="32">
      <x:c r="A32" s="42" t="str">
        <x:v>UKP016</x:v>
      </x:c>
      <x:c r="B32" s="42" t="str">
        <x:v>Port</x:v>
      </x:c>
      <x:c r="C32" s="42" t="str">
        <x:v>Plymouth</x:v>
      </x:c>
      <x:c r="D32" s="42" t="str">
        <x:v>United Kingdom</x:v>
      </x:c>
      <x:c r="E32" s="42" t="str">
        <x:v>COMP_ABP</x:v>
      </x:c>
      <x:c r="F32" s="42" t="str">
        <x:v>Active</x:v>
      </x:c>
    </x:row>
    <x:row r="33">
      <x:c r="A33" s="42" t="str">
        <x:v>UKP017</x:v>
      </x:c>
      <x:c r="B33" s="42" t="str">
        <x:v>Port</x:v>
      </x:c>
      <x:c r="C33" s="42" t="str">
        <x:v>Port Talbot</x:v>
      </x:c>
      <x:c r="D33" s="42" t="str">
        <x:v>United Kingdom</x:v>
      </x:c>
      <x:c r="E33" s="42" t="str">
        <x:v>COMP_ABP</x:v>
      </x:c>
      <x:c r="F33" s="42" t="str">
        <x:v>Active</x:v>
      </x:c>
    </x:row>
    <x:row r="34">
      <x:c r="A34" s="42" t="str">
        <x:v>UKP018</x:v>
      </x:c>
      <x:c r="B34" s="42" t="str">
        <x:v>Port</x:v>
      </x:c>
      <x:c r="C34" s="42" t="str">
        <x:v>Silloth</x:v>
      </x:c>
      <x:c r="D34" s="42" t="str">
        <x:v>United Kingdom</x:v>
      </x:c>
      <x:c r="E34" s="42" t="str">
        <x:v>COMP_ABP</x:v>
      </x:c>
      <x:c r="F34" s="42" t="str">
        <x:v>Active</x:v>
      </x:c>
    </x:row>
    <x:row r="35">
      <x:c r="A35" s="42" t="str">
        <x:v>UKP019</x:v>
      </x:c>
      <x:c r="B35" s="42" t="str">
        <x:v>Port</x:v>
      </x:c>
      <x:c r="C35" s="42" t="str">
        <x:v>Southampton</x:v>
      </x:c>
      <x:c r="D35" s="42" t="str">
        <x:v>United Kingdom</x:v>
      </x:c>
      <x:c r="E35" s="42" t="str">
        <x:v>COMP_ABP</x:v>
      </x:c>
      <x:c r="F35" s="42" t="str">
        <x:v>Active</x:v>
      </x:c>
    </x:row>
    <x:row r="36">
      <x:c r="A36" s="42" t="str">
        <x:v>UKP020</x:v>
      </x:c>
      <x:c r="B36" s="42" t="str">
        <x:v>Port</x:v>
      </x:c>
      <x:c r="C36" s="42" t="str">
        <x:v>Swansea</x:v>
      </x:c>
      <x:c r="D36" s="42" t="str">
        <x:v>United Kingdom</x:v>
      </x:c>
      <x:c r="E36" s="42" t="str">
        <x:v>COMP_ABP</x:v>
      </x:c>
      <x:c r="F36" s="42" t="str">
        <x:v>Active</x:v>
      </x:c>
    </x:row>
    <x:row r="37">
      <x:c r="A37" s="42" t="str">
        <x:v>UKP021</x:v>
      </x:c>
      <x:c r="B37" s="42" t="str">
        <x:v>Port</x:v>
      </x:c>
      <x:c r="C37" s="42" t="str">
        <x:v>Teignmouth</x:v>
      </x:c>
      <x:c r="D37" s="42" t="str">
        <x:v>United Kingdom</x:v>
      </x:c>
      <x:c r="E37" s="42" t="str">
        <x:v>COMP_ABP</x:v>
      </x:c>
      <x:c r="F37" s="42" t="str">
        <x:v>Active</x:v>
      </x:c>
    </x:row>
    <x:row r="38">
      <x:c r="A38" s="42" t="str">
        <x:v>UKP022</x:v>
      </x:c>
      <x:c r="B38" s="42" t="str">
        <x:v>Port</x:v>
      </x:c>
      <x:c r="C38" s="42" t="str">
        <x:v>Troon</x:v>
      </x:c>
      <x:c r="D38" s="42" t="str">
        <x:v>United Kingdom</x:v>
      </x:c>
      <x:c r="E38" s="42" t="str">
        <x:v>COMP_ABP</x:v>
      </x:c>
      <x:c r="F38" s="42" t="str">
        <x:v>Active</x:v>
      </x:c>
    </x:row>
    <x:row r="39">
      <x:c r="A39" s="42" t="str">
        <x:v>UKP023</x:v>
      </x:c>
      <x:c r="B39" s="42" t="str">
        <x:v>Port</x:v>
      </x:c>
      <x:c r="C39" s="42" t="str">
        <x:v>Port of Liverpool</x:v>
      </x:c>
      <x:c r="D39" s="42" t="str">
        <x:v>United Kingdom</x:v>
      </x:c>
      <x:c r="E39" s="42" t="str">
        <x:v>COMP_PEEL</x:v>
      </x:c>
      <x:c r="F39" s="42" t="str">
        <x:v>Active</x:v>
      </x:c>
    </x:row>
    <x:row r="40">
      <x:c r="A40" s="42" t="str">
        <x:v>UKP024</x:v>
      </x:c>
      <x:c r="B40" s="42" t="str">
        <x:v>Port</x:v>
      </x:c>
      <x:c r="C40" s="42" t="str">
        <x:v>London Medway / Sheerness</x:v>
      </x:c>
      <x:c r="D40" s="42" t="str">
        <x:v>United Kingdom</x:v>
      </x:c>
      <x:c r="E40" s="42" t="str">
        <x:v>COMP_PEEL</x:v>
      </x:c>
      <x:c r="F40" s="42" t="str">
        <x:v>Active</x:v>
      </x:c>
    </x:row>
    <x:row r="41">
      <x:c r="A41" s="42" t="str">
        <x:v>UKP025</x:v>
      </x:c>
      <x:c r="B41" s="42" t="str">
        <x:v>Port</x:v>
      </x:c>
      <x:c r="C41" s="42" t="str">
        <x:v>London Medway / Chatham</x:v>
      </x:c>
      <x:c r="D41" s="42" t="str">
        <x:v>United Kingdom</x:v>
      </x:c>
      <x:c r="E41" s="42" t="str">
        <x:v>COMP_PEEL</x:v>
      </x:c>
      <x:c r="F41" s="42" t="str">
        <x:v>Active</x:v>
      </x:c>
    </x:row>
    <x:row r="42">
      <x:c r="A42" s="42" t="str">
        <x:v>UKP026</x:v>
      </x:c>
      <x:c r="B42" s="42" t="str">
        <x:v>Port</x:v>
      </x:c>
      <x:c r="C42" s="42" t="str">
        <x:v>Heysham</x:v>
      </x:c>
      <x:c r="D42" s="42" t="str">
        <x:v>United Kingdom</x:v>
      </x:c>
      <x:c r="E42" s="42" t="str">
        <x:v>COMP_PEEL</x:v>
      </x:c>
      <x:c r="F42" s="42" t="str">
        <x:v>Active</x:v>
      </x:c>
    </x:row>
    <x:row r="43">
      <x:c r="A43" s="42" t="str">
        <x:v>UKP027</x:v>
      </x:c>
      <x:c r="B43" s="42" t="str">
        <x:v>Port</x:v>
      </x:c>
      <x:c r="C43" s="42" t="str">
        <x:v>Great Yarmouth / Port of East Anglia</x:v>
      </x:c>
      <x:c r="D43" s="42" t="str">
        <x:v>United Kingdom</x:v>
      </x:c>
      <x:c r="E43" s="42" t="str">
        <x:v>COMP_PEEL</x:v>
      </x:c>
      <x:c r="F43" s="42" t="str">
        <x:v>Active</x:v>
      </x:c>
    </x:row>
    <x:row r="44">
      <x:c r="A44" s="42" t="str">
        <x:v>UKP028</x:v>
      </x:c>
      <x:c r="B44" s="42" t="str">
        <x:v>Port</x:v>
      </x:c>
      <x:c r="C44" s="42" t="str">
        <x:v>Clydeport</x:v>
      </x:c>
      <x:c r="D44" s="42" t="str">
        <x:v>United Kingdom</x:v>
      </x:c>
      <x:c r="E44" s="42" t="str">
        <x:v>COMP_PEEL</x:v>
      </x:c>
      <x:c r="F44" s="42" t="str">
        <x:v>Active</x:v>
      </x:c>
    </x:row>
    <x:row r="45">
      <x:c r="A45" s="42" t="str">
        <x:v>UKP029</x:v>
      </x:c>
      <x:c r="B45" s="42" t="str">
        <x:v>Port</x:v>
      </x:c>
      <x:c r="C45" s="42" t="str">
        <x:v>Manchester Ship Canal</x:v>
      </x:c>
      <x:c r="D45" s="42" t="str">
        <x:v>United Kingdom</x:v>
      </x:c>
      <x:c r="E45" s="42" t="str">
        <x:v>COMP_PEEL</x:v>
      </x:c>
      <x:c r="F45" s="42" t="str">
        <x:v>Active</x:v>
      </x:c>
    </x:row>
    <x:row r="46">
      <x:c r="A46" s="42" t="str">
        <x:v>UKP030</x:v>
      </x:c>
      <x:c r="B46" s="42" t="str">
        <x:v>Port</x:v>
      </x:c>
      <x:c r="C46" s="42" t="str">
        <x:v>Humber Bulk Terminal</x:v>
      </x:c>
      <x:c r="D46" s="42" t="str">
        <x:v>United Kingdom</x:v>
      </x:c>
      <x:c r="E46" s="42" t="str">
        <x:v>COMP_PEEL</x:v>
      </x:c>
      <x:c r="F46" s="42" t="str">
        <x:v>Active</x:v>
      </x:c>
    </x:row>
    <x:row r="47">
      <x:c r="A47" s="42" t="str">
        <x:v>UKP031</x:v>
      </x:c>
      <x:c r="B47" s="42" t="str">
        <x:v>Port</x:v>
      </x:c>
      <x:c r="C47" s="42" t="str">
        <x:v>Tilbury</x:v>
      </x:c>
      <x:c r="D47" s="42" t="str">
        <x:v>United Kingdom</x:v>
      </x:c>
      <x:c r="E47" s="42" t="str">
        <x:v>COMP_FORTH</x:v>
      </x:c>
      <x:c r="F47" s="42" t="str">
        <x:v>Active</x:v>
      </x:c>
    </x:row>
    <x:row r="48">
      <x:c r="A48" s="42" t="str">
        <x:v>UKP032</x:v>
      </x:c>
      <x:c r="B48" s="42" t="str">
        <x:v>Port</x:v>
      </x:c>
      <x:c r="C48" s="42" t="str">
        <x:v>Grangemouth</x:v>
      </x:c>
      <x:c r="D48" s="42" t="str">
        <x:v>United Kingdom</x:v>
      </x:c>
      <x:c r="E48" s="42" t="str">
        <x:v>COMP_FORTH</x:v>
      </x:c>
      <x:c r="F48" s="42" t="str">
        <x:v>Active</x:v>
      </x:c>
    </x:row>
    <x:row r="49">
      <x:c r="A49" s="42" t="str">
        <x:v>UKP033</x:v>
      </x:c>
      <x:c r="B49" s="42" t="str">
        <x:v>Port</x:v>
      </x:c>
      <x:c r="C49" s="42" t="str">
        <x:v>Dundee</x:v>
      </x:c>
      <x:c r="D49" s="42" t="str">
        <x:v>United Kingdom</x:v>
      </x:c>
      <x:c r="E49" s="42" t="str">
        <x:v>COMP_FORTH</x:v>
      </x:c>
      <x:c r="F49" s="42" t="str">
        <x:v>Active</x:v>
      </x:c>
    </x:row>
    <x:row r="50">
      <x:c r="A50" s="42" t="str">
        <x:v>UKP034</x:v>
      </x:c>
      <x:c r="B50" s="42" t="str">
        <x:v>Port</x:v>
      </x:c>
      <x:c r="C50" s="42" t="str">
        <x:v>Leith</x:v>
      </x:c>
      <x:c r="D50" s="42" t="str">
        <x:v>United Kingdom</x:v>
      </x:c>
      <x:c r="E50" s="42" t="str">
        <x:v>COMP_FORTH</x:v>
      </x:c>
      <x:c r="F50" s="42" t="str">
        <x:v>Active</x:v>
      </x:c>
    </x:row>
    <x:row r="51">
      <x:c r="A51" s="42" t="str">
        <x:v>UKP035</x:v>
      </x:c>
      <x:c r="B51" s="42" t="str">
        <x:v>Port</x:v>
      </x:c>
      <x:c r="C51" s="42" t="str">
        <x:v>Rosyth</x:v>
      </x:c>
      <x:c r="D51" s="42" t="str">
        <x:v>United Kingdom</x:v>
      </x:c>
      <x:c r="E51" s="42" t="str">
        <x:v>COMP_FORTH</x:v>
      </x:c>
      <x:c r="F51" s="42" t="str">
        <x:v>Active</x:v>
      </x:c>
    </x:row>
    <x:row r="52">
      <x:c r="A52" s="42" t="str">
        <x:v>UKP036</x:v>
      </x:c>
      <x:c r="B52" s="42" t="str">
        <x:v>Port</x:v>
      </x:c>
      <x:c r="C52" s="42" t="str">
        <x:v>Methil</x:v>
      </x:c>
      <x:c r="D52" s="42" t="str">
        <x:v>United Kingdom</x:v>
      </x:c>
      <x:c r="E52" s="42" t="str">
        <x:v>COMP_FORTH</x:v>
      </x:c>
      <x:c r="F52" s="42" t="str">
        <x:v>Active</x:v>
      </x:c>
    </x:row>
    <x:row r="53">
      <x:c r="A53" s="42" t="str">
        <x:v>UKP037</x:v>
      </x:c>
      <x:c r="B53" s="42" t="str">
        <x:v>Port</x:v>
      </x:c>
      <x:c r="C53" s="42" t="str">
        <x:v>Burntisland</x:v>
      </x:c>
      <x:c r="D53" s="42" t="str">
        <x:v>United Kingdom</x:v>
      </x:c>
      <x:c r="E53" s="42" t="str">
        <x:v>COMP_FORTH</x:v>
      </x:c>
      <x:c r="F53" s="42" t="str">
        <x:v>Active</x:v>
      </x:c>
    </x:row>
    <x:row r="54">
      <x:c r="A54" s="42" t="str">
        <x:v>UKP038</x:v>
      </x:c>
      <x:c r="B54" s="42" t="str">
        <x:v>Port</x:v>
      </x:c>
      <x:c r="C54" s="42" t="str">
        <x:v>Kirkcaldy</x:v>
      </x:c>
      <x:c r="D54" s="42" t="str">
        <x:v>United Kingdom</x:v>
      </x:c>
      <x:c r="E54" s="42" t="str">
        <x:v>COMP_FORTH</x:v>
      </x:c>
      <x:c r="F54" s="42" t="str">
        <x:v>Active</x:v>
      </x:c>
    </x:row>
    <x:row r="55">
      <x:c r="A55" s="42" t="str">
        <x:v>UKP039</x:v>
      </x:c>
      <x:c r="B55" s="42" t="str">
        <x:v>Port</x:v>
      </x:c>
      <x:c r="C55" s="42" t="str">
        <x:v>Teesport</x:v>
      </x:c>
      <x:c r="D55" s="42" t="str">
        <x:v>United Kingdom</x:v>
      </x:c>
      <x:c r="E55" s="42" t="str">
        <x:v>COMP_PDPORTS</x:v>
      </x:c>
      <x:c r="F55" s="42" t="str">
        <x:v>Active</x:v>
      </x:c>
    </x:row>
    <x:row r="56">
      <x:c r="A56" s="42" t="str">
        <x:v>UKP040</x:v>
      </x:c>
      <x:c r="B56" s="42" t="str">
        <x:v>Port</x:v>
      </x:c>
      <x:c r="C56" s="42" t="str">
        <x:v>Hartlepool</x:v>
      </x:c>
      <x:c r="D56" s="42" t="str">
        <x:v>United Kingdom</x:v>
      </x:c>
      <x:c r="E56" s="42" t="str">
        <x:v>COMP_PDPORTS</x:v>
      </x:c>
      <x:c r="F56" s="42" t="str">
        <x:v>Active</x:v>
      </x:c>
    </x:row>
    <x:row r="57">
      <x:c r="A57" s="42" t="str">
        <x:v>UKP041</x:v>
      </x:c>
      <x:c r="B57" s="42" t="str">
        <x:v>Port</x:v>
      </x:c>
      <x:c r="C57" s="42" t="str">
        <x:v>Billingham</x:v>
      </x:c>
      <x:c r="D57" s="42" t="str">
        <x:v>United Kingdom</x:v>
      </x:c>
      <x:c r="E57" s="42" t="str">
        <x:v>COMP_PDPORTS</x:v>
      </x:c>
      <x:c r="F57" s="42" t="str">
        <x:v>Active</x:v>
      </x:c>
    </x:row>
    <x:row r="58">
      <x:c r="A58" s="42" t="str">
        <x:v>UKP042</x:v>
      </x:c>
      <x:c r="B58" s="42" t="str">
        <x:v>Port</x:v>
      </x:c>
      <x:c r="C58" s="42" t="str">
        <x:v>Teesport Commerce Park</x:v>
      </x:c>
      <x:c r="D58" s="42" t="str">
        <x:v>United Kingdom</x:v>
      </x:c>
      <x:c r="E58" s="42" t="str">
        <x:v>COMP_PDPORTS</x:v>
      </x:c>
      <x:c r="F58" s="42" t="str">
        <x:v>Active</x:v>
      </x:c>
    </x:row>
    <x:row r="59">
      <x:c r="A59" s="42" t="str">
        <x:v>UKP043</x:v>
      </x:c>
      <x:c r="B59" s="42" t="str">
        <x:v>Port</x:v>
      </x:c>
      <x:c r="C59" s="42" t="str">
        <x:v>Keadby</x:v>
      </x:c>
      <x:c r="D59" s="42" t="str">
        <x:v>United Kingdom</x:v>
      </x:c>
      <x:c r="E59" s="42" t="str">
        <x:v>COMP_PDPORTS</x:v>
      </x:c>
      <x:c r="F59" s="42" t="str">
        <x:v>Active</x:v>
      </x:c>
    </x:row>
    <x:row r="60">
      <x:c r="A60" s="42" t="str">
        <x:v>UKP044</x:v>
      </x:c>
      <x:c r="B60" s="42" t="str">
        <x:v>Port</x:v>
      </x:c>
      <x:c r="C60" s="42" t="str">
        <x:v>Immingham</x:v>
      </x:c>
      <x:c r="D60" s="42" t="str">
        <x:v>United Kingdom</x:v>
      </x:c>
      <x:c r="E60" s="42" t="str">
        <x:v>COMP_PDPORTS</x:v>
      </x:c>
      <x:c r="F60" s="42" t="str">
        <x:v>Active</x:v>
      </x:c>
    </x:row>
    <x:row r="61">
      <x:c r="A61" s="42" t="str">
        <x:v>UKP045</x:v>
      </x:c>
      <x:c r="B61" s="42" t="str">
        <x:v>Port</x:v>
      </x:c>
      <x:c r="C61" s="42" t="str">
        <x:v>Howden</x:v>
      </x:c>
      <x:c r="D61" s="42" t="str">
        <x:v>United Kingdom</x:v>
      </x:c>
      <x:c r="E61" s="42" t="str">
        <x:v>COMP_PDPORTS</x:v>
      </x:c>
      <x:c r="F61" s="42" t="str">
        <x:v>Active</x:v>
      </x:c>
    </x:row>
    <x:row r="62">
      <x:c r="A62" s="42" t="str">
        <x:v>UKP046</x:v>
      </x:c>
      <x:c r="B62" s="42" t="str">
        <x:v>Port</x:v>
      </x:c>
      <x:c r="C62" s="42" t="str">
        <x:v>Groveport</x:v>
      </x:c>
      <x:c r="D62" s="42" t="str">
        <x:v>United Kingdom</x:v>
      </x:c>
      <x:c r="E62" s="42" t="str">
        <x:v>COMP_PDPORTS</x:v>
      </x:c>
      <x:c r="F62" s="42" t="str">
        <x:v>Active</x:v>
      </x:c>
    </x:row>
    <x:row r="63">
      <x:c r="A63" s="42" t="str">
        <x:v>UKP047</x:v>
      </x:c>
      <x:c r="B63" s="42" t="str">
        <x:v>Port</x:v>
      </x:c>
      <x:c r="C63" s="42" t="str">
        <x:v>Thames</x:v>
      </x:c>
      <x:c r="D63" s="42" t="str">
        <x:v>United Kingdom</x:v>
      </x:c>
      <x:c r="E63" s="42" t="str">
        <x:v>COMP_PDPORTS</x:v>
      </x:c>
      <x:c r="F63" s="42" t="str">
        <x:v>Active</x:v>
      </x:c>
    </x:row>
    <x:row r="64">
      <x:c r="A64" s="42" t="str">
        <x:v>UKP048</x:v>
      </x:c>
      <x:c r="B64" s="42" t="str">
        <x:v>Port</x:v>
      </x:c>
      <x:c r="C64" s="42" t="str">
        <x:v>Isle of Wight</x:v>
      </x:c>
      <x:c r="D64" s="42" t="str">
        <x:v>United Kingdom</x:v>
      </x:c>
      <x:c r="E64" s="42" t="str">
        <x:v>COMP_PDPORTS</x:v>
      </x:c>
      <x:c r="F64" s="42" t="str">
        <x:v>Active</x:v>
      </x:c>
    </x:row>
    <x:row r="65">
      <x:c r="A65" s="42" t="str">
        <x:v>UKP049</x:v>
      </x:c>
      <x:c r="B65" s="42" t="str">
        <x:v>Port</x:v>
      </x:c>
      <x:c r="C65" s="42" t="str">
        <x:v>Felixstowe</x:v>
      </x:c>
      <x:c r="D65" s="42" t="str">
        <x:v>United Kingdom</x:v>
      </x:c>
      <x:c r="E65" s="42" t="str">
        <x:v>COMP_PDPORTS</x:v>
      </x:c>
      <x:c r="F65" s="42" t="str">
        <x:v>Active</x:v>
      </x:c>
    </x:row>
    <x:row r="66">
      <x:c r="A66" s="42" t="str">
        <x:v>UKP050</x:v>
      </x:c>
      <x:c r="B66" s="42" t="str">
        <x:v>Port</x:v>
      </x:c>
      <x:c r="C66" s="42" t="str">
        <x:v>Port of Felixstowe</x:v>
      </x:c>
      <x:c r="D66" s="42" t="str">
        <x:v>United Kingdom</x:v>
      </x:c>
      <x:c r="E66" s="42" t="str">
        <x:v>COMP_HUTCHISON</x:v>
      </x:c>
      <x:c r="F66" s="42" t="str">
        <x:v>Active</x:v>
      </x:c>
    </x:row>
    <x:row r="67">
      <x:c r="A67" s="42" t="str">
        <x:v>UKP051</x:v>
      </x:c>
      <x:c r="B67" s="42" t="str">
        <x:v>Port</x:v>
      </x:c>
      <x:c r="C67" s="42" t="str">
        <x:v>Harwich International</x:v>
      </x:c>
      <x:c r="D67" s="42" t="str">
        <x:v>United Kingdom</x:v>
      </x:c>
      <x:c r="E67" s="42" t="str">
        <x:v>COMP_HUTCHISON</x:v>
      </x:c>
      <x:c r="F67" s="42" t="str">
        <x:v>Active</x:v>
      </x:c>
    </x:row>
    <x:row r="68">
      <x:c r="A68" s="42" t="str">
        <x:v>UKP052</x:v>
      </x:c>
      <x:c r="B68" s="42" t="str">
        <x:v>Port</x:v>
      </x:c>
      <x:c r="C68" s="42" t="str">
        <x:v>London Thamesport</x:v>
      </x:c>
      <x:c r="D68" s="42" t="str">
        <x:v>United Kingdom</x:v>
      </x:c>
      <x:c r="E68" s="42" t="str">
        <x:v>COMP_HUTCHISON</x:v>
      </x:c>
      <x:c r="F68" s="42" t="str">
        <x:v>Active</x:v>
      </x:c>
    </x:row>
    <x:row r="69">
      <x:c r="A69" s="42" t="str">
        <x:v>UKP053</x:v>
      </x:c>
      <x:c r="B69" s="42" t="str">
        <x:v>Port</x:v>
      </x:c>
      <x:c r="C69" s="42" t="str">
        <x:v>London Gateway</x:v>
      </x:c>
      <x:c r="D69" s="42" t="str">
        <x:v>United Kingdom</x:v>
      </x:c>
      <x:c r="E69" s="42" t="str">
        <x:v>COMP_DPW</x:v>
      </x:c>
      <x:c r="F69" s="42" t="str">
        <x:v>Active</x:v>
      </x:c>
    </x:row>
    <x:row r="70">
      <x:c r="A70" s="42" t="str">
        <x:v>UKP054</x:v>
      </x:c>
      <x:c r="B70" s="42" t="str">
        <x:v>Port</x:v>
      </x:c>
      <x:c r="C70" s="42" t="str">
        <x:v>Southampton Container Terminal</x:v>
      </x:c>
      <x:c r="D70" s="42" t="str">
        <x:v>United Kingdom</x:v>
      </x:c>
      <x:c r="E70" s="42" t="str">
        <x:v>COMP_DPW</x:v>
      </x:c>
      <x:c r="F70" s="42" t="str">
        <x:v>Active</x:v>
      </x:c>
    </x:row>
    <x:row r="71">
      <x:c r="A71" s="42" t="str">
        <x:v>UKP055</x:v>
      </x:c>
      <x:c r="B71" s="42" t="str">
        <x:v>Port</x:v>
      </x:c>
      <x:c r="C71" s="42" t="str">
        <x:v>Avonmouth Dock</x:v>
      </x:c>
      <x:c r="D71" s="42" t="str">
        <x:v>United Kingdom</x:v>
      </x:c>
      <x:c r="E71" s="42" t="str">
        <x:v>COMP_BRISTOL</x:v>
      </x:c>
      <x:c r="F71" s="42" t="str">
        <x:v>Active</x:v>
      </x:c>
    </x:row>
    <x:row r="72">
      <x:c r="A72" s="42" t="str">
        <x:v>UKP056</x:v>
      </x:c>
      <x:c r="B72" s="42" t="str">
        <x:v>Port</x:v>
      </x:c>
      <x:c r="C72" s="42" t="str">
        <x:v>Royal Portbury Dock</x:v>
      </x:c>
      <x:c r="D72" s="42" t="str">
        <x:v>United Kingdom</x:v>
      </x:c>
      <x:c r="E72" s="42" t="str">
        <x:v>COMP_BRISTOL</x:v>
      </x:c>
      <x:c r="F72" s="42" t="str">
        <x:v>Active</x:v>
      </x:c>
    </x:row>
    <x:row r="73">
      <x:c r="A73" s="42" t="str">
        <x:v>AIRCRAFT_0001</x:v>
      </x:c>
      <x:c r="B73" s="42" t="str">
        <x:v>Aircraft</x:v>
      </x:c>
      <x:c r="C73" s="42" t="str">
        <x:v>Airbus A330-200F</x:v>
      </x:c>
      <x:c r="D73" s="42"/>
      <x:c r="E73" s="42" t="str">
        <x:v>COMP_CMA_AIR</x:v>
      </x:c>
      <x:c r="F73" s="42" t="str">
        <x:v>Active</x:v>
      </x:c>
    </x:row>
    <x:row r="74">
      <x:c r="A74" s="42" t="str">
        <x:v>AIRCRAFT_0002</x:v>
      </x:c>
      <x:c r="B74" s="42" t="str">
        <x:v>Aircraft</x:v>
      </x:c>
      <x:c r="C74" s="42" t="str">
        <x:v>Boeing 777F</x:v>
      </x:c>
      <x:c r="D74" s="42"/>
      <x:c r="E74" s="42" t="str">
        <x:v>COMP_CMA_AIR</x:v>
      </x:c>
      <x:c r="F74" s="42" t="str">
        <x:v>Active</x:v>
      </x:c>
    </x:row>
    <x:row r="75">
      <x:c r="A75" s="42" t="str">
        <x:v>YARD_0001</x:v>
      </x:c>
      <x:c r="B75" s="42" t="str">
        <x:v>Shipyard</x:v>
      </x:c>
      <x:c r="C75" s="42" t="str">
        <x:v>New Times Shipbuilding Co. Ltd.</x:v>
      </x:c>
      <x:c r="D75" s="42" t="str">
        <x:v>China</x:v>
      </x:c>
      <x:c r="E75" s="42"/>
      <x:c r="F75" s="42" t="str">
        <x:v>Active</x:v>
      </x:c>
    </x:row>
    <x:row r="76">
      <x:c r="A76" s="42" t="str">
        <x:v>YARD_0002</x:v>
      </x:c>
      <x:c r="B76" s="42" t="str">
        <x:v>Shipyard</x:v>
      </x:c>
      <x:c r="C76" s="42" t="str">
        <x:v>Muggiano Integrated Shipyard</x:v>
      </x:c>
      <x:c r="D76" s="42" t="str">
        <x:v>Italy</x:v>
      </x:c>
      <x:c r="E76" s="42"/>
      <x:c r="F76" s="42" t="str">
        <x:v>Active</x:v>
      </x:c>
    </x:row>
    <x:row r="77">
      <x:c r="A77" s="42" t="str">
        <x:v>PERSON_0016</x:v>
      </x:c>
      <x:c r="B77" s="42" t="str">
        <x:v>Person</x:v>
      </x:c>
      <x:c r="C77" s="42" t="str">
        <x:v>H.E. Dr. Sultan Ahmed Al Jaber</x:v>
      </x:c>
      <x:c r="D77" s="42"/>
      <x:c r="E77" s="42"/>
      <x:c r="F77" s="42" t="str">
        <x:v>Active</x:v>
      </x:c>
    </x:row>
    <x:row r="78">
      <x:c r="A78" s="42" t="str">
        <x:v>PERSON_0017</x:v>
      </x:c>
      <x:c r="B78" s="42" t="str">
        <x:v>Person</x:v>
      </x:c>
      <x:c r="C78" s="42" t="str">
        <x:v>Captain Abdulkareem Al Masabi</x:v>
      </x:c>
      <x:c r="D78" s="42"/>
      <x:c r="E78" s="42"/>
      <x:c r="F78" s="42" t="str">
        <x:v>Active</x:v>
      </x:c>
    </x:row>
    <x:row r="79">
      <x:c r="A79" s="42" t="str">
        <x:v>PERSON_0018</x:v>
      </x:c>
      <x:c r="B79" s="42" t="str">
        <x:v>Person</x:v>
      </x:c>
      <x:c r="C79" s="42" t="str">
        <x:v>Eng. Ahmed Ali Alsubaey</x:v>
      </x:c>
      <x:c r="D79" s="42"/>
      <x:c r="E79" s="42"/>
      <x:c r="F79" s="42" t="str">
        <x:v>Active</x:v>
      </x:c>
    </x:row>
    <x:row r="80">
      <x:c r="A80" s="42" t="str">
        <x:v>PERSON_0019</x:v>
      </x:c>
      <x:c r="B80" s="42" t="str">
        <x:v>Person</x:v>
      </x:c>
      <x:c r="C80" s="42" t="str">
        <x:v>Hisham Al Nughaimish</x:v>
      </x:c>
      <x:c r="D80" s="42"/>
      <x:c r="E80" s="42"/>
      <x:c r="F80" s="42" t="str">
        <x:v>Active</x:v>
      </x:c>
    </x:row>
    <x:row r="81">
      <x:c r="A81" s="42" t="str">
        <x:v>PERSON_0020</x:v>
      </x:c>
      <x:c r="B81" s="42" t="str">
        <x:v>Person</x:v>
      </x:c>
      <x:c r="C81" s="42" t="str">
        <x:v>Faisal Al Husseini</x:v>
      </x:c>
      <x:c r="D81" s="42"/>
      <x:c r="E81" s="42"/>
      <x:c r="F81" s="42" t="str">
        <x:v>Active</x:v>
      </x:c>
    </x:row>
    <x:row r="82">
      <x:c r="A82" s="42" t="str">
        <x:v>PERSON_0021</x:v>
      </x:c>
      <x:c r="B82" s="42" t="str">
        <x:v>Person</x:v>
      </x:c>
      <x:c r="C82" s="42" t="str">
        <x:v>Khalid Alhammad</x:v>
      </x:c>
      <x:c r="D82" s="42"/>
      <x:c r="E82" s="42"/>
      <x:c r="F82" s="42" t="str">
        <x:v>Active</x:v>
      </x:c>
    </x:row>
    <x:row r="83">
      <x:c r="A83" s="42" t="str">
        <x:v>PERSON_0022</x:v>
      </x:c>
      <x:c r="B83" s="42" t="str">
        <x:v>Person</x:v>
      </x:c>
      <x:c r="C83" s="42" t="str">
        <x:v>Mohit Sibal</x:v>
      </x:c>
      <x:c r="D83" s="42"/>
      <x:c r="E83" s="42"/>
      <x:c r="F83" s="42" t="str">
        <x:v>Active</x:v>
      </x:c>
    </x:row>
    <x:row r="84">
      <x:c r="A84" s="42" t="str">
        <x:v>PERSON_0023</x:v>
      </x:c>
      <x:c r="B84" s="42" t="str">
        <x:v>Person</x:v>
      </x:c>
      <x:c r="C84" s="42" t="str">
        <x:v>Eng. Abdullah Al-Sulaiti</x:v>
      </x:c>
      <x:c r="D84" s="42"/>
      <x:c r="E84" s="42"/>
      <x:c r="F84" s="42" t="str">
        <x:v>Active</x:v>
      </x:c>
    </x:row>
    <x:row r="85">
      <x:c r="A85" s="42" t="str">
        <x:v>PERSON_0024</x:v>
      </x:c>
      <x:c r="B85" s="42" t="str">
        <x:v>Person</x:v>
      </x:c>
      <x:c r="C85" s="42" t="str">
        <x:v>Fahad Saad Al-Qahtani</x:v>
      </x:c>
      <x:c r="D85" s="42"/>
      <x:c r="E85" s="42"/>
      <x:c r="F85" s="42" t="str">
        <x:v>Active</x:v>
      </x:c>
    </x:row>
    <x:row r="86">
      <x:c r="A86" s="42" t="str">
        <x:v>PERSON_0025</x:v>
      </x:c>
      <x:c r="B86" s="42" t="str">
        <x:v>Person</x:v>
      </x:c>
      <x:c r="C86" s="42" t="str">
        <x:v>Kris Brusselmans</x:v>
      </x:c>
      <x:c r="D86" s="42"/>
      <x:c r="E86" s="42"/>
      <x:c r="F86" s="42" t="str">
        <x:v>Active</x:v>
      </x:c>
    </x:row>
    <x:row r="87">
      <x:c r="A87" s="42" t="str">
        <x:v>PERSON_0026</x:v>
      </x:c>
      <x:c r="B87" s="42" t="str">
        <x:v>Person</x:v>
      </x:c>
      <x:c r="C87" s="42" t="str">
        <x:v>Saad Sherida Al-Kaabi</x:v>
      </x:c>
      <x:c r="D87" s="42"/>
      <x:c r="E87" s="42"/>
      <x:c r="F87" s="42" t="str">
        <x:v>Active</x:v>
      </x:c>
    </x:row>
    <x:row r="88">
      <x:c r="A88" s="42" t="str">
        <x:v>PERSON_0027</x:v>
      </x:c>
      <x:c r="B88" s="42" t="str">
        <x:v>Person</x:v>
      </x:c>
      <x:c r="C88" s="42" t="str">
        <x:v>Wang Chuanfu</x:v>
      </x:c>
      <x:c r="D88" s="42"/>
      <x:c r="E88" s="42"/>
      <x:c r="F88" s="42" t="str">
        <x:v>Active</x:v>
      </x:c>
    </x:row>
    <x:row r="89">
      <x:c r="A89" s="42" t="str">
        <x:v>PERSON_0028</x:v>
      </x:c>
      <x:c r="B89" s="42" t="str">
        <x:v>Person</x:v>
      </x:c>
      <x:c r="C89" s="42" t="str">
        <x:v>Eli Glickman</x:v>
      </x:c>
      <x:c r="D89" s="42"/>
      <x:c r="E89" s="42"/>
      <x:c r="F89" s="42" t="str">
        <x:v>Active</x:v>
      </x:c>
    </x:row>
    <x:row r="90">
      <x:c r="A90" s="42" t="str">
        <x:v>PERSON_0029</x:v>
      </x:c>
      <x:c r="B90" s="42" t="str">
        <x:v>Person</x:v>
      </x:c>
      <x:c r="C90" s="42" t="str">
        <x:v>Tae-Soon Chung</x:v>
      </x:c>
      <x:c r="D90" s="42"/>
      <x:c r="E90" s="42"/>
      <x:c r="F90" s="42" t="str">
        <x:v>Active</x:v>
      </x:c>
    </x:row>
    <x:row r="91">
      <x:c r="A91" s="42" t="str">
        <x:v>PERSON_0030</x:v>
      </x:c>
      <x:c r="B91" s="42" t="str">
        <x:v>Person</x:v>
      </x:c>
      <x:c r="C91" s="42" t="str">
        <x:v>Chang-Won Kum</x:v>
      </x:c>
      <x:c r="D91" s="42"/>
      <x:c r="E91" s="42"/>
      <x:c r="F91" s="42" t="str">
        <x:v>Active</x:v>
      </x:c>
    </x:row>
    <x:row r="92">
      <x:c r="A92" s="42" t="str">
        <x:v>PERSON_0031</x:v>
      </x:c>
      <x:c r="B92" s="42" t="str">
        <x:v>Person</x:v>
      </x:c>
      <x:c r="C92" s="42" t="str">
        <x:v>Murray Auchincloss</x:v>
      </x:c>
      <x:c r="D92" s="42"/>
      <x:c r="E92" s="42"/>
      <x:c r="F92" s="42" t="str">
        <x:v>Active</x:v>
      </x:c>
    </x:row>
    <x:row r="93">
      <x:c r="A93" s="42" t="str">
        <x:v>PERSON_0032</x:v>
      </x:c>
      <x:c r="B93" s="42" t="str">
        <x:v>Person</x:v>
      </x:c>
      <x:c r="C93" s="42" t="str">
        <x:v>Mike Wirth</x:v>
      </x:c>
      <x:c r="D93" s="42"/>
      <x:c r="E93" s="42"/>
      <x:c r="F93" s="42" t="str">
        <x:v>Active</x:v>
      </x:c>
    </x:row>
    <x:row r="94">
      <x:c r="A94" s="42" t="str">
        <x:v>PERSON_0033</x:v>
      </x:c>
      <x:c r="B94" s="42" t="str">
        <x:v>Person</x:v>
      </x:c>
      <x:c r="C94" s="42" t="str">
        <x:v>Darren Woods</x:v>
      </x:c>
      <x:c r="D94" s="42"/>
      <x:c r="E94" s="42"/>
      <x:c r="F94" s="42" t="str">
        <x:v>Active</x:v>
      </x:c>
    </x:row>
    <x:row r="95">
      <x:c r="A95" s="42" t="str">
        <x:v>YARD_0003</x:v>
      </x:c>
      <x:c r="B95" s="42" t="str">
        <x:v>Shipyard</x:v>
      </x:c>
      <x:c r="C95" s="42" t="str">
        <x:v>Jiangnan Shipyard</x:v>
      </x:c>
      <x:c r="D95" s="42" t="str">
        <x:v>China</x:v>
      </x:c>
      <x:c r="E95" s="42"/>
      <x:c r="F95" s="42" t="str">
        <x:v>Active</x:v>
      </x:c>
    </x:row>
    <x:row r="96">
      <x:c r="A96" s="42" t="str">
        <x:v>YARD_0004</x:v>
      </x:c>
      <x:c r="B96" s="42" t="str">
        <x:v>Shipyard</x:v>
      </x:c>
      <x:c r="C96" s="42" t="str">
        <x:v>Samsung Heavy Industries</x:v>
      </x:c>
      <x:c r="D96" s="42" t="str">
        <x:v>South Korea</x:v>
      </x:c>
      <x:c r="E96" s="42"/>
      <x:c r="F96" s="42" t="str">
        <x:v>Active</x:v>
      </x:c>
    </x:row>
    <x:row r="97">
      <x:c r="A97" s="42" t="str">
        <x:v>YARD_0005</x:v>
      </x:c>
      <x:c r="B97" s="42" t="str">
        <x:v>Shipyard</x:v>
      </x:c>
      <x:c r="C97" s="42" t="str">
        <x:v>Hanwha Ocean</x:v>
      </x:c>
      <x:c r="D97" s="42" t="str">
        <x:v>South Korea</x:v>
      </x:c>
      <x:c r="E97" s="42"/>
      <x:c r="F97" s="42" t="str">
        <x:v>Active</x:v>
      </x:c>
    </x:row>
    <x:row r="98">
      <x:c r="A98" s="42" t="str">
        <x:v>YARD_0006</x:v>
      </x:c>
      <x:c r="B98" s="42" t="str">
        <x:v>Shipyard</x:v>
      </x:c>
      <x:c r="C98" s="42" t="str">
        <x:v>Hyundai Heavy Industries</x:v>
      </x:c>
      <x:c r="D98" s="42" t="str">
        <x:v>South Korea</x:v>
      </x:c>
      <x:c r="E98" s="42"/>
      <x:c r="F98" s="42" t="str">
        <x:v>Active</x:v>
      </x:c>
    </x:row>
    <x:row r="99">
      <x:c r="A99" s="42" t="str">
        <x:v>YARD_0007</x:v>
      </x:c>
      <x:c r="B99" s="42" t="str">
        <x:v>Shipyard</x:v>
      </x:c>
      <x:c r="C99" s="42" t="str">
        <x:v>HD Hyundai Samho Heavy Industries</x:v>
      </x:c>
      <x:c r="D99" s="42" t="str">
        <x:v>South Korea</x:v>
      </x:c>
      <x:c r="E99" s="42"/>
      <x:c r="F99" s="42" t="str">
        <x:v>Active</x:v>
      </x:c>
    </x:row>
    <x:row r="100">
      <x:c r="A100" s="42" t="str">
        <x:v>YARD_0008</x:v>
      </x:c>
      <x:c r="B100" s="42" t="str">
        <x:v>Shipyard</x:v>
      </x:c>
      <x:c r="C100" s="42" t="str">
        <x:v>Hudong-Zhonghua Shipbuilding</x:v>
      </x:c>
      <x:c r="D100" s="42" t="str">
        <x:v>China</x:v>
      </x:c>
      <x:c r="E100" s="42"/>
      <x:c r="F100" s="42" t="str">
        <x:v>Active</x:v>
      </x:c>
    </x:row>
    <x:row r="101">
      <x:c r="A101" s="42" t="str">
        <x:v>YARD_0009</x:v>
      </x:c>
      <x:c r="B101" s="42" t="str">
        <x:v>Shipyard</x:v>
      </x:c>
      <x:c r="C101" s="42" t="str">
        <x:v>Jingling Shipyard</x:v>
      </x:c>
      <x:c r="D101" s="42" t="str">
        <x:v>China</x:v>
      </x:c>
      <x:c r="E101" s="42"/>
      <x:c r="F101" s="42" t="str">
        <x:v>Active</x:v>
      </x:c>
    </x:row>
    <x:row r="102">
      <x:c r="A102" s="42" t="str">
        <x:v>YARD_0010</x:v>
      </x:c>
      <x:c r="B102" s="42" t="str">
        <x:v>Shipyard</x:v>
      </x:c>
      <x:c r="C102" s="42" t="str">
        <x:v>International Maritime Industries (IMI)</x:v>
      </x:c>
      <x:c r="D102" s="42" t="str">
        <x:v>Saudi Arabia</x:v>
      </x:c>
      <x:c r="E102" s="42"/>
      <x:c r="F102" s="42" t="str">
        <x:v>Active</x:v>
      </x:c>
    </x:row>
    <x:row r="103">
      <x:c r="A103" s="42" t="str">
        <x:v>YARD_0011</x:v>
      </x:c>
      <x:c r="B103" s="42" t="str">
        <x:v>Shipyard</x:v>
      </x:c>
      <x:c r="C103" s="42" t="str">
        <x:v>China Merchants Jinling Shipyard (Jiangsu) Co Ltd</x:v>
      </x:c>
      <x:c r="D103" s="42" t="str">
        <x:v>China</x:v>
      </x:c>
      <x:c r="E103" s="42"/>
      <x:c r="F103" s="42" t="str">
        <x:v>Active</x:v>
      </x:c>
    </x:row>
    <x:row r="104">
      <x:c r="A104" s="42" t="str">
        <x:v>YARD_0012</x:v>
      </x:c>
      <x:c r="B104" s="42" t="str">
        <x:v>Shipyard</x:v>
      </x:c>
      <x:c r="C104" s="42" t="str">
        <x:v>China Merchants Heavy Industry (Jiangsu) Co Ltd</x:v>
      </x:c>
      <x:c r="D104" s="42" t="str">
        <x:v>China</x:v>
      </x:c>
      <x:c r="E104" s="42"/>
      <x:c r="F104" s="42" t="str">
        <x:v>Active</x:v>
      </x:c>
    </x:row>
    <x:row r="105">
      <x:c r="A105" s="42" t="str">
        <x:v>YARD_0013</x:v>
      </x:c>
      <x:c r="B105" s="42" t="str">
        <x:v>Shipyard</x:v>
      </x:c>
      <x:c r="C105" s="42" t="str">
        <x:v>Guangzhou Shipyard International</x:v>
      </x:c>
      <x:c r="D105" s="42" t="str">
        <x:v>China</x:v>
      </x:c>
      <x:c r="E105" s="42"/>
      <x:c r="F105" s="42" t="str">
        <x:v>Active</x:v>
      </x:c>
    </x:row>
    <x:row r="106">
      <x:c r="A106" s="42" t="str">
        <x:v>YARD_0014</x:v>
      </x:c>
      <x:c r="B106" s="42" t="str">
        <x:v>Shipyard</x:v>
      </x:c>
      <x:c r="C106" s="42" t="str">
        <x:v>CIMC Raffles / Yantai Raffles</x:v>
      </x:c>
      <x:c r="D106" s="42" t="str">
        <x:v>China</x:v>
      </x:c>
      <x:c r="E106" s="42"/>
      <x:c r="F106" s="42" t="str">
        <x:v>Active</x:v>
      </x:c>
    </x:row>
    <x:row r="107">
      <x:c r="A107" s="42" t="str">
        <x:v>YARD_0015</x:v>
      </x:c>
      <x:c r="B107" s="42" t="str">
        <x:v>Shipyard</x:v>
      </x:c>
      <x:c r="C107" s="42" t="str">
        <x:v>Zhoushan Changhong International Shipyard</x:v>
      </x:c>
      <x:c r="D107" s="42" t="str">
        <x:v>China</x:v>
      </x:c>
      <x:c r="E107" s="42"/>
      <x:c r="F107" s="42" t="str">
        <x:v>Active</x:v>
      </x:c>
    </x:row>
    <x:row r="108">
      <x:c r="A108" s="42" t="str">
        <x:v>YARD_0016</x:v>
      </x:c>
      <x:c r="B108" s="42" t="str">
        <x:v>Shipyard</x:v>
      </x:c>
      <x:c r="C108" s="42" t="str">
        <x:v>Hyundai Mipo Dockyard</x:v>
      </x:c>
      <x:c r="D108" s="42" t="str">
        <x:v>South Korea</x:v>
      </x:c>
      <x:c r="E108" s="42"/>
      <x:c r="F108" s="42" t="str">
        <x:v>Active</x:v>
      </x:c>
    </x:row>
    <x:row r="109">
      <x:c r="A109" s="42" t="str">
        <x:v>YARD_0017</x:v>
      </x:c>
      <x:c r="B109" s="42" t="str">
        <x:v>Shipyard</x:v>
      </x:c>
      <x:c r="C109" s="42" t="str">
        <x:v>Jiangsu Zhenjiang Shipyard</x:v>
      </x:c>
      <x:c r="D109" s="42" t="str">
        <x:v>China</x:v>
      </x:c>
      <x:c r="E109" s="42"/>
      <x:c r="F109" s="42" t="str">
        <x:v>Active</x:v>
      </x:c>
    </x:row>
    <x:row r="110">
      <x:c r="A110" s="42" t="str">
        <x:v>YARD_0018</x:v>
      </x:c>
      <x:c r="B110" s="42" t="str">
        <x:v>Shipyard</x:v>
      </x:c>
      <x:c r="C110" s="42" t="str">
        <x:v>Wenchong Shipyard</x:v>
      </x:c>
      <x:c r="D110" s="42" t="str">
        <x:v>China</x:v>
      </x:c>
      <x:c r="E110" s="42"/>
      <x:c r="F110" s="42" t="str">
        <x:v>Active</x:v>
      </x:c>
    </x:row>
    <x:row r="111">
      <x:c r="A111" s="42" t="str">
        <x:v>YARD_0019</x:v>
      </x:c>
      <x:c r="B111" s="42" t="str">
        <x:v>Shipyard</x:v>
      </x:c>
      <x:c r="C111" s="42" t="str">
        <x:v>Fujian Mawei Shipbuilding</x:v>
      </x:c>
      <x:c r="D111" s="42" t="str">
        <x:v>China</x:v>
      </x:c>
      <x:c r="E111" s="42"/>
      <x:c r="F111" s="42" t="str">
        <x:v>Active</x:v>
      </x:c>
    </x:row>
    <x:row r="112">
      <x:c r="A112" s="42" t="str">
        <x:v>YARD_0020</x:v>
      </x:c>
      <x:c r="B112" s="42" t="str">
        <x:v>Shipyard</x:v>
      </x:c>
      <x:c r="C112" s="42" t="str">
        <x:v>Taizhou Kouan Shipbuilding</x:v>
      </x:c>
      <x:c r="D112" s="42" t="str">
        <x:v>China</x:v>
      </x:c>
      <x:c r="E112" s="42"/>
      <x:c r="F112" s="42" t="str">
        <x:v>Active</x:v>
      </x:c>
    </x:row>
    <x:row r="113">
      <x:c r="A113" s="42" t="str">
        <x:v>YARD_0021</x:v>
      </x:c>
      <x:c r="B113" s="42" t="str">
        <x:v>Shipyard</x:v>
      </x:c>
      <x:c r="C113" s="42" t="str">
        <x:v>Volkswerft Stralsund</x:v>
      </x:c>
      <x:c r="D113" s="42" t="str">
        <x:v>Germany</x:v>
      </x:c>
      <x:c r="E113" s="42"/>
      <x:c r="F113" s="42" t="str">
        <x:v>Active</x:v>
      </x:c>
    </x:row>
    <x:row r="114">
      <x:c r="A114" s="42" t="str">
        <x:v>YARD_0022</x:v>
      </x:c>
      <x:c r="B114" s="42" t="str">
        <x:v>Shipyard</x:v>
      </x:c>
      <x:c r="C114" s="42" t="str">
        <x:v>Murakami Hide Shipyard</x:v>
      </x:c>
      <x:c r="D114" s="42" t="str">
        <x:v>Japan</x:v>
      </x:c>
      <x:c r="E114" s="42"/>
      <x:c r="F114" s="42" t="str">
        <x:v>Active</x:v>
      </x:c>
    </x:row>
    <x:row r="115">
      <x:c r="A115" s="42" t="str">
        <x:v>YARD_0023</x:v>
      </x:c>
      <x:c r="B115" s="42" t="str">
        <x:v>Shipyard</x:v>
      </x:c>
      <x:c r="C115" s="42" t="str">
        <x:v>Sungdong Shipbuilding &amp; Marine Engineering</x:v>
      </x:c>
      <x:c r="D115" s="42" t="str">
        <x:v>South Korea</x:v>
      </x:c>
      <x:c r="E115" s="42"/>
      <x:c r="F115" s="42" t="str">
        <x:v>Active</x:v>
      </x:c>
    </x:row>
    <x:row r="116">
      <x:c r="A116" s="42" t="str">
        <x:v>YARD_0024</x:v>
      </x:c>
      <x:c r="B116" s="42" t="str">
        <x:v>Shipyard</x:v>
      </x:c>
      <x:c r="C116" s="42" t="str">
        <x:v>Kyokuyo Shipyard</x:v>
      </x:c>
      <x:c r="D116" s="42" t="str">
        <x:v>Japan</x:v>
      </x:c>
      <x:c r="E116" s="42"/>
      <x:c r="F116" s="42" t="str">
        <x:v>Active</x:v>
      </x:c>
    </x:row>
    <x:row r="117">
      <x:c r="A117" s="42" t="str">
        <x:v>YARD_0025</x:v>
      </x:c>
      <x:c r="B117" s="42" t="str">
        <x:v>Shipyard</x:v>
      </x:c>
      <x:c r="C117" s="42" t="str">
        <x:v>Fukuoka Shipbuilding</x:v>
      </x:c>
      <x:c r="D117" s="42" t="str">
        <x:v>Japan</x:v>
      </x:c>
      <x:c r="E117" s="42"/>
      <x:c r="F117" s="42" t="str">
        <x:v>Active</x:v>
      </x:c>
    </x:row>
    <x:row r="118">
      <x:c r="A118" s="42" t="str">
        <x:v>YARD_0026</x:v>
      </x:c>
      <x:c r="B118" s="42" t="str">
        <x:v>Shipyard</x:v>
      </x:c>
      <x:c r="C118" s="42" t="str">
        <x:v>Usuki Shipyard</x:v>
      </x:c>
      <x:c r="D118" s="42" t="str">
        <x:v>Japan</x:v>
      </x:c>
      <x:c r="E118" s="42"/>
      <x:c r="F118" s="42" t="str">
        <x:v>Active</x:v>
      </x:c>
    </x:row>
    <x:row r="119">
      <x:c r="A119" s="42" t="str">
        <x:v>VESSEL_00001</x:v>
      </x:c>
      <x:c r="B119" s="42" t="str">
        <x:v>Vessel</x:v>
      </x:c>
      <x:c r="C119" s="42" t="str">
        <x:v>UGR Al Samha</x:v>
      </x:c>
      <x:c r="D119" s="42"/>
      <x:c r="E119" s="42" t="str">
        <x:v>COMP_UGR</x:v>
      </x:c>
      <x:c r="F119" s="42" t="str">
        <x:v>Operating</x:v>
      </x:c>
    </x:row>
    <x:row r="120">
      <x:c r="A120" s="42" t="str">
        <x:v>VESSEL_00002</x:v>
      </x:c>
      <x:c r="B120" s="42" t="str">
        <x:v>Vessel</x:v>
      </x:c>
      <x:c r="C120" s="42" t="str">
        <x:v>UGR Zakher</x:v>
      </x:c>
      <x:c r="D120" s="42"/>
      <x:c r="E120" s="42" t="str">
        <x:v>COMP_UGR</x:v>
      </x:c>
      <x:c r="F120" s="42" t="str">
        <x:v>Operating</x:v>
      </x:c>
    </x:row>
    <x:row r="121">
      <x:c r="A121" s="42" t="str">
        <x:v>VESSEL_00003</x:v>
      </x:c>
      <x:c r="B121" s="42" t="str">
        <x:v>Vessel</x:v>
      </x:c>
      <x:c r="C121" s="42" t="str">
        <x:v>UGR Al Reef</x:v>
      </x:c>
      <x:c r="D121" s="42"/>
      <x:c r="E121" s="42" t="str">
        <x:v>COMP_UGR</x:v>
      </x:c>
      <x:c r="F121" s="42" t="str">
        <x:v>Operating</x:v>
      </x:c>
    </x:row>
    <x:row r="122">
      <x:c r="A122" s="42" t="str">
        <x:v>VESSEL_00004</x:v>
      </x:c>
      <x:c r="B122" s="42" t="str">
        <x:v>Vessel</x:v>
      </x:c>
      <x:c r="C122" s="42" t="str">
        <x:v>Al Jubail</x:v>
      </x:c>
      <x:c r="D122" s="42"/>
      <x:c r="E122" s="42" t="str">
        <x:v>COMP_UGR</x:v>
      </x:c>
      <x:c r="F122" s="42" t="str">
        <x:v>Operating</x:v>
      </x:c>
    </x:row>
    <x:row r="123">
      <x:c r="A123" s="42" t="str">
        <x:v>VESSEL_00005</x:v>
      </x:c>
      <x:c r="B123" s="42" t="str">
        <x:v>Vessel</x:v>
      </x:c>
      <x:c r="C123" s="42" t="str">
        <x:v>Ramhan</x:v>
      </x:c>
      <x:c r="D123" s="42"/>
      <x:c r="E123" s="42" t="str">
        <x:v>COMP_UGR</x:v>
      </x:c>
      <x:c r="F123" s="42" t="str">
        <x:v>Operating</x:v>
      </x:c>
    </x:row>
    <x:row r="124">
      <x:c r="A124" s="42" t="str">
        <x:v>VESSEL_00006</x:v>
      </x:c>
      <x:c r="B124" s="42" t="str">
        <x:v>Vessel</x:v>
      </x:c>
      <x:c r="C124" s="42" t="str">
        <x:v>UGR Arabian Gulf</x:v>
      </x:c>
      <x:c r="D124" s="42"/>
      <x:c r="E124" s="42" t="str">
        <x:v>COMP_UGR</x:v>
      </x:c>
      <x:c r="F124" s="42" t="str">
        <x:v>Operating</x:v>
      </x:c>
    </x:row>
    <x:row r="125">
      <x:c r="A125" s="42" t="str">
        <x:v>VESSEL_00007</x:v>
      </x:c>
      <x:c r="B125" s="42" t="str">
        <x:v>Vessel</x:v>
      </x:c>
      <x:c r="C125" s="42" t="str">
        <x:v>Erk İzmir</x:v>
      </x:c>
      <x:c r="D125" s="42"/>
      <x:c r="E125" s="42" t="str">
        <x:v>COMP_UGR</x:v>
      </x:c>
      <x:c r="F125" s="42" t="str">
        <x:v>Operating</x:v>
      </x:c>
    </x:row>
    <x:row r="126">
      <x:c r="A126" s="42" t="str">
        <x:v>VESSEL_00008</x:v>
      </x:c>
      <x:c r="B126" s="42" t="str">
        <x:v>Vessel</x:v>
      </x:c>
      <x:c r="C126" s="42" t="str">
        <x:v>Abu Samrah</x:v>
      </x:c>
      <x:c r="D126" s="42"/>
      <x:c r="E126" s="42" t="str">
        <x:v>COMP_UGR</x:v>
      </x:c>
      <x:c r="F126" s="42" t="str">
        <x:v>Operating</x:v>
      </x:c>
    </x:row>
    <x:row r="127">
      <x:c r="A127" s="42" t="str">
        <x:v>VESSEL_00009</x:v>
      </x:c>
      <x:c r="B127" s="42" t="str">
        <x:v>Vessel</x:v>
      </x:c>
      <x:c r="C127" s="42" t="str">
        <x:v>UGR İstanbul</x:v>
      </x:c>
      <x:c r="D127" s="42"/>
      <x:c r="E127" s="42" t="str">
        <x:v>COMP_UGR</x:v>
      </x:c>
      <x:c r="F127" s="42" t="str">
        <x:v>Operating</x:v>
      </x:c>
    </x:row>
    <x:row r="128">
      <x:c r="A128" s="42" t="str">
        <x:v>VESSEL_00010</x:v>
      </x:c>
      <x:c r="B128" s="42" t="str">
        <x:v>Vessel</x:v>
      </x:c>
      <x:c r="C128" s="42" t="str">
        <x:v>Saffet Bey</x:v>
      </x:c>
      <x:c r="D128" s="42"/>
      <x:c r="E128" s="42" t="str">
        <x:v>COMP_UGR</x:v>
      </x:c>
      <x:c r="F128" s="42" t="str">
        <x:v>Operating</x:v>
      </x:c>
    </x:row>
    <x:row r="129">
      <x:c r="A129" s="42" t="str">
        <x:v>VESSEL_00011</x:v>
      </x:c>
      <x:c r="B129" s="42" t="str">
        <x:v>Vessel</x:v>
      </x:c>
      <x:c r="C129" s="42" t="str">
        <x:v>Super Fast Baleares</x:v>
      </x:c>
      <x:c r="D129" s="42"/>
      <x:c r="E129" s="42" t="str">
        <x:v>COMP_UGR</x:v>
      </x:c>
      <x:c r="F129" s="42" t="str">
        <x:v>Operating</x:v>
      </x:c>
    </x:row>
    <x:row r="130">
      <x:c r="A130" s="42" t="str">
        <x:v>VESSEL_00012</x:v>
      </x:c>
      <x:c r="B130" s="42" t="str">
        <x:v>Vessel</x:v>
      </x:c>
      <x:c r="C130" s="42" t="str">
        <x:v>Chang Sheng Hong</x:v>
      </x:c>
      <x:c r="D130" s="42"/>
      <x:c r="E130" s="42" t="str">
        <x:v>COMP_UGR</x:v>
      </x:c>
      <x:c r="F130" s="42" t="str">
        <x:v>Operating</x:v>
      </x:c>
    </x:row>
    <x:row r="131">
      <x:c r="A131" s="42" t="str">
        <x:v>VESSEL_00013</x:v>
      </x:c>
      <x:c r="B131" s="42" t="str">
        <x:v>Vessel</x:v>
      </x:c>
      <x:c r="C131" s="42" t="str">
        <x:v>JINANAH</x:v>
      </x:c>
      <x:c r="D131" s="42"/>
      <x:c r="E131" s="42" t="str">
        <x:v>COMP_UGR</x:v>
      </x:c>
      <x:c r="F131" s="42" t="str">
        <x:v>Operating</x:v>
      </x:c>
    </x:row>
    <x:row r="132">
      <x:c r="A132" s="42" t="str">
        <x:v>VESSEL_00014</x:v>
      </x:c>
      <x:c r="B132" s="42" t="str">
        <x:v>Vessel</x:v>
      </x:c>
      <x:c r="C132" s="42" t="str">
        <x:v>SDERIA</x:v>
      </x:c>
      <x:c r="D132" s="42"/>
      <x:c r="E132" s="42" t="str">
        <x:v>COMP_UGR</x:v>
      </x:c>
      <x:c r="F132" s="42" t="str">
        <x:v>Operating</x:v>
      </x:c>
    </x:row>
    <x:row r="133">
      <x:c r="A133" s="42" t="str">
        <x:v>VESSEL_00015</x:v>
      </x:c>
      <x:c r="B133" s="42" t="str">
        <x:v>Vessel</x:v>
      </x:c>
      <x:c r="C133" s="42" t="str">
        <x:v>CMA CGM MONTE CRISTO</x:v>
      </x:c>
      <x:c r="D133" s="42"/>
      <x:c r="E133" s="42" t="str">
        <x:v>COMP_CMA_CGM</x:v>
      </x:c>
      <x:c r="F133" s="42" t="str">
        <x:v>Operating</x:v>
      </x:c>
    </x:row>
    <x:row r="134">
      <x:c r="A134" s="42" t="str">
        <x:v>VESSEL_00016</x:v>
      </x:c>
      <x:c r="B134" s="42" t="str">
        <x:v>Vessel</x:v>
      </x:c>
      <x:c r="C134" s="42" t="str">
        <x:v>Al Sadaf</x:v>
      </x:c>
      <x:c r="D134" s="42"/>
      <x:c r="E134" s="42" t="str">
        <x:v>COMP_ADNOC_LS</x:v>
      </x:c>
      <x:c r="F134" s="42" t="str">
        <x:v>Operating</x:v>
      </x:c>
    </x:row>
    <x:row r="135">
      <x:c r="A135" s="42" t="str">
        <x:v>VESSEL_00017</x:v>
      </x:c>
      <x:c r="B135" s="42" t="str">
        <x:v>Vessel</x:v>
      </x:c>
      <x:c r="C135" s="42" t="str">
        <x:v>Arada</x:v>
      </x:c>
      <x:c r="D135" s="42"/>
      <x:c r="E135" s="42" t="str">
        <x:v>COMP_ADNOC_LS</x:v>
      </x:c>
      <x:c r="F135" s="42" t="str">
        <x:v>Operating</x:v>
      </x:c>
    </x:row>
    <x:row r="136">
      <x:c r="A136" s="42" t="str">
        <x:v>VESSEL_00018</x:v>
      </x:c>
      <x:c r="B136" s="42" t="str">
        <x:v>Vessel</x:v>
      </x:c>
      <x:c r="C136" s="42" t="str">
        <x:v>Al Taweelah</x:v>
      </x:c>
      <x:c r="D136" s="42"/>
      <x:c r="E136" s="42" t="str">
        <x:v>COMP_ADNOC_LS</x:v>
      </x:c>
      <x:c r="F136" s="42" t="str">
        <x:v>Operating</x:v>
      </x:c>
    </x:row>
    <x:row r="137">
      <x:c r="A137" s="42" t="str">
        <x:v>VESSEL_00019</x:v>
      </x:c>
      <x:c r="B137" s="42" t="str">
        <x:v>Vessel</x:v>
      </x:c>
      <x:c r="C137" s="42" t="str">
        <x:v>Al Hamra</x:v>
      </x:c>
      <x:c r="D137" s="42"/>
      <x:c r="E137" s="42" t="str">
        <x:v>COMP_ADNOC_LS</x:v>
      </x:c>
      <x:c r="F137" s="42" t="str">
        <x:v>Operating</x:v>
      </x:c>
    </x:row>
    <x:row r="138">
      <x:c r="A138" s="42" t="str">
        <x:v>VESSEL_00020</x:v>
      </x:c>
      <x:c r="B138" s="42" t="str">
        <x:v>Vessel</x:v>
      </x:c>
      <x:c r="C138" s="42" t="str">
        <x:v>Al Rahba</x:v>
      </x:c>
      <x:c r="D138" s="42"/>
      <x:c r="E138" s="42" t="str">
        <x:v>COMP_ADNOC_LS</x:v>
      </x:c>
      <x:c r="F138" s="42" t="str">
        <x:v>Operating</x:v>
      </x:c>
    </x:row>
    <x:row r="139">
      <x:c r="A139" s="42" t="str">
        <x:v>VESSEL_00021</x:v>
      </x:c>
      <x:c r="B139" s="42" t="str">
        <x:v>Vessel</x:v>
      </x:c>
      <x:c r="C139" s="42" t="str">
        <x:v>Al Reef</x:v>
      </x:c>
      <x:c r="D139" s="42"/>
      <x:c r="E139" s="42" t="str">
        <x:v>COMP_ADNOC_LS</x:v>
      </x:c>
      <x:c r="F139" s="42" t="str">
        <x:v>Operating</x:v>
      </x:c>
    </x:row>
    <x:row r="140">
      <x:c r="A140" s="42" t="str">
        <x:v>VESSEL_00022</x:v>
      </x:c>
      <x:c r="B140" s="42" t="str">
        <x:v>Vessel</x:v>
      </x:c>
      <x:c r="C140" s="42" t="str">
        <x:v>Al Shelila</x:v>
      </x:c>
      <x:c r="D140" s="42"/>
      <x:c r="E140" s="42" t="str">
        <x:v>COMP_ADNOC_LS</x:v>
      </x:c>
      <x:c r="F140" s="42" t="str">
        <x:v>Operating</x:v>
      </x:c>
    </x:row>
    <x:row r="141">
      <x:c r="A141" s="42" t="str">
        <x:v>VESSEL_00023</x:v>
      </x:c>
      <x:c r="B141" s="42" t="str">
        <x:v>Vessel</x:v>
      </x:c>
      <x:c r="C141" s="42" t="str">
        <x:v>Ish (FSU)</x:v>
      </x:c>
      <x:c r="D141" s="42"/>
      <x:c r="E141" s="42" t="str">
        <x:v>COMP_ADNOC_LS</x:v>
      </x:c>
      <x:c r="F141" s="42" t="str">
        <x:v>Operating / FSU</x:v>
      </x:c>
    </x:row>
    <x:row r="142">
      <x:c r="A142" s="42" t="str">
        <x:v>VESSEL_00024</x:v>
      </x:c>
      <x:c r="B142" s="42" t="str">
        <x:v>Vessel</x:v>
      </x:c>
      <x:c r="C142" s="42" t="str">
        <x:v>Mraweh</x:v>
      </x:c>
      <x:c r="D142" s="42"/>
      <x:c r="E142" s="42" t="str">
        <x:v>COMP_ADNOC_LS</x:v>
      </x:c>
      <x:c r="F142" s="42" t="str">
        <x:v>Operating</x:v>
      </x:c>
    </x:row>
    <x:row r="143">
      <x:c r="A143" s="42" t="str">
        <x:v>VESSEL_00025</x:v>
      </x:c>
      <x:c r="B143" s="42" t="str">
        <x:v>Vessel</x:v>
      </x:c>
      <x:c r="C143" s="42" t="str">
        <x:v>Mubaraz</x:v>
      </x:c>
      <x:c r="D143" s="42"/>
      <x:c r="E143" s="42" t="str">
        <x:v>COMP_ADNOC_LS</x:v>
      </x:c>
      <x:c r="F143" s="42" t="str">
        <x:v>Operating</x:v>
      </x:c>
    </x:row>
    <x:row r="144">
      <x:c r="A144" s="42" t="str">
        <x:v>VESSEL_00026</x:v>
      </x:c>
      <x:c r="B144" s="42" t="str">
        <x:v>Vessel</x:v>
      </x:c>
      <x:c r="C144" s="42" t="str">
        <x:v>Shahamah</x:v>
      </x:c>
      <x:c r="D144" s="42"/>
      <x:c r="E144" s="42" t="str">
        <x:v>COMP_ADNOC_LS</x:v>
      </x:c>
      <x:c r="F144" s="42" t="str">
        <x:v>Operating</x:v>
      </x:c>
    </x:row>
    <x:row r="145">
      <x:c r="A145" s="42" t="str">
        <x:v>VESSEL_00027</x:v>
      </x:c>
      <x:c r="B145" s="42" t="str">
        <x:v>Vessel</x:v>
      </x:c>
      <x:c r="C145" s="42" t="str">
        <x:v>Umm Al Ashtan</x:v>
      </x:c>
      <x:c r="D145" s="42"/>
      <x:c r="E145" s="42" t="str">
        <x:v>COMP_ADNOC_LS</x:v>
      </x:c>
      <x:c r="F145" s="42" t="str">
        <x:v>Operating</x:v>
      </x:c>
    </x:row>
    <x:row r="146">
      <x:c r="A146" s="42" t="str">
        <x:v>VESSEL_00028</x:v>
      </x:c>
      <x:c r="B146" s="42" t="str">
        <x:v>Vessel</x:v>
      </x:c>
      <x:c r="C146" s="42" t="str">
        <x:v>Ruwais LNG H2711</x:v>
      </x:c>
      <x:c r="D146" s="42"/>
      <x:c r="E146" s="42" t="str">
        <x:v>COMP_ADNOC_LS</x:v>
      </x:c>
      <x:c r="F146" s="42" t="str">
        <x:v>On order / newbuild</x:v>
      </x:c>
    </x:row>
    <x:row r="147">
      <x:c r="A147" s="42" t="str">
        <x:v>VESSEL_00029</x:v>
      </x:c>
      <x:c r="B147" s="42" t="str">
        <x:v>Vessel</x:v>
      </x:c>
      <x:c r="C147" s="42" t="str">
        <x:v>Ruwais LNG H2712</x:v>
      </x:c>
      <x:c r="D147" s="42"/>
      <x:c r="E147" s="42" t="str">
        <x:v>COMP_ADNOC_LS</x:v>
      </x:c>
      <x:c r="F147" s="42" t="str">
        <x:v>On order / newbuild</x:v>
      </x:c>
    </x:row>
    <x:row r="148">
      <x:c r="A148" s="42" t="str">
        <x:v>VESSEL_00030</x:v>
      </x:c>
      <x:c r="B148" s="42" t="str">
        <x:v>Vessel</x:v>
      </x:c>
      <x:c r="C148" s="42" t="str">
        <x:v>Ruwais LNG H2713</x:v>
      </x:c>
      <x:c r="D148" s="42"/>
      <x:c r="E148" s="42" t="str">
        <x:v>COMP_ADNOC_LS</x:v>
      </x:c>
      <x:c r="F148" s="42" t="str">
        <x:v>On order / newbuild</x:v>
      </x:c>
    </x:row>
    <x:row r="149">
      <x:c r="A149" s="42" t="str">
        <x:v>VESSEL_00031</x:v>
      </x:c>
      <x:c r="B149" s="42" t="str">
        <x:v>Vessel</x:v>
      </x:c>
      <x:c r="C149" s="42" t="str">
        <x:v>Ruwais LNG H2714</x:v>
      </x:c>
      <x:c r="D149" s="42"/>
      <x:c r="E149" s="42" t="str">
        <x:v>COMP_ADNOC_LS</x:v>
      </x:c>
      <x:c r="F149" s="42" t="str">
        <x:v>On order / newbuild</x:v>
      </x:c>
    </x:row>
    <x:row r="150">
      <x:c r="A150" s="42" t="str">
        <x:v>VESSEL_00032</x:v>
      </x:c>
      <x:c r="B150" s="42" t="str">
        <x:v>Vessel</x:v>
      </x:c>
      <x:c r="C150" s="42" t="str">
        <x:v>Ruwais LNG H2598</x:v>
      </x:c>
      <x:c r="D150" s="42"/>
      <x:c r="E150" s="42" t="str">
        <x:v>COMP_ADNOC_LS</x:v>
      </x:c>
      <x:c r="F150" s="42" t="str">
        <x:v>On order / newbuild</x:v>
      </x:c>
    </x:row>
    <x:row r="151">
      <x:c r="A151" s="42" t="str">
        <x:v>VESSEL_00033</x:v>
      </x:c>
      <x:c r="B151" s="42" t="str">
        <x:v>Vessel</x:v>
      </x:c>
      <x:c r="C151" s="42" t="str">
        <x:v>Ruwais LNG H2599</x:v>
      </x:c>
      <x:c r="D151" s="42"/>
      <x:c r="E151" s="42" t="str">
        <x:v>COMP_ADNOC_LS</x:v>
      </x:c>
      <x:c r="F151" s="42" t="str">
        <x:v>On order / newbuild</x:v>
      </x:c>
    </x:row>
    <x:row r="152">
      <x:c r="A152" s="42" t="str">
        <x:v>VESSEL_00034</x:v>
      </x:c>
      <x:c r="B152" s="42" t="str">
        <x:v>Vessel</x:v>
      </x:c>
      <x:c r="C152" s="42" t="str">
        <x:v>Ruwais LNG H2600</x:v>
      </x:c>
      <x:c r="D152" s="42"/>
      <x:c r="E152" s="42" t="str">
        <x:v>COMP_ADNOC_LS</x:v>
      </x:c>
      <x:c r="F152" s="42" t="str">
        <x:v>On order / newbuild</x:v>
      </x:c>
    </x:row>
    <x:row r="153">
      <x:c r="A153" s="42" t="str">
        <x:v>VESSEL_00035</x:v>
      </x:c>
      <x:c r="B153" s="42" t="str">
        <x:v>Vessel</x:v>
      </x:c>
      <x:c r="C153" s="42" t="str">
        <x:v>Ruwais LNG H2601</x:v>
      </x:c>
      <x:c r="D153" s="42"/>
      <x:c r="E153" s="42" t="str">
        <x:v>COMP_ADNOC_LS</x:v>
      </x:c>
      <x:c r="F153" s="42" t="str">
        <x:v>On order / newbuild</x:v>
      </x:c>
    </x:row>
    <x:row r="154">
      <x:c r="A154" s="42" t="str">
        <x:v>VESSEL_00036</x:v>
      </x:c>
      <x:c r="B154" s="42" t="str">
        <x:v>Vessel</x:v>
      </x:c>
      <x:c r="C154" s="42" t="str">
        <x:v>Al Maryah</x:v>
      </x:c>
      <x:c r="D154" s="42"/>
      <x:c r="E154" s="42" t="str">
        <x:v>COMP_ADNOC_LS</x:v>
      </x:c>
      <x:c r="F154" s="42" t="str">
        <x:v>Operating</x:v>
      </x:c>
    </x:row>
    <x:row r="155">
      <x:c r="A155" s="42" t="str">
        <x:v>VESSEL_00037</x:v>
      </x:c>
      <x:c r="B155" s="42" t="str">
        <x:v>Vessel</x:v>
      </x:c>
      <x:c r="C155" s="42" t="str">
        <x:v>AWS-Delma</x:v>
      </x:c>
      <x:c r="D155" s="42"/>
      <x:c r="E155" s="42" t="str">
        <x:v>COMP_AW_SHIPPING</x:v>
      </x:c>
      <x:c r="F155" s="42" t="str">
        <x:v>Operating</x:v>
      </x:c>
    </x:row>
    <x:row r="156">
      <x:c r="A156" s="42" t="str">
        <x:v>VESSEL_00038</x:v>
      </x:c>
      <x:c r="B156" s="42" t="str">
        <x:v>Vessel</x:v>
      </x:c>
      <x:c r="C156" s="42" t="str">
        <x:v>AWS-Al Ain</x:v>
      </x:c>
      <x:c r="D156" s="42"/>
      <x:c r="E156" s="42" t="str">
        <x:v>COMP_AW_SHIPPING</x:v>
      </x:c>
      <x:c r="F156" s="42" t="str">
        <x:v>Operating</x:v>
      </x:c>
    </x:row>
    <x:row r="157">
      <x:c r="A157" s="42" t="str">
        <x:v>VESSEL_00039</x:v>
      </x:c>
      <x:c r="B157" s="42" t="str">
        <x:v>Vessel</x:v>
      </x:c>
      <x:c r="C157" s="42" t="str">
        <x:v>AWS-Zakher</x:v>
      </x:c>
      <x:c r="D157" s="42"/>
      <x:c r="E157" s="42" t="str">
        <x:v>COMP_AW_SHIPPING</x:v>
      </x:c>
      <x:c r="F157" s="42" t="str">
        <x:v>Operating</x:v>
      </x:c>
    </x:row>
    <x:row r="158">
      <x:c r="A158" s="42" t="str">
        <x:v>VESSEL_00040</x:v>
      </x:c>
      <x:c r="B158" s="42" t="str">
        <x:v>Vessel</x:v>
      </x:c>
      <x:c r="C158" s="42" t="str">
        <x:v>AWS-Rabdan</x:v>
      </x:c>
      <x:c r="D158" s="42"/>
      <x:c r="E158" s="42" t="str">
        <x:v>COMP_AW_SHIPPING</x:v>
      </x:c>
      <x:c r="F158" s="42" t="str">
        <x:v>Operating</x:v>
      </x:c>
    </x:row>
    <x:row r="159">
      <x:c r="A159" s="42" t="str">
        <x:v>VESSEL_00041</x:v>
      </x:c>
      <x:c r="B159" s="42" t="str">
        <x:v>Vessel</x:v>
      </x:c>
      <x:c r="C159" s="42" t="str">
        <x:v>AWS-Al Salam</x:v>
      </x:c>
      <x:c r="D159" s="42"/>
      <x:c r="E159" s="42" t="str">
        <x:v>COMP_AW_SHIPPING</x:v>
      </x:c>
      <x:c r="F159" s="42" t="str">
        <x:v>Operating</x:v>
      </x:c>
    </x:row>
    <x:row r="160">
      <x:c r="A160" s="42" t="str">
        <x:v>VESSEL_00042</x:v>
      </x:c>
      <x:c r="B160" s="42" t="str">
        <x:v>Vessel</x:v>
      </x:c>
      <x:c r="C160" s="42" t="str">
        <x:v>AWS-Baynounah</x:v>
      </x:c>
      <x:c r="D160" s="42"/>
      <x:c r="E160" s="42" t="str">
        <x:v>COMP_AW_SHIPPING</x:v>
      </x:c>
      <x:c r="F160" s="42" t="str">
        <x:v>Operating</x:v>
      </x:c>
    </x:row>
    <x:row r="161">
      <x:c r="A161" s="42" t="str">
        <x:v>VESSEL_00043</x:v>
      </x:c>
      <x:c r="B161" s="42" t="str">
        <x:v>Vessel</x:v>
      </x:c>
      <x:c r="C161" s="42" t="str">
        <x:v>Meera</x:v>
      </x:c>
      <x:c r="D161" s="42"/>
      <x:c r="E161" s="42" t="str">
        <x:v>COMP_AW_SHIPPING</x:v>
      </x:c>
      <x:c r="F161" s="42" t="str">
        <x:v>Newbuild / delivery program</x:v>
      </x:c>
    </x:row>
    <x:row r="162">
      <x:c r="A162" s="42" t="str">
        <x:v>VESSEL_00044</x:v>
      </x:c>
      <x:c r="B162" s="42" t="str">
        <x:v>Vessel</x:v>
      </x:c>
      <x:c r="C162" s="42" t="str">
        <x:v>Dana</x:v>
      </x:c>
      <x:c r="D162" s="42"/>
      <x:c r="E162" s="42" t="str">
        <x:v>COMP_AW_SHIPPING</x:v>
      </x:c>
      <x:c r="F162" s="42" t="str">
        <x:v>Newbuild / delivery program</x:v>
      </x:c>
    </x:row>
    <x:row r="163">
      <x:c r="A163" s="42" t="str">
        <x:v>VESSEL_00045</x:v>
      </x:c>
      <x:c r="B163" s="42" t="str">
        <x:v>Vessel</x:v>
      </x:c>
      <x:c r="C163" s="42" t="str">
        <x:v>Al Ghadeer</x:v>
      </x:c>
      <x:c r="D163" s="42"/>
      <x:c r="E163" s="42" t="str">
        <x:v>COMP_AW_SHIPPING</x:v>
      </x:c>
      <x:c r="F163" s="42" t="str">
        <x:v>Newbuild / delivery program</x:v>
      </x:c>
    </x:row>
    <x:row r="164">
      <x:c r="A164" s="42" t="str">
        <x:v>VESSEL_00046</x:v>
      </x:c>
      <x:c r="B164" s="42" t="str">
        <x:v>Vessel</x:v>
      </x:c>
      <x:c r="C164" s="42" t="str">
        <x:v>Rimah</x:v>
      </x:c>
      <x:c r="D164" s="42"/>
      <x:c r="E164" s="42" t="str">
        <x:v>COMP_AW_SHIPPING</x:v>
      </x:c>
      <x:c r="F164" s="42" t="str">
        <x:v>Newbuild / delivery program</x:v>
      </x:c>
    </x:row>
    <x:row r="165">
      <x:c r="A165" s="42" t="str">
        <x:v>VESSEL_00047</x:v>
      </x:c>
      <x:c r="B165" s="42" t="str">
        <x:v>Vessel</x:v>
      </x:c>
      <x:c r="C165" s="42" t="str">
        <x:v>Umm Al Lulu I</x:v>
      </x:c>
      <x:c r="D165" s="42"/>
      <x:c r="E165" s="42" t="str">
        <x:v>COMP_ADNOC_LS</x:v>
      </x:c>
      <x:c r="F165" s="42" t="str">
        <x:v>Operating</x:v>
      </x:c>
    </x:row>
    <x:row r="166">
      <x:c r="A166" s="42" t="str">
        <x:v>VESSEL_00048</x:v>
      </x:c>
      <x:c r="B166" s="42" t="str">
        <x:v>Vessel</x:v>
      </x:c>
      <x:c r="C166" s="42" t="str">
        <x:v>Al Samha</x:v>
      </x:c>
      <x:c r="D166" s="42"/>
      <x:c r="E166" s="42" t="str">
        <x:v>COMP_ADNOC_LS</x:v>
      </x:c>
      <x:c r="F166" s="42" t="str">
        <x:v>Operating</x:v>
      </x:c>
    </x:row>
    <x:row r="167">
      <x:c r="A167" s="42" t="str">
        <x:v>VESSEL_00049</x:v>
      </x:c>
      <x:c r="B167" s="42" t="str">
        <x:v>Vessel</x:v>
      </x:c>
      <x:c r="C167" s="42" t="str">
        <x:v>Bani Yas</x:v>
      </x:c>
      <x:c r="D167" s="42"/>
      <x:c r="E167" s="42" t="str">
        <x:v>COMP_ADNOC_LS</x:v>
      </x:c>
      <x:c r="F167" s="42" t="str">
        <x:v>Operating</x:v>
      </x:c>
    </x:row>
    <x:row r="168">
      <x:c r="A168" s="42" t="str">
        <x:v>VESSEL_00050</x:v>
      </x:c>
      <x:c r="B168" s="42" t="str">
        <x:v>Vessel</x:v>
      </x:c>
      <x:c r="C168" s="42" t="str">
        <x:v>Diyyinah I</x:v>
      </x:c>
      <x:c r="D168" s="42"/>
      <x:c r="E168" s="42" t="str">
        <x:v>COMP_ADNOC_LS</x:v>
      </x:c>
      <x:c r="F168" s="42" t="str">
        <x:v>Operating</x:v>
      </x:c>
    </x:row>
    <x:row r="169">
      <x:c r="A169" s="42" t="str">
        <x:v>VESSEL_00051</x:v>
      </x:c>
      <x:c r="B169" s="42" t="str">
        <x:v>Vessel</x:v>
      </x:c>
      <x:c r="C169" s="42" t="str">
        <x:v>Mezaira'a</x:v>
      </x:c>
      <x:c r="D169" s="42"/>
      <x:c r="E169" s="42" t="str">
        <x:v>COMP_ADNOC_LS</x:v>
      </x:c>
      <x:c r="F169" s="42" t="str">
        <x:v>Operating</x:v>
      </x:c>
    </x:row>
    <x:row r="170">
      <x:c r="A170" s="42" t="str">
        <x:v>VESSEL_00052</x:v>
      </x:c>
      <x:c r="B170" s="42" t="str">
        <x:v>Vessel</x:v>
      </x:c>
      <x:c r="C170" s="42" t="str">
        <x:v>Yamilah-III</x:v>
      </x:c>
      <x:c r="D170" s="42"/>
      <x:c r="E170" s="42" t="str">
        <x:v>COMP_ADNOC_LS</x:v>
      </x:c>
      <x:c r="F170" s="42" t="str">
        <x:v>Operating</x:v>
      </x:c>
    </x:row>
    <x:row r="171">
      <x:c r="A171" s="42" t="str">
        <x:v>VESSEL_00053</x:v>
      </x:c>
      <x:c r="B171" s="42" t="str">
        <x:v>Vessel</x:v>
      </x:c>
      <x:c r="C171" s="42" t="str">
        <x:v>Navig8 Honor</x:v>
      </x:c>
      <x:c r="D171" s="42"/>
      <x:c r="E171" s="42" t="str">
        <x:v>COMP_NAVIG8</x:v>
      </x:c>
      <x:c r="F171" s="42" t="str">
        <x:v>Operating</x:v>
      </x:c>
    </x:row>
    <x:row r="172">
      <x:c r="A172" s="42" t="str">
        <x:v>VESSEL_00054</x:v>
      </x:c>
      <x:c r="B172" s="42" t="str">
        <x:v>Vessel</x:v>
      </x:c>
      <x:c r="C172" s="42" t="str">
        <x:v>Navig8 Martinez</x:v>
      </x:c>
      <x:c r="D172" s="42"/>
      <x:c r="E172" s="42" t="str">
        <x:v>COMP_NAVIG8</x:v>
      </x:c>
      <x:c r="F172" s="42" t="str">
        <x:v>Operating</x:v>
      </x:c>
    </x:row>
    <x:row r="173">
      <x:c r="A173" s="42" t="str">
        <x:v>VESSEL_00055</x:v>
      </x:c>
      <x:c r="B173" s="42" t="str">
        <x:v>Vessel</x:v>
      </x:c>
      <x:c r="C173" s="42" t="str">
        <x:v>Navig8 Messi</x:v>
      </x:c>
      <x:c r="D173" s="42"/>
      <x:c r="E173" s="42" t="str">
        <x:v>COMP_NAVIG8</x:v>
      </x:c>
      <x:c r="F173" s="42" t="str">
        <x:v>Operating</x:v>
      </x:c>
    </x:row>
    <x:row r="174">
      <x:c r="A174" s="42" t="str">
        <x:v>VESSEL_00056</x:v>
      </x:c>
      <x:c r="B174" s="42" t="str">
        <x:v>Vessel</x:v>
      </x:c>
      <x:c r="C174" s="42" t="str">
        <x:v>Navig8 Montiel</x:v>
      </x:c>
      <x:c r="D174" s="42"/>
      <x:c r="E174" s="42" t="str">
        <x:v>COMP_NAVIG8</x:v>
      </x:c>
      <x:c r="F174" s="42" t="str">
        <x:v>Operating</x:v>
      </x:c>
    </x:row>
    <x:row r="175">
      <x:c r="A175" s="42" t="str">
        <x:v>VESSEL_00057</x:v>
      </x:c>
      <x:c r="B175" s="42" t="str">
        <x:v>Vessel</x:v>
      </x:c>
      <x:c r="C175" s="42" t="str">
        <x:v>Abu Dhabi-III</x:v>
      </x:c>
      <x:c r="D175" s="42"/>
      <x:c r="E175" s="42" t="str">
        <x:v>COMP_ADNOC_LS</x:v>
      </x:c>
      <x:c r="F175" s="42" t="str">
        <x:v>Operating</x:v>
      </x:c>
    </x:row>
    <x:row r="176">
      <x:c r="A176" s="42" t="str">
        <x:v>VESSEL_00058</x:v>
      </x:c>
      <x:c r="B176" s="42" t="str">
        <x:v>Vessel</x:v>
      </x:c>
      <x:c r="C176" s="42" t="str">
        <x:v>Liwa V</x:v>
      </x:c>
      <x:c r="D176" s="42"/>
      <x:c r="E176" s="42" t="str">
        <x:v>COMP_ADNOC_LS</x:v>
      </x:c>
      <x:c r="F176" s="42" t="str">
        <x:v>Operating</x:v>
      </x:c>
    </x:row>
    <x:row r="177">
      <x:c r="A177" s="42" t="str">
        <x:v>VESSEL_00059</x:v>
      </x:c>
      <x:c r="B177" s="42" t="str">
        <x:v>Vessel</x:v>
      </x:c>
      <x:c r="C177" s="42" t="str">
        <x:v>Al Bateen</x:v>
      </x:c>
      <x:c r="D177" s="42"/>
      <x:c r="E177" s="42" t="str">
        <x:v>COMP_ADNOC_LS</x:v>
      </x:c>
      <x:c r="F177" s="42" t="str">
        <x:v>Operating</x:v>
      </x:c>
    </x:row>
    <x:row r="178">
      <x:c r="A178" s="42" t="str">
        <x:v>VESSEL_00060</x:v>
      </x:c>
      <x:c r="B178" s="42" t="str">
        <x:v>Vessel</x:v>
      </x:c>
      <x:c r="C178" s="42" t="str">
        <x:v>Al Falah</x:v>
      </x:c>
      <x:c r="D178" s="42"/>
      <x:c r="E178" s="42" t="str">
        <x:v>COMP_ADNOC_LS</x:v>
      </x:c>
      <x:c r="F178" s="42" t="str">
        <x:v>Operating</x:v>
      </x:c>
    </x:row>
    <x:row r="179">
      <x:c r="A179" s="42" t="str">
        <x:v>VESSEL_00061</x:v>
      </x:c>
      <x:c r="B179" s="42" t="str">
        <x:v>Vessel</x:v>
      </x:c>
      <x:c r="C179" s="42" t="str">
        <x:v>Al Ruwais</x:v>
      </x:c>
      <x:c r="D179" s="42"/>
      <x:c r="E179" s="42" t="str">
        <x:v>COMP_ADNOC_LS</x:v>
      </x:c>
      <x:c r="F179" s="42" t="str">
        <x:v>Operating</x:v>
      </x:c>
    </x:row>
    <x:row r="180">
      <x:c r="A180" s="42" t="str">
        <x:v>VESSEL_00062</x:v>
      </x:c>
      <x:c r="B180" s="42" t="str">
        <x:v>Vessel</x:v>
      </x:c>
      <x:c r="C180" s="42" t="str">
        <x:v>Al Khtam</x:v>
      </x:c>
      <x:c r="D180" s="42"/>
      <x:c r="E180" s="42" t="str">
        <x:v>COMP_ADNOC_LS</x:v>
      </x:c>
      <x:c r="F180" s="42" t="str">
        <x:v>Operating</x:v>
      </x:c>
    </x:row>
    <x:row r="181">
      <x:c r="A181" s="42" t="str">
        <x:v>VESSEL_00063</x:v>
      </x:c>
      <x:c r="B181" s="42" t="str">
        <x:v>Vessel</x:v>
      </x:c>
      <x:c r="C181" s="42" t="str">
        <x:v>Yong Jiang (Gas Yongjiang)</x:v>
      </x:c>
      <x:c r="D181" s="42"/>
      <x:c r="E181" s="42" t="str">
        <x:v>COMP_AW_SHIPPING</x:v>
      </x:c>
      <x:c r="F181" s="42" t="str">
        <x:v>Delivered / operating</x:v>
      </x:c>
    </x:row>
    <x:row r="182">
      <x:c r="A182" s="42" t="str">
        <x:v>VESSEL_00064</x:v>
      </x:c>
      <x:c r="B182" s="42" t="str">
        <x:v>Vessel</x:v>
      </x:c>
      <x:c r="C182" s="42" t="str">
        <x:v>Min Jiang</x:v>
      </x:c>
      <x:c r="D182" s="42"/>
      <x:c r="E182" s="42" t="str">
        <x:v>COMP_AW_SHIPPING</x:v>
      </x:c>
      <x:c r="F182" s="42" t="str">
        <x:v>Newbuild / delivery program</x:v>
      </x:c>
    </x:row>
    <x:row r="183">
      <x:c r="A183" s="42" t="str">
        <x:v>VESSEL_00065</x:v>
      </x:c>
      <x:c r="B183" s="42" t="str">
        <x:v>Vessel</x:v>
      </x:c>
      <x:c r="C183" s="42" t="str">
        <x:v>Al Bayraq</x:v>
      </x:c>
      <x:c r="D183" s="42"/>
      <x:c r="E183" s="42" t="str">
        <x:v>COMP_AW_SHIPPING</x:v>
      </x:c>
      <x:c r="F183" s="42" t="str">
        <x:v>Newbuild / delivery program</x:v>
      </x:c>
    </x:row>
    <x:row r="184">
      <x:c r="A184" s="42" t="str">
        <x:v>VESSEL_00066</x:v>
      </x:c>
      <x:c r="B184" s="42" t="str">
        <x:v>Vessel</x:v>
      </x:c>
      <x:c r="C184" s="42" t="str">
        <x:v>Alhosn</x:v>
      </x:c>
      <x:c r="D184" s="42"/>
      <x:c r="E184" s="42" t="str">
        <x:v>COMP_AW_SHIPPING</x:v>
      </x:c>
      <x:c r="F184" s="42" t="str">
        <x:v>Newbuild / delivery program</x:v>
      </x:c>
    </x:row>
    <x:row r="185">
      <x:c r="A185" s="42" t="str">
        <x:v>VESSEL_00067</x:v>
      </x:c>
      <x:c r="B185" s="42" t="str">
        <x:v>Vessel</x:v>
      </x:c>
      <x:c r="C185" s="42" t="str">
        <x:v>Al Aryam</x:v>
      </x:c>
      <x:c r="D185" s="42"/>
      <x:c r="E185" s="42" t="str">
        <x:v>COMP_AW_SHIPPING</x:v>
      </x:c>
      <x:c r="F185" s="42" t="str">
        <x:v>Newbuild / delivery program</x:v>
      </x:c>
    </x:row>
    <x:row r="186">
      <x:c r="A186" s="42" t="str">
        <x:v>VESSEL_00068</x:v>
      </x:c>
      <x:c r="B186" s="42" t="str">
        <x:v>Vessel</x:v>
      </x:c>
      <x:c r="C186" s="42" t="str">
        <x:v>Al Saad</x:v>
      </x:c>
      <x:c r="D186" s="42"/>
      <x:c r="E186" s="42" t="str">
        <x:v>COMP_AW_SHIPPING</x:v>
      </x:c>
      <x:c r="F186" s="42" t="str">
        <x:v>Newbuild / delivery program</x:v>
      </x:c>
    </x:row>
    <x:row r="187">
      <x:c r="A187" s="42" t="str">
        <x:v>VESSEL_00069</x:v>
      </x:c>
      <x:c r="B187" s="42" t="str">
        <x:v>Vessel</x:v>
      </x:c>
      <x:c r="C187" s="42" t="str">
        <x:v>Al Muzn</x:v>
      </x:c>
      <x:c r="D187" s="42"/>
      <x:c r="E187" s="42" t="str">
        <x:v>COMP_AW_SHIPPING</x:v>
      </x:c>
      <x:c r="F187" s="42" t="str">
        <x:v>Newbuild / delivery program</x:v>
      </x:c>
    </x:row>
    <x:row r="188">
      <x:c r="A188" s="42" t="str">
        <x:v>VESSEL_00070</x:v>
      </x:c>
      <x:c r="B188" s="42" t="str">
        <x:v>Vessel</x:v>
      </x:c>
      <x:c r="C188" s="42" t="str">
        <x:v>Al Taair</x:v>
      </x:c>
      <x:c r="D188" s="42"/>
      <x:c r="E188" s="42" t="str">
        <x:v>COMP_AW_SHIPPING</x:v>
      </x:c>
      <x:c r="F188" s="42" t="str">
        <x:v>Newbuild / delivery program</x:v>
      </x:c>
    </x:row>
    <x:row r="189">
      <x:c r="A189" s="42" t="str">
        <x:v>VESSEL_00071</x:v>
      </x:c>
      <x:c r="B189" s="42" t="str">
        <x:v>Vessel</x:v>
      </x:c>
      <x:c r="C189" s="42" t="str">
        <x:v>Al Sila</x:v>
      </x:c>
      <x:c r="D189" s="42"/>
      <x:c r="E189" s="42" t="str">
        <x:v>COMP_AW_SHIPPING</x:v>
      </x:c>
      <x:c r="F189" s="42" t="str">
        <x:v>Newbuild / delivery program</x:v>
      </x:c>
    </x:row>
    <x:row r="190">
      <x:c r="A190" s="42" t="str">
        <x:v>VESSEL_00072</x:v>
      </x:c>
      <x:c r="B190" s="42" t="str">
        <x:v>Vessel</x:v>
      </x:c>
      <x:c r="C190" s="42" t="str">
        <x:v>Janana</x:v>
      </x:c>
      <x:c r="D190" s="42"/>
      <x:c r="E190" s="42" t="str">
        <x:v>COMP_ADNOC_LS</x:v>
      </x:c>
      <x:c r="F190" s="42" t="str">
        <x:v>Operating</x:v>
      </x:c>
    </x:row>
    <x:row r="191">
      <x:c r="A191" s="42" t="str">
        <x:v>VESSEL_00073</x:v>
      </x:c>
      <x:c r="B191" s="42" t="str">
        <x:v>Vessel</x:v>
      </x:c>
      <x:c r="C191" s="42" t="str">
        <x:v>ADNOC L&amp;S molten sulphur newbuild</x:v>
      </x:c>
      <x:c r="D191" s="42"/>
      <x:c r="E191" s="42" t="str">
        <x:v>COMP_ADNOC_LS</x:v>
      </x:c>
      <x:c r="F191" s="42" t="str">
        <x:v>On order / newbuild</x:v>
      </x:c>
    </x:row>
    <x:row r="192">
      <x:c r="A192" s="42" t="str">
        <x:v>VESSEL_00074</x:v>
      </x:c>
      <x:c r="B192" s="42" t="str">
        <x:v>Vessel</x:v>
      </x:c>
      <x:c r="C192" s="42" t="str">
        <x:v>Jarnain</x:v>
      </x:c>
      <x:c r="D192" s="42"/>
      <x:c r="E192" s="42" t="str">
        <x:v>COMP_ADNOC_LS</x:v>
      </x:c>
      <x:c r="F192" s="42" t="str">
        <x:v>Operating</x:v>
      </x:c>
    </x:row>
    <x:row r="193">
      <x:c r="A193" s="42" t="str">
        <x:v>VESSEL_00075</x:v>
      </x:c>
      <x:c r="B193" s="42" t="str">
        <x:v>Vessel</x:v>
      </x:c>
      <x:c r="C193" s="42" t="str">
        <x:v>Tarif</x:v>
      </x:c>
      <x:c r="D193" s="42"/>
      <x:c r="E193" s="42" t="str">
        <x:v>COMP_ADNOC_LS</x:v>
      </x:c>
      <x:c r="F193" s="42" t="str">
        <x:v>Operating</x:v>
      </x:c>
    </x:row>
    <x:row r="194">
      <x:c r="A194" s="42" t="str">
        <x:v>VESSEL_00076</x:v>
      </x:c>
      <x:c r="B194" s="42" t="str">
        <x:v>Vessel</x:v>
      </x:c>
      <x:c r="C194" s="42" t="str">
        <x:v>Navig8 Precision</x:v>
      </x:c>
      <x:c r="D194" s="42"/>
      <x:c r="E194" s="42" t="str">
        <x:v>COMP_NAVIG8</x:v>
      </x:c>
      <x:c r="F194" s="42" t="str">
        <x:v>Operating</x:v>
      </x:c>
    </x:row>
    <x:row r="195">
      <x:c r="A195" s="42" t="str">
        <x:v>VESSEL_00077</x:v>
      </x:c>
      <x:c r="B195" s="42" t="str">
        <x:v>Vessel</x:v>
      </x:c>
      <x:c r="C195" s="42" t="str">
        <x:v>Navig8 Prestige</x:v>
      </x:c>
      <x:c r="D195" s="42"/>
      <x:c r="E195" s="42" t="str">
        <x:v>COMP_NAVIG8</x:v>
      </x:c>
      <x:c r="F195" s="42" t="str">
        <x:v>Operating</x:v>
      </x:c>
    </x:row>
    <x:row r="196">
      <x:c r="A196" s="42" t="str">
        <x:v>VESSEL_00078</x:v>
      </x:c>
      <x:c r="B196" s="42" t="str">
        <x:v>Vessel</x:v>
      </x:c>
      <x:c r="C196" s="42" t="str">
        <x:v>Navig8 Perseverance</x:v>
      </x:c>
      <x:c r="D196" s="42"/>
      <x:c r="E196" s="42" t="str">
        <x:v>COMP_NAVIG8</x:v>
      </x:c>
      <x:c r="F196" s="42" t="str">
        <x:v>Operating</x:v>
      </x:c>
    </x:row>
    <x:row r="197">
      <x:c r="A197" s="42" t="str">
        <x:v>VESSEL_00079</x:v>
      </x:c>
      <x:c r="B197" s="42" t="str">
        <x:v>Vessel</x:v>
      </x:c>
      <x:c r="C197" s="42" t="str">
        <x:v>Navig8 Passion</x:v>
      </x:c>
      <x:c r="D197" s="42"/>
      <x:c r="E197" s="42" t="str">
        <x:v>COMP_NAVIG8</x:v>
      </x:c>
      <x:c r="F197" s="42" t="str">
        <x:v>Operating</x:v>
      </x:c>
    </x:row>
    <x:row r="198">
      <x:c r="A198" s="42" t="str">
        <x:v>VESSEL_00080</x:v>
      </x:c>
      <x:c r="B198" s="42" t="str">
        <x:v>Vessel</x:v>
      </x:c>
      <x:c r="C198" s="42" t="str">
        <x:v>Navig8 Promise</x:v>
      </x:c>
      <x:c r="D198" s="42"/>
      <x:c r="E198" s="42" t="str">
        <x:v>COMP_NAVIG8</x:v>
      </x:c>
      <x:c r="F198" s="42" t="str">
        <x:v>Operating</x:v>
      </x:c>
    </x:row>
    <x:row r="199">
      <x:c r="A199" s="102" t="str">
        <x:v>VESSEL_00081</x:v>
      </x:c>
      <x:c r="B199" s="102" t="str">
        <x:v>Vessel</x:v>
      </x:c>
      <x:c r="C199" s="102" t="str">
        <x:v>Navig8 Prosperity</x:v>
      </x:c>
      <x:c r="D199" s="102"/>
      <x:c r="E199" s="102" t="str">
        <x:v>COMP_NAVIG8</x:v>
      </x:c>
      <x:c r="F199" s="102" t="str">
        <x:v>Operating</x:v>
      </x:c>
    </x:row>
    <x:row r="200">
      <x:c r="A200" s="102" t="str">
        <x:v>VESSEL_00082</x:v>
      </x:c>
      <x:c r="B200" s="102" t="str">
        <x:v>Vessel</x:v>
      </x:c>
      <x:c r="C200" s="102" t="str">
        <x:v>Navig8 Pride LHJ</x:v>
      </x:c>
      <x:c r="D200" s="102"/>
      <x:c r="E200" s="102" t="str">
        <x:v>COMP_NAVIG8</x:v>
      </x:c>
      <x:c r="F200" s="102" t="str">
        <x:v>Operating</x:v>
      </x:c>
    </x:row>
    <x:row r="201">
      <x:c r="A201" s="102" t="str">
        <x:v>VESSEL_00083</x:v>
      </x:c>
      <x:c r="B201" s="102" t="str">
        <x:v>Vessel</x:v>
      </x:c>
      <x:c r="C201" s="102" t="str">
        <x:v>Navig8 Wolf</x:v>
      </x:c>
      <x:c r="D201" s="102"/>
      <x:c r="E201" s="102" t="str">
        <x:v>COMP_NAVIG8</x:v>
      </x:c>
      <x:c r="F201" s="102" t="str">
        <x:v>Operating</x:v>
      </x:c>
    </x:row>
    <x:row r="202">
      <x:c r="A202" s="102" t="str">
        <x:v>VESSEL_00084</x:v>
      </x:c>
      <x:c r="B202" s="102" t="str">
        <x:v>Vessel</x:v>
      </x:c>
      <x:c r="C202" s="102" t="str">
        <x:v>Navig8 Providence</x:v>
      </x:c>
      <x:c r="D202" s="102"/>
      <x:c r="E202" s="102" t="str">
        <x:v>COMP_NAVIG8</x:v>
      </x:c>
      <x:c r="F202" s="102" t="str">
        <x:v>Operating</x:v>
      </x:c>
    </x:row>
    <x:row r="203">
      <x:c r="A203" s="102" t="str">
        <x:v>VESSEL_00085</x:v>
      </x:c>
      <x:c r="B203" s="102" t="str">
        <x:v>Vessel</x:v>
      </x:c>
      <x:c r="C203" s="102" t="str">
        <x:v>Leicester</x:v>
      </x:c>
      <x:c r="D203" s="102"/>
      <x:c r="E203" s="102" t="str">
        <x:v>COMP_ADNOC_LS</x:v>
      </x:c>
      <x:c r="F203" s="102" t="str">
        <x:v>Operating</x:v>
      </x:c>
    </x:row>
    <x:row r="204">
      <x:c r="A204" s="102" t="str">
        <x:v>VESSEL_00086</x:v>
      </x:c>
      <x:c r="B204" s="102" t="str">
        <x:v>Vessel</x:v>
      </x:c>
      <x:c r="C204" s="102" t="str">
        <x:v>Hili</x:v>
      </x:c>
      <x:c r="D204" s="102"/>
      <x:c r="E204" s="102" t="str">
        <x:v>COMP_ADNOC_LS</x:v>
      </x:c>
      <x:c r="F204" s="102" t="str">
        <x:v>Operating</x:v>
      </x:c>
    </x:row>
    <x:row r="205">
      <x:c r="A205" s="102" t="str">
        <x:v>VESSEL_00087</x:v>
      </x:c>
      <x:c r="B205" s="102" t="str">
        <x:v>Vessel</x:v>
      </x:c>
      <x:c r="C205" s="102" t="str">
        <x:v>Zakum</x:v>
      </x:c>
      <x:c r="D205" s="102"/>
      <x:c r="E205" s="102" t="str">
        <x:v>COMP_ADNOC_LS</x:v>
      </x:c>
      <x:c r="F205" s="102" t="str">
        <x:v>Operating</x:v>
      </x:c>
    </x:row>
    <x:row r="206">
      <x:c r="A206" s="102" t="str">
        <x:v>VESSEL_00088</x:v>
      </x:c>
      <x:c r="B206" s="102" t="str">
        <x:v>Vessel</x:v>
      </x:c>
      <x:c r="C206" s="102" t="str">
        <x:v>Barakah</x:v>
      </x:c>
      <x:c r="D206" s="102"/>
      <x:c r="E206" s="102" t="str">
        <x:v>COMP_ADNOC_LS</x:v>
      </x:c>
      <x:c r="F206" s="102" t="str">
        <x:v>Operating</x:v>
      </x:c>
    </x:row>
    <x:row r="207">
      <x:c r="A207" s="102" t="str">
        <x:v>VESSEL_00089</x:v>
      </x:c>
      <x:c r="B207" s="102" t="str">
        <x:v>Vessel</x:v>
      </x:c>
      <x:c r="C207" s="102" t="str">
        <x:v>Hafeet</x:v>
      </x:c>
      <x:c r="D207" s="102"/>
      <x:c r="E207" s="102" t="str">
        <x:v>COMP_ADNOC_LS</x:v>
      </x:c>
      <x:c r="F207" s="102" t="str">
        <x:v>Operating</x:v>
      </x:c>
    </x:row>
    <x:row r="208">
      <x:c r="A208" s="102" t="str">
        <x:v>VESSEL_00090</x:v>
      </x:c>
      <x:c r="B208" s="102" t="str">
        <x:v>Vessel</x:v>
      </x:c>
      <x:c r="C208" s="102" t="str">
        <x:v>Habshan</x:v>
      </x:c>
      <x:c r="D208" s="102"/>
      <x:c r="E208" s="102" t="str">
        <x:v>COMP_ADNOC_LS</x:v>
      </x:c>
      <x:c r="F208" s="102" t="str">
        <x:v>Operating</x:v>
      </x:c>
    </x:row>
    <x:row r="209">
      <x:c r="A209" s="102" t="str">
        <x:v>VESSEL_00091</x:v>
      </x:c>
      <x:c r="B209" s="102" t="str">
        <x:v>Vessel</x:v>
      </x:c>
      <x:c r="C209" s="102" t="str">
        <x:v>Arzanah</x:v>
      </x:c>
      <x:c r="D209" s="102"/>
      <x:c r="E209" s="102" t="str">
        <x:v>COMP_ADNOC_LS</x:v>
      </x:c>
      <x:c r="F209" s="102" t="str">
        <x:v>Operating</x:v>
      </x:c>
    </x:row>
    <x:row r="210">
      <x:c r="A210" s="102" t="str">
        <x:v>VESSEL_00092</x:v>
      </x:c>
      <x:c r="B210" s="102" t="str">
        <x:v>Vessel</x:v>
      </x:c>
      <x:c r="C210" s="102" t="str">
        <x:v>Al Bahyah</x:v>
      </x:c>
      <x:c r="D210" s="102"/>
      <x:c r="E210" s="102" t="str">
        <x:v>COMP_ADNOC_LS</x:v>
      </x:c>
      <x:c r="F210" s="102" t="str">
        <x:v>Operating</x:v>
      </x:c>
    </x:row>
    <x:row r="211">
      <x:c r="A211" s="102" t="str">
        <x:v>VESSEL_00093</x:v>
      </x:c>
      <x:c r="B211" s="102" t="str">
        <x:v>Vessel</x:v>
      </x:c>
      <x:c r="C211" s="102" t="str">
        <x:v>Navig8 Universe</x:v>
      </x:c>
      <x:c r="D211" s="102"/>
      <x:c r="E211" s="102" t="str">
        <x:v>COMP_NAVIG8</x:v>
      </x:c>
      <x:c r="F211" s="102" t="str">
        <x:v>Operating</x:v>
      </x:c>
    </x:row>
    <x:row r="212">
      <x:c r="A212" s="102" t="str">
        <x:v>VESSEL_00094</x:v>
      </x:c>
      <x:c r="B212" s="102" t="str">
        <x:v>Vessel</x:v>
      </x:c>
      <x:c r="C212" s="102" t="str">
        <x:v>Navig8 Constellation</x:v>
      </x:c>
      <x:c r="D212" s="102"/>
      <x:c r="E212" s="102" t="str">
        <x:v>COMP_NAVIG8</x:v>
      </x:c>
      <x:c r="F212" s="102" t="str">
        <x:v>Operating</x:v>
      </x:c>
    </x:row>
    <x:row r="213">
      <x:c r="A213" s="102" t="str">
        <x:v>VESSEL_00095</x:v>
      </x:c>
      <x:c r="B213" s="102" t="str">
        <x:v>Vessel</x:v>
      </x:c>
      <x:c r="C213" s="102" t="str">
        <x:v>Navig8 Grace</x:v>
      </x:c>
      <x:c r="D213" s="102"/>
      <x:c r="E213" s="102" t="str">
        <x:v>COMP_NAVIG8</x:v>
      </x:c>
      <x:c r="F213" s="102" t="str">
        <x:v>Operating</x:v>
      </x:c>
    </x:row>
    <x:row r="214">
      <x:c r="A214" s="102" t="str">
        <x:v>VESSEL_00096</x:v>
      </x:c>
      <x:c r="B214" s="102" t="str">
        <x:v>Vessel</x:v>
      </x:c>
      <x:c r="C214" s="102" t="str">
        <x:v>Navig8 Gallantry</x:v>
      </x:c>
      <x:c r="D214" s="102"/>
      <x:c r="E214" s="102" t="str">
        <x:v>COMP_NAVIG8</x:v>
      </x:c>
      <x:c r="F214" s="102" t="str">
        <x:v>Operating</x:v>
      </x:c>
    </x:row>
    <x:row r="215">
      <x:c r="A215" s="102" t="str">
        <x:v>VESSEL_00097</x:v>
      </x:c>
      <x:c r="B215" s="102" t="str">
        <x:v>Vessel</x:v>
      </x:c>
      <x:c r="C215" s="102" t="str">
        <x:v>Navig8 Guard</x:v>
      </x:c>
      <x:c r="D215" s="102"/>
      <x:c r="E215" s="102" t="str">
        <x:v>COMP_NAVIG8</x:v>
      </x:c>
      <x:c r="F215" s="102" t="str">
        <x:v>Operating</x:v>
      </x:c>
    </x:row>
    <x:row r="216">
      <x:c r="A216" s="102" t="str">
        <x:v>VESSEL_00098</x:v>
      </x:c>
      <x:c r="B216" s="102" t="str">
        <x:v>Vessel</x:v>
      </x:c>
      <x:c r="C216" s="102" t="str">
        <x:v>Navig8 Guide</x:v>
      </x:c>
      <x:c r="D216" s="102"/>
      <x:c r="E216" s="102" t="str">
        <x:v>COMP_NAVIG8</x:v>
      </x:c>
      <x:c r="F216" s="102" t="str">
        <x:v>Operating</x:v>
      </x:c>
    </x:row>
    <x:row r="217">
      <x:c r="A217" s="102" t="str">
        <x:v>VESSEL_00099</x:v>
      </x:c>
      <x:c r="B217" s="102" t="str">
        <x:v>Vessel</x:v>
      </x:c>
      <x:c r="C217" s="102" t="str">
        <x:v>Navig8 Goal</x:v>
      </x:c>
      <x:c r="D217" s="102"/>
      <x:c r="E217" s="102" t="str">
        <x:v>COMP_NAVIG8</x:v>
      </x:c>
      <x:c r="F217" s="102" t="str">
        <x:v>Operating</x:v>
      </x:c>
    </x:row>
    <x:row r="218">
      <x:c r="A218" s="102" t="str">
        <x:v>VESSEL_00100</x:v>
      </x:c>
      <x:c r="B218" s="102" t="str">
        <x:v>Vessel</x:v>
      </x:c>
      <x:c r="C218" s="102" t="str">
        <x:v>Navig8 Gauntlet</x:v>
      </x:c>
      <x:c r="D218" s="102"/>
      <x:c r="E218" s="102" t="str">
        <x:v>COMP_NAVIG8</x:v>
      </x:c>
      <x:c r="F218" s="102" t="str">
        <x:v>Operating</x:v>
      </x:c>
    </x:row>
    <x:row r="219">
      <x:c r="A219" s="102" t="str">
        <x:v>VESSEL_00101</x:v>
      </x:c>
      <x:c r="B219" s="102" t="str">
        <x:v>Vessel</x:v>
      </x:c>
      <x:c r="C219" s="102" t="str">
        <x:v>Navig8 Gladiator</x:v>
      </x:c>
      <x:c r="D219" s="102"/>
      <x:c r="E219" s="102" t="str">
        <x:v>COMP_NAVIG8</x:v>
      </x:c>
      <x:c r="F219" s="102" t="str">
        <x:v>Operating</x:v>
      </x:c>
    </x:row>
    <x:row r="220">
      <x:c r="A220" s="102" t="str">
        <x:v>VESSEL_00102</x:v>
      </x:c>
      <x:c r="B220" s="102" t="str">
        <x:v>Vessel</x:v>
      </x:c>
      <x:c r="C220" s="102" t="str">
        <x:v>Navig8 Gratitude</x:v>
      </x:c>
      <x:c r="D220" s="102"/>
      <x:c r="E220" s="102" t="str">
        <x:v>COMP_NAVIG8</x:v>
      </x:c>
      <x:c r="F220" s="102" t="str">
        <x:v>Operating</x:v>
      </x:c>
    </x:row>
    <x:row r="221">
      <x:c r="A221" s="102" t="str">
        <x:v>VESSEL_00103</x:v>
      </x:c>
      <x:c r="B221" s="102" t="str">
        <x:v>Vessel</x:v>
      </x:c>
      <x:c r="C221" s="102" t="str">
        <x:v>Navig8 Excel</x:v>
      </x:c>
      <x:c r="D221" s="102"/>
      <x:c r="E221" s="102" t="str">
        <x:v>COMP_NAVIG8</x:v>
      </x:c>
      <x:c r="F221" s="102" t="str">
        <x:v>Operating</x:v>
      </x:c>
    </x:row>
    <x:row r="222">
      <x:c r="A222" s="102" t="str">
        <x:v>VESSEL_00104</x:v>
      </x:c>
      <x:c r="B222" s="102" t="str">
        <x:v>Vessel</x:v>
      </x:c>
      <x:c r="C222" s="102" t="str">
        <x:v>Navig8 Exceed</x:v>
      </x:c>
      <x:c r="D222" s="102"/>
      <x:c r="E222" s="102" t="str">
        <x:v>COMP_NAVIG8</x:v>
      </x:c>
      <x:c r="F222" s="102" t="str">
        <x:v>Operating</x:v>
      </x:c>
    </x:row>
    <x:row r="223">
      <x:c r="A223" s="102" t="str">
        <x:v>VESSEL_00105</x:v>
      </x:c>
      <x:c r="B223" s="102" t="str">
        <x:v>Vessel</x:v>
      </x:c>
      <x:c r="C223" s="102" t="str">
        <x:v>Navig8 Express</x:v>
      </x:c>
      <x:c r="D223" s="102"/>
      <x:c r="E223" s="102" t="str">
        <x:v>COMP_NAVIG8</x:v>
      </x:c>
      <x:c r="F223" s="102" t="str">
        <x:v>Operating</x:v>
      </x:c>
    </x:row>
    <x:row r="224">
      <x:c r="A224" s="102" t="str">
        <x:v>VESSEL_00106</x:v>
      </x:c>
      <x:c r="B224" s="102" t="str">
        <x:v>Vessel</x:v>
      </x:c>
      <x:c r="C224" s="102" t="str">
        <x:v>Navig8 Excellence</x:v>
      </x:c>
      <x:c r="D224" s="102"/>
      <x:c r="E224" s="102" t="str">
        <x:v>COMP_NAVIG8</x:v>
      </x:c>
      <x:c r="F224" s="102" t="str">
        <x:v>Operating</x:v>
      </x:c>
    </x:row>
    <x:row r="225">
      <x:c r="A225" s="102" t="str">
        <x:v>VESSEL_00107</x:v>
      </x:c>
      <x:c r="B225" s="102" t="str">
        <x:v>Vessel</x:v>
      </x:c>
      <x:c r="C225" s="102" t="str">
        <x:v>Navig8 Estelle</x:v>
      </x:c>
      <x:c r="D225" s="102"/>
      <x:c r="E225" s="102" t="str">
        <x:v>COMP_NAVIG8</x:v>
      </x:c>
      <x:c r="F225" s="102" t="str">
        <x:v>Operating</x:v>
      </x:c>
    </x:row>
    <x:row r="226">
      <x:c r="A226" s="102" t="str">
        <x:v>VESSEL_00108</x:v>
      </x:c>
      <x:c r="B226" s="102" t="str">
        <x:v>Vessel</x:v>
      </x:c>
      <x:c r="C226" s="102" t="str">
        <x:v>Navig8 Executive</x:v>
      </x:c>
      <x:c r="D226" s="102"/>
      <x:c r="E226" s="102" t="str">
        <x:v>COMP_NAVIG8</x:v>
      </x:c>
      <x:c r="F226" s="102" t="str">
        <x:v>Operating</x:v>
      </x:c>
    </x:row>
    <x:row r="227">
      <x:c r="A227" s="102" t="str">
        <x:v>VESSEL_00109</x:v>
      </x:c>
      <x:c r="B227" s="102" t="str">
        <x:v>Vessel</x:v>
      </x:c>
      <x:c r="C227" s="102" t="str">
        <x:v>BYD Explorer No.1</x:v>
      </x:c>
      <x:c r="D227" s="102"/>
      <x:c r="E227" s="102" t="str">
        <x:v>COMP_ZODIAC</x:v>
      </x:c>
      <x:c r="F227" s="102" t="str">
        <x:v>Operating</x:v>
      </x:c>
    </x:row>
    <x:row r="228">
      <x:c r="A228" s="102" t="str">
        <x:v>VESSEL_00110</x:v>
      </x:c>
      <x:c r="B228" s="102" t="str">
        <x:v>Vessel</x:v>
      </x:c>
      <x:c r="C228" s="102" t="str">
        <x:v>BYD Changzhou</x:v>
      </x:c>
      <x:c r="D228" s="102"/>
      <x:c r="E228" s="102" t="str">
        <x:v>COMP_ZODIAC</x:v>
      </x:c>
      <x:c r="F228" s="102" t="str">
        <x:v>Operating</x:v>
      </x:c>
    </x:row>
    <x:row r="229">
      <x:c r="A229" s="102" t="str">
        <x:v>VESSEL_00111</x:v>
      </x:c>
      <x:c r="B229" s="102" t="str">
        <x:v>Vessel</x:v>
      </x:c>
      <x:c r="C229" s="102" t="str">
        <x:v>BYD Hefei</x:v>
      </x:c>
      <x:c r="D229" s="102"/>
      <x:c r="E229" s="102" t="str">
        <x:v>COMP_BYD</x:v>
      </x:c>
      <x:c r="F229" s="102" t="str">
        <x:v>Operating</x:v>
      </x:c>
    </x:row>
    <x:row r="230">
      <x:c r="A230" s="102" t="str">
        <x:v>VESSEL_00112</x:v>
      </x:c>
      <x:c r="B230" s="102" t="str">
        <x:v>Vessel</x:v>
      </x:c>
      <x:c r="C230" s="102" t="str">
        <x:v>BYD Zhengzhou</x:v>
      </x:c>
      <x:c r="D230" s="102"/>
      <x:c r="E230" s="102" t="str">
        <x:v>COMP_BYD</x:v>
      </x:c>
      <x:c r="F230" s="102" t="str">
        <x:v>Operating</x:v>
      </x:c>
    </x:row>
    <x:row r="231">
      <x:c r="A231" s="102" t="str">
        <x:v>VESSEL_00113</x:v>
      </x:c>
      <x:c r="B231" s="102" t="str">
        <x:v>Vessel</x:v>
      </x:c>
      <x:c r="C231" s="102" t="str">
        <x:v>BYD Shenzhen</x:v>
      </x:c>
      <x:c r="D231" s="102"/>
      <x:c r="E231" s="102" t="str">
        <x:v>COMP_BYD</x:v>
      </x:c>
      <x:c r="F231" s="102" t="str">
        <x:v>Operating</x:v>
      </x:c>
    </x:row>
    <x:row r="232">
      <x:c r="A232" s="102" t="str">
        <x:v>VESSEL_00114</x:v>
      </x:c>
      <x:c r="B232" s="102" t="str">
        <x:v>Vessel</x:v>
      </x:c>
      <x:c r="C232" s="102" t="str">
        <x:v>BYD Xi'an</x:v>
      </x:c>
      <x:c r="D232" s="102"/>
      <x:c r="E232" s="102" t="str">
        <x:v>COMP_BYD</x:v>
      </x:c>
      <x:c r="F232" s="102" t="str">
        <x:v>Operating</x:v>
      </x:c>
    </x:row>
    <x:row r="233">
      <x:c r="A233" s="102" t="str">
        <x:v>VESSEL_00115</x:v>
      </x:c>
      <x:c r="B233" s="102" t="str">
        <x:v>Vessel</x:v>
      </x:c>
      <x:c r="C233" s="102" t="str">
        <x:v>BYD Changsha</x:v>
      </x:c>
      <x:c r="D233" s="102"/>
      <x:c r="E233" s="102" t="str">
        <x:v>COMP_BYD</x:v>
      </x:c>
      <x:c r="F233" s="102" t="str">
        <x:v>Operating</x:v>
      </x:c>
    </x:row>
    <x:row r="234">
      <x:c r="A234" s="102" t="str">
        <x:v>VESSEL_00116</x:v>
      </x:c>
      <x:c r="B234" s="102" t="str">
        <x:v>Vessel</x:v>
      </x:c>
      <x:c r="C234" s="102" t="str">
        <x:v>BYD Jinan</x:v>
      </x:c>
      <x:c r="D234" s="102"/>
      <x:c r="E234" s="102" t="str">
        <x:v>COMP_BYD</x:v>
      </x:c>
      <x:c r="F234" s="102" t="str">
        <x:v>Operating</x:v>
      </x:c>
    </x:row>
    <x:row r="235">
      <x:c r="A235" s="102" t="str">
        <x:v>VESSEL_00117</x:v>
      </x:c>
      <x:c r="B235" s="102" t="str">
        <x:v>Vessel</x:v>
      </x:c>
      <x:c r="C235" s="102" t="str">
        <x:v>SINOKOR NIIGATA</x:v>
      </x:c>
      <x:c r="D235" s="102" t="str">
        <x:v>Korea</x:v>
      </x:c>
      <x:c r="E235" s="102" t="str">
        <x:v>COMP_SINOKOR</x:v>
      </x:c>
      <x:c r="F235" s="102" t="str">
        <x:v>Operating</x:v>
      </x:c>
    </x:row>
    <x:row r="236">
      <x:c r="A236" s="102" t="str">
        <x:v>VESSEL_00118</x:v>
      </x:c>
      <x:c r="B236" s="102" t="str">
        <x:v>Vessel</x:v>
      </x:c>
      <x:c r="C236" s="102" t="str">
        <x:v>MEREDITH VICTORY</x:v>
      </x:c>
      <x:c r="D236" s="102" t="str">
        <x:v>Korea</x:v>
      </x:c>
      <x:c r="E236" s="102" t="str">
        <x:v>COMP_SINOKOR</x:v>
      </x:c>
      <x:c r="F236" s="102" t="str">
        <x:v>Operating</x:v>
      </x:c>
    </x:row>
    <x:row r="237">
      <x:c r="A237" s="102" t="str">
        <x:v>VESSEL_00119</x:v>
      </x:c>
      <x:c r="B237" s="102" t="str">
        <x:v>Vessel</x:v>
      </x:c>
      <x:c r="C237" s="102" t="str">
        <x:v>KOOKYANG SINGAPORE</x:v>
      </x:c>
      <x:c r="D237" s="102"/>
      <x:c r="E237" s="102" t="str">
        <x:v>COMP_SINOKOR</x:v>
      </x:c>
      <x:c r="F237" s="102" t="str">
        <x:v>Operating</x:v>
      </x:c>
    </x:row>
    <x:row r="238">
      <x:c r="A238" s="102" t="str">
        <x:v>VESSEL_00120</x:v>
      </x:c>
      <x:c r="B238" s="102" t="str">
        <x:v>Vessel</x:v>
      </x:c>
      <x:c r="C238" s="102" t="str">
        <x:v>GENEVA QUEEN</x:v>
      </x:c>
      <x:c r="D238" s="102"/>
      <x:c r="E238" s="102" t="str">
        <x:v>COMP_SINOKOR</x:v>
      </x:c>
      <x:c r="F238" s="102" t="str">
        <x:v>Operating</x:v>
      </x:c>
    </x:row>
    <x:row r="239">
      <x:c r="A239" s="102" t="str">
        <x:v>VESSEL_00121</x:v>
      </x:c>
      <x:c r="B239" s="102" t="str">
        <x:v>Vessel</x:v>
      </x:c>
      <x:c r="C239" s="102" t="str">
        <x:v>Hakata Voyager</x:v>
      </x:c>
      <x:c r="D239" s="102"/>
      <x:c r="E239" s="102" t="str">
        <x:v>COMP_SINOKOR</x:v>
      </x:c>
      <x:c r="F239" s="102" t="str">
        <x:v>Operating</x:v>
      </x:c>
    </x:row>
    <x:row r="240">
      <x:c r="A240" s="102" t="str">
        <x:v>VESSEL_00122</x:v>
      </x:c>
      <x:c r="B240" s="102" t="str">
        <x:v>Vessel</x:v>
      </x:c>
      <x:c r="C240" s="102" t="str">
        <x:v>Vostochny Voyager</x:v>
      </x:c>
      <x:c r="D240" s="102"/>
      <x:c r="E240" s="102" t="str">
        <x:v>COMP_SINOKOR</x:v>
      </x:c>
      <x:c r="F240" s="102" t="str">
        <x:v>Operating</x:v>
      </x:c>
    </x:row>
    <x:row r="241">
      <x:c r="A241" s="102" t="str">
        <x:v>VESSEL_00123</x:v>
      </x:c>
      <x:c r="B241" s="102" t="str">
        <x:v>Vessel</x:v>
      </x:c>
      <x:c r="C241" s="102" t="str">
        <x:v>HongKong Voyager</x:v>
      </x:c>
      <x:c r="D241" s="102"/>
      <x:c r="E241" s="102" t="str">
        <x:v>COMP_SINOKOR</x:v>
      </x:c>
      <x:c r="F241" s="102" t="str">
        <x:v>Operating</x:v>
      </x:c>
    </x:row>
    <x:row r="242">
      <x:c r="A242" s="102" t="str">
        <x:v>VESSEL_00124</x:v>
      </x:c>
      <x:c r="B242" s="102" t="str">
        <x:v>Vessel</x:v>
      </x:c>
      <x:c r="C242" s="102" t="str">
        <x:v>Osaka Voyager</x:v>
      </x:c>
      <x:c r="D242" s="102"/>
      <x:c r="E242" s="102" t="str">
        <x:v>COMP_SINOKOR</x:v>
      </x:c>
      <x:c r="F242" s="102" t="str">
        <x:v>Operating</x:v>
      </x:c>
    </x:row>
    <x:row r="243">
      <x:c r="A243" s="102" t="str">
        <x:v>VESSEL_00125</x:v>
      </x:c>
      <x:c r="B243" s="102" t="str">
        <x:v>Vessel</x:v>
      </x:c>
      <x:c r="C243" s="102" t="str">
        <x:v>NAGOYA TRADER</x:v>
      </x:c>
      <x:c r="D243" s="102"/>
      <x:c r="E243" s="102" t="str">
        <x:v>COMP_SINOKOR</x:v>
      </x:c>
      <x:c r="F243" s="102" t="str">
        <x:v>Operating</x:v>
      </x:c>
    </x:row>
    <x:row r="244">
      <x:c r="A244" s="102" t="str">
        <x:v>VESSEL_00126</x:v>
      </x:c>
      <x:c r="B244" s="102" t="str">
        <x:v>Vessel</x:v>
      </x:c>
      <x:c r="C244" s="102" t="str">
        <x:v>SAWASDEE PACIFIC</x:v>
      </x:c>
      <x:c r="D244" s="102"/>
      <x:c r="E244" s="102" t="str">
        <x:v>COMP_SINOKOR</x:v>
      </x:c>
      <x:c r="F244" s="102" t="str">
        <x:v>Operating</x:v>
      </x:c>
    </x:row>
    <x:row r="245">
      <x:c r="A245" s="102" t="str">
        <x:v>VESSEL_00127</x:v>
      </x:c>
      <x:c r="B245" s="102" t="str">
        <x:v>Vessel</x:v>
      </x:c>
      <x:c r="C245" s="102" t="str">
        <x:v>SAWASDEE ATLANTIC</x:v>
      </x:c>
      <x:c r="D245" s="102"/>
      <x:c r="E245" s="102" t="str">
        <x:v>COMP_SINOKOR</x:v>
      </x:c>
      <x:c r="F245" s="102" t="str">
        <x:v>Operating</x:v>
      </x:c>
    </x:row>
    <x:row r="246">
      <x:c r="A246" s="102" t="str">
        <x:v>VESSEL_00128</x:v>
      </x:c>
      <x:c r="B246" s="102" t="str">
        <x:v>Vessel</x:v>
      </x:c>
      <x:c r="C246" s="102" t="str">
        <x:v>SAWASDEE BALTIC</x:v>
      </x:c>
      <x:c r="D246" s="102"/>
      <x:c r="E246" s="102" t="str">
        <x:v>COMP_SINOKOR</x:v>
      </x:c>
      <x:c r="F246" s="102" t="str">
        <x:v>Operating</x:v>
      </x:c>
    </x:row>
    <x:row r="247">
      <x:c r="A247" s="102" t="str">
        <x:v>VESSEL_00129</x:v>
      </x:c>
      <x:c r="B247" s="102" t="str">
        <x:v>Vessel</x:v>
      </x:c>
      <x:c r="C247" s="102" t="str">
        <x:v>SAWASDEE SUNRISE</x:v>
      </x:c>
      <x:c r="D247" s="102"/>
      <x:c r="E247" s="102" t="str">
        <x:v>COMP_SINOKOR</x:v>
      </x:c>
      <x:c r="F247" s="102" t="str">
        <x:v>Operating</x:v>
      </x:c>
    </x:row>
    <x:row r="248">
      <x:c r="A248" s="102" t="str">
        <x:v>VESSEL_00130</x:v>
      </x:c>
      <x:c r="B248" s="102" t="str">
        <x:v>Vessel</x:v>
      </x:c>
      <x:c r="C248" s="102" t="str">
        <x:v>HOCHIMINH VOYAGER</x:v>
      </x:c>
      <x:c r="D248" s="102"/>
      <x:c r="E248" s="102" t="str">
        <x:v>COMP_SINOKOR</x:v>
      </x:c>
      <x:c r="F248" s="102" t="str">
        <x:v>Operating</x:v>
      </x:c>
    </x:row>
    <x:row r="249">
      <x:c r="A249" s="102" t="str">
        <x:v>VESSEL_00131</x:v>
      </x:c>
      <x:c r="B249" s="102" t="str">
        <x:v>Vessel</x:v>
      </x:c>
      <x:c r="C249" s="102" t="str">
        <x:v>JAKARTA VOYAGER</x:v>
      </x:c>
      <x:c r="D249" s="102"/>
      <x:c r="E249" s="102" t="str">
        <x:v>COMP_SINOKOR</x:v>
      </x:c>
      <x:c r="F249" s="102" t="str">
        <x:v>Operating</x:v>
      </x:c>
    </x:row>
    <x:row r="250">
      <x:c r="A250" s="102" t="str">
        <x:v>VESSEL_00132</x:v>
      </x:c>
      <x:c r="B250" s="102" t="str">
        <x:v>Vessel</x:v>
      </x:c>
      <x:c r="C250" s="102" t="str">
        <x:v>SHANGHAI VOYAGER</x:v>
      </x:c>
      <x:c r="D250" s="102"/>
      <x:c r="E250" s="102" t="str">
        <x:v>COMP_SINOKOR</x:v>
      </x:c>
      <x:c r="F250" s="102" t="str">
        <x:v>Operating</x:v>
      </x:c>
    </x:row>
    <x:row r="251">
      <x:c r="A251" s="102" t="str">
        <x:v>VESSEL_00133</x:v>
      </x:c>
      <x:c r="B251" s="102" t="str">
        <x:v>Vessel</x:v>
      </x:c>
      <x:c r="C251" s="102" t="str">
        <x:v>NINGBO TRADER</x:v>
      </x:c>
      <x:c r="D251" s="102"/>
      <x:c r="E251" s="102" t="str">
        <x:v>COMP_SINOKOR</x:v>
      </x:c>
      <x:c r="F251" s="102" t="str">
        <x:v>Operating</x:v>
      </x:c>
    </x:row>
    <x:row r="252">
      <x:c r="A252" s="102" t="str">
        <x:v>VESSEL_00134</x:v>
      </x:c>
      <x:c r="B252" s="102" t="str">
        <x:v>Vessel</x:v>
      </x:c>
      <x:c r="C252" s="102" t="str">
        <x:v>YOKOHAMA TRADER</x:v>
      </x:c>
      <x:c r="D252" s="102"/>
      <x:c r="E252" s="102" t="str">
        <x:v>COMP_SINOKOR</x:v>
      </x:c>
      <x:c r="F252" s="102" t="str">
        <x:v>Operating</x:v>
      </x:c>
    </x:row>
    <x:row r="253">
      <x:c r="A253" s="102" t="str">
        <x:v>VESSEL_00135</x:v>
      </x:c>
      <x:c r="B253" s="102" t="str">
        <x:v>Vessel</x:v>
      </x:c>
      <x:c r="C253" s="102" t="str">
        <x:v>SURABAYA VOYAGER</x:v>
      </x:c>
      <x:c r="D253" s="102"/>
      <x:c r="E253" s="102" t="str">
        <x:v>COMP_SINOKOR</x:v>
      </x:c>
      <x:c r="F253" s="102" t="str">
        <x:v>Operating</x:v>
      </x:c>
    </x:row>
    <x:row r="254">
      <x:c r="A254" s="102" t="str">
        <x:v>VESSEL_00136</x:v>
      </x:c>
      <x:c r="B254" s="102" t="str">
        <x:v>Vessel</x:v>
      </x:c>
      <x:c r="C254" s="102" t="str">
        <x:v>KOBE TRADER</x:v>
      </x:c>
      <x:c r="D254" s="102"/>
      <x:c r="E254" s="102" t="str">
        <x:v>COMP_SINOKOR</x:v>
      </x:c>
      <x:c r="F254" s="102" t="str">
        <x:v>Operating</x:v>
      </x:c>
    </x:row>
    <x:row r="255">
      <x:c r="A255" s="102" t="str">
        <x:v>VESSEL_00137</x:v>
      </x:c>
      <x:c r="B255" s="102" t="str">
        <x:v>Vessel</x:v>
      </x:c>
      <x:c r="C255" s="102" t="str">
        <x:v>CHENNAI VOYAGER</x:v>
      </x:c>
      <x:c r="D255" s="102" t="str">
        <x:v>Panama</x:v>
      </x:c>
      <x:c r="E255" s="102" t="str">
        <x:v>COMP_SINOKOR</x:v>
      </x:c>
      <x:c r="F255" s="102" t="str">
        <x:v>Operating</x:v>
      </x:c>
    </x:row>
    <x:row r="256">
      <x:c r="A256" s="102" t="str">
        <x:v>VESSEL_00138</x:v>
      </x:c>
      <x:c r="B256" s="102" t="str">
        <x:v>Vessel</x:v>
      </x:c>
      <x:c r="C256" s="102" t="str">
        <x:v>SENDAI TRADER</x:v>
      </x:c>
      <x:c r="D256" s="102" t="str">
        <x:v>Korea</x:v>
      </x:c>
      <x:c r="E256" s="102" t="str">
        <x:v>COMP_SINOKOR</x:v>
      </x:c>
      <x:c r="F256" s="102" t="str">
        <x:v>Operating</x:v>
      </x:c>
    </x:row>
    <x:row r="257">
      <x:c r="A257" s="102" t="str">
        <x:v>VESSEL_00139</x:v>
      </x:c>
      <x:c r="B257" s="102" t="str">
        <x:v>Vessel</x:v>
      </x:c>
      <x:c r="C257" s="102" t="str">
        <x:v>QINGDAO TRADER</x:v>
      </x:c>
      <x:c r="D257" s="102"/>
      <x:c r="E257" s="102" t="str">
        <x:v>COMP_SINOKOR</x:v>
      </x:c>
      <x:c r="F257" s="102" t="str">
        <x:v>Operating</x:v>
      </x:c>
    </x:row>
    <x:row r="258">
      <x:c r="A258" s="102" t="str">
        <x:v>VESSEL_00140</x:v>
      </x:c>
      <x:c r="B258" s="102" t="str">
        <x:v>Vessel</x:v>
      </x:c>
      <x:c r="C258" s="102" t="str">
        <x:v>YANGTZE TRADER</x:v>
      </x:c>
      <x:c r="D258" s="102"/>
      <x:c r="E258" s="102" t="str">
        <x:v>COMP_SINOKOR</x:v>
      </x:c>
      <x:c r="F258" s="102" t="str">
        <x:v>Operating</x:v>
      </x:c>
    </x:row>
    <x:row r="259">
      <x:c r="A259" s="102" t="str">
        <x:v>VESSEL_00141</x:v>
      </x:c>
      <x:c r="B259" s="102" t="str">
        <x:v>Vessel</x:v>
      </x:c>
      <x:c r="C259" s="102" t="str">
        <x:v>NO.2 OCEAN PIONEER</x:v>
      </x:c>
      <x:c r="D259" s="102"/>
      <x:c r="E259" s="102" t="str">
        <x:v>COMP_SINOKOR</x:v>
      </x:c>
      <x:c r="F259" s="102" t="str">
        <x:v>Operating</x:v>
      </x:c>
    </x:row>
    <x:row r="260">
      <x:c r="A260" s="102" t="str">
        <x:v>VESSEL_00142</x:v>
      </x:c>
      <x:c r="B260" s="102" t="str">
        <x:v>Vessel</x:v>
      </x:c>
      <x:c r="C260" s="102" t="str">
        <x:v>OCEAN PIONEER</x:v>
      </x:c>
      <x:c r="D260" s="102"/>
      <x:c r="E260" s="102" t="str">
        <x:v>COMP_SINOKOR</x:v>
      </x:c>
      <x:c r="F260" s="102" t="str">
        <x:v>Operating</x:v>
      </x:c>
    </x:row>
    <x:row r="261">
      <x:c r="A261" s="102" t="str">
        <x:v>VESSEL_00143</x:v>
      </x:c>
      <x:c r="B261" s="102" t="str">
        <x:v>Vessel</x:v>
      </x:c>
      <x:c r="C261" s="102" t="str">
        <x:v>SAWASDEE CHITTAGONG</x:v>
      </x:c>
      <x:c r="D261" s="102"/>
      <x:c r="E261" s="102" t="str">
        <x:v>COMP_SINOKOR</x:v>
      </x:c>
      <x:c r="F261" s="102" t="str">
        <x:v>Operating</x:v>
      </x:c>
    </x:row>
    <x:row r="262">
      <x:c r="A262" s="102" t="str">
        <x:v>VESSEL_00144</x:v>
      </x:c>
      <x:c r="B262" s="102" t="str">
        <x:v>Vessel</x:v>
      </x:c>
      <x:c r="C262" s="102" t="str">
        <x:v>SAWASDEE SHANGHAI</x:v>
      </x:c>
      <x:c r="D262" s="102"/>
      <x:c r="E262" s="102" t="str">
        <x:v>COMP_SINOKOR</x:v>
      </x:c>
      <x:c r="F262" s="102" t="str">
        <x:v>Operating</x:v>
      </x:c>
    </x:row>
    <x:row r="263">
      <x:c r="A263" s="102" t="str">
        <x:v>VESSEL_00145</x:v>
      </x:c>
      <x:c r="B263" s="102" t="str">
        <x:v>Vessel</x:v>
      </x:c>
      <x:c r="C263" s="102" t="str">
        <x:v>SAWASDEE XIAMEN</x:v>
      </x:c>
      <x:c r="D263" s="102"/>
      <x:c r="E263" s="102" t="str">
        <x:v>COMP_SINOKOR</x:v>
      </x:c>
      <x:c r="F263" s="102" t="str">
        <x:v>Operating</x:v>
      </x:c>
    </x:row>
    <x:row r="264">
      <x:c r="A264" s="102" t="str">
        <x:v>VESSEL_00146</x:v>
      </x:c>
      <x:c r="B264" s="102" t="str">
        <x:v>Vessel</x:v>
      </x:c>
      <x:c r="C264" s="102" t="str">
        <x:v>SAWASDEE INCHEON</x:v>
      </x:c>
      <x:c r="D264" s="102"/>
      <x:c r="E264" s="102" t="str">
        <x:v>COMP_SINOKOR</x:v>
      </x:c>
      <x:c r="F264" s="102" t="str">
        <x:v>Operating</x:v>
      </x:c>
    </x:row>
    <x:row r="265">
      <x:c r="A265" s="102" t="str">
        <x:v>VESSEL_00147</x:v>
      </x:c>
      <x:c r="B265" s="102" t="str">
        <x:v>Vessel</x:v>
      </x:c>
      <x:c r="C265" s="102" t="str">
        <x:v>SAWASDEE SIRIUS</x:v>
      </x:c>
      <x:c r="D265" s="102"/>
      <x:c r="E265" s="102" t="str">
        <x:v>COMP_SINOKOR</x:v>
      </x:c>
      <x:c r="F265" s="102" t="str">
        <x:v>Operating</x:v>
      </x:c>
    </x:row>
    <x:row r="266">
      <x:c r="A266" s="102" t="str">
        <x:v>VESSEL_00148</x:v>
      </x:c>
      <x:c r="B266" s="102" t="str">
        <x:v>Vessel</x:v>
      </x:c>
      <x:c r="C266" s="102" t="str">
        <x:v>SAWASDEE VEGA</x:v>
      </x:c>
      <x:c r="D266" s="102"/>
      <x:c r="E266" s="102" t="str">
        <x:v>COMP_SINOKOR</x:v>
      </x:c>
      <x:c r="F266" s="102" t="str">
        <x:v>Operating</x:v>
      </x:c>
    </x:row>
    <x:row r="267">
      <x:c r="A267" s="102" t="str">
        <x:v>VESSEL_00149</x:v>
      </x:c>
      <x:c r="B267" s="102" t="str">
        <x:v>Vessel</x:v>
      </x:c>
      <x:c r="C267" s="102" t="str">
        <x:v>SAWASDEE CAPELLA</x:v>
      </x:c>
      <x:c r="D267" s="102"/>
      <x:c r="E267" s="102" t="str">
        <x:v>COMP_SINOKOR</x:v>
      </x:c>
      <x:c r="F267" s="102" t="str">
        <x:v>Operating</x:v>
      </x:c>
    </x:row>
    <x:row r="268">
      <x:c r="A268" s="102" t="str">
        <x:v>VESSEL_00150</x:v>
      </x:c>
      <x:c r="B268" s="102" t="str">
        <x:v>Vessel</x:v>
      </x:c>
      <x:c r="C268" s="102" t="str">
        <x:v>SAWASDEE RIGEL</x:v>
      </x:c>
      <x:c r="D268" s="102"/>
      <x:c r="E268" s="102" t="str">
        <x:v>COMP_SINOKOR</x:v>
      </x:c>
      <x:c r="F268" s="102" t="str">
        <x:v>Operating</x:v>
      </x:c>
    </x:row>
    <x:row r="269">
      <x:c r="A269" s="102" t="str">
        <x:v>VESSEL_00151</x:v>
      </x:c>
      <x:c r="B269" s="102" t="str">
        <x:v>Vessel</x:v>
      </x:c>
      <x:c r="C269" s="102" t="str">
        <x:v>SAWASDEE ALTAIR</x:v>
      </x:c>
      <x:c r="D269" s="102"/>
      <x:c r="E269" s="102" t="str">
        <x:v>COMP_SINOKOR</x:v>
      </x:c>
      <x:c r="F269" s="102" t="str">
        <x:v>Operating</x:v>
      </x:c>
    </x:row>
    <x:row r="270">
      <x:c r="A270" s="102" t="str">
        <x:v>VESSEL_00152</x:v>
      </x:c>
      <x:c r="B270" s="102" t="str">
        <x:v>Vessel</x:v>
      </x:c>
      <x:c r="C270" s="102" t="str">
        <x:v>SAWASDEE SPICA</x:v>
      </x:c>
      <x:c r="D270" s="102"/>
      <x:c r="E270" s="102" t="str">
        <x:v>COMP_SINOKOR</x:v>
      </x:c>
      <x:c r="F270" s="102" t="str">
        <x:v>Operating</x:v>
      </x:c>
    </x:row>
    <x:row r="271">
      <x:c r="A271" s="102" t="str">
        <x:v>VESSEL_00153</x:v>
      </x:c>
      <x:c r="B271" s="102" t="str">
        <x:v>Vessel</x:v>
      </x:c>
      <x:c r="C271" s="102" t="str">
        <x:v>SAWASDEE DENEB</x:v>
      </x:c>
      <x:c r="D271" s="102"/>
      <x:c r="E271" s="102" t="str">
        <x:v>COMP_SINOKOR</x:v>
      </x:c>
      <x:c r="F271" s="102" t="str">
        <x:v>Operating</x:v>
      </x:c>
    </x:row>
    <x:row r="272">
      <x:c r="A272" s="102" t="str">
        <x:v>VESSEL_00154</x:v>
      </x:c>
      <x:c r="B272" s="102" t="str">
        <x:v>Vessel</x:v>
      </x:c>
      <x:c r="C272" s="102" t="str">
        <x:v>YEOSU VOYAGER</x:v>
      </x:c>
      <x:c r="D272" s="102" t="str">
        <x:v>Panama</x:v>
      </x:c>
      <x:c r="E272" s="102" t="str">
        <x:v>COMP_SINOKOR</x:v>
      </x:c>
      <x:c r="F272" s="102" t="str">
        <x:v>Operating</x:v>
      </x:c>
    </x:row>
    <x:row r="273">
      <x:c r="A273" s="102" t="str">
        <x:v>VESSEL_00155</x:v>
      </x:c>
      <x:c r="B273" s="102" t="str">
        <x:v>Vessel</x:v>
      </x:c>
      <x:c r="C273" s="102" t="str">
        <x:v>INCHEON VOYAGER</x:v>
      </x:c>
      <x:c r="D273" s="102" t="str">
        <x:v>Panama</x:v>
      </x:c>
      <x:c r="E273" s="102" t="str">
        <x:v>COMP_SINOKOR</x:v>
      </x:c>
      <x:c r="F273" s="102" t="str">
        <x:v>Operating</x:v>
      </x:c>
    </x:row>
    <x:row r="274">
      <x:c r="A274" s="102" t="str">
        <x:v>VESSEL_00156</x:v>
      </x:c>
      <x:c r="B274" s="102" t="str">
        <x:v>Vessel</x:v>
      </x:c>
      <x:c r="C274" s="102" t="str">
        <x:v>ULSAN VOYAGER</x:v>
      </x:c>
      <x:c r="D274" s="102" t="str">
        <x:v>Panama</x:v>
      </x:c>
      <x:c r="E274" s="102" t="str">
        <x:v>COMP_SINOKOR</x:v>
      </x:c>
      <x:c r="F274" s="102" t="str">
        <x:v>Operating</x:v>
      </x:c>
    </x:row>
    <x:row r="275">
      <x:c r="A275" s="102" t="str">
        <x:v>VESSEL_00157</x:v>
      </x:c>
      <x:c r="B275" s="102" t="str">
        <x:v>Vessel</x:v>
      </x:c>
      <x:c r="C275" s="102" t="str">
        <x:v>SAWASDEE MIMOSA</x:v>
      </x:c>
      <x:c r="D275" s="102"/>
      <x:c r="E275" s="102" t="str">
        <x:v>COMP_SINOKOR</x:v>
      </x:c>
      <x:c r="F275" s="102" t="str">
        <x:v>Operating</x:v>
      </x:c>
    </x:row>
    <x:row r="276">
      <x:c r="A276" s="102" t="str">
        <x:v>VESSEL_00158</x:v>
      </x:c>
      <x:c r="B276" s="102" t="str">
        <x:v>Vessel</x:v>
      </x:c>
      <x:c r="C276" s="102" t="str">
        <x:v>TOYAMA TRADER</x:v>
      </x:c>
      <x:c r="D276" s="102"/>
      <x:c r="E276" s="102" t="str">
        <x:v>COMP_SINOKOR</x:v>
      </x:c>
      <x:c r="F276" s="102" t="str">
        <x:v>Operating</x:v>
      </x:c>
    </x:row>
    <x:row r="277">
      <x:c r="A277" s="102" t="str">
        <x:v>VESSEL_00159</x:v>
      </x:c>
      <x:c r="B277" s="102" t="str">
        <x:v>Vessel</x:v>
      </x:c>
      <x:c r="C277" s="102" t="str">
        <x:v>KWANGYANG VOYAGER</x:v>
      </x:c>
      <x:c r="D277" s="102" t="str">
        <x:v>Panama</x:v>
      </x:c>
      <x:c r="E277" s="102" t="str">
        <x:v>COMP_SINOKOR</x:v>
      </x:c>
      <x:c r="F277" s="102" t="str">
        <x:v>Operating</x:v>
      </x:c>
    </x:row>
    <x:row r="278">
      <x:c r="A278" s="102" t="str">
        <x:v>VESSEL_00160</x:v>
      </x:c>
      <x:c r="B278" s="102" t="str">
        <x:v>Vessel</x:v>
      </x:c>
      <x:c r="C278" s="102" t="str">
        <x:v>AKITA TRADER</x:v>
      </x:c>
      <x:c r="D278" s="102" t="str">
        <x:v>Liberia</x:v>
      </x:c>
      <x:c r="E278" s="102" t="str">
        <x:v>COMP_SINOKOR</x:v>
      </x:c>
      <x:c r="F278" s="102" t="str">
        <x:v>Operating</x:v>
      </x:c>
    </x:row>
    <x:row r="279">
      <x:c r="A279" s="102" t="str">
        <x:v>VESSEL_00161</x:v>
      </x:c>
      <x:c r="B279" s="102" t="str">
        <x:v>Vessel</x:v>
      </x:c>
      <x:c r="C279" s="102" t="str">
        <x:v>MELBOURNE BRIDGE</x:v>
      </x:c>
      <x:c r="D279" s="102" t="str">
        <x:v>Liberia</x:v>
      </x:c>
      <x:c r="E279" s="102" t="str">
        <x:v>COMP_SINOKOR</x:v>
      </x:c>
      <x:c r="F279" s="102" t="str">
        <x:v>Operating</x:v>
      </x:c>
    </x:row>
    <x:row r="280">
      <x:c r="A280" s="102" t="str">
        <x:v>VESSEL_00162</x:v>
      </x:c>
      <x:c r="B280" s="102" t="str">
        <x:v>Vessel</x:v>
      </x:c>
      <x:c r="C280" s="102" t="str">
        <x:v>SYDNEY BRIDGE</x:v>
      </x:c>
      <x:c r="D280" s="102"/>
      <x:c r="E280" s="102" t="str">
        <x:v>COMP_SINOKOR</x:v>
      </x:c>
      <x:c r="F280" s="102" t="str">
        <x:v>Operating</x:v>
      </x:c>
    </x:row>
    <x:row r="281">
      <x:c r="A281" s="102" t="str">
        <x:v>VESSEL_00163</x:v>
      </x:c>
      <x:c r="B281" s="102" t="str">
        <x:v>Vessel</x:v>
      </x:c>
      <x:c r="C281" s="102" t="str">
        <x:v>MOJI EXPRESS</x:v>
      </x:c>
      <x:c r="D281" s="102"/>
      <x:c r="E281" s="102" t="str">
        <x:v>COMP_SINOKOR</x:v>
      </x:c>
      <x:c r="F281" s="102" t="str">
        <x:v>Operating</x:v>
      </x:c>
    </x:row>
    <x:row r="282">
      <x:c r="A282" s="102" t="str">
        <x:v>VESSEL_00164</x:v>
      </x:c>
      <x:c r="B282" s="102" t="str">
        <x:v>Vessel</x:v>
      </x:c>
      <x:c r="C282" s="102" t="str">
        <x:v>Asia Excellence</x:v>
      </x:c>
      <x:c r="D282" s="102"/>
      <x:c r="E282" s="102" t="str">
        <x:v>COMP_CHEVRON</x:v>
      </x:c>
      <x:c r="F282" s="102" t="str">
        <x:v>Operating</x:v>
      </x:c>
    </x:row>
    <x:row r="283">
      <x:c r="A283" s="102" t="str">
        <x:v>VESSEL_00165</x:v>
      </x:c>
      <x:c r="B283" s="102" t="str">
        <x:v>Vessel</x:v>
      </x:c>
      <x:c r="C283" s="102" t="str">
        <x:v>P. Long Beach</x:v>
      </x:c>
      <x:c r="D283" s="102"/>
      <x:c r="E283" s="102" t="str">
        <x:v>COMP_PERFORMANCE_SHIPPING</x:v>
      </x:c>
      <x:c r="F283" s="102" t="str">
        <x:v>Operating / chartered</x:v>
      </x:c>
    </x:row>
    <x:row r="284">
      <x:c r="A284" s="102" t="str">
        <x:v>VESSEL_00166</x:v>
      </x:c>
      <x:c r="B284" s="102" t="str">
        <x:v>Vessel</x:v>
      </x:c>
      <x:c r="C284" s="102" t="str">
        <x:v>Largo Eagle</x:v>
      </x:c>
      <x:c r="D284" s="102"/>
      <x:c r="E284" s="102"/>
      <x:c r="F284" s="102" t="str">
        <x:v>Operating / cargo booking</x:v>
      </x:c>
    </x:row>
    <x:row r="285">
      <x:c r="A285" s="102" t="str">
        <x:v>VESSEL_00167</x:v>
      </x:c>
      <x:c r="B285" s="102" t="str">
        <x:v>Vessel</x:v>
      </x:c>
      <x:c r="C285" s="102" t="str">
        <x:v>Nord Ventura</x:v>
      </x:c>
      <x:c r="D285" s="102"/>
      <x:c r="E285" s="102"/>
      <x:c r="F285" s="102" t="str">
        <x:v>Operating / cargo booking</x:v>
      </x:c>
    </x:row>
    <x:row r="286">
      <x:c r="A286" s="102" t="str">
        <x:v>VESSEL_00168</x:v>
      </x:c>
      <x:c r="B286" s="102" t="str">
        <x:v>Vessel</x:v>
      </x:c>
      <x:c r="C286" s="102" t="str">
        <x:v>Rex Tillerson</x:v>
      </x:c>
      <x:c r="D286" s="102"/>
      <x:c r="E286" s="102"/>
      <x:c r="F286" s="102" t="str">
        <x:v>Operating / delivered 2024</x:v>
      </x:c>
    </x:row>
    <x:row r="287">
      <x:c r="A287" s="102" t="str">
        <x:v>VESSEL_00169</x:v>
      </x:c>
      <x:c r="B287" s="102" t="str">
        <x:v>Vessel</x:v>
      </x:c>
      <x:c r="C287" s="102" t="str">
        <x:v>CAPT. KATTELMANN</x:v>
      </x:c>
      <x:c r="D287" s="102" t="str">
        <x:v>Malta</x:v>
      </x:c>
      <x:c r="E287" s="102"/>
      <x:c r="F287" s="102" t="str">
        <x:v>Operating</x:v>
      </x:c>
    </x:row>
    <x:row r="288">
      <x:c r="A288" s="102" t="str">
        <x:v>VESSEL_00170</x:v>
      </x:c>
      <x:c r="B288" s="102" t="str">
        <x:v>Vessel</x:v>
      </x:c>
      <x:c r="C288" s="102" t="str">
        <x:v>ATHENA</x:v>
      </x:c>
      <x:c r="D288" s="102" t="str">
        <x:v>St Vincent &amp; Grenadines</x:v>
      </x:c>
      <x:c r="E288" s="102"/>
      <x:c r="F288" s="102" t="str">
        <x:v>Operating</x:v>
      </x:c>
    </x:row>
    <x:row r="289">
      <x:c r="A289" s="102" t="str">
        <x:v>VESSEL_00171</x:v>
      </x:c>
      <x:c r="B289" s="102" t="str">
        <x:v>Vessel</x:v>
      </x:c>
      <x:c r="C289" s="102" t="str">
        <x:v>GFS GALAXY</x:v>
      </x:c>
      <x:c r="D289" s="102" t="str">
        <x:v>Cyprus</x:v>
      </x:c>
      <x:c r="E289" s="102"/>
      <x:c r="F289" s="102" t="str">
        <x:v>Damaged / post-incident assessment</x:v>
      </x:c>
    </x:row>
    <x:row r="290">
      <x:c r="A290" s="102" t="str">
        <x:v>VESSEL_00172</x:v>
      </x:c>
      <x:c r="B290" s="102" t="str">
        <x:v>Vessel</x:v>
      </x:c>
      <x:c r="C290" s="102" t="str">
        <x:v>GFS GENESIS</x:v>
      </x:c>
      <x:c r="D290" s="102" t="str">
        <x:v>Singapore</x:v>
      </x:c>
      <x:c r="E290" s="102"/>
      <x:c r="F290" s="102" t="str">
        <x:v>Operating</x:v>
      </x:c>
    </x:row>
    <x:row r="291">
      <x:c r="A291" s="102" t="str">
        <x:v>VESSEL_00173</x:v>
      </x:c>
      <x:c r="B291" s="102" t="str">
        <x:v>Vessel</x:v>
      </x:c>
      <x:c r="C291" s="102" t="str">
        <x:v>GFS PRECIOUS</x:v>
      </x:c>
      <x:c r="D291" s="102" t="str">
        <x:v>Singapore</x:v>
      </x:c>
      <x:c r="E291" s="102"/>
      <x:c r="F291" s="102" t="str">
        <x:v>Operating</x:v>
      </x:c>
    </x:row>
    <x:row r="292">
      <x:c r="A292" s="102" t="str">
        <x:v>VESSEL_00174</x:v>
      </x:c>
      <x:c r="B292" s="102" t="str">
        <x:v>Vessel</x:v>
      </x:c>
      <x:c r="C292" s="102" t="str">
        <x:v>GFS GISELLE</x:v>
      </x:c>
      <x:c r="D292" s="102" t="str">
        <x:v>Singapore</x:v>
      </x:c>
      <x:c r="E292" s="102"/>
      <x:c r="F292" s="102" t="str">
        <x:v>Operating</x:v>
      </x:c>
    </x:row>
    <x:row r="293">
      <x:c r="A293" s="102" t="str">
        <x:v>VESSEL_00175</x:v>
      </x:c>
      <x:c r="B293" s="102" t="str">
        <x:v>Vessel</x:v>
      </x:c>
      <x:c r="C293" s="102" t="str">
        <x:v>GFS RUBY</x:v>
      </x:c>
      <x:c r="D293" s="102" t="str">
        <x:v>Singapore</x:v>
      </x:c>
      <x:c r="E293" s="102"/>
      <x:c r="F293" s="102" t="str">
        <x:v>Operating</x:v>
      </x:c>
    </x:row>
    <x:row r="294">
      <x:c r="A294" s="102" t="str">
        <x:v>VESSEL_00176</x:v>
      </x:c>
      <x:c r="B294" s="102" t="str">
        <x:v>Vessel</x:v>
      </x:c>
      <x:c r="C294" s="102" t="str">
        <x:v>GFS PRESTIGE</x:v>
      </x:c>
      <x:c r="D294" s="102" t="str">
        <x:v>Singapore</x:v>
      </x:c>
      <x:c r="E294" s="102"/>
      <x:c r="F294" s="102" t="str">
        <x:v>Operating</x:v>
      </x:c>
    </x:row>
    <x:row r="295">
      <x:c r="A295" s="102" t="str">
        <x:v>VESSEL_00177</x:v>
      </x:c>
      <x:c r="B295" s="102" t="str">
        <x:v>Vessel</x:v>
      </x:c>
      <x:c r="C295" s="102" t="str">
        <x:v>GFS PRIDE</x:v>
      </x:c>
      <x:c r="D295" s="102" t="str">
        <x:v>Singapore</x:v>
      </x:c>
      <x:c r="E295" s="102"/>
      <x:c r="F295" s="102" t="str">
        <x:v>Operating</x:v>
      </x:c>
    </x:row>
    <x:row r="296">
      <x:c r="A296" s="102" t="str">
        <x:v>VESSEL_00178</x:v>
      </x:c>
      <x:c r="B296" s="102" t="str">
        <x:v>Vessel</x:v>
      </x:c>
      <x:c r="C296" s="102" t="str">
        <x:v>GFS RANNA</x:v>
      </x:c>
      <x:c r="D296" s="102" t="str">
        <x:v>St Vincent &amp; Grenadines</x:v>
      </x:c>
      <x:c r="E296" s="102"/>
      <x:c r="F296" s="102" t="str">
        <x:v>Operating</x:v>
      </x:c>
    </x:row>
    <x:row r="297">
      <x:c r="A297" s="102" t="str">
        <x:v>VESSEL_00179</x:v>
      </x:c>
      <x:c r="B297" s="102" t="str">
        <x:v>Vessel</x:v>
      </x:c>
      <x:c r="C297" s="102" t="str">
        <x:v>GFS JADE</x:v>
      </x:c>
      <x:c r="D297" s="102" t="str">
        <x:v>St Vincent &amp; Grenadines</x:v>
      </x:c>
      <x:c r="E297" s="102"/>
      <x:c r="F297" s="102" t="str">
        <x:v>Operating</x:v>
      </x:c>
    </x:row>
    <x:row r="298">
      <x:c r="A298" s="102" t="str">
        <x:v>VESSEL_00180</x:v>
      </x:c>
      <x:c r="B298" s="102" t="str">
        <x:v>Vessel</x:v>
      </x:c>
      <x:c r="C298" s="102" t="str">
        <x:v>GFS PERFECT</x:v>
      </x:c>
      <x:c r="D298" s="102" t="str">
        <x:v>Singapore</x:v>
      </x:c>
      <x:c r="E298" s="102"/>
      <x:c r="F298" s="102" t="str">
        <x:v>Operating</x:v>
      </x:c>
    </x:row>
    <x:row r="299">
      <x:c r="A299" s="102" t="str">
        <x:v>VESSEL_00181</x:v>
      </x:c>
      <x:c r="B299" s="102" t="str">
        <x:v>Vessel</x:v>
      </x:c>
      <x:c r="C299" s="102" t="str">
        <x:v>GFS PEARL</x:v>
      </x:c>
      <x:c r="D299" s="102" t="str">
        <x:v>Cyprus</x:v>
      </x:c>
      <x:c r="E299" s="102"/>
      <x:c r="F299" s="102" t="str">
        <x:v>Operating</x:v>
      </x:c>
    </x:row>
    <x:row r="300">
      <x:c r="A300" s="102" t="str">
        <x:v>VESSEL_00182</x:v>
      </x:c>
      <x:c r="B300" s="102" t="str">
        <x:v>Vessel</x:v>
      </x:c>
      <x:c r="C300" s="102" t="str">
        <x:v>GFS JUNO</x:v>
      </x:c>
      <x:c r="D300" s="102" t="str">
        <x:v>St Vincent &amp; Grenadines</x:v>
      </x:c>
      <x:c r="E300" s="102"/>
      <x:c r="F300" s="102" t="str">
        <x:v>Operating</x:v>
      </x:c>
    </x:row>
    <x:row r="301">
      <x:c r="A301" s="102" t="str">
        <x:v>VESSEL_00183</x:v>
      </x:c>
      <x:c r="B301" s="102" t="str">
        <x:v>Vessel</x:v>
      </x:c>
      <x:c r="C301" s="102" t="str">
        <x:v>GFS PRIME</x:v>
      </x:c>
      <x:c r="D301" s="102" t="str">
        <x:v>Cyprus</x:v>
      </x:c>
      <x:c r="E301" s="102"/>
      <x:c r="F301" s="102" t="str">
        <x:v>Operating</x:v>
      </x:c>
    </x:row>
    <x:row r="302">
      <x:c r="A302" s="102" t="str">
        <x:v>VESSEL_00184</x:v>
      </x:c>
      <x:c r="B302" s="102" t="str">
        <x:v>Vessel</x:v>
      </x:c>
      <x:c r="C302" s="102" t="str">
        <x:v>GFS SAPPHIRE</x:v>
      </x:c>
      <x:c r="D302" s="102" t="str">
        <x:v>Malta</x:v>
      </x:c>
      <x:c r="E302" s="102"/>
      <x:c r="F302" s="102" t="str">
        <x:v>Operating</x:v>
      </x:c>
    </x:row>
    <x:row r="303">
      <x:c r="A303" s="102" t="str">
        <x:v>VESSEL_00185</x:v>
      </x:c>
      <x:c r="B303" s="102" t="str">
        <x:v>Vessel</x:v>
      </x:c>
      <x:c r="C303" s="102" t="str">
        <x:v>SIGYN W</x:v>
      </x:c>
      <x:c r="D303" s="102"/>
      <x:c r="E303" s="102"/>
      <x:c r="F303" s="102" t="str">
        <x:v>Operating / schedule-observed</x:v>
      </x:c>
    </x:row>
    <x:row r="304">
      <x:c r="A304" s="102" t="str">
        <x:v>VESSEL_00186</x:v>
      </x:c>
      <x:c r="B304" s="102" t="str">
        <x:v>Vessel</x:v>
      </x:c>
      <x:c r="C304" s="102" t="str">
        <x:v>KOI</x:v>
      </x:c>
      <x:c r="D304" s="102"/>
      <x:c r="E304" s="102"/>
      <x:c r="F304" s="102" t="str">
        <x:v>Operating / schedule-observed</x:v>
      </x:c>
    </x:row>
    <x:row r="305">
      <x:c r="A305" s="102" t="str">
        <x:v>VESSEL_00187</x:v>
      </x:c>
      <x:c r="B305" s="102" t="str">
        <x:v>Vessel</x:v>
      </x:c>
      <x:c r="C305" s="102" t="str">
        <x:v>CMA CGM AMBER</x:v>
      </x:c>
      <x:c r="D305" s="102"/>
      <x:c r="E305" s="102"/>
      <x:c r="F305" s="102" t="str">
        <x:v>Operating / schedule-observed</x:v>
      </x:c>
    </x:row>
    <x:row r="306">
      <x:c r="A306" s="102" t="str">
        <x:v>VESSEL_00188</x:v>
      </x:c>
      <x:c r="B306" s="102" t="str">
        <x:v>Vessel</x:v>
      </x:c>
      <x:c r="C306" s="102" t="str">
        <x:v>CMA CGM SORBONNE</x:v>
      </x:c>
      <x:c r="D306" s="102"/>
      <x:c r="E306" s="102"/>
      <x:c r="F306" s="102" t="str">
        <x:v>Operating / schedule-observed</x:v>
      </x:c>
    </x:row>
    <x:row r="307">
      <x:c r="A307" s="102" t="str">
        <x:v>VESSEL_00189</x:v>
      </x:c>
      <x:c r="B307" s="102" t="str">
        <x:v>Vessel</x:v>
      </x:c>
      <x:c r="C307" s="102" t="str">
        <x:v>CMA CGM MEKONG</x:v>
      </x:c>
      <x:c r="D307" s="102"/>
      <x:c r="E307" s="102"/>
      <x:c r="F307" s="102" t="str">
        <x:v>Operating / schedule-observed</x:v>
      </x:c>
    </x:row>
    <x:row r="308">
      <x:c r="A308" s="102" t="str">
        <x:v>VESSEL_00190</x:v>
      </x:c>
      <x:c r="B308" s="102" t="str">
        <x:v>Vessel</x:v>
      </x:c>
      <x:c r="C308" s="102" t="str">
        <x:v>MSC UTMOST VIII</x:v>
      </x:c>
      <x:c r="D308" s="102"/>
      <x:c r="E308" s="102"/>
      <x:c r="F308" s="102" t="str">
        <x:v>Operating / schedule-observed</x:v>
      </x:c>
    </x:row>
    <x:row r="309">
      <x:c r="A309" s="102" t="str">
        <x:v>VESSEL_00191</x:v>
      </x:c>
      <x:c r="B309" s="102" t="str">
        <x:v>Vessel</x:v>
      </x:c>
      <x:c r="C309" s="102" t="str">
        <x:v>MSC TARA III</x:v>
      </x:c>
      <x:c r="D309" s="102"/>
      <x:c r="E309" s="102"/>
      <x:c r="F309" s="102" t="str">
        <x:v>Operating / schedule-observed</x:v>
      </x:c>
    </x:row>
    <x:row r="310">
      <x:c r="A310" s="102" t="str">
        <x:v>VESSEL_00192</x:v>
      </x:c>
      <x:c r="B310" s="102" t="str">
        <x:v>Vessel</x:v>
      </x:c>
      <x:c r="C310" s="102" t="str">
        <x:v>MSC KAYLA</x:v>
      </x:c>
      <x:c r="D310" s="102"/>
      <x:c r="E310" s="102"/>
      <x:c r="F310" s="102" t="str">
        <x:v>Operating / schedule-observed</x:v>
      </x:c>
    </x:row>
    <x:row r="311">
      <x:c r="A311" s="102" t="str">
        <x:v>VESSEL_00193</x:v>
      </x:c>
      <x:c r="B311" s="102" t="str">
        <x:v>Vessel</x:v>
      </x:c>
      <x:c r="C311" s="102" t="str">
        <x:v>MSC JENNY II</x:v>
      </x:c>
      <x:c r="D311" s="102"/>
      <x:c r="E311" s="102"/>
      <x:c r="F311" s="102" t="str">
        <x:v>Operating / schedule-observed</x:v>
      </x:c>
    </x:row>
    <x:row r="312">
      <x:c r="A312" s="102" t="str">
        <x:v>VESSEL_00194</x:v>
      </x:c>
      <x:c r="B312" s="102" t="str">
        <x:v>Vessel</x:v>
      </x:c>
      <x:c r="C312" s="102" t="str">
        <x:v>MSC SHANGHAI V</x:v>
      </x:c>
      <x:c r="D312" s="102"/>
      <x:c r="E312" s="102"/>
      <x:c r="F312" s="102" t="str">
        <x:v>Operating / schedule-observed</x:v>
      </x:c>
    </x:row>
    <x:row r="313">
      <x:c r="A313" s="102" t="str">
        <x:v>VESSEL_00195</x:v>
      </x:c>
      <x:c r="B313" s="102" t="str">
        <x:v>Vessel</x:v>
      </x:c>
      <x:c r="C313" s="102" t="str">
        <x:v>MAERSK SANA</x:v>
      </x:c>
      <x:c r="D313" s="102"/>
      <x:c r="E313" s="102"/>
      <x:c r="F313" s="102" t="str">
        <x:v>Operating / schedule-observed</x:v>
      </x:c>
    </x:row>
    <x:row r="314">
      <x:c r="A314" s="102" t="str">
        <x:v>VESSEL_00196</x:v>
      </x:c>
      <x:c r="B314" s="102" t="str">
        <x:v>Vessel</x:v>
      </x:c>
      <x:c r="C314" s="102" t="str">
        <x:v>MAERSK STOCKHOLM</x:v>
      </x:c>
      <x:c r="D314" s="102"/>
      <x:c r="E314" s="102"/>
      <x:c r="F314" s="102" t="str">
        <x:v>Operating / schedule-observed</x:v>
      </x:c>
    </x:row>
    <x:row r="315">
      <x:c r="A315" s="102" t="str">
        <x:v>VESSEL_00197</x:v>
      </x:c>
      <x:c r="B315" s="102" t="str">
        <x:v>Vessel</x:v>
      </x:c>
      <x:c r="C315" s="102" t="str">
        <x:v>ADRIAN MAERSK</x:v>
      </x:c>
      <x:c r="D315" s="102"/>
      <x:c r="E315" s="102"/>
      <x:c r="F315" s="102" t="str">
        <x:v>Operating / schedule-observed</x:v>
      </x:c>
    </x:row>
    <x:row r="316">
      <x:c r="A316" s="102" t="str">
        <x:v>VESSEL_00198</x:v>
      </x:c>
      <x:c r="B316" s="102" t="str">
        <x:v>Vessel</x:v>
      </x:c>
      <x:c r="C316" s="102" t="str">
        <x:v>BSG BONAIRE</x:v>
      </x:c>
      <x:c r="D316" s="102"/>
      <x:c r="E316" s="102"/>
      <x:c r="F316" s="102" t="str">
        <x:v>Operating / schedule-observed</x:v>
      </x:c>
    </x:row>
    <x:row r="317">
      <x:c r="A317" s="102" t="str">
        <x:v>VESSEL_00199</x:v>
      </x:c>
      <x:c r="B317" s="102" t="str">
        <x:v>Vessel</x:v>
      </x:c>
      <x:c r="C317" s="102" t="str">
        <x:v>AS SIMONE</x:v>
      </x:c>
      <x:c r="D317" s="102"/>
      <x:c r="E317" s="102"/>
      <x:c r="F317" s="102" t="str">
        <x:v>Operating / schedule-observed</x:v>
      </x:c>
    </x:row>
    <x:row r="318">
      <x:c r="A318" s="102" t="str">
        <x:v>VESSEL_00200</x:v>
      </x:c>
      <x:c r="B318" s="102" t="str">
        <x:v>Vessel</x:v>
      </x:c>
      <x:c r="C318" s="102" t="str">
        <x:v>XIN FEI ZHOU</x:v>
      </x:c>
      <x:c r="D318" s="102"/>
      <x:c r="E318" s="102"/>
      <x:c r="F318" s="102" t="str">
        <x:v>Operating / schedule-observed</x:v>
      </x:c>
    </x:row>
    <x:row r="319">
      <x:c r="A319" s="102" t="str">
        <x:v>VESSEL_00201</x:v>
      </x:c>
      <x:c r="B319" s="102" t="str">
        <x:v>Vessel</x:v>
      </x:c>
      <x:c r="C319" s="102" t="str">
        <x:v>XIN TAI CANG</x:v>
      </x:c>
      <x:c r="D319" s="102"/>
      <x:c r="E319" s="102"/>
      <x:c r="F319" s="102" t="str">
        <x:v>Operating / schedule-observed</x:v>
      </x:c>
    </x:row>
    <x:row r="320">
      <x:c r="A320" s="102" t="str">
        <x:v>VESSEL_00202</x:v>
      </x:c>
      <x:c r="B320" s="102" t="str">
        <x:v>Vessel</x:v>
      </x:c>
      <x:c r="C320" s="102" t="str">
        <x:v>SEASMILE</x:v>
      </x:c>
      <x:c r="D320" s="102"/>
      <x:c r="E320" s="102"/>
      <x:c r="F320" s="102" t="str">
        <x:v>Operating / schedule-observed</x:v>
      </x:c>
    </x:row>
    <x:row r="321">
      <x:c r="A321" s="102" t="str">
        <x:v>VESSEL_00203</x:v>
      </x:c>
      <x:c r="B321" s="102" t="str">
        <x:v>Vessel</x:v>
      </x:c>
      <x:c r="C321" s="102" t="str">
        <x:v>HANSA BREITENBURG</x:v>
      </x:c>
      <x:c r="D321" s="102"/>
      <x:c r="E321" s="102"/>
      <x:c r="F321" s="102" t="str">
        <x:v>Operating / schedule-observed</x:v>
      </x:c>
    </x:row>
    <x:row r="322">
      <x:c r="A322" s="102" t="str">
        <x:v>VESSEL_00204</x:v>
      </x:c>
      <x:c r="B322" s="102" t="str">
        <x:v>Vessel</x:v>
      </x:c>
      <x:c r="C322" s="102" t="str">
        <x:v>SMC COLUMBUS</x:v>
      </x:c>
      <x:c r="D322" s="102"/>
      <x:c r="E322" s="102"/>
      <x:c r="F322" s="102" t="str">
        <x:v>Operating / schedule-observed</x:v>
      </x:c>
    </x:row>
    <x:row r="323">
      <x:c r="A323" s="102" t="str">
        <x:v>VESSEL_00205</x:v>
      </x:c>
      <x:c r="B323" s="102" t="str">
        <x:v>Vessel</x:v>
      </x:c>
      <x:c r="C323" s="102" t="str">
        <x:v>EVER FAR</x:v>
      </x:c>
      <x:c r="D323" s="102"/>
      <x:c r="E323" s="102"/>
      <x:c r="F323" s="102" t="str">
        <x:v>Operating / schedule-observed</x:v>
      </x:c>
    </x:row>
    <x:row r="324">
      <x:c r="A324" s="102" t="str">
        <x:v>VESSEL_00206</x:v>
      </x:c>
      <x:c r="B324" s="102" t="str">
        <x:v>Vessel</x:v>
      </x:c>
      <x:c r="C324" s="102" t="str">
        <x:v>EVER BEFIT</x:v>
      </x:c>
      <x:c r="D324" s="102"/>
      <x:c r="E324" s="102"/>
      <x:c r="F324" s="102" t="str">
        <x:v>Operating / schedule-observed</x:v>
      </x:c>
    </x:row>
    <x:row r="325">
      <x:c r="A325" s="102" t="str">
        <x:v>VESSEL_00207</x:v>
      </x:c>
      <x:c r="B325" s="102" t="str">
        <x:v>Vessel</x:v>
      </x:c>
      <x:c r="C325" s="102" t="str">
        <x:v>EVER LINKING</x:v>
      </x:c>
      <x:c r="D325" s="102"/>
      <x:c r="E325" s="102"/>
      <x:c r="F325" s="102" t="str">
        <x:v>Operating / schedule-observed</x:v>
      </x:c>
    </x:row>
    <x:row r="326">
      <x:c r="A326" s="102" t="str">
        <x:v>VESSEL_00208</x:v>
      </x:c>
      <x:c r="B326" s="102" t="str">
        <x:v>Vessel</x:v>
      </x:c>
      <x:c r="C326" s="102" t="str">
        <x:v>EVER MEMO</x:v>
      </x:c>
      <x:c r="D326" s="102"/>
      <x:c r="E326" s="102"/>
      <x:c r="F326" s="102" t="str">
        <x:v>Operating / schedule-observed</x:v>
      </x:c>
    </x:row>
    <x:row r="327">
      <x:c r="A327" s="102" t="str">
        <x:v>VESSEL_00209</x:v>
      </x:c>
      <x:c r="B327" s="102" t="str">
        <x:v>Vessel</x:v>
      </x:c>
      <x:c r="C327" s="102" t="str">
        <x:v>NORTHERN PRACTISE</x:v>
      </x:c>
      <x:c r="D327" s="102"/>
      <x:c r="E327" s="102"/>
      <x:c r="F327" s="102" t="str">
        <x:v>Operating / schedule-observed</x:v>
      </x:c>
    </x:row>
    <x:row r="328">
      <x:c r="A328" s="102" t="str">
        <x:v>VESSEL_00210</x:v>
      </x:c>
      <x:c r="B328" s="102" t="str">
        <x:v>Vessel</x:v>
      </x:c>
      <x:c r="C328" s="102" t="str">
        <x:v>VALPARAISO EXPRESS</x:v>
      </x:c>
      <x:c r="D328" s="102"/>
      <x:c r="E328" s="102"/>
      <x:c r="F328" s="102" t="str">
        <x:v>Operating / schedule-observed</x:v>
      </x:c>
    </x:row>
    <x:row r="329">
      <x:c r="A329" s="102" t="str">
        <x:v>VESSEL_00211</x:v>
      </x:c>
      <x:c r="B329" s="102" t="str">
        <x:v>Vessel</x:v>
      </x:c>
      <x:c r="C329" s="102" t="str">
        <x:v>SALERNO EXPRESS</x:v>
      </x:c>
      <x:c r="D329" s="102"/>
      <x:c r="E329" s="102"/>
      <x:c r="F329" s="102" t="str">
        <x:v>Operating / schedule-observed</x:v>
      </x:c>
    </x:row>
    <x:row r="330">
      <x:c r="A330" s="102" t="str">
        <x:v>VESSEL_00212</x:v>
      </x:c>
      <x:c r="B330" s="102" t="str">
        <x:v>Vessel</x:v>
      </x:c>
      <x:c r="C330" s="102" t="str">
        <x:v>CARTAGENA EXPRESS</x:v>
      </x:c>
      <x:c r="D330" s="102"/>
      <x:c r="E330" s="102"/>
      <x:c r="F330" s="102" t="str">
        <x:v>Operating / schedule-observed</x:v>
      </x:c>
    </x:row>
    <x:row r="331">
      <x:c r="A331" s="102" t="str">
        <x:v>VESSEL_00213</x:v>
      </x:c>
      <x:c r="B331" s="102" t="str">
        <x:v>Vessel</x:v>
      </x:c>
      <x:c r="C331" s="102" t="str">
        <x:v>DAMIETTA EXPRESS</x:v>
      </x:c>
      <x:c r="D331" s="102"/>
      <x:c r="E331" s="102"/>
      <x:c r="F331" s="102" t="str">
        <x:v>Operating / schedule-observed</x:v>
      </x:c>
    </x:row>
    <x:row r="332">
      <x:c r="A332" s="102" t="str">
        <x:v>VESSEL_00214</x:v>
      </x:c>
      <x:c r="B332" s="102" t="str">
        <x:v>Vessel</x:v>
      </x:c>
      <x:c r="C332" s="102" t="str">
        <x:v>AL NASRIYAH</x:v>
      </x:c>
      <x:c r="D332" s="102"/>
      <x:c r="E332" s="102"/>
      <x:c r="F332" s="102" t="str">
        <x:v>Operating / schedule-observed</x:v>
      </x:c>
    </x:row>
    <x:row r="333">
      <x:c r="A333" s="102" t="str">
        <x:v>VESSEL_00215</x:v>
      </x:c>
      <x:c r="B333" s="102" t="str">
        <x:v>Vessel</x:v>
      </x:c>
      <x:c r="C333" s="102" t="str">
        <x:v>NYK FUJI</x:v>
      </x:c>
      <x:c r="D333" s="102"/>
      <x:c r="E333" s="102"/>
      <x:c r="F333" s="102" t="str">
        <x:v>Operating / schedule-observed</x:v>
      </x:c>
    </x:row>
    <x:row r="334">
      <x:c r="A334" s="102" t="str">
        <x:v>VESSEL_00216</x:v>
      </x:c>
      <x:c r="B334" s="102" t="str">
        <x:v>Vessel</x:v>
      </x:c>
      <x:c r="C334" s="102" t="str">
        <x:v>ONE SPHERE</x:v>
      </x:c>
      <x:c r="D334" s="102"/>
      <x:c r="E334" s="102"/>
      <x:c r="F334" s="102" t="str">
        <x:v>Operating / schedule-observed</x:v>
      </x:c>
    </x:row>
    <x:row r="335">
      <x:c r="A335" s="102" t="str">
        <x:v>VESSEL_00217</x:v>
      </x:c>
      <x:c r="B335" s="102" t="str">
        <x:v>Vessel</x:v>
      </x:c>
      <x:c r="C335" s="102" t="str">
        <x:v>NYK VENUS</x:v>
      </x:c>
      <x:c r="D335" s="102"/>
      <x:c r="E335" s="102"/>
      <x:c r="F335" s="102" t="str">
        <x:v>Operating / schedule-observed</x:v>
      </x:c>
    </x:row>
    <x:row r="336">
      <x:c r="A336" s="102" t="str">
        <x:v>VESSEL_00218</x:v>
      </x:c>
      <x:c r="B336" s="102" t="str">
        <x:v>Vessel</x:v>
      </x:c>
      <x:c r="C336" s="102" t="str">
        <x:v>ONE MODERN</x:v>
      </x:c>
      <x:c r="D336" s="102"/>
      <x:c r="E336" s="102"/>
      <x:c r="F336" s="102" t="str">
        <x:v>Operating / schedule-observed</x:v>
      </x:c>
    </x:row>
    <x:row r="337">
      <x:c r="A337" s="102" t="str">
        <x:v>VESSEL_00219</x:v>
      </x:c>
      <x:c r="B337" s="102" t="str">
        <x:v>Vessel</x:v>
      </x:c>
      <x:c r="C337" s="102" t="str">
        <x:v>ONE MILLAU</x:v>
      </x:c>
      <x:c r="D337" s="102"/>
      <x:c r="E337" s="102"/>
      <x:c r="F337" s="102" t="str">
        <x:v>Operating / schedule-observed</x:v>
      </x:c>
    </x:row>
    <x:row r="338">
      <x:c r="A338" s="102" t="str">
        <x:v>VESSEL_00220</x:v>
      </x:c>
      <x:c r="B338" s="102" t="str">
        <x:v>Vessel</x:v>
      </x:c>
      <x:c r="C338" s="102" t="str">
        <x:v>IBN AL ABBAR</x:v>
      </x:c>
      <x:c r="D338" s="102"/>
      <x:c r="E338" s="102"/>
      <x:c r="F338" s="102" t="str">
        <x:v>Operating / schedule-observed</x:v>
      </x:c>
    </x:row>
    <x:row r="339">
      <x:c r="A339" s="102" t="str">
        <x:v>VESSEL_00221</x:v>
      </x:c>
      <x:c r="B339" s="102" t="str">
        <x:v>Vessel</x:v>
      </x:c>
      <x:c r="C339" s="102" t="str">
        <x:v>YM CAPACITY</x:v>
      </x:c>
      <x:c r="D339" s="102"/>
      <x:c r="E339" s="102"/>
      <x:c r="F339" s="102" t="str">
        <x:v>Operating / schedule-observed</x:v>
      </x:c>
    </x:row>
    <x:row r="340">
      <x:c r="A340" s="102" t="str">
        <x:v>VESSEL_00222</x:v>
      </x:c>
      <x:c r="B340" s="102" t="str">
        <x:v>Vessel</x:v>
      </x:c>
      <x:c r="C340" s="102" t="str">
        <x:v>YM INCEPTION</x:v>
      </x:c>
      <x:c r="D340" s="102"/>
      <x:c r="E340" s="102"/>
      <x:c r="F340" s="102" t="str">
        <x:v>Operating / schedule-observed</x:v>
      </x:c>
    </x:row>
    <x:row r="341">
      <x:c r="A341" s="102" t="str">
        <x:v>VESSEL_00223</x:v>
      </x:c>
      <x:c r="B341" s="102" t="str">
        <x:v>Vessel</x:v>
      </x:c>
      <x:c r="C341" s="102" t="str">
        <x:v>YM EXCELLENCE</x:v>
      </x:c>
      <x:c r="D341" s="102"/>
      <x:c r="E341" s="102"/>
      <x:c r="F341" s="102" t="str">
        <x:v>Operating / schedule-observed</x:v>
      </x:c>
    </x:row>
    <x:row r="342">
      <x:c r="A342" s="102" t="str">
        <x:v>VESSEL_00224</x:v>
      </x:c>
      <x:c r="B342" s="102" t="str">
        <x:v>Vessel</x:v>
      </x:c>
      <x:c r="C342" s="102" t="str">
        <x:v>YM IMMENSE</x:v>
      </x:c>
      <x:c r="D342" s="102"/>
      <x:c r="E342" s="102"/>
      <x:c r="F342" s="102" t="str">
        <x:v>Operating / schedule-observed</x:v>
      </x:c>
    </x:row>
    <x:row r="343">
      <x:c r="A343" s="102" t="str">
        <x:v>VESSEL_00225</x:v>
      </x:c>
      <x:c r="B343" s="102" t="str">
        <x:v>Vessel</x:v>
      </x:c>
      <x:c r="C343" s="102" t="str">
        <x:v>HMM VANCOUVER</x:v>
      </x:c>
      <x:c r="D343" s="102"/>
      <x:c r="E343" s="102"/>
      <x:c r="F343" s="102" t="str">
        <x:v>Operating / schedule-observed</x:v>
      </x:c>
    </x:row>
    <x:row r="344">
      <x:c r="A344" s="102" t="str">
        <x:v>VESSEL_00226</x:v>
      </x:c>
      <x:c r="B344" s="102" t="str">
        <x:v>Vessel</x:v>
      </x:c>
      <x:c r="C344" s="102" t="str">
        <x:v>HMM EMERALD</x:v>
      </x:c>
      <x:c r="D344" s="102"/>
      <x:c r="E344" s="102"/>
      <x:c r="F344" s="102" t="str">
        <x:v>Operating / schedule-observed</x:v>
      </x:c>
    </x:row>
    <x:row r="345">
      <x:c r="A345" s="102" t="str">
        <x:v>VESSEL_00227</x:v>
      </x:c>
      <x:c r="B345" s="102" t="str">
        <x:v>Vessel</x:v>
      </x:c>
      <x:c r="C345" s="102" t="str">
        <x:v>HMM HARMONY</x:v>
      </x:c>
      <x:c r="D345" s="102"/>
      <x:c r="E345" s="102"/>
      <x:c r="F345" s="102" t="str">
        <x:v>Operating / schedule-observed</x:v>
      </x:c>
    </x:row>
    <x:row r="346">
      <x:c r="A346" s="102" t="str">
        <x:v>VESSEL_00228</x:v>
      </x:c>
      <x:c r="B346" s="102" t="str">
        <x:v>Vessel</x:v>
      </x:c>
      <x:c r="C346" s="102" t="str">
        <x:v>SKY RAINBOW</x:v>
      </x:c>
      <x:c r="D346" s="102"/>
      <x:c r="E346" s="102"/>
      <x:c r="F346" s="102" t="str">
        <x:v>Operating / schedule-observed</x:v>
      </x:c>
    </x:row>
    <x:row r="347">
      <x:c r="A347" s="102" t="str">
        <x:v>VESSEL_00229</x:v>
      </x:c>
      <x:c r="B347" s="102" t="str">
        <x:v>Vessel</x:v>
      </x:c>
      <x:c r="C347" s="102" t="str">
        <x:v>HMM SKY</x:v>
      </x:c>
      <x:c r="D347" s="102"/>
      <x:c r="E347" s="102"/>
      <x:c r="F347" s="102" t="str">
        <x:v>Operating / schedule-observed</x:v>
      </x:c>
    </x:row>
    <x:row r="348">
      <x:c r="A348" s="102" t="str">
        <x:v>VESSEL_00230</x:v>
      </x:c>
      <x:c r="B348" s="102" t="str">
        <x:v>Vessel</x:v>
      </x:c>
      <x:c r="C348" s="102" t="str">
        <x:v>KOTA SANTOS</x:v>
      </x:c>
      <x:c r="D348" s="102"/>
      <x:c r="E348" s="102"/>
      <x:c r="F348" s="102" t="str">
        <x:v>Operating / schedule-observed</x:v>
      </x:c>
    </x:row>
    <x:row r="349">
      <x:c r="A349" s="102" t="str">
        <x:v>VESSEL_00231</x:v>
      </x:c>
      <x:c r="B349" s="102" t="str">
        <x:v>Vessel</x:v>
      </x:c>
      <x:c r="C349" s="102" t="str">
        <x:v>KOTA SABAS</x:v>
      </x:c>
      <x:c r="D349" s="102"/>
      <x:c r="E349" s="102"/>
      <x:c r="F349" s="102" t="str">
        <x:v>Operating / schedule-observed</x:v>
      </x:c>
    </x:row>
    <x:row r="350">
      <x:c r="A350" s="102" t="str">
        <x:v>VESSEL_00232</x:v>
      </x:c>
      <x:c r="B350" s="102" t="str">
        <x:v>Vessel</x:v>
      </x:c>
      <x:c r="C350" s="102" t="str">
        <x:v>KOTA GAYA</x:v>
      </x:c>
      <x:c r="D350" s="102"/>
      <x:c r="E350" s="102"/>
      <x:c r="F350" s="102" t="str">
        <x:v>Operating / schedule-observed</x:v>
      </x:c>
    </x:row>
    <x:row r="351">
      <x:c r="A351" s="102" t="str">
        <x:v>VESSEL_00233</x:v>
      </x:c>
      <x:c r="B351" s="102" t="str">
        <x:v>Vessel</x:v>
      </x:c>
      <x:c r="C351" s="102" t="str">
        <x:v>SINAR PANGANDARAN</x:v>
      </x:c>
      <x:c r="D351" s="102"/>
      <x:c r="E351" s="102"/>
      <x:c r="F351" s="102" t="str">
        <x:v>Operating / schedule-observed</x:v>
      </x:c>
    </x:row>
    <x:row r="352">
      <x:c r="A352" s="102" t="str">
        <x:v>VESSEL_00234</x:v>
      </x:c>
      <x:c r="B352" s="102" t="str">
        <x:v>Vessel</x:v>
      </x:c>
      <x:c r="C352" s="102" t="str">
        <x:v>KOTA SEMPENA</x:v>
      </x:c>
      <x:c r="D352" s="102"/>
      <x:c r="E352" s="102"/>
      <x:c r="F352" s="102" t="str">
        <x:v>Operating / schedule-observed</x:v>
      </x:c>
    </x:row>
    <x:row r="353">
      <x:c r="A353" s="102" t="str">
        <x:v>VESSEL_00235</x:v>
      </x:c>
      <x:c r="B353" s="102" t="str">
        <x:v>Vessel</x:v>
      </x:c>
      <x:c r="C353" s="102" t="str">
        <x:v>WAN HAI 283</x:v>
      </x:c>
      <x:c r="D353" s="102"/>
      <x:c r="E353" s="102"/>
      <x:c r="F353" s="102" t="str">
        <x:v>Operating / schedule-observed</x:v>
      </x:c>
    </x:row>
    <x:row r="354">
      <x:c r="A354" s="102" t="str">
        <x:v>VESSEL_00236</x:v>
      </x:c>
      <x:c r="B354" s="102" t="str">
        <x:v>Vessel</x:v>
      </x:c>
      <x:c r="C354" s="102" t="str">
        <x:v>WAN HAI 358</x:v>
      </x:c>
      <x:c r="D354" s="102"/>
      <x:c r="E354" s="102"/>
      <x:c r="F354" s="102" t="str">
        <x:v>Operating / schedule-observed</x:v>
      </x:c>
    </x:row>
    <x:row r="355">
      <x:c r="A355" s="102" t="str">
        <x:v>VESSEL_00237</x:v>
      </x:c>
      <x:c r="B355" s="102" t="str">
        <x:v>Vessel</x:v>
      </x:c>
      <x:c r="C355" s="102" t="str">
        <x:v>WAN HAI 177</x:v>
      </x:c>
      <x:c r="D355" s="102"/>
      <x:c r="E355" s="102"/>
      <x:c r="F355" s="102" t="str">
        <x:v>Operating / schedule-observed</x:v>
      </x:c>
    </x:row>
    <x:row r="356">
      <x:c r="A356" s="102" t="str">
        <x:v>VESSEL_00238</x:v>
      </x:c>
      <x:c r="B356" s="102" t="str">
        <x:v>Vessel</x:v>
      </x:c>
      <x:c r="C356" s="102" t="str">
        <x:v>WAN HAI 333</x:v>
      </x:c>
      <x:c r="D356" s="102"/>
      <x:c r="E356" s="102"/>
      <x:c r="F356" s="102" t="str">
        <x:v>Operating / schedule-observed</x:v>
      </x:c>
    </x:row>
    <x:row r="357">
      <x:c r="A357" s="102" t="str">
        <x:v>VESSEL_00239</x:v>
      </x:c>
      <x:c r="B357" s="102" t="str">
        <x:v>Vessel</x:v>
      </x:c>
      <x:c r="C357" s="102" t="str">
        <x:v>WAN HAI 101</x:v>
      </x:c>
      <x:c r="D357" s="102"/>
      <x:c r="E357" s="102"/>
      <x:c r="F357" s="102" t="str">
        <x:v>Operating / schedule-observed</x:v>
      </x:c>
    </x:row>
    <x:row r="358">
      <x:c r="A358" s="102" t="str">
        <x:v>VESSEL_00240</x:v>
      </x:c>
      <x:c r="B358" s="102" t="str">
        <x:v>Vessel</x:v>
      </x:c>
      <x:c r="C358" s="102" t="str">
        <x:v>ZIM EMERALD</x:v>
      </x:c>
      <x:c r="D358" s="102"/>
      <x:c r="E358" s="102"/>
      <x:c r="F358" s="102" t="str">
        <x:v>Operating / schedule-observed</x:v>
      </x:c>
    </x:row>
    <x:row r="359">
      <x:c r="A359" s="102" t="str">
        <x:v>VESSEL_00241</x:v>
      </x:c>
      <x:c r="B359" s="102" t="str">
        <x:v>Vessel</x:v>
      </x:c>
      <x:c r="C359" s="102" t="str">
        <x:v>CARMEL I</x:v>
      </x:c>
      <x:c r="D359" s="102"/>
      <x:c r="E359" s="102"/>
      <x:c r="F359" s="102" t="str">
        <x:v>Operating / schedule-observed</x:v>
      </x:c>
    </x:row>
    <x:row r="360">
      <x:c r="A360" s="102" t="str">
        <x:v>VESSEL_00242</x:v>
      </x:c>
      <x:c r="B360" s="102" t="str">
        <x:v>Vessel</x:v>
      </x:c>
      <x:c r="C360" s="102" t="str">
        <x:v>MARLA BULL</x:v>
      </x:c>
      <x:c r="D360" s="102"/>
      <x:c r="E360" s="102"/>
      <x:c r="F360" s="102" t="str">
        <x:v>Operating / schedule-observed</x:v>
      </x:c>
    </x:row>
    <x:row r="361">
      <x:c r="A361" s="102" t="str">
        <x:v>VESSEL_00243</x:v>
      </x:c>
      <x:c r="B361" s="102" t="str">
        <x:v>Vessel</x:v>
      </x:c>
      <x:c r="C361" s="102" t="str">
        <x:v>ZIM CHINA</x:v>
      </x:c>
      <x:c r="D361" s="102"/>
      <x:c r="E361" s="102"/>
      <x:c r="F361" s="102" t="str">
        <x:v>Operating / schedule-observed</x:v>
      </x:c>
    </x:row>
    <x:row r="362">
      <x:c r="A362" s="102" t="str">
        <x:v>VESSEL_00244</x:v>
      </x:c>
      <x:c r="B362" s="102" t="str">
        <x:v>Vessel</x:v>
      </x:c>
      <x:c r="C362" s="102" t="str">
        <x:v>MTT SANDAKAN</x:v>
      </x:c>
      <x:c r="D362" s="102"/>
      <x:c r="E362" s="102"/>
      <x:c r="F362" s="102" t="str">
        <x:v>Operating / schedule-observed</x:v>
      </x:c>
    </x:row>
    <x:row r="363">
      <x:c r="A363" s="102" t="str">
        <x:v>VESSEL_00245</x:v>
      </x:c>
      <x:c r="B363" s="102" t="str">
        <x:v>Vessel</x:v>
      </x:c>
      <x:c r="C363" s="102" t="str">
        <x:v>MARBURG</x:v>
      </x:c>
      <x:c r="D363" s="102"/>
      <x:c r="E363" s="102"/>
      <x:c r="F363" s="102" t="str">
        <x:v>Operating / schedule-observed</x:v>
      </x:c>
    </x:row>
    <x:row r="364">
      <x:c r="A364" s="102" t="str">
        <x:v>VESSEL_00246</x:v>
      </x:c>
      <x:c r="B364" s="102" t="str">
        <x:v>Vessel</x:v>
      </x:c>
      <x:c r="C364" s="102" t="str">
        <x:v>ELBSKY</x:v>
      </x:c>
      <x:c r="D364" s="102"/>
      <x:c r="E364" s="102"/>
      <x:c r="F364" s="102" t="str">
        <x:v>Operating / schedule-observed</x:v>
      </x:c>
    </x:row>
    <x:row r="365">
      <x:c r="A365" s="102" t="str">
        <x:v>VESSEL_00247</x:v>
      </x:c>
      <x:c r="B365" s="102" t="str">
        <x:v>Vessel</x:v>
      </x:c>
      <x:c r="C365" s="102" t="str">
        <x:v>JUDITH</x:v>
      </x:c>
      <x:c r="D365" s="102"/>
      <x:c r="E365" s="102"/>
      <x:c r="F365" s="102" t="str">
        <x:v>Operating / schedule-observed</x:v>
      </x:c>
    </x:row>
    <x:row r="366">
      <x:c r="A366" s="102" t="str">
        <x:v>VESSEL_00248</x:v>
      </x:c>
      <x:c r="B366" s="102" t="str">
        <x:v>Vessel</x:v>
      </x:c>
      <x:c r="C366" s="102" t="str">
        <x:v>ELBSUMMER</x:v>
      </x:c>
      <x:c r="D366" s="102"/>
      <x:c r="E366" s="102"/>
      <x:c r="F366" s="102" t="str">
        <x:v>Operating / schedule-observed</x:v>
      </x:c>
    </x:row>
    <x:row r="367">
      <x:c r="A367" s="102" t="str">
        <x:v>VESSEL_00249</x:v>
      </x:c>
      <x:c r="B367" s="102" t="str">
        <x:v>Vessel</x:v>
      </x:c>
      <x:c r="C367" s="102" t="str">
        <x:v>SAN PEDRO</x:v>
      </x:c>
      <x:c r="D367" s="102"/>
      <x:c r="E367" s="102"/>
      <x:c r="F367" s="102" t="str">
        <x:v>Operating / schedule-observed</x:v>
      </x:c>
    </x:row>
    <x:row r="368">
      <x:c r="A368" s="102" t="str">
        <x:v>VESSEL_00250</x:v>
      </x:c>
      <x:c r="B368" s="102" t="str">
        <x:v>Vessel</x:v>
      </x:c>
      <x:c r="C368" s="102" t="str">
        <x:v>REN JIAN 8</x:v>
      </x:c>
      <x:c r="D368" s="102"/>
      <x:c r="E368" s="102"/>
      <x:c r="F368" s="102" t="str">
        <x:v>Operating / schedule-observed</x:v>
      </x:c>
    </x:row>
    <x:row r="369">
      <x:c r="A369" s="102" t="str">
        <x:v>VESSEL_00251</x:v>
      </x:c>
      <x:c r="B369" s="102" t="str">
        <x:v>Vessel</x:v>
      </x:c>
      <x:c r="C369" s="102" t="str">
        <x:v>ZHONG GU YIN CHUAN</x:v>
      </x:c>
      <x:c r="D369" s="102"/>
      <x:c r="E369" s="102"/>
      <x:c r="F369" s="102" t="str">
        <x:v>Operating / schedule-observed</x:v>
      </x:c>
    </x:row>
    <x:row r="370">
      <x:c r="A370" s="102" t="str">
        <x:v>VESSEL_00252</x:v>
      </x:c>
      <x:c r="B370" s="102" t="str">
        <x:v>Vessel</x:v>
      </x:c>
      <x:c r="C370" s="102" t="str">
        <x:v>MARINA VOYAGER</x:v>
      </x:c>
      <x:c r="D370" s="102"/>
      <x:c r="E370" s="102"/>
      <x:c r="F370" s="102" t="str">
        <x:v>Operating / schedule-observed</x:v>
      </x:c>
    </x:row>
    <x:row r="371">
      <x:c r="A371" s="102" t="str">
        <x:v>VESSEL_00253</x:v>
      </x:c>
      <x:c r="B371" s="102" t="str">
        <x:v>Vessel</x:v>
      </x:c>
      <x:c r="C371" s="102" t="str">
        <x:v>ESL SHEKOU</x:v>
      </x:c>
      <x:c r="D371" s="102"/>
      <x:c r="E371" s="102"/>
      <x:c r="F371" s="102" t="str">
        <x:v>Operating / schedule-observed</x:v>
      </x:c>
    </x:row>
    <x:row r="372">
      <x:c r="A372" s="102" t="str">
        <x:v>VESSEL_00254</x:v>
      </x:c>
      <x:c r="B372" s="102" t="str">
        <x:v>Vessel</x:v>
      </x:c>
      <x:c r="C372" s="102" t="str">
        <x:v>ESL WASL</x:v>
      </x:c>
      <x:c r="D372" s="102"/>
      <x:c r="E372" s="102"/>
      <x:c r="F372" s="102" t="str">
        <x:v>Operating / schedule-observed</x:v>
      </x:c>
    </x:row>
    <x:row r="373">
      <x:c r="A373" s="102" t="str">
        <x:v>VESSEL_00255</x:v>
      </x:c>
      <x:c r="B373" s="102" t="str">
        <x:v>Vessel</x:v>
      </x:c>
      <x:c r="C373" s="102" t="str">
        <x:v>ZHONG GU KUN MING</x:v>
      </x:c>
      <x:c r="D373" s="102"/>
      <x:c r="E373" s="102"/>
      <x:c r="F373" s="102" t="str">
        <x:v>Operating / schedule-observed</x:v>
      </x:c>
    </x:row>
    <x:row r="374">
      <x:c r="A374" s="102" t="str">
        <x:v>VESSEL_00256</x:v>
      </x:c>
      <x:c r="B374" s="102" t="str">
        <x:v>Vessel</x:v>
      </x:c>
      <x:c r="C374" s="102" t="str">
        <x:v>BRIGHT</x:v>
      </x:c>
      <x:c r="D374" s="102"/>
      <x:c r="E374" s="102"/>
      <x:c r="F374" s="102" t="str">
        <x:v>Operating / schedule-observed</x:v>
      </x:c>
    </x:row>
    <x:row r="375">
      <x:c r="A375" s="102" t="str">
        <x:v>VESSEL_00257</x:v>
      </x:c>
      <x:c r="B375" s="102" t="str">
        <x:v>Vessel</x:v>
      </x:c>
      <x:c r="C375" s="102" t="str">
        <x:v>TROUPER</x:v>
      </x:c>
      <x:c r="D375" s="102"/>
      <x:c r="E375" s="102"/>
      <x:c r="F375" s="102" t="str">
        <x:v>Operating / schedule-observed</x:v>
      </x:c>
    </x:row>
    <x:row r="376">
      <x:c r="A376" s="102" t="str">
        <x:v>VESSEL_00258</x:v>
      </x:c>
      <x:c r="B376" s="102" t="str">
        <x:v>Vessel</x:v>
      </x:c>
      <x:c r="C376" s="102" t="str">
        <x:v>X PRESS ANGLESEY</x:v>
      </x:c>
      <x:c r="D376" s="102"/>
      <x:c r="E376" s="102"/>
      <x:c r="F376" s="102" t="str">
        <x:v>Operating / schedule-observed</x:v>
      </x:c>
    </x:row>
    <x:row r="377">
      <x:c r="A377" s="102" t="str">
        <x:v>VESSEL_00259</x:v>
      </x:c>
      <x:c r="B377" s="102" t="str">
        <x:v>Vessel</x:v>
      </x:c>
      <x:c r="C377" s="102" t="str">
        <x:v>SKY LIGHT</x:v>
      </x:c>
      <x:c r="D377" s="102"/>
      <x:c r="E377" s="102"/>
      <x:c r="F377" s="102" t="str">
        <x:v>Operating / schedule-observed</x:v>
      </x:c>
    </x:row>
    <x:row r="378">
      <x:c r="A378" s="102" t="str">
        <x:v>VESSEL_00260</x:v>
      </x:c>
      <x:c r="B378" s="102" t="str">
        <x:v>Vessel</x:v>
      </x:c>
      <x:c r="C378" s="102" t="str">
        <x:v>GOLDEN STAR 1</x:v>
      </x:c>
      <x:c r="D378" s="102"/>
      <x:c r="E378" s="102"/>
      <x:c r="F378" s="102" t="str">
        <x:v>Operating / schedule-observed</x:v>
      </x:c>
    </x:row>
    <x:row r="379">
      <x:c r="A379" s="102" t="str">
        <x:v>VESSEL_00261</x:v>
      </x:c>
      <x:c r="B379" s="102" t="str">
        <x:v>Vessel</x:v>
      </x:c>
      <x:c r="C379" s="102" t="str">
        <x:v>SSF VALENCE</x:v>
      </x:c>
      <x:c r="D379" s="102"/>
      <x:c r="E379" s="102"/>
      <x:c r="F379" s="102" t="str">
        <x:v>Operating / schedule-observed</x:v>
      </x:c>
    </x:row>
    <x:row r="380">
      <x:c r="A380" s="102" t="str">
        <x:v>VESSEL_00262</x:v>
      </x:c>
      <x:c r="B380" s="102" t="str">
        <x:v>Vessel</x:v>
      </x:c>
      <x:c r="C380" s="102" t="str">
        <x:v>SM MANALI</x:v>
      </x:c>
      <x:c r="D380" s="102"/>
      <x:c r="E380" s="102"/>
      <x:c r="F380" s="102" t="str">
        <x:v>Operating / schedule-observed</x:v>
      </x:c>
    </x:row>
    <x:row r="381">
      <x:c r="A381" s="102" t="str">
        <x:v>VESSEL_00263</x:v>
      </x:c>
      <x:c r="B381" s="102" t="str">
        <x:v>Vessel</x:v>
      </x:c>
      <x:c r="C381" s="102" t="str">
        <x:v>REMAH</x:v>
      </x:c>
      <x:c r="D381" s="102"/>
      <x:c r="E381" s="102"/>
      <x:c r="F381" s="102" t="str">
        <x:v>Operating / schedule-observed</x:v>
      </x:c>
    </x:row>
    <x:row r="382">
      <x:c r="A382" s="102" t="str">
        <x:v>VESSEL_00264</x:v>
      </x:c>
      <x:c r="B382" s="102" t="str">
        <x:v>Vessel</x:v>
      </x:c>
      <x:c r="C382" s="102" t="str">
        <x:v>MIRROR</x:v>
      </x:c>
      <x:c r="D382" s="102"/>
      <x:c r="E382" s="102"/>
      <x:c r="F382" s="102" t="str">
        <x:v>Operating / schedule-observed</x:v>
      </x:c>
    </x:row>
    <x:row r="383">
      <x:c r="A383" s="102" t="str">
        <x:v>VESSEL_00265</x:v>
      </x:c>
      <x:c r="B383" s="102" t="str">
        <x:v>Vessel</x:v>
      </x:c>
      <x:c r="C383" s="102" t="str">
        <x:v>HUA DA 610</x:v>
      </x:c>
      <x:c r="D383" s="102"/>
      <x:c r="E383" s="102"/>
      <x:c r="F383" s="102" t="str">
        <x:v>Operating / schedule-observed</x:v>
      </x:c>
    </x:row>
    <x:row r="384">
      <x:c r="A384" s="102" t="str">
        <x:v>VESSEL_00266</x:v>
      </x:c>
      <x:c r="B384" s="102" t="str">
        <x:v>Vessel</x:v>
      </x:c>
      <x:c r="C384" s="102" t="str">
        <x:v>AL BATEEN</x:v>
      </x:c>
      <x:c r="D384" s="102"/>
      <x:c r="E384" s="102"/>
      <x:c r="F384" s="102" t="str">
        <x:v>Operating / schedule-observed</x:v>
      </x:c>
    </x:row>
    <x:row r="385">
      <x:c r="A385" s="102" t="str">
        <x:v>VESSEL_00267</x:v>
      </x:c>
      <x:c r="B385" s="102" t="str">
        <x:v>Vessel</x:v>
      </x:c>
      <x:c r="C385" s="102" t="str">
        <x:v>SAFEEN PRIZE</x:v>
      </x:c>
      <x:c r="D385" s="102"/>
      <x:c r="E385" s="102"/>
      <x:c r="F385" s="102" t="str">
        <x:v>Operating / schedule-observed</x:v>
      </x:c>
    </x:row>
    <x:row r="386">
      <x:c r="A386" s="102" t="str">
        <x:v>VESSEL_00268</x:v>
      </x:c>
      <x:c r="B386" s="102" t="str">
        <x:v>Vessel</x:v>
      </x:c>
      <x:c r="C386" s="102" t="str">
        <x:v>SSF DREAM</x:v>
      </x:c>
      <x:c r="D386" s="102"/>
      <x:c r="E386" s="102"/>
      <x:c r="F386" s="102" t="str">
        <x:v>Operating / schedule-observed</x:v>
      </x:c>
    </x:row>
    <x:row r="387">
      <x:c r="A387" s="102" t="str">
        <x:v>VESSEL_00269</x:v>
      </x:c>
      <x:c r="B387" s="102" t="str">
        <x:v>Vessel</x:v>
      </x:c>
      <x:c r="C387" s="102" t="str">
        <x:v>GFS LETO</x:v>
      </x:c>
      <x:c r="D387" s="102"/>
      <x:c r="E387" s="102"/>
      <x:c r="F387" s="102" t="str">
        <x:v>Operating / registry-observed</x:v>
      </x:c>
    </x:row>
    <x:row r="388">
      <x:c r="A388" s="102" t="str">
        <x:v>VESSEL_00270</x:v>
      </x:c>
      <x:c r="B388" s="102" t="str">
        <x:v>Vessel</x:v>
      </x:c>
      <x:c r="C388" s="102" t="str">
        <x:v>GFS LYSA</x:v>
      </x:c>
      <x:c r="D388" s="102"/>
      <x:c r="E388" s="102"/>
      <x:c r="F388" s="102" t="str">
        <x:v>Operating / registry-observed</x:v>
      </x:c>
    </x:row>
    <x:row r="389">
      <x:c r="A389" s="102" t="str">
        <x:v>VESSEL_00271</x:v>
      </x:c>
      <x:c r="B389" s="102" t="str">
        <x:v>Vessel</x:v>
      </x:c>
      <x:c r="C389" s="102" t="str">
        <x:v>GFS MARINE 01</x:v>
      </x:c>
      <x:c r="D389" s="102"/>
      <x:c r="E389" s="102"/>
      <x:c r="F389" s="102" t="str">
        <x:v>Operating / registry-observed</x:v>
      </x:c>
    </x:row>
    <x:row r="390">
      <x:c r="A390" s="102" t="str">
        <x:v>VESSEL_00272</x:v>
      </x:c>
      <x:c r="B390" s="102" t="str">
        <x:v>Vessel</x:v>
      </x:c>
      <x:c r="C390" s="102" t="str">
        <x:v>GFS RHEA</x:v>
      </x:c>
      <x:c r="D390" s="102" t="str">
        <x:v>Cyprus</x:v>
      </x:c>
      <x:c r="E390" s="102" t="str">
        <x:v>COMP_GFS</x:v>
      </x:c>
      <x:c r="F390" s="102" t="str">
        <x:v>Operating / registry-observed</x:v>
      </x:c>
    </x:row>
    <x:row r="391">
      <x:c r="A391" s="102" t="str">
        <x:v>VESSEL_00273</x:v>
      </x:c>
      <x:c r="B391" s="102" t="str">
        <x:v>Vessel</x:v>
      </x:c>
      <x:c r="C391" s="102" t="str">
        <x:v>GFS RHINE</x:v>
      </x:c>
      <x:c r="D391" s="102"/>
      <x:c r="E391" s="102"/>
      <x:c r="F391" s="102" t="str">
        <x:v>Operating / registry-observed</x:v>
      </x:c>
    </x:row>
    <x:row r="392">
      <x:c r="A392" s="102" t="str">
        <x:v>VESSEL_00274</x:v>
      </x:c>
      <x:c r="B392" s="102" t="str">
        <x:v>Vessel</x:v>
      </x:c>
      <x:c r="C392" s="102" t="str">
        <x:v>Baie Comeau</x:v>
      </x:c>
      <x:c r="D392" s="102" t="str">
        <x:v>Canada</x:v>
      </x:c>
      <x:c r="E392" s="102" t="str">
        <x:v>COMP_CSL_CANADA</x:v>
      </x:c>
      <x:c r="F392" s="102" t="str">
        <x:v>Operating</x:v>
      </x:c>
    </x:row>
    <x:row r="393">
      <x:c r="A393" s="102" t="str">
        <x:v>VESSEL_00275</x:v>
      </x:c>
      <x:c r="B393" s="102" t="str">
        <x:v>Vessel</x:v>
      </x:c>
      <x:c r="C393" s="102" t="str">
        <x:v>Baie St. Paul</x:v>
      </x:c>
      <x:c r="D393" s="102" t="str">
        <x:v>Canada</x:v>
      </x:c>
      <x:c r="E393" s="102" t="str">
        <x:v>COMP_CSL_CANADA</x:v>
      </x:c>
      <x:c r="F393" s="102" t="str">
        <x:v>Operating</x:v>
      </x:c>
    </x:row>
    <x:row r="394">
      <x:c r="A394" s="102" t="str">
        <x:v>VESSEL_00276</x:v>
      </x:c>
      <x:c r="B394" s="102" t="str">
        <x:v>Vessel</x:v>
      </x:c>
      <x:c r="C394" s="102" t="str">
        <x:v>CSL Assiniboine</x:v>
      </x:c>
      <x:c r="D394" s="102" t="str">
        <x:v>Canada</x:v>
      </x:c>
      <x:c r="E394" s="102" t="str">
        <x:v>COMP_CSL_CANADA</x:v>
      </x:c>
      <x:c r="F394" s="102" t="str">
        <x:v>Operating</x:v>
      </x:c>
    </x:row>
    <x:row r="395">
      <x:c r="A395" s="102" t="str">
        <x:v>VESSEL_00277</x:v>
      </x:c>
      <x:c r="B395" s="102" t="str">
        <x:v>Vessel</x:v>
      </x:c>
      <x:c r="C395" s="102" t="str">
        <x:v>CSL Laurentien</x:v>
      </x:c>
      <x:c r="D395" s="102" t="str">
        <x:v>Canada</x:v>
      </x:c>
      <x:c r="E395" s="102" t="str">
        <x:v>COMP_CSL_CANADA</x:v>
      </x:c>
      <x:c r="F395" s="102" t="str">
        <x:v>Operating</x:v>
      </x:c>
    </x:row>
    <x:row r="396">
      <x:c r="A396" s="102" t="str">
        <x:v>VESSEL_00278</x:v>
      </x:c>
      <x:c r="B396" s="102" t="str">
        <x:v>Vessel</x:v>
      </x:c>
      <x:c r="C396" s="102" t="str">
        <x:v>CSL Niagara</x:v>
      </x:c>
      <x:c r="D396" s="102" t="str">
        <x:v>Canada</x:v>
      </x:c>
      <x:c r="E396" s="102" t="str">
        <x:v>COMP_CSL_CANADA</x:v>
      </x:c>
      <x:c r="F396" s="102" t="str">
        <x:v>Operating</x:v>
      </x:c>
    </x:row>
    <x:row r="397">
      <x:c r="A397" s="102" t="str">
        <x:v>VESSEL_00279</x:v>
      </x:c>
      <x:c r="B397" s="102" t="str">
        <x:v>Vessel</x:v>
      </x:c>
      <x:c r="C397" s="102" t="str">
        <x:v>CSL Tadoussac</x:v>
      </x:c>
      <x:c r="D397" s="102" t="str">
        <x:v>Canada</x:v>
      </x:c>
      <x:c r="E397" s="102" t="str">
        <x:v>COMP_CSL_CANADA</x:v>
      </x:c>
      <x:c r="F397" s="102" t="str">
        <x:v>Operating</x:v>
      </x:c>
    </x:row>
    <x:row r="398">
      <x:c r="A398" s="102" t="str">
        <x:v>VESSEL_00280</x:v>
      </x:c>
      <x:c r="B398" s="102" t="str">
        <x:v>Vessel</x:v>
      </x:c>
      <x:c r="C398" s="102" t="str">
        <x:v>Frontenac</x:v>
      </x:c>
      <x:c r="D398" s="102" t="str">
        <x:v>Canada</x:v>
      </x:c>
      <x:c r="E398" s="102" t="str">
        <x:v>COMP_CSL_CANADA</x:v>
      </x:c>
      <x:c r="F398" s="102" t="str">
        <x:v>Operating</x:v>
      </x:c>
    </x:row>
    <x:row r="399">
      <x:c r="A399" s="102" t="str">
        <x:v>VESSEL_00281</x:v>
      </x:c>
      <x:c r="B399" s="102" t="str">
        <x:v>Vessel</x:v>
      </x:c>
      <x:c r="C399" s="102" t="str">
        <x:v>Nukumi</x:v>
      </x:c>
      <x:c r="D399" s="102" t="str">
        <x:v>Canada</x:v>
      </x:c>
      <x:c r="E399" s="102" t="str">
        <x:v>COMP_CSL_CANADA</x:v>
      </x:c>
      <x:c r="F399" s="102" t="str">
        <x:v>Operating</x:v>
      </x:c>
    </x:row>
    <x:row r="400">
      <x:c r="A400" s="102" t="str">
        <x:v>VESSEL_00282</x:v>
      </x:c>
      <x:c r="B400" s="102" t="str">
        <x:v>Vessel</x:v>
      </x:c>
      <x:c r="C400" s="102" t="str">
        <x:v>Rt. Hon. Paul J. Martin</x:v>
      </x:c>
      <x:c r="D400" s="102" t="str">
        <x:v>Canada</x:v>
      </x:c>
      <x:c r="E400" s="102" t="str">
        <x:v>COMP_CSL_CANADA</x:v>
      </x:c>
      <x:c r="F400" s="102" t="str">
        <x:v>Operating</x:v>
      </x:c>
    </x:row>
    <x:row r="401">
      <x:c r="A401" s="102" t="str">
        <x:v>VESSEL_00283</x:v>
      </x:c>
      <x:c r="B401" s="102" t="str">
        <x:v>Vessel</x:v>
      </x:c>
      <x:c r="C401" s="102" t="str">
        <x:v>Thunder Bay</x:v>
      </x:c>
      <x:c r="D401" s="102" t="str">
        <x:v>Canada</x:v>
      </x:c>
      <x:c r="E401" s="102" t="str">
        <x:v>COMP_CSL_CANADA</x:v>
      </x:c>
      <x:c r="F401" s="102" t="str">
        <x:v>Operating</x:v>
      </x:c>
    </x:row>
    <x:row r="402">
      <x:c r="A402" s="102" t="str">
        <x:v>VESSEL_00284</x:v>
      </x:c>
      <x:c r="B402" s="102" t="str">
        <x:v>Vessel</x:v>
      </x:c>
      <x:c r="C402" s="102" t="str">
        <x:v>Whitefish Bay</x:v>
      </x:c>
      <x:c r="D402" s="102" t="str">
        <x:v>Canada</x:v>
      </x:c>
      <x:c r="E402" s="102" t="str">
        <x:v>COMP_CSL_CANADA</x:v>
      </x:c>
      <x:c r="F402" s="102" t="str">
        <x:v>Operating</x:v>
      </x:c>
    </x:row>
    <x:row r="403">
      <x:c r="A403" s="102" t="str">
        <x:v>VESSEL_00285</x:v>
      </x:c>
      <x:c r="B403" s="102" t="str">
        <x:v>Vessel</x:v>
      </x:c>
      <x:c r="C403" s="102" t="str">
        <x:v>CSL St-Laurent</x:v>
      </x:c>
      <x:c r="D403" s="102" t="str">
        <x:v>Canada</x:v>
      </x:c>
      <x:c r="E403" s="102" t="str">
        <x:v>COMP_CSL_CANADA</x:v>
      </x:c>
      <x:c r="F403" s="102" t="str">
        <x:v>Operating</x:v>
      </x:c>
    </x:row>
    <x:row r="404">
      <x:c r="A404" s="102" t="str">
        <x:v>VESSEL_00286</x:v>
      </x:c>
      <x:c r="B404" s="102" t="str">
        <x:v>Vessel</x:v>
      </x:c>
      <x:c r="C404" s="102" t="str">
        <x:v>CSL Welland</x:v>
      </x:c>
      <x:c r="D404" s="102" t="str">
        <x:v>Canada</x:v>
      </x:c>
      <x:c r="E404" s="102" t="str">
        <x:v>COMP_CSL_CANADA</x:v>
      </x:c>
      <x:c r="F404" s="102" t="str">
        <x:v>Operating</x:v>
      </x:c>
    </x:row>
    <x:row r="405">
      <x:c r="A405" s="102" t="str">
        <x:v>VESSEL_00287</x:v>
      </x:c>
      <x:c r="B405" s="102" t="str">
        <x:v>Vessel</x:v>
      </x:c>
      <x:c r="C405" s="102" t="str">
        <x:v>Ferbec</x:v>
      </x:c>
      <x:c r="D405" s="102" t="str">
        <x:v>Canada</x:v>
      </x:c>
      <x:c r="E405" s="102" t="str">
        <x:v>COMP_CSL_CANADA</x:v>
      </x:c>
      <x:c r="F405" s="102" t="str">
        <x:v>Operating</x:v>
      </x:c>
    </x:row>
    <x:row r="406">
      <x:c r="A406" s="102" t="str">
        <x:v>VESSEL_00288</x:v>
      </x:c>
      <x:c r="B406" s="102" t="str">
        <x:v>Vessel</x:v>
      </x:c>
      <x:c r="C406" s="102" t="str">
        <x:v>Oakglen</x:v>
      </x:c>
      <x:c r="D406" s="102" t="str">
        <x:v>Canada</x:v>
      </x:c>
      <x:c r="E406" s="102" t="str">
        <x:v>COMP_CSL_CANADA</x:v>
      </x:c>
      <x:c r="F406" s="102" t="str">
        <x:v>Operating</x:v>
      </x:c>
    </x:row>
    <x:row r="407">
      <x:c r="A407" s="102" t="str">
        <x:v>VESSEL_00289</x:v>
      </x:c>
      <x:c r="B407" s="102" t="str">
        <x:v>Vessel</x:v>
      </x:c>
      <x:c r="C407" s="102" t="str">
        <x:v>Spruceglen</x:v>
      </x:c>
      <x:c r="D407" s="102" t="str">
        <x:v>Canada</x:v>
      </x:c>
      <x:c r="E407" s="102" t="str">
        <x:v>COMP_CSL_CANADA</x:v>
      </x:c>
      <x:c r="F407" s="102" t="str">
        <x:v>Operating</x:v>
      </x:c>
    </x:row>
    <x:row r="408">
      <x:c r="A408" s="102" t="str">
        <x:v>VESSEL_00290</x:v>
      </x:c>
      <x:c r="B408" s="102" t="str">
        <x:v>Vessel</x:v>
      </x:c>
      <x:c r="C408" s="102" t="str">
        <x:v>Tamarack</x:v>
      </x:c>
      <x:c r="D408" s="102" t="str">
        <x:v>Canada</x:v>
      </x:c>
      <x:c r="E408" s="102" t="str">
        <x:v>COMP_EUREKA_SHIPPING</x:v>
      </x:c>
      <x:c r="F408" s="102" t="str">
        <x:v>Operating</x:v>
      </x:c>
    </x:row>
    <x:row r="409">
      <x:c r="A409" s="102" t="str">
        <x:v>VESSEL_00291</x:v>
      </x:c>
      <x:c r="B409" s="102" t="str">
        <x:v>Vessel</x:v>
      </x:c>
      <x:c r="C409" s="102" t="str">
        <x:v>Algoma Guardian</x:v>
      </x:c>
      <x:c r="D409" s="102" t="str">
        <x:v>Canada</x:v>
      </x:c>
      <x:c r="E409" s="102" t="str">
        <x:v>COMP_ALGOMA</x:v>
      </x:c>
      <x:c r="F409" s="102" t="str">
        <x:v>2023 regulator-recorded; current status to verify</x:v>
      </x:c>
    </x:row>
    <x:row r="410">
      <x:c r="A410" s="102" t="str">
        <x:v>VESSEL_00292</x:v>
      </x:c>
      <x:c r="B410" s="102" t="str">
        <x:v>Vessel</x:v>
      </x:c>
      <x:c r="C410" s="102" t="str">
        <x:v>Algoma Harvester</x:v>
      </x:c>
      <x:c r="D410" s="102" t="str">
        <x:v>Canada</x:v>
      </x:c>
      <x:c r="E410" s="102" t="str">
        <x:v>COMP_ALGOMA</x:v>
      </x:c>
      <x:c r="F410" s="102" t="str">
        <x:v>2023 regulator-recorded; current status to verify</x:v>
      </x:c>
    </x:row>
    <x:row r="411">
      <x:c r="A411" s="102" t="str">
        <x:v>VESSEL_00293</x:v>
      </x:c>
      <x:c r="B411" s="102" t="str">
        <x:v>Vessel</x:v>
      </x:c>
      <x:c r="C411" s="102" t="str">
        <x:v>Algoma Innovator</x:v>
      </x:c>
      <x:c r="D411" s="102" t="str">
        <x:v>Canada</x:v>
      </x:c>
      <x:c r="E411" s="102" t="str">
        <x:v>COMP_ALGOMA</x:v>
      </x:c>
      <x:c r="F411" s="102" t="str">
        <x:v>2023 regulator-recorded; current status to verify</x:v>
      </x:c>
    </x:row>
    <x:row r="412">
      <x:c r="A412" s="102" t="str">
        <x:v>VESSEL_00294</x:v>
      </x:c>
      <x:c r="B412" s="102" t="str">
        <x:v>Vessel</x:v>
      </x:c>
      <x:c r="C412" s="102" t="str">
        <x:v>Algoma Intrepid</x:v>
      </x:c>
      <x:c r="D412" s="102" t="str">
        <x:v>Canada</x:v>
      </x:c>
      <x:c r="E412" s="102" t="str">
        <x:v>COMP_ALGOMA</x:v>
      </x:c>
      <x:c r="F412" s="102" t="str">
        <x:v>2023 regulator-recorded; current status to verify</x:v>
      </x:c>
    </x:row>
    <x:row r="413">
      <x:c r="A413" s="102" t="str">
        <x:v>VESSEL_00295</x:v>
      </x:c>
      <x:c r="B413" s="102" t="str">
        <x:v>Vessel</x:v>
      </x:c>
      <x:c r="C413" s="102" t="str">
        <x:v>Algoma Mariner</x:v>
      </x:c>
      <x:c r="D413" s="102" t="str">
        <x:v>Canada</x:v>
      </x:c>
      <x:c r="E413" s="102" t="str">
        <x:v>COMP_ALGOMA</x:v>
      </x:c>
      <x:c r="F413" s="102" t="str">
        <x:v>2023 regulator-recorded; current status to verify</x:v>
      </x:c>
    </x:row>
    <x:row r="414">
      <x:c r="A414" s="102" t="str">
        <x:v>VESSEL_00296</x:v>
      </x:c>
      <x:c r="B414" s="102" t="str">
        <x:v>Vessel</x:v>
      </x:c>
      <x:c r="C414" s="102" t="str">
        <x:v>Algoma Niagara</x:v>
      </x:c>
      <x:c r="D414" s="102" t="str">
        <x:v>Canada</x:v>
      </x:c>
      <x:c r="E414" s="102" t="str">
        <x:v>COMP_ALGOMA</x:v>
      </x:c>
      <x:c r="F414" s="102" t="str">
        <x:v>2023 regulator-recorded; current status to verify</x:v>
      </x:c>
    </x:row>
    <x:row r="415">
      <x:c r="A415" s="102" t="str">
        <x:v>VESSEL_00297</x:v>
      </x:c>
      <x:c r="B415" s="102" t="str">
        <x:v>Vessel</x:v>
      </x:c>
      <x:c r="C415" s="102" t="str">
        <x:v>Algoma Sault</x:v>
      </x:c>
      <x:c r="D415" s="102" t="str">
        <x:v>Canada</x:v>
      </x:c>
      <x:c r="E415" s="102" t="str">
        <x:v>COMP_ALGOMA</x:v>
      </x:c>
      <x:c r="F415" s="102" t="str">
        <x:v>2023 regulator-recorded; current status to verify</x:v>
      </x:c>
    </x:row>
    <x:row r="416">
      <x:c r="A416" s="102" t="str">
        <x:v>VESSEL_00298</x:v>
      </x:c>
      <x:c r="B416" s="102" t="str">
        <x:v>Vessel</x:v>
      </x:c>
      <x:c r="C416" s="102" t="str">
        <x:v>Algoma Strongfield</x:v>
      </x:c>
      <x:c r="D416" s="102" t="str">
        <x:v>Canada</x:v>
      </x:c>
      <x:c r="E416" s="102" t="str">
        <x:v>COMP_ALGOMA</x:v>
      </x:c>
      <x:c r="F416" s="102" t="str">
        <x:v>2023 regulator-recorded; current status to verify</x:v>
      </x:c>
    </x:row>
    <x:row r="417">
      <x:c r="A417" s="102" t="str">
        <x:v>VESSEL_00299</x:v>
      </x:c>
      <x:c r="B417" s="102" t="str">
        <x:v>Vessel</x:v>
      </x:c>
      <x:c r="C417" s="102" t="str">
        <x:v>Algoma Transport</x:v>
      </x:c>
      <x:c r="D417" s="102" t="str">
        <x:v>Canada</x:v>
      </x:c>
      <x:c r="E417" s="102" t="str">
        <x:v>COMP_ALGOMA</x:v>
      </x:c>
      <x:c r="F417" s="102" t="str">
        <x:v>2023 regulator-recorded; current status to verify</x:v>
      </x:c>
    </x:row>
    <x:row r="418">
      <x:c r="A418" s="102" t="str">
        <x:v>VESSEL_00300</x:v>
      </x:c>
      <x:c r="B418" s="102" t="str">
        <x:v>Vessel</x:v>
      </x:c>
      <x:c r="C418" s="102" t="str">
        <x:v>Capt. Henry Jackman</x:v>
      </x:c>
      <x:c r="D418" s="102" t="str">
        <x:v>Canada</x:v>
      </x:c>
      <x:c r="E418" s="102" t="str">
        <x:v>COMP_ALGOMA</x:v>
      </x:c>
      <x:c r="F418" s="102" t="str">
        <x:v>2023 regulator-recorded; current status to verify</x:v>
      </x:c>
    </x:row>
    <x:row r="419">
      <x:c r="A419" s="102" t="str">
        <x:v>VESSEL_00301</x:v>
      </x:c>
      <x:c r="B419" s="102" t="str">
        <x:v>Vessel</x:v>
      </x:c>
      <x:c r="C419" s="102" t="str">
        <x:v>G3 Marquis</x:v>
      </x:c>
      <x:c r="D419" s="102" t="str">
        <x:v>Canada</x:v>
      </x:c>
      <x:c r="E419" s="102" t="str">
        <x:v>COMP_ALGOMA</x:v>
      </x:c>
      <x:c r="F419" s="102" t="str">
        <x:v>2023 regulator-recorded; current status to verify</x:v>
      </x:c>
    </x:row>
    <x:row r="420">
      <x:c r="A420" s="102" t="str">
        <x:v>VESSEL_00302</x:v>
      </x:c>
      <x:c r="B420" s="102" t="str">
        <x:v>Vessel</x:v>
      </x:c>
      <x:c r="C420" s="102" t="str">
        <x:v>John D Leitch</x:v>
      </x:c>
      <x:c r="D420" s="102" t="str">
        <x:v>Canada</x:v>
      </x:c>
      <x:c r="E420" s="102" t="str">
        <x:v>COMP_ALGOMA</x:v>
      </x:c>
      <x:c r="F420" s="102" t="str">
        <x:v>2023 regulator-recorded; current status to verify</x:v>
      </x:c>
    </x:row>
    <x:row r="421">
      <x:c r="A421" s="102" t="str">
        <x:v>VESSEL_00303</x:v>
      </x:c>
      <x:c r="B421" s="102" t="str">
        <x:v>Vessel</x:v>
      </x:c>
      <x:c r="C421" s="102" t="str">
        <x:v>Radcliffe R Latimer</x:v>
      </x:c>
      <x:c r="D421" s="102" t="str">
        <x:v>Canada</x:v>
      </x:c>
      <x:c r="E421" s="102" t="str">
        <x:v>COMP_ALGOMA</x:v>
      </x:c>
      <x:c r="F421" s="102" t="str">
        <x:v>2023 regulator-recorded; current status to verify</x:v>
      </x:c>
    </x:row>
    <x:row r="422">
      <x:c r="A422" s="102" t="str">
        <x:v>VESSEL_00304</x:v>
      </x:c>
      <x:c r="B422" s="102" t="str">
        <x:v>Vessel</x:v>
      </x:c>
      <x:c r="C422" s="102" t="str">
        <x:v>Tim S Dool</x:v>
      </x:c>
      <x:c r="D422" s="102" t="str">
        <x:v>Canada</x:v>
      </x:c>
      <x:c r="E422" s="102" t="str">
        <x:v>COMP_ALGOMA</x:v>
      </x:c>
      <x:c r="F422" s="102" t="str">
        <x:v>2023 regulator-recorded; current status to verify</x:v>
      </x:c>
    </x:row>
    <x:row r="423">
      <x:c r="A423" s="102" t="str">
        <x:v>VESSEL_00305</x:v>
      </x:c>
      <x:c r="B423" s="102" t="str">
        <x:v>Vessel</x:v>
      </x:c>
      <x:c r="C423" s="102" t="str">
        <x:v>Algonova</x:v>
      </x:c>
      <x:c r="D423" s="102" t="str">
        <x:v>Canada</x:v>
      </x:c>
      <x:c r="E423" s="102" t="str">
        <x:v>COMP_ALGOMA</x:v>
      </x:c>
      <x:c r="F423" s="102" t="str">
        <x:v>2023 regulator-recorded; current status to verify</x:v>
      </x:c>
    </x:row>
    <x:row r="424">
      <x:c r="A424" s="102" t="str">
        <x:v>VESSEL_00306</x:v>
      </x:c>
      <x:c r="B424" s="102" t="str">
        <x:v>Vessel</x:v>
      </x:c>
      <x:c r="C424" s="102" t="str">
        <x:v>Algoscotia</x:v>
      </x:c>
      <x:c r="D424" s="102" t="str">
        <x:v>Canada</x:v>
      </x:c>
      <x:c r="E424" s="102" t="str">
        <x:v>COMP_ALGOMA</x:v>
      </x:c>
      <x:c r="F424" s="102" t="str">
        <x:v>2023 regulator-recorded; current status to verify</x:v>
      </x:c>
    </x:row>
    <x:row r="425">
      <x:c r="A425" s="102" t="str">
        <x:v>VESSEL_00307</x:v>
      </x:c>
      <x:c r="B425" s="102" t="str">
        <x:v>Vessel</x:v>
      </x:c>
      <x:c r="C425" s="102" t="str">
        <x:v>Algosea</x:v>
      </x:c>
      <x:c r="D425" s="102" t="str">
        <x:v>Canada</x:v>
      </x:c>
      <x:c r="E425" s="102" t="str">
        <x:v>COMP_ALGOMA</x:v>
      </x:c>
      <x:c r="F425" s="102" t="str">
        <x:v>2023 regulator-recorded; current status to verify</x:v>
      </x:c>
    </x:row>
    <x:row r="426">
      <x:c r="A426" s="102" t="str">
        <x:v>VESSEL_00308</x:v>
      </x:c>
      <x:c r="B426" s="102" t="str">
        <x:v>Vessel</x:v>
      </x:c>
      <x:c r="C426" s="102" t="str">
        <x:v>Algoterra</x:v>
      </x:c>
      <x:c r="D426" s="102" t="str">
        <x:v>Canada</x:v>
      </x:c>
      <x:c r="E426" s="102" t="str">
        <x:v>COMP_ALGOMA</x:v>
      </x:c>
      <x:c r="F426" s="102" t="str">
        <x:v>2023 regulator-recorded; current status to verify</x:v>
      </x:c>
    </x:row>
    <x:row r="427">
      <x:c r="A427" s="102" t="str">
        <x:v>VESSEL_00309</x:v>
      </x:c>
      <x:c r="B427" s="102" t="str">
        <x:v>Vessel</x:v>
      </x:c>
      <x:c r="C427" s="102" t="str">
        <x:v>Algotitan</x:v>
      </x:c>
      <x:c r="D427" s="102" t="str">
        <x:v>Canada</x:v>
      </x:c>
      <x:c r="E427" s="102" t="str">
        <x:v>COMP_ALGOMA</x:v>
      </x:c>
      <x:c r="F427" s="102" t="str">
        <x:v>2023 regulator-recorded; current status to verify</x:v>
      </x:c>
    </x:row>
    <x:row r="428">
      <x:c r="A428" s="102" t="str">
        <x:v>VESSEL_00310</x:v>
      </x:c>
      <x:c r="B428" s="102" t="str">
        <x:v>Vessel</x:v>
      </x:c>
      <x:c r="C428" s="102" t="str">
        <x:v>Algoma Bear</x:v>
      </x:c>
      <x:c r="D428" s="102" t="str">
        <x:v>Canada</x:v>
      </x:c>
      <x:c r="E428" s="102" t="str">
        <x:v>COMP_ALGOMA</x:v>
      </x:c>
      <x:c r="F428" s="102" t="str">
        <x:v>Operating</x:v>
      </x:c>
    </x:row>
    <x:row r="429">
      <x:c r="A429" s="102" t="str">
        <x:v>VESSEL_00311</x:v>
      </x:c>
      <x:c r="B429" s="102" t="str">
        <x:v>Vessel</x:v>
      </x:c>
      <x:c r="C429" s="102" t="str">
        <x:v>Algoma Endeavour</x:v>
      </x:c>
      <x:c r="D429" s="102" t="str">
        <x:v>Canada</x:v>
      </x:c>
      <x:c r="E429" s="102" t="str">
        <x:v>COMP_ALGOMA</x:v>
      </x:c>
      <x:c r="F429" s="102" t="str">
        <x:v>Operating</x:v>
      </x:c>
    </x:row>
    <x:row r="430">
      <x:c r="A430" s="102" t="str">
        <x:v>VESSEL_00312</x:v>
      </x:c>
      <x:c r="B430" s="102" t="str">
        <x:v>Vessel</x:v>
      </x:c>
      <x:c r="C430" s="102" t="str">
        <x:v>Algoma East Coast</x:v>
      </x:c>
      <x:c r="D430" s="102" t="str">
        <x:v>Canada</x:v>
      </x:c>
      <x:c r="E430" s="102" t="str">
        <x:v>COMP_FUNDY_TANKERS</x:v>
      </x:c>
      <x:c r="F430" s="102" t="str">
        <x:v>Operating</x:v>
      </x:c>
    </x:row>
    <x:row r="431">
      <x:c r="A431" s="102" t="str">
        <x:v>VESSEL_00313</x:v>
      </x:c>
      <x:c r="B431" s="102" t="str">
        <x:v>Vessel</x:v>
      </x:c>
      <x:c r="C431" s="102" t="str">
        <x:v>Algoma Acadian</x:v>
      </x:c>
      <x:c r="D431" s="102" t="str">
        <x:v>Canada</x:v>
      </x:c>
      <x:c r="E431" s="102" t="str">
        <x:v>COMP_FUNDY_TANKERS</x:v>
      </x:c>
      <x:c r="F431" s="102" t="str">
        <x:v>Operating</x:v>
      </x:c>
    </x:row>
    <x:row r="432">
      <x:c r="A432" s="102" t="str">
        <x:v>VESSEL_00314</x:v>
      </x:c>
      <x:c r="B432" s="102" t="str">
        <x:v>Vessel</x:v>
      </x:c>
      <x:c r="C432" s="102" t="str">
        <x:v>Mark W. Barker</x:v>
      </x:c>
      <x:c r="D432" s="102" t="str">
        <x:v>United States</x:v>
      </x:c>
      <x:c r="E432" s="102" t="str">
        <x:v>COMP_INTERLAKE</x:v>
      </x:c>
      <x:c r="F432" s="102" t="str">
        <x:v>Operating</x:v>
      </x:c>
    </x:row>
    <x:row r="433">
      <x:c r="A433" s="102" t="str">
        <x:v>VESSEL_00315</x:v>
      </x:c>
      <x:c r="B433" s="102" t="str">
        <x:v>Vessel</x:v>
      </x:c>
      <x:c r="C433" s="102" t="str">
        <x:v>Paul R. Tregurtha</x:v>
      </x:c>
      <x:c r="D433" s="102" t="str">
        <x:v>United States</x:v>
      </x:c>
      <x:c r="E433" s="102" t="str">
        <x:v>COMP_INTERLAKE</x:v>
      </x:c>
      <x:c r="F433" s="102" t="str">
        <x:v>Operating</x:v>
      </x:c>
    </x:row>
    <x:row r="434">
      <x:c r="A434" s="102" t="str">
        <x:v>VESSEL_00316</x:v>
      </x:c>
      <x:c r="B434" s="102" t="str">
        <x:v>Vessel</x:v>
      </x:c>
      <x:c r="C434" s="102" t="str">
        <x:v>James R. Barker</x:v>
      </x:c>
      <x:c r="D434" s="102" t="str">
        <x:v>United States</x:v>
      </x:c>
      <x:c r="E434" s="102" t="str">
        <x:v>COMP_INTERLAKE</x:v>
      </x:c>
      <x:c r="F434" s="102" t="str">
        <x:v>Operating</x:v>
      </x:c>
    </x:row>
    <x:row r="435">
      <x:c r="A435" s="102" t="str">
        <x:v>VESSEL_00317</x:v>
      </x:c>
      <x:c r="B435" s="102" t="str">
        <x:v>Vessel</x:v>
      </x:c>
      <x:c r="C435" s="102" t="str">
        <x:v>Mesabi Miner</x:v>
      </x:c>
      <x:c r="D435" s="102" t="str">
        <x:v>United States</x:v>
      </x:c>
      <x:c r="E435" s="102" t="str">
        <x:v>COMP_INTERLAKE</x:v>
      </x:c>
      <x:c r="F435" s="102" t="str">
        <x:v>Operating</x:v>
      </x:c>
    </x:row>
    <x:row r="436">
      <x:c r="A436" s="102" t="str">
        <x:v>VESSEL_00318</x:v>
      </x:c>
      <x:c r="B436" s="102" t="str">
        <x:v>Vessel</x:v>
      </x:c>
      <x:c r="C436" s="102" t="str">
        <x:v>Lee A. Tregurtha</x:v>
      </x:c>
      <x:c r="D436" s="102" t="str">
        <x:v>United States</x:v>
      </x:c>
      <x:c r="E436" s="102" t="str">
        <x:v>COMP_INTERLAKE</x:v>
      </x:c>
      <x:c r="F436" s="102" t="str">
        <x:v>Operating</x:v>
      </x:c>
    </x:row>
    <x:row r="437">
      <x:c r="A437" s="102" t="str">
        <x:v>VESSEL_00319</x:v>
      </x:c>
      <x:c r="B437" s="102" t="str">
        <x:v>Vessel</x:v>
      </x:c>
      <x:c r="C437" s="102" t="str">
        <x:v>Honorable James L. Oberstar</x:v>
      </x:c>
      <x:c r="D437" s="102" t="str">
        <x:v>United States</x:v>
      </x:c>
      <x:c r="E437" s="102" t="str">
        <x:v>COMP_INTERLAKE</x:v>
      </x:c>
      <x:c r="F437" s="102" t="str">
        <x:v>Operating</x:v>
      </x:c>
    </x:row>
    <x:row r="438">
      <x:c r="A438" s="102" t="str">
        <x:v>VESSEL_00320</x:v>
      </x:c>
      <x:c r="B438" s="102" t="str">
        <x:v>Vessel</x:v>
      </x:c>
      <x:c r="C438" s="102" t="str">
        <x:v>Kaye E. Barker</x:v>
      </x:c>
      <x:c r="D438" s="102" t="str">
        <x:v>United States</x:v>
      </x:c>
      <x:c r="E438" s="102" t="str">
        <x:v>COMP_INTERLAKE</x:v>
      </x:c>
      <x:c r="F438" s="102" t="str">
        <x:v>Operating</x:v>
      </x:c>
    </x:row>
    <x:row r="439">
      <x:c r="A439" s="102" t="str">
        <x:v>VESSEL_00321</x:v>
      </x:c>
      <x:c r="B439" s="102" t="str">
        <x:v>Vessel</x:v>
      </x:c>
      <x:c r="C439" s="102" t="str">
        <x:v>Herbert C. Jackson</x:v>
      </x:c>
      <x:c r="D439" s="102" t="str">
        <x:v>United States</x:v>
      </x:c>
      <x:c r="E439" s="102" t="str">
        <x:v>COMP_INTERLAKE</x:v>
      </x:c>
      <x:c r="F439" s="102" t="str">
        <x:v>Operating</x:v>
      </x:c>
    </x:row>
    <x:row r="440">
      <x:c r="A440" s="102" t="str">
        <x:v>VESSEL_00322</x:v>
      </x:c>
      <x:c r="B440" s="102" t="str">
        <x:v>Vessel</x:v>
      </x:c>
      <x:c r="C440" s="102" t="str">
        <x:v>Dorothy Ann</x:v>
      </x:c>
      <x:c r="D440" s="102" t="str">
        <x:v>United States</x:v>
      </x:c>
      <x:c r="E440" s="102" t="str">
        <x:v>COMP_INTERLAKE</x:v>
      </x:c>
      <x:c r="F440" s="102" t="str">
        <x:v>Operating</x:v>
      </x:c>
    </x:row>
    <x:row r="441">
      <x:c r="A441" s="102" t="str">
        <x:v>VESSEL_00323</x:v>
      </x:c>
      <x:c r="B441" s="102" t="str">
        <x:v>Vessel</x:v>
      </x:c>
      <x:c r="C441" s="102" t="str">
        <x:v>Stewart J. Cort</x:v>
      </x:c>
      <x:c r="D441" s="102" t="str">
        <x:v>United States</x:v>
      </x:c>
      <x:c r="E441" s="102" t="str">
        <x:v>COMP_INTERLAKE</x:v>
      </x:c>
      <x:c r="F441" s="102" t="str">
        <x:v>Operating</x:v>
      </x:c>
    </x:row>
    <x:row r="442">
      <x:c r="A442" s="102" t="str">
        <x:v>VESSEL_00324</x:v>
      </x:c>
      <x:c r="B442" s="102" t="str">
        <x:v>Vessel</x:v>
      </x:c>
      <x:c r="C442" s="102" t="str">
        <x:v>American Century</x:v>
      </x:c>
      <x:c r="D442" s="102" t="str">
        <x:v>United States</x:v>
      </x:c>
      <x:c r="E442" s="102" t="str">
        <x:v>COMP_ASC</x:v>
      </x:c>
      <x:c r="F442" s="102" t="str">
        <x:v>2023 regulator-recorded; current status to verify</x:v>
      </x:c>
    </x:row>
    <x:row r="443">
      <x:c r="A443" s="102" t="str">
        <x:v>VESSEL_00325</x:v>
      </x:c>
      <x:c r="B443" s="102" t="str">
        <x:v>Vessel</x:v>
      </x:c>
      <x:c r="C443" s="102" t="str">
        <x:v>American Courage</x:v>
      </x:c>
      <x:c r="D443" s="102" t="str">
        <x:v>United States</x:v>
      </x:c>
      <x:c r="E443" s="102" t="str">
        <x:v>COMP_ASC</x:v>
      </x:c>
      <x:c r="F443" s="102" t="str">
        <x:v>2023 regulator-recorded; current status to verify</x:v>
      </x:c>
    </x:row>
    <x:row r="444">
      <x:c r="A444" s="102" t="str">
        <x:v>VESSEL_00326</x:v>
      </x:c>
      <x:c r="B444" s="102" t="str">
        <x:v>Vessel</x:v>
      </x:c>
      <x:c r="C444" s="102" t="str">
        <x:v>American Integrity</x:v>
      </x:c>
      <x:c r="D444" s="102" t="str">
        <x:v>United States</x:v>
      </x:c>
      <x:c r="E444" s="102" t="str">
        <x:v>COMP_ASC</x:v>
      </x:c>
      <x:c r="F444" s="102" t="str">
        <x:v>2023 regulator-recorded; current status to verify</x:v>
      </x:c>
    </x:row>
    <x:row r="445">
      <x:c r="A445" s="102" t="str">
        <x:v>VESSEL_00327</x:v>
      </x:c>
      <x:c r="B445" s="102" t="str">
        <x:v>Vessel</x:v>
      </x:c>
      <x:c r="C445" s="102" t="str">
        <x:v>American Mariner</x:v>
      </x:c>
      <x:c r="D445" s="102" t="str">
        <x:v>United States</x:v>
      </x:c>
      <x:c r="E445" s="102" t="str">
        <x:v>COMP_ASC</x:v>
      </x:c>
      <x:c r="F445" s="102" t="str">
        <x:v>2023 regulator-recorded; current status to verify</x:v>
      </x:c>
    </x:row>
    <x:row r="446">
      <x:c r="A446" s="102" t="str">
        <x:v>VESSEL_00328</x:v>
      </x:c>
      <x:c r="B446" s="102" t="str">
        <x:v>Vessel</x:v>
      </x:c>
      <x:c r="C446" s="102" t="str">
        <x:v>American Spirit</x:v>
      </x:c>
      <x:c r="D446" s="102" t="str">
        <x:v>United States</x:v>
      </x:c>
      <x:c r="E446" s="102" t="str">
        <x:v>COMP_ASC</x:v>
      </x:c>
      <x:c r="F446" s="102" t="str">
        <x:v>2023 regulator-recorded; current status to verify</x:v>
      </x:c>
    </x:row>
    <x:row r="447">
      <x:c r="A447" s="102" t="str">
        <x:v>VESSEL_00329</x:v>
      </x:c>
      <x:c r="B447" s="102" t="str">
        <x:v>Vessel</x:v>
      </x:c>
      <x:c r="C447" s="102" t="str">
        <x:v>Burns Harbor</x:v>
      </x:c>
      <x:c r="D447" s="102" t="str">
        <x:v>United States</x:v>
      </x:c>
      <x:c r="E447" s="102" t="str">
        <x:v>COMP_ASC</x:v>
      </x:c>
      <x:c r="F447" s="102" t="str">
        <x:v>2023 regulator-recorded; current status to verify</x:v>
      </x:c>
    </x:row>
    <x:row r="448">
      <x:c r="A448" s="102" t="str">
        <x:v>VESSEL_00330</x:v>
      </x:c>
      <x:c r="B448" s="102" t="str">
        <x:v>Vessel</x:v>
      </x:c>
      <x:c r="C448" s="102" t="str">
        <x:v>H. Lee White</x:v>
      </x:c>
      <x:c r="D448" s="102" t="str">
        <x:v>United States</x:v>
      </x:c>
      <x:c r="E448" s="102" t="str">
        <x:v>COMP_ASC</x:v>
      </x:c>
      <x:c r="F448" s="102" t="str">
        <x:v>2023 regulator-recorded; current status to verify</x:v>
      </x:c>
    </x:row>
    <x:row r="449">
      <x:c r="A449" s="102" t="str">
        <x:v>VESSEL_00331</x:v>
      </x:c>
      <x:c r="B449" s="102" t="str">
        <x:v>Vessel</x:v>
      </x:c>
      <x:c r="C449" s="102" t="str">
        <x:v>Indiana Harbor</x:v>
      </x:c>
      <x:c r="D449" s="102" t="str">
        <x:v>United States</x:v>
      </x:c>
      <x:c r="E449" s="102" t="str">
        <x:v>COMP_ASC</x:v>
      </x:c>
      <x:c r="F449" s="102" t="str">
        <x:v>2023 regulator-recorded; current status to verify</x:v>
      </x:c>
    </x:row>
    <x:row r="450">
      <x:c r="A450" s="102" t="str">
        <x:v>VESSEL_00332</x:v>
      </x:c>
      <x:c r="B450" s="102" t="str">
        <x:v>Vessel</x:v>
      </x:c>
      <x:c r="C450" s="102" t="str">
        <x:v>John J Boland</x:v>
      </x:c>
      <x:c r="D450" s="102" t="str">
        <x:v>United States</x:v>
      </x:c>
      <x:c r="E450" s="102" t="str">
        <x:v>COMP_ASC</x:v>
      </x:c>
      <x:c r="F450" s="102" t="str">
        <x:v>2023 regulator-recorded; current status to verify</x:v>
      </x:c>
    </x:row>
    <x:row r="451">
      <x:c r="A451" s="102" t="str">
        <x:v>VESSEL_00333</x:v>
      </x:c>
      <x:c r="B451" s="102" t="str">
        <x:v>Vessel</x:v>
      </x:c>
      <x:c r="C451" s="102" t="str">
        <x:v>Sam Laud</x:v>
      </x:c>
      <x:c r="D451" s="102" t="str">
        <x:v>United States</x:v>
      </x:c>
      <x:c r="E451" s="102" t="str">
        <x:v>COMP_ASC</x:v>
      </x:c>
      <x:c r="F451" s="102" t="str">
        <x:v>2023 regulator-recorded; current status to verify</x:v>
      </x:c>
    </x:row>
    <x:row r="452">
      <x:c r="A452" s="102" t="str">
        <x:v>VESSEL_00334</x:v>
      </x:c>
      <x:c r="B452" s="102" t="str">
        <x:v>Vessel</x:v>
      </x:c>
      <x:c r="C452" s="102" t="str">
        <x:v>Walter J. McCarthy Jr.</x:v>
      </x:c>
      <x:c r="D452" s="102" t="str">
        <x:v>United States</x:v>
      </x:c>
      <x:c r="E452" s="102" t="str">
        <x:v>COMP_ASC</x:v>
      </x:c>
      <x:c r="F452" s="102" t="str">
        <x:v>2023 regulator-recorded; current status to verify</x:v>
      </x:c>
    </x:row>
    <x:row r="453">
      <x:c r="A453" s="102" t="str">
        <x:v>VESSEL_00335</x:v>
      </x:c>
      <x:c r="B453" s="102" t="str">
        <x:v>Vessel</x:v>
      </x:c>
      <x:c r="C453" s="102" t="str">
        <x:v>Calumet</x:v>
      </x:c>
      <x:c r="D453" s="102" t="str">
        <x:v>United States</x:v>
      </x:c>
      <x:c r="E453" s="102" t="str">
        <x:v>COMP_GRN</x:v>
      </x:c>
      <x:c r="F453" s="102" t="str">
        <x:v>2023 regulator-recorded; current status to verify</x:v>
      </x:c>
    </x:row>
    <x:row r="454">
      <x:c r="A454" s="102" t="str">
        <x:v>VESSEL_00336</x:v>
      </x:c>
      <x:c r="B454" s="102" t="str">
        <x:v>Vessel</x:v>
      </x:c>
      <x:c r="C454" s="102" t="str">
        <x:v>Defiance</x:v>
      </x:c>
      <x:c r="D454" s="102" t="str">
        <x:v>United States</x:v>
      </x:c>
      <x:c r="E454" s="102" t="str">
        <x:v>COMP_GRN</x:v>
      </x:c>
      <x:c r="F454" s="102" t="str">
        <x:v>2023 regulator-recorded; current status to verify</x:v>
      </x:c>
    </x:row>
    <x:row r="455">
      <x:c r="A455" s="102" t="str">
        <x:v>VESSEL_00337</x:v>
      </x:c>
      <x:c r="B455" s="102" t="str">
        <x:v>Vessel</x:v>
      </x:c>
      <x:c r="C455" s="102" t="str">
        <x:v>Manitowoc</x:v>
      </x:c>
      <x:c r="D455" s="102" t="str">
        <x:v>United States</x:v>
      </x:c>
      <x:c r="E455" s="102" t="str">
        <x:v>COMP_GRN</x:v>
      </x:c>
      <x:c r="F455" s="102" t="str">
        <x:v>2023 regulator-recorded; current status to verify</x:v>
      </x:c>
    </x:row>
    <x:row r="456">
      <x:c r="A456" s="102" t="str">
        <x:v>VESSEL_00338</x:v>
      </x:c>
      <x:c r="B456" s="102" t="str">
        <x:v>Vessel</x:v>
      </x:c>
      <x:c r="C456" s="102" t="str">
        <x:v>Menominee</x:v>
      </x:c>
      <x:c r="D456" s="102" t="str">
        <x:v>United States</x:v>
      </x:c>
      <x:c r="E456" s="102" t="str">
        <x:v>COMP_GRN</x:v>
      </x:c>
      <x:c r="F456" s="102" t="str">
        <x:v>2023 regulator-recorded; current status to verify</x:v>
      </x:c>
    </x:row>
    <x:row r="457">
      <x:c r="A457" s="102" t="str">
        <x:v>VESSEL_00339</x:v>
      </x:c>
      <x:c r="B457" s="102" t="str">
        <x:v>Vessel</x:v>
      </x:c>
      <x:c r="C457" s="102" t="str">
        <x:v>Victory</x:v>
      </x:c>
      <x:c r="D457" s="102" t="str">
        <x:v>United States</x:v>
      </x:c>
      <x:c r="E457" s="102" t="str">
        <x:v>COMP_GRN</x:v>
      </x:c>
      <x:c r="F457" s="102" t="str">
        <x:v>2023 regulator-recorded; current status to verify</x:v>
      </x:c>
    </x:row>
    <x:row r="458">
      <x:c r="A458" s="102" t="str">
        <x:v>VESSEL_00340</x:v>
      </x:c>
      <x:c r="B458" s="102" t="str">
        <x:v>Vessel</x:v>
      </x:c>
      <x:c r="C458" s="102" t="str">
        <x:v>Olive L Moore</x:v>
      </x:c>
      <x:c r="D458" s="102" t="str">
        <x:v>United States</x:v>
      </x:c>
      <x:c r="E458" s="102" t="str">
        <x:v>COMP_GRN</x:v>
      </x:c>
      <x:c r="F458" s="102" t="str">
        <x:v>2023 regulator-recorded; IMO unresolved</x:v>
      </x:c>
    </x:row>
    <x:row r="459">
      <x:c r="A459" s="102" t="str">
        <x:v>VESSEL_00341</x:v>
      </x:c>
      <x:c r="B459" s="102" t="str">
        <x:v>Vessel</x:v>
      </x:c>
      <x:c r="C459" s="102" t="str">
        <x:v>Ashtabula</x:v>
      </x:c>
      <x:c r="D459" s="102" t="str">
        <x:v>United States</x:v>
      </x:c>
      <x:c r="E459" s="102" t="str">
        <x:v>COMP_GRN</x:v>
      </x:c>
      <x:c r="F459" s="102" t="str">
        <x:v>2023 regulator-recorded; IMO unresolved</x:v>
      </x:c>
    </x:row>
    <x:row r="460">
      <x:c r="A460" s="102" t="str">
        <x:v>VESSEL_00342</x:v>
      </x:c>
      <x:c r="B460" s="102" t="str">
        <x:v>Vessel</x:v>
      </x:c>
      <x:c r="C460" s="102" t="str">
        <x:v>Cuyahoga</x:v>
      </x:c>
      <x:c r="D460" s="102" t="str">
        <x:v>Canada</x:v>
      </x:c>
      <x:c r="E460" s="102" t="str">
        <x:v>COMP_LOWER_LAKES</x:v>
      </x:c>
      <x:c r="F460" s="102" t="str">
        <x:v>2023 regulator-recorded; current status to verify</x:v>
      </x:c>
    </x:row>
    <x:row r="461">
      <x:c r="A461" s="102" t="str">
        <x:v>VESSEL_00343</x:v>
      </x:c>
      <x:c r="B461" s="102" t="str">
        <x:v>Vessel</x:v>
      </x:c>
      <x:c r="C461" s="102" t="str">
        <x:v>Kaministiqua</x:v>
      </x:c>
      <x:c r="D461" s="102" t="str">
        <x:v>Canada</x:v>
      </x:c>
      <x:c r="E461" s="102" t="str">
        <x:v>COMP_LOWER_LAKES</x:v>
      </x:c>
      <x:c r="F461" s="102" t="str">
        <x:v>2023 regulator-recorded; current status to verify</x:v>
      </x:c>
    </x:row>
    <x:row r="462">
      <x:c r="A462" s="102" t="str">
        <x:v>VESSEL_00344</x:v>
      </x:c>
      <x:c r="B462" s="102" t="str">
        <x:v>Vessel</x:v>
      </x:c>
      <x:c r="C462" s="102" t="str">
        <x:v>Manitoulin</x:v>
      </x:c>
      <x:c r="D462" s="102" t="str">
        <x:v>Canada</x:v>
      </x:c>
      <x:c r="E462" s="102" t="str">
        <x:v>COMP_LOWER_LAKES</x:v>
      </x:c>
      <x:c r="F462" s="102" t="str">
        <x:v>2023 regulator-recorded; current status to verify</x:v>
      </x:c>
    </x:row>
    <x:row r="463">
      <x:c r="A463" s="102" t="str">
        <x:v>VESSEL_00345</x:v>
      </x:c>
      <x:c r="B463" s="102" t="str">
        <x:v>Vessel</x:v>
      </x:c>
      <x:c r="C463" s="102" t="str">
        <x:v>Michipicoten</x:v>
      </x:c>
      <x:c r="D463" s="102" t="str">
        <x:v>Canada</x:v>
      </x:c>
      <x:c r="E463" s="102" t="str">
        <x:v>COMP_LOWER_LAKES</x:v>
      </x:c>
      <x:c r="F463" s="102" t="str">
        <x:v>2023 regulator-recorded; current status to verify</x:v>
      </x:c>
    </x:row>
    <x:row r="464">
      <x:c r="A464" s="102" t="str">
        <x:v>VESSEL_00346</x:v>
      </x:c>
      <x:c r="B464" s="102" t="str">
        <x:v>Vessel</x:v>
      </x:c>
      <x:c r="C464" s="102" t="str">
        <x:v>Robert S. Pierson</x:v>
      </x:c>
      <x:c r="D464" s="102" t="str">
        <x:v>Canada</x:v>
      </x:c>
      <x:c r="E464" s="102" t="str">
        <x:v>COMP_LOWER_LAKES</x:v>
      </x:c>
      <x:c r="F464" s="102" t="str">
        <x:v>2023 regulator-recorded; current status to verify</x:v>
      </x:c>
    </x:row>
    <x:row r="465">
      <x:c r="A465" s="102" t="str">
        <x:v>VESSEL_00347</x:v>
      </x:c>
      <x:c r="B465" s="102" t="str">
        <x:v>Vessel</x:v>
      </x:c>
      <x:c r="C465" s="102" t="str">
        <x:v>Saginaw</x:v>
      </x:c>
      <x:c r="D465" s="102" t="str">
        <x:v>Canada</x:v>
      </x:c>
      <x:c r="E465" s="102" t="str">
        <x:v>COMP_LOWER_LAKES</x:v>
      </x:c>
      <x:c r="F465" s="102" t="str">
        <x:v>2023 regulator-recorded; current status to verify</x:v>
      </x:c>
    </x:row>
    <x:row r="466">
      <x:c r="A466" s="102" t="str">
        <x:v>VESSEL_00348</x:v>
      </x:c>
      <x:c r="B466" s="102" t="str">
        <x:v>Vessel</x:v>
      </x:c>
      <x:c r="C466" s="102" t="str">
        <x:v>Arthur M. Anderson</x:v>
      </x:c>
      <x:c r="D466" s="102" t="str">
        <x:v>United States</x:v>
      </x:c>
      <x:c r="E466" s="102" t="str">
        <x:v>COMP_GREAT_LAKES_FLEET</x:v>
      </x:c>
      <x:c r="F466" s="102" t="str">
        <x:v>2023 regulator-recorded; current status to verify</x:v>
      </x:c>
    </x:row>
    <x:row r="467">
      <x:c r="A467" s="102" t="str">
        <x:v>VESSEL_00349</x:v>
      </x:c>
      <x:c r="B467" s="102" t="str">
        <x:v>Vessel</x:v>
      </x:c>
      <x:c r="C467" s="102" t="str">
        <x:v>Cason J. Callaway</x:v>
      </x:c>
      <x:c r="D467" s="102" t="str">
        <x:v>United States</x:v>
      </x:c>
      <x:c r="E467" s="102" t="str">
        <x:v>COMP_GREAT_LAKES_FLEET</x:v>
      </x:c>
      <x:c r="F467" s="102" t="str">
        <x:v>2023 regulator-recorded; current status to verify</x:v>
      </x:c>
    </x:row>
    <x:row r="468">
      <x:c r="A468" s="102" t="str">
        <x:v>VESSEL_00350</x:v>
      </x:c>
      <x:c r="B468" s="102" t="str">
        <x:v>Vessel</x:v>
      </x:c>
      <x:c r="C468" s="102" t="str">
        <x:v>Edgar B. Speer</x:v>
      </x:c>
      <x:c r="D468" s="102" t="str">
        <x:v>United States</x:v>
      </x:c>
      <x:c r="E468" s="102" t="str">
        <x:v>COMP_GREAT_LAKES_FLEET</x:v>
      </x:c>
      <x:c r="F468" s="102" t="str">
        <x:v>2023 regulator-recorded; current status to verify</x:v>
      </x:c>
    </x:row>
    <x:row r="469">
      <x:c r="A469" s="102" t="str">
        <x:v>VESSEL_00351</x:v>
      </x:c>
      <x:c r="B469" s="102" t="str">
        <x:v>Vessel</x:v>
      </x:c>
      <x:c r="C469" s="102" t="str">
        <x:v>Edwin H. Gott</x:v>
      </x:c>
      <x:c r="D469" s="102" t="str">
        <x:v>United States</x:v>
      </x:c>
      <x:c r="E469" s="102" t="str">
        <x:v>COMP_GREAT_LAKES_FLEET</x:v>
      </x:c>
      <x:c r="F469" s="102" t="str">
        <x:v>2023 regulator-recorded; current status to verify</x:v>
      </x:c>
    </x:row>
    <x:row r="470">
      <x:c r="A470" s="102" t="str">
        <x:v>VESSEL_00352</x:v>
      </x:c>
      <x:c r="B470" s="102" t="str">
        <x:v>Vessel</x:v>
      </x:c>
      <x:c r="C470" s="102" t="str">
        <x:v>Great Republic</x:v>
      </x:c>
      <x:c r="D470" s="102" t="str">
        <x:v>United States</x:v>
      </x:c>
      <x:c r="E470" s="102" t="str">
        <x:v>COMP_GREAT_LAKES_FLEET</x:v>
      </x:c>
      <x:c r="F470" s="102" t="str">
        <x:v>2023 regulator-recorded; current status to verify</x:v>
      </x:c>
    </x:row>
    <x:row r="471">
      <x:c r="A471" s="102" t="str">
        <x:v>VESSEL_00353</x:v>
      </x:c>
      <x:c r="B471" s="102" t="str">
        <x:v>Vessel</x:v>
      </x:c>
      <x:c r="C471" s="102" t="str">
        <x:v>John G. Munson</x:v>
      </x:c>
      <x:c r="D471" s="102" t="str">
        <x:v>United States</x:v>
      </x:c>
      <x:c r="E471" s="102" t="str">
        <x:v>COMP_GREAT_LAKES_FLEET</x:v>
      </x:c>
      <x:c r="F471" s="102" t="str">
        <x:v>2023 regulator-recorded; current status to verify</x:v>
      </x:c>
    </x:row>
    <x:row r="472">
      <x:c r="A472" s="102" t="str">
        <x:v>VESSEL_00354</x:v>
      </x:c>
      <x:c r="B472" s="102" t="str">
        <x:v>Vessel</x:v>
      </x:c>
      <x:c r="C472" s="102" t="str">
        <x:v>Philip R. Clarke</x:v>
      </x:c>
      <x:c r="D472" s="102" t="str">
        <x:v>United States</x:v>
      </x:c>
      <x:c r="E472" s="102" t="str">
        <x:v>COMP_GREAT_LAKES_FLEET</x:v>
      </x:c>
      <x:c r="F472" s="102" t="str">
        <x:v>2023 regulator-recorded; current status to verify</x:v>
      </x:c>
    </x:row>
    <x:row r="473">
      <x:c r="A473" s="102" t="str">
        <x:v>VESSEL_00355</x:v>
      </x:c>
      <x:c r="B473" s="102" t="str">
        <x:v>Vessel</x:v>
      </x:c>
      <x:c r="C473" s="102" t="str">
        <x:v>Presque Isle</x:v>
      </x:c>
      <x:c r="D473" s="102" t="str">
        <x:v>United States</x:v>
      </x:c>
      <x:c r="E473" s="102" t="str">
        <x:v>COMP_GREAT_LAKES_FLEET</x:v>
      </x:c>
      <x:c r="F473" s="102" t="str">
        <x:v>2023 regulator-recorded; current status to verify</x:v>
      </x:c>
    </x:row>
    <x:row r="474">
      <x:c r="A474" s="102" t="str">
        <x:v>VESSEL_00356</x:v>
      </x:c>
      <x:c r="B474" s="102" t="str">
        <x:v>Vessel</x:v>
      </x:c>
      <x:c r="C474" s="102" t="str">
        <x:v>Roger Blough</x:v>
      </x:c>
      <x:c r="D474" s="102" t="str">
        <x:v>United States</x:v>
      </x:c>
      <x:c r="E474" s="102" t="str">
        <x:v>COMP_GREAT_LAKES_FLEET</x:v>
      </x:c>
      <x:c r="F474" s="102" t="str">
        <x:v>2023 regulator-recorded; current status to verify</x:v>
      </x:c>
    </x:row>
    <x:row r="475">
      <x:c r="A475" s="102" t="str">
        <x:v>VESSEL_00357</x:v>
      </x:c>
      <x:c r="B475" s="102" t="str">
        <x:v>Vessel</x:v>
      </x:c>
      <x:c r="C475" s="102" t="str">
        <x:v>Badger</x:v>
      </x:c>
      <x:c r="D475" s="102" t="str">
        <x:v>United States</x:v>
      </x:c>
      <x:c r="E475" s="102" t="str">
        <x:v>COMP_LAKE_MICHIGAN_CARFERRY</x:v>
      </x:c>
      <x:c r="F475" s="102" t="str">
        <x:v>2023 regulator-recorded; current status to verify</x:v>
      </x:c>
    </x:row>
    <x:row r="476">
      <x:c r="A476" s="102" t="str">
        <x:v>VESSEL_00358</x:v>
      </x:c>
      <x:c r="B476" s="102" t="str">
        <x:v>Vessel</x:v>
      </x:c>
      <x:c r="C476" s="102" t="str">
        <x:v>Florence Spirit</x:v>
      </x:c>
      <x:c r="D476" s="102" t="str">
        <x:v>Canada</x:v>
      </x:c>
      <x:c r="E476" s="102" t="str">
        <x:v>COMP_MCKEIL</x:v>
      </x:c>
      <x:c r="F476" s="102" t="str">
        <x:v>Operating</x:v>
      </x:c>
    </x:row>
    <x:row r="477">
      <x:c r="A477" s="102" t="str">
        <x:v>ASSET001</x:v>
      </x:c>
      <x:c r="B477" s="102" t="str">
        <x:v>Asset</x:v>
      </x:c>
      <x:c r="C477" s="102" t="str">
        <x:v>Santos Brasil / Tecon Santos</x:v>
      </x:c>
      <x:c r="D477" s="102" t="str">
        <x:v>Brazil</x:v>
      </x:c>
      <x:c r="E477" s="102" t="str">
        <x:v>COMP_CMA_TERMINALS</x:v>
      </x:c>
      <x:c r="F477" s="102" t="str">
        <x:v>Operating</x:v>
      </x:c>
    </x:row>
    <x:row r="478">
      <x:c r="A478" s="102" t="str">
        <x:v>ASSET002</x:v>
      </x:c>
      <x:c r="B478" s="102" t="str">
        <x:v>Asset</x:v>
      </x:c>
      <x:c r="C478" s="102" t="str">
        <x:v>CMA Terminals Khalifa Port</x:v>
      </x:c>
      <x:c r="D478" s="102" t="str">
        <x:v>United Arab Emirates</x:v>
      </x:c>
      <x:c r="E478" s="102" t="str">
        <x:v>COMP_CMA_TERMINALS</x:v>
      </x:c>
      <x:c r="F478" s="102" t="str">
        <x:v>Operating / expanding</x:v>
      </x:c>
    </x:row>
    <x:row r="479">
      <x:c r="A479" s="102" t="str">
        <x:v>ASSET003</x:v>
      </x:c>
      <x:c r="B479" s="102" t="str">
        <x:v>Asset</x:v>
      </x:c>
      <x:c r="C479" s="102" t="str">
        <x:v>Terminal 4 Jeddah Islamic Port</x:v>
      </x:c>
      <x:c r="D479" s="102" t="str">
        <x:v>Saudi Arabia</x:v>
      </x:c>
      <x:c r="E479" s="102" t="str">
        <x:v>COMP_CMA_TERMINALS</x:v>
      </x:c>
      <x:c r="F479" s="102" t="str">
        <x:v>Development</x:v>
      </x:c>
    </x:row>
    <x:row r="480">
      <x:c r="A480" s="102" t="str">
        <x:v>ASSET004</x:v>
      </x:c>
      <x:c r="B480" s="102" t="str">
        <x:v>Asset</x:v>
      </x:c>
      <x:c r="C480" s="102" t="str">
        <x:v>Chicago Gateway</x:v>
      </x:c>
      <x:c r="D480" s="102" t="str">
        <x:v>United States</x:v>
      </x:c>
      <x:c r="E480" s="102" t="str">
        <x:v>COMP_CEVA</x:v>
      </x:c>
      <x:c r="F480" s="102" t="str">
        <x:v>Operating</x:v>
      </x:c>
    </x:row>
    <x:row r="481">
      <x:c r="A481" s="102" t="str">
        <x:v>ASSET005</x:v>
      </x:c>
      <x:c r="B481" s="102" t="str">
        <x:v>Asset</x:v>
      </x:c>
      <x:c r="C481" s="102" t="str">
        <x:v>Lakes Road Logistics Hub</x:v>
      </x:c>
      <x:c r="D481" s="102" t="str">
        <x:v>Australia</x:v>
      </x:c>
      <x:c r="E481" s="102" t="str">
        <x:v>COMP_CEVA</x:v>
      </x:c>
      <x:c r="F481" s="102" t="str">
        <x:v>Operating</x:v>
      </x:c>
    </x:row>
    <x:row r="482">
      <x:c r="A482" s="102" t="str">
        <x:v>ASSET006</x:v>
      </x:c>
      <x:c r="B482" s="102" t="str">
        <x:v>Asset</x:v>
      </x:c>
      <x:c r="C482" s="102" t="str">
        <x:v>Dubai South eCommerce warehouse</x:v>
      </x:c>
      <x:c r="D482" s="102" t="str">
        <x:v>United Arab Emirates</x:v>
      </x:c>
      <x:c r="E482" s="102" t="str">
        <x:v>COMP_CEVA</x:v>
      </x:c>
      <x:c r="F482" s="102" t="str">
        <x:v>Operating</x:v>
      </x:c>
    </x:row>
    <x:row r="483">
      <x:c r="A483" s="102" t="str">
        <x:v>ASSET007</x:v>
      </x:c>
      <x:c r="B483" s="102" t="str">
        <x:v>Asset</x:v>
      </x:c>
      <x:c r="C483" s="102" t="str">
        <x:v>Luxembourg Airport hub</x:v>
      </x:c>
      <x:c r="D483" s="102" t="str">
        <x:v>Luxembourg</x:v>
      </x:c>
      <x:c r="E483" s="102" t="str">
        <x:v>COMP_CARGOLUX</x:v>
      </x:c>
      <x:c r="F483" s="102" t="str">
        <x:v>Operating</x:v>
      </x:c>
    </x:row>
    <x:row r="484">
      <x:c r="A484" s="102" t="str">
        <x:v>ASSET008</x:v>
      </x:c>
      <x:c r="B484" s="102" t="str">
        <x:v>Asset</x:v>
      </x:c>
      <x:c r="C484" s="102" t="str">
        <x:v>Boeing 747 freighter fleet</x:v>
      </x:c>
      <x:c r="D484" s="102" t="str">
        <x:v>Global</x:v>
      </x:c>
      <x:c r="E484" s="102" t="str">
        <x:v>COMP_CARGOLUX</x:v>
      </x:c>
      <x:c r="F484" s="102" t="str">
        <x:v>Operating</x:v>
      </x:c>
    </x:row>
    <x:row r="485">
      <x:c r="A485" s="102" t="str">
        <x:v>ASSET009</x:v>
      </x:c>
      <x:c r="B485" s="102" t="str">
        <x:v>Asset</x:v>
      </x:c>
      <x:c r="C485" s="102" t="str">
        <x:v>Khorfakkan Commercial Terminal</x:v>
      </x:c>
      <x:c r="D485" s="102" t="str">
        <x:v>United Arab Emirates</x:v>
      </x:c>
      <x:c r="E485" s="102" t="str">
        <x:v>COMP_GULFTAINER</x:v>
      </x:c>
      <x:c r="F485" s="102" t="str">
        <x:v>Operating / planned expansion</x:v>
      </x:c>
    </x:row>
    <x:row r="486">
      <x:c r="A486" s="102" t="str">
        <x:v>ASSET010</x:v>
      </x:c>
      <x:c r="B486" s="102" t="str">
        <x:v>Asset</x:v>
      </x:c>
      <x:c r="C486" s="102" t="str">
        <x:v>Al Dhaid Multi-Modal Trade Corridor</x:v>
      </x:c>
      <x:c r="D486" s="102" t="str">
        <x:v>United Arab Emirates</x:v>
      </x:c>
      <x:c r="E486" s="102" t="str">
        <x:v>COMP_GULFTAINER</x:v>
      </x:c>
      <x:c r="F486" s="102" t="str">
        <x:v>Development</x:v>
      </x:c>
    </x:row>
    <x:row r="487">
      <x:c r="A487" s="102" t="str">
        <x:v>ASSET011</x:v>
      </x:c>
      <x:c r="B487" s="102" t="str">
        <x:v>Asset</x:v>
      </x:c>
      <x:c r="C487" s="102" t="str">
        <x:v>Khalifa Port</x:v>
      </x:c>
      <x:c r="D487" s="102" t="str">
        <x:v>United Arab Emirates</x:v>
      </x:c>
      <x:c r="E487" s="102" t="str">
        <x:v>COMP_ADPORTS</x:v>
      </x:c>
      <x:c r="F487" s="102" t="str">
        <x:v>Operating / expanding</x:v>
      </x:c>
    </x:row>
    <x:row r="488">
      <x:c r="A488" s="102" t="str">
        <x:v>ASSET012</x:v>
      </x:c>
      <x:c r="B488" s="102" t="str">
        <x:v>Asset</x:v>
      </x:c>
      <x:c r="C488" s="102" t="str">
        <x:v>Fujairah Terminals</x:v>
      </x:c>
      <x:c r="D488" s="102" t="str">
        <x:v>United Arab Emirates</x:v>
      </x:c>
      <x:c r="E488" s="102" t="str">
        <x:v>COMP_ADPORTS</x:v>
      </x:c>
      <x:c r="F488" s="102" t="str">
        <x:v>Operating</x:v>
      </x:c>
    </x:row>
    <x:row r="489">
      <x:c r="A489" s="102" t="str">
        <x:v>ASSET013</x:v>
      </x:c>
      <x:c r="B489" s="102" t="str">
        <x:v>Asset</x:v>
      </x:c>
      <x:c r="C489" s="102" t="str">
        <x:v>ICAD rail-linked inland logistics network</x:v>
      </x:c>
      <x:c r="D489" s="102" t="str">
        <x:v>United Arab Emirates</x:v>
      </x:c>
      <x:c r="E489" s="102" t="str">
        <x:v>COMP_ADPORTS</x:v>
      </x:c>
      <x:c r="F489" s="102" t="str">
        <x:v>Development / integration</x:v>
      </x:c>
    </x:row>
    <x:row r="490">
      <x:c r="A490" s="102" t="str">
        <x:v>ASSET014</x:v>
      </x:c>
      <x:c r="B490" s="102" t="str">
        <x:v>Asset</x:v>
      </x:c>
      <x:c r="C490" s="102" t="str">
        <x:v>Jebel Ali Port</x:v>
      </x:c>
      <x:c r="D490" s="102" t="str">
        <x:v>United Arab Emirates</x:v>
      </x:c>
      <x:c r="E490" s="102" t="str">
        <x:v>COMP_DPW</x:v>
      </x:c>
      <x:c r="F490" s="102" t="str">
        <x:v>Operating</x:v>
      </x:c>
    </x:row>
    <x:row r="491">
      <x:c r="A491" s="102" t="str">
        <x:v>ASSET015</x:v>
      </x:c>
      <x:c r="B491" s="102" t="str">
        <x:v>Asset</x:v>
      </x:c>
      <x:c r="C491" s="102" t="str">
        <x:v>London Gateway</x:v>
      </x:c>
      <x:c r="D491" s="102" t="str">
        <x:v>United Kingdom</x:v>
      </x:c>
      <x:c r="E491" s="102" t="str">
        <x:v>COMP_DPW</x:v>
      </x:c>
      <x:c r="F491" s="102" t="str">
        <x:v>Operating / expanding</x:v>
      </x:c>
    </x:row>
    <x:row r="492">
      <x:c r="A492" s="102" t="str">
        <x:v>ASSET016</x:v>
      </x:c>
      <x:c r="B492" s="102" t="str">
        <x:v>Asset</x:v>
      </x:c>
      <x:c r="C492" s="102" t="str">
        <x:v>Southampton Container Terminal</x:v>
      </x:c>
      <x:c r="D492" s="102" t="str">
        <x:v>United Kingdom</x:v>
      </x:c>
      <x:c r="E492" s="102" t="str">
        <x:v>COMP_DPW</x:v>
      </x:c>
      <x:c r="F492" s="102" t="str">
        <x:v>Operating</x:v>
      </x:c>
    </x:row>
    <x:row r="493">
      <x:c r="A493" s="102" t="str">
        <x:v>ASSET017</x:v>
      </x:c>
      <x:c r="B493" s="102" t="str">
        <x:v>Asset</x:v>
      </x:c>
      <x:c r="C493" s="102" t="str">
        <x:v>Lázaro Cárdenas terminal</x:v>
      </x:c>
      <x:c r="D493" s="102" t="str">
        <x:v>Mexico</x:v>
      </x:c>
      <x:c r="E493" s="102" t="str">
        <x:v>COMP_APMT</x:v>
      </x:c>
      <x:c r="F493" s="102" t="str">
        <x:v>Operating / expanding</x:v>
      </x:c>
    </x:row>
    <x:row r="494">
      <x:c r="A494" s="102" t="str">
        <x:v>ASSET018</x:v>
      </x:c>
      <x:c r="B494" s="102" t="str">
        <x:v>Asset</x:v>
      </x:c>
      <x:c r="C494" s="102" t="str">
        <x:v>Suape terminal</x:v>
      </x:c>
      <x:c r="D494" s="102" t="str">
        <x:v>Brazil</x:v>
      </x:c>
      <x:c r="E494" s="102" t="str">
        <x:v>COMP_APMT</x:v>
      </x:c>
      <x:c r="F494" s="102" t="str">
        <x:v>Development</x:v>
      </x:c>
    </x:row>
    <x:row r="495">
      <x:c r="A495" s="102" t="str">
        <x:v>ASSET019</x:v>
      </x:c>
      <x:c r="B495" s="102" t="str">
        <x:v>Asset</x:v>
      </x:c>
      <x:c r="C495" s="102" t="str">
        <x:v>Muggiano Integrated Shipyard</x:v>
      </x:c>
      <x:c r="D495" s="102" t="str">
        <x:v>Italy</x:v>
      </x:c>
      <x:c r="E495" s="102" t="str">
        <x:v>COMP_FINCANTIERI</x:v>
      </x:c>
      <x:c r="F495" s="102" t="str">
        <x:v>Operating</x:v>
      </x:c>
    </x:row>
    <x:row r="496">
      <x:c r="A496" s="102" t="str">
        <x:v>ASSET020</x:v>
      </x:c>
      <x:c r="B496" s="102" t="str">
        <x:v>Asset</x:v>
      </x:c>
      <x:c r="C496" s="102" t="str">
        <x:v>Bahrain</x:v>
      </x:c>
      <x:c r="D496" s="102" t="str">
        <x:v>Bahrain</x:v>
      </x:c>
      <x:c r="E496" s="102" t="str">
        <x:v>COMP_APMT</x:v>
      </x:c>
      <x:c r="F496" s="102" t="str">
        <x:v>Operating / network</x:v>
      </x:c>
    </x:row>
    <x:row r="497">
      <x:c r="A497" s="102" t="str">
        <x:v>ASSET021</x:v>
      </x:c>
      <x:c r="B497" s="102" t="str">
        <x:v>Asset</x:v>
      </x:c>
      <x:c r="C497" s="102" t="str">
        <x:v>Pointe-Noire</x:v>
      </x:c>
      <x:c r="D497" s="102" t="str">
        <x:v>Congo</x:v>
      </x:c>
      <x:c r="E497" s="102" t="str">
        <x:v>COMP_APMT</x:v>
      </x:c>
      <x:c r="F497" s="102" t="str">
        <x:v>Operating / network</x:v>
      </x:c>
    </x:row>
    <x:row r="498">
      <x:c r="A498" s="102" t="str">
        <x:v>ASSET022</x:v>
      </x:c>
      <x:c r="B498" s="102" t="str">
        <x:v>Asset</x:v>
      </x:c>
      <x:c r="C498" s="102" t="str">
        <x:v>Abidjan Côte d’Ivoire Terminal (CIT)</x:v>
      </x:c>
      <x:c r="D498" s="102" t="str">
        <x:v>Côte d'Ivoire</x:v>
      </x:c>
      <x:c r="E498" s="102" t="str">
        <x:v>COMP_APMT</x:v>
      </x:c>
      <x:c r="F498" s="102" t="str">
        <x:v>Operating / network</x:v>
      </x:c>
    </x:row>
    <x:row r="499">
      <x:c r="A499" s="102" t="str">
        <x:v>ASSET023</x:v>
      </x:c>
      <x:c r="B499" s="102" t="str">
        <x:v>Asset</x:v>
      </x:c>
      <x:c r="C499" s="102" t="str">
        <x:v>San Pedro</x:v>
      </x:c>
      <x:c r="D499" s="102" t="str">
        <x:v>Côte d'Ivoire</x:v>
      </x:c>
      <x:c r="E499" s="102" t="str">
        <x:v>COMP_APMT</x:v>
      </x:c>
      <x:c r="F499" s="102" t="str">
        <x:v>Operating / network</x:v>
      </x:c>
    </x:row>
    <x:row r="500">
      <x:c r="A500" s="102" t="str">
        <x:v>ASSET024</x:v>
      </x:c>
      <x:c r="B500" s="102" t="str">
        <x:v>Asset</x:v>
      </x:c>
      <x:c r="C500" s="102" t="str">
        <x:v>Suez Canal Container Terminal (SCCT)</x:v>
      </x:c>
      <x:c r="D500" s="102" t="str">
        <x:v>Egypt</x:v>
      </x:c>
      <x:c r="E500" s="102" t="str">
        <x:v>COMP_APMT</x:v>
      </x:c>
      <x:c r="F500" s="102" t="str">
        <x:v>Operating / network</x:v>
      </x:c>
    </x:row>
    <x:row r="501">
      <x:c r="A501" s="102" t="str">
        <x:v>ASSET025</x:v>
      </x:c>
      <x:c r="B501" s="102" t="str">
        <x:v>Asset</x:v>
      </x:c>
      <x:c r="C501" s="102" t="str">
        <x:v>Tema</x:v>
      </x:c>
      <x:c r="D501" s="102" t="str">
        <x:v>Ghana</x:v>
      </x:c>
      <x:c r="E501" s="102" t="str">
        <x:v>COMP_APMT</x:v>
      </x:c>
      <x:c r="F501" s="102" t="str">
        <x:v>Operating / network</x:v>
      </x:c>
    </x:row>
    <x:row r="502">
      <x:c r="A502" s="102" t="str">
        <x:v>ASSET026</x:v>
      </x:c>
      <x:c r="B502" s="102" t="str">
        <x:v>Asset</x:v>
      </x:c>
      <x:c r="C502" s="102" t="str">
        <x:v>Aqaba</x:v>
      </x:c>
      <x:c r="D502" s="102" t="str">
        <x:v>Jordan</x:v>
      </x:c>
      <x:c r="E502" s="102" t="str">
        <x:v>COMP_APMT</x:v>
      </x:c>
      <x:c r="F502" s="102" t="str">
        <x:v>Operating / network</x:v>
      </x:c>
    </x:row>
    <x:row r="503">
      <x:c r="A503" s="102" t="str">
        <x:v>ASSET027</x:v>
      </x:c>
      <x:c r="B503" s="102" t="str">
        <x:v>Asset</x:v>
      </x:c>
      <x:c r="C503" s="102" t="str">
        <x:v>Monrovia</x:v>
      </x:c>
      <x:c r="D503" s="102" t="str">
        <x:v>Liberia</x:v>
      </x:c>
      <x:c r="E503" s="102" t="str">
        <x:v>COMP_APMT</x:v>
      </x:c>
      <x:c r="F503" s="102" t="str">
        <x:v>Operating / network</x:v>
      </x:c>
    </x:row>
    <x:row r="504">
      <x:c r="A504" s="102" t="str">
        <x:v>ASSET028</x:v>
      </x:c>
      <x:c r="B504" s="102" t="str">
        <x:v>Asset</x:v>
      </x:c>
      <x:c r="C504" s="102" t="str">
        <x:v>MedPort Tangier</x:v>
      </x:c>
      <x:c r="D504" s="102" t="str">
        <x:v>Morocco</x:v>
      </x:c>
      <x:c r="E504" s="102" t="str">
        <x:v>COMP_APMT</x:v>
      </x:c>
      <x:c r="F504" s="102" t="str">
        <x:v>Operating / network</x:v>
      </x:c>
    </x:row>
    <x:row r="505">
      <x:c r="A505" s="102" t="str">
        <x:v>ASSET029</x:v>
      </x:c>
      <x:c r="B505" s="102" t="str">
        <x:v>Asset</x:v>
      </x:c>
      <x:c r="C505" s="102" t="str">
        <x:v>Tangier</x:v>
      </x:c>
      <x:c r="D505" s="102" t="str">
        <x:v>Morocco</x:v>
      </x:c>
      <x:c r="E505" s="102" t="str">
        <x:v>COMP_APMT</x:v>
      </x:c>
      <x:c r="F505" s="102" t="str">
        <x:v>Operating / network</x:v>
      </x:c>
    </x:row>
    <x:row r="506">
      <x:c r="A506" s="102" t="str">
        <x:v>ASSET030</x:v>
      </x:c>
      <x:c r="B506" s="102" t="str">
        <x:v>Asset</x:v>
      </x:c>
      <x:c r="C506" s="102" t="str">
        <x:v>Apapa</x:v>
      </x:c>
      <x:c r="D506" s="102" t="str">
        <x:v>Nigeria</x:v>
      </x:c>
      <x:c r="E506" s="102" t="str">
        <x:v>COMP_APMT</x:v>
      </x:c>
      <x:c r="F506" s="102" t="str">
        <x:v>Operating / network</x:v>
      </x:c>
    </x:row>
    <x:row r="507">
      <x:c r="A507" s="102" t="str">
        <x:v>ASSET031</x:v>
      </x:c>
      <x:c r="B507" s="102" t="str">
        <x:v>Asset</x:v>
      </x:c>
      <x:c r="C507" s="102" t="str">
        <x:v>Onne</x:v>
      </x:c>
      <x:c r="D507" s="102" t="str">
        <x:v>Nigeria</x:v>
      </x:c>
      <x:c r="E507" s="102" t="str">
        <x:v>COMP_APMT</x:v>
      </x:c>
      <x:c r="F507" s="102" t="str">
        <x:v>Operating / network</x:v>
      </x:c>
    </x:row>
    <x:row r="508">
      <x:c r="A508" s="102" t="str">
        <x:v>ASSET032</x:v>
      </x:c>
      <x:c r="B508" s="102" t="str">
        <x:v>Asset</x:v>
      </x:c>
      <x:c r="C508" s="102" t="str">
        <x:v>Salalah</x:v>
      </x:c>
      <x:c r="D508" s="102" t="str">
        <x:v>Oman</x:v>
      </x:c>
      <x:c r="E508" s="102" t="str">
        <x:v>COMP_APMT</x:v>
      </x:c>
      <x:c r="F508" s="102" t="str">
        <x:v>Operating / network</x:v>
      </x:c>
    </x:row>
    <x:row r="509">
      <x:c r="A509" s="102" t="str">
        <x:v>ASSET033</x:v>
      </x:c>
      <x:c r="B509" s="102" t="str">
        <x:v>Asset</x:v>
      </x:c>
      <x:c r="C509" s="102" t="str">
        <x:v>Guangzhou</x:v>
      </x:c>
      <x:c r="D509" s="102" t="str">
        <x:v>China</x:v>
      </x:c>
      <x:c r="E509" s="102" t="str">
        <x:v>COMP_APMT</x:v>
      </x:c>
      <x:c r="F509" s="102" t="str">
        <x:v>Operating / network</x:v>
      </x:c>
    </x:row>
    <x:row r="510">
      <x:c r="A510" s="102" t="str">
        <x:v>ASSET034</x:v>
      </x:c>
      <x:c r="B510" s="102" t="str">
        <x:v>Asset</x:v>
      </x:c>
      <x:c r="C510" s="102" t="str">
        <x:v>Qingdao</x:v>
      </x:c>
      <x:c r="D510" s="102" t="str">
        <x:v>China</x:v>
      </x:c>
      <x:c r="E510" s="102" t="str">
        <x:v>COMP_APMT</x:v>
      </x:c>
      <x:c r="F510" s="102" t="str">
        <x:v>Operating / network</x:v>
      </x:c>
    </x:row>
    <x:row r="511">
      <x:c r="A511" s="102" t="str">
        <x:v>ASSET035</x:v>
      </x:c>
      <x:c r="B511" s="102" t="str">
        <x:v>Asset</x:v>
      </x:c>
      <x:c r="C511" s="102" t="str">
        <x:v>Shanghai</x:v>
      </x:c>
      <x:c r="D511" s="102" t="str">
        <x:v>China</x:v>
      </x:c>
      <x:c r="E511" s="102" t="str">
        <x:v>COMP_APMT</x:v>
      </x:c>
      <x:c r="F511" s="102" t="str">
        <x:v>Operating / network</x:v>
      </x:c>
    </x:row>
    <x:row r="512">
      <x:c r="A512" s="102" t="str">
        <x:v>ASSET036</x:v>
      </x:c>
      <x:c r="B512" s="102" t="str">
        <x:v>Asset</x:v>
      </x:c>
      <x:c r="C512" s="102" t="str">
        <x:v>Tianjin</x:v>
      </x:c>
      <x:c r="D512" s="102" t="str">
        <x:v>China</x:v>
      </x:c>
      <x:c r="E512" s="102" t="str">
        <x:v>COMP_APMT</x:v>
      </x:c>
      <x:c r="F512" s="102" t="str">
        <x:v>Operating / network</x:v>
      </x:c>
    </x:row>
    <x:row r="513">
      <x:c r="A513" s="102" t="str">
        <x:v>ASSET037</x:v>
      </x:c>
      <x:c r="B513" s="102" t="str">
        <x:v>Asset</x:v>
      </x:c>
      <x:c r="C513" s="102" t="str">
        <x:v>Xiamen</x:v>
      </x:c>
      <x:c r="D513" s="102" t="str">
        <x:v>China</x:v>
      </x:c>
      <x:c r="E513" s="102" t="str">
        <x:v>COMP_APMT</x:v>
      </x:c>
      <x:c r="F513" s="102" t="str">
        <x:v>Operating / network</x:v>
      </x:c>
    </x:row>
    <x:row r="514">
      <x:c r="A514" s="102" t="str">
        <x:v>ASSET038</x:v>
      </x:c>
      <x:c r="B514" s="102" t="str">
        <x:v>Asset</x:v>
      </x:c>
      <x:c r="C514" s="102" t="str">
        <x:v>Mumbai</x:v>
      </x:c>
      <x:c r="D514" s="102" t="str">
        <x:v>India</x:v>
      </x:c>
      <x:c r="E514" s="102" t="str">
        <x:v>COMP_APMT</x:v>
      </x:c>
      <x:c r="F514" s="102" t="str">
        <x:v>Operating / network</x:v>
      </x:c>
    </x:row>
    <x:row r="515">
      <x:c r="A515" s="102" t="str">
        <x:v>ASSET039</x:v>
      </x:c>
      <x:c r="B515" s="102" t="str">
        <x:v>Asset</x:v>
      </x:c>
      <x:c r="C515" s="102" t="str">
        <x:v>Pipavav</x:v>
      </x:c>
      <x:c r="D515" s="102" t="str">
        <x:v>India</x:v>
      </x:c>
      <x:c r="E515" s="102" t="str">
        <x:v>COMP_APMT</x:v>
      </x:c>
      <x:c r="F515" s="102" t="str">
        <x:v>Operating / network</x:v>
      </x:c>
    </x:row>
    <x:row r="516">
      <x:c r="A516" s="102" t="str">
        <x:v>ASSET040</x:v>
      </x:c>
      <x:c r="B516" s="102" t="str">
        <x:v>Asset</x:v>
      </x:c>
      <x:c r="C516" s="102" t="str">
        <x:v>Yokohama</x:v>
      </x:c>
      <x:c r="D516" s="102" t="str">
        <x:v>Japan</x:v>
      </x:c>
      <x:c r="E516" s="102" t="str">
        <x:v>COMP_APMT</x:v>
      </x:c>
      <x:c r="F516" s="102" t="str">
        <x:v>Operating / network</x:v>
      </x:c>
    </x:row>
    <x:row r="517">
      <x:c r="A517" s="102" t="str">
        <x:v>ASSET041</x:v>
      </x:c>
      <x:c r="B517" s="102" t="str">
        <x:v>Asset</x:v>
      </x:c>
      <x:c r="C517" s="102" t="str">
        <x:v>Tanjung Pelepas</x:v>
      </x:c>
      <x:c r="D517" s="102" t="str">
        <x:v>Malaysia</x:v>
      </x:c>
      <x:c r="E517" s="102" t="str">
        <x:v>COMP_APMT</x:v>
      </x:c>
      <x:c r="F517" s="102" t="str">
        <x:v>Operating / network</x:v>
      </x:c>
    </x:row>
    <x:row r="518">
      <x:c r="A518" s="102" t="str">
        <x:v>ASSET042</x:v>
      </x:c>
      <x:c r="B518" s="102" t="str">
        <x:v>Asset</x:v>
      </x:c>
      <x:c r="C518" s="102" t="str">
        <x:v>Colombo</x:v>
      </x:c>
      <x:c r="D518" s="102" t="str">
        <x:v>Sri Lanka</x:v>
      </x:c>
      <x:c r="E518" s="102" t="str">
        <x:v>COMP_APMT</x:v>
      </x:c>
      <x:c r="F518" s="102" t="str">
        <x:v>Operating / network</x:v>
      </x:c>
    </x:row>
    <x:row r="519">
      <x:c r="A519" s="102" t="str">
        <x:v>ASSET043</x:v>
      </x:c>
      <x:c r="B519" s="102" t="str">
        <x:v>Asset</x:v>
      </x:c>
      <x:c r="C519" s="102" t="str">
        <x:v>Laem Chabang</x:v>
      </x:c>
      <x:c r="D519" s="102" t="str">
        <x:v>Thailand</x:v>
      </x:c>
      <x:c r="E519" s="102" t="str">
        <x:v>COMP_APMT</x:v>
      </x:c>
      <x:c r="F519" s="102" t="str">
        <x:v>Operating / network</x:v>
      </x:c>
    </x:row>
    <x:row r="520">
      <x:c r="A520" s="102" t="str">
        <x:v>ASSET044</x:v>
      </x:c>
      <x:c r="B520" s="102" t="str">
        <x:v>Asset</x:v>
      </x:c>
      <x:c r="C520" s="102" t="str">
        <x:v>Cai Mep</x:v>
      </x:c>
      <x:c r="D520" s="102" t="str">
        <x:v>Vietnam</x:v>
      </x:c>
      <x:c r="E520" s="102" t="str">
        <x:v>COMP_APMT</x:v>
      </x:c>
      <x:c r="F520" s="102" t="str">
        <x:v>Operating / network</x:v>
      </x:c>
    </x:row>
    <x:row r="521">
      <x:c r="A521" s="102" t="str">
        <x:v>ASSET045</x:v>
      </x:c>
      <x:c r="B521" s="102" t="str">
        <x:v>Asset</x:v>
      </x:c>
      <x:c r="C521" s="102" t="str">
        <x:v>Rijeka Gateway</x:v>
      </x:c>
      <x:c r="D521" s="102" t="str">
        <x:v>Croatia</x:v>
      </x:c>
      <x:c r="E521" s="102" t="str">
        <x:v>COMP_APMT</x:v>
      </x:c>
      <x:c r="F521" s="102" t="str">
        <x:v>Operating / network</x:v>
      </x:c>
    </x:row>
    <x:row r="522">
      <x:c r="A522" s="102" t="str">
        <x:v>ASSET046</x:v>
      </x:c>
      <x:c r="B522" s="102" t="str">
        <x:v>Asset</x:v>
      </x:c>
      <x:c r="C522" s="102" t="str">
        <x:v>Aarhus</x:v>
      </x:c>
      <x:c r="D522" s="102" t="str">
        <x:v>Denmark</x:v>
      </x:c>
      <x:c r="E522" s="102" t="str">
        <x:v>COMP_APMT</x:v>
      </x:c>
      <x:c r="F522" s="102" t="str">
        <x:v>Operating / network</x:v>
      </x:c>
    </x:row>
    <x:row r="523">
      <x:c r="A523" s="102" t="str">
        <x:v>ASSET047</x:v>
      </x:c>
      <x:c r="B523" s="102" t="str">
        <x:v>Asset</x:v>
      </x:c>
      <x:c r="C523" s="102" t="str">
        <x:v>Kalundborg</x:v>
      </x:c>
      <x:c r="D523" s="102" t="str">
        <x:v>Denmark</x:v>
      </x:c>
      <x:c r="E523" s="102" t="str">
        <x:v>COMP_APMT</x:v>
      </x:c>
      <x:c r="F523" s="102" t="str">
        <x:v>Operating / network</x:v>
      </x:c>
    </x:row>
    <x:row r="524">
      <x:c r="A524" s="102" t="str">
        <x:v>ASSET048</x:v>
      </x:c>
      <x:c r="B524" s="102" t="str">
        <x:v>Asset</x:v>
      </x:c>
      <x:c r="C524" s="102" t="str">
        <x:v>Marseille Fos</x:v>
      </x:c>
      <x:c r="D524" s="102" t="str">
        <x:v>France</x:v>
      </x:c>
      <x:c r="E524" s="102" t="str">
        <x:v>COMP_APMT</x:v>
      </x:c>
      <x:c r="F524" s="102" t="str">
        <x:v>Operating / network</x:v>
      </x:c>
    </x:row>
    <x:row r="525">
      <x:c r="A525" s="102" t="str">
        <x:v>ASSET049</x:v>
      </x:c>
      <x:c r="B525" s="102" t="str">
        <x:v>Asset</x:v>
      </x:c>
      <x:c r="C525" s="102" t="str">
        <x:v>Poti</x:v>
      </x:c>
      <x:c r="D525" s="102" t="str">
        <x:v>Georgia</x:v>
      </x:c>
      <x:c r="E525" s="102" t="str">
        <x:v>COMP_APMT</x:v>
      </x:c>
      <x:c r="F525" s="102" t="str">
        <x:v>Operating / network</x:v>
      </x:c>
    </x:row>
    <x:row r="526">
      <x:c r="A526" s="102" t="str">
        <x:v>ASSET050</x:v>
      </x:c>
      <x:c r="B526" s="102" t="str">
        <x:v>Asset</x:v>
      </x:c>
      <x:c r="C526" s="102" t="str">
        <x:v>Bremerhaven</x:v>
      </x:c>
      <x:c r="D526" s="102" t="str">
        <x:v>Germany</x:v>
      </x:c>
      <x:c r="E526" s="102" t="str">
        <x:v>COMP_APMT</x:v>
      </x:c>
      <x:c r="F526" s="102" t="str">
        <x:v>Operating / network</x:v>
      </x:c>
    </x:row>
    <x:row r="527">
      <x:c r="A527" s="102" t="str">
        <x:v>ASSET051</x:v>
      </x:c>
      <x:c r="B527" s="102" t="str">
        <x:v>Asset</x:v>
      </x:c>
      <x:c r="C527" s="102" t="str">
        <x:v>Vado Ligure</x:v>
      </x:c>
      <x:c r="D527" s="102" t="str">
        <x:v>Italy</x:v>
      </x:c>
      <x:c r="E527" s="102" t="str">
        <x:v>COMP_APMT</x:v>
      </x:c>
      <x:c r="F527" s="102" t="str">
        <x:v>Operating / network</x:v>
      </x:c>
    </x:row>
    <x:row r="528">
      <x:c r="A528" s="102" t="str">
        <x:v>ASSET052</x:v>
      </x:c>
      <x:c r="B528" s="102" t="str">
        <x:v>Asset</x:v>
      </x:c>
      <x:c r="C528" s="102" t="str">
        <x:v>Rotterdam Maasvlakte II</x:v>
      </x:c>
      <x:c r="D528" s="102" t="str">
        <x:v>Netherlands</x:v>
      </x:c>
      <x:c r="E528" s="102" t="str">
        <x:v>COMP_APMT</x:v>
      </x:c>
      <x:c r="F528" s="102" t="str">
        <x:v>Operating / network</x:v>
      </x:c>
    </x:row>
    <x:row r="529">
      <x:c r="A529" s="102" t="str">
        <x:v>ASSET053</x:v>
      </x:c>
      <x:c r="B529" s="102" t="str">
        <x:v>Asset</x:v>
      </x:c>
      <x:c r="C529" s="102" t="str">
        <x:v>Algeciras</x:v>
      </x:c>
      <x:c r="D529" s="102" t="str">
        <x:v>Spain</x:v>
      </x:c>
      <x:c r="E529" s="102" t="str">
        <x:v>COMP_APMT</x:v>
      </x:c>
      <x:c r="F529" s="102" t="str">
        <x:v>Operating / network</x:v>
      </x:c>
    </x:row>
    <x:row r="530">
      <x:c r="A530" s="102" t="str">
        <x:v>ASSET054</x:v>
      </x:c>
      <x:c r="B530" s="102" t="str">
        <x:v>Asset</x:v>
      </x:c>
      <x:c r="C530" s="102" t="str">
        <x:v>Barcelona</x:v>
      </x:c>
      <x:c r="D530" s="102" t="str">
        <x:v>Spain</x:v>
      </x:c>
      <x:c r="E530" s="102" t="str">
        <x:v>COMP_APMT</x:v>
      </x:c>
      <x:c r="F530" s="102" t="str">
        <x:v>Operating / network</x:v>
      </x:c>
    </x:row>
    <x:row r="531">
      <x:c r="A531" s="102" t="str">
        <x:v>ASSET055</x:v>
      </x:c>
      <x:c r="B531" s="102" t="str">
        <x:v>Asset</x:v>
      </x:c>
      <x:c r="C531" s="102" t="str">
        <x:v>Gijón</x:v>
      </x:c>
      <x:c r="D531" s="102" t="str">
        <x:v>Spain</x:v>
      </x:c>
      <x:c r="E531" s="102" t="str">
        <x:v>COMP_APMT</x:v>
      </x:c>
      <x:c r="F531" s="102" t="str">
        <x:v>Operating / network</x:v>
      </x:c>
    </x:row>
    <x:row r="532">
      <x:c r="A532" s="102" t="str">
        <x:v>ASSET056</x:v>
      </x:c>
      <x:c r="B532" s="102" t="str">
        <x:v>Asset</x:v>
      </x:c>
      <x:c r="C532" s="102" t="str">
        <x:v>Valencia</x:v>
      </x:c>
      <x:c r="D532" s="102" t="str">
        <x:v>Spain</x:v>
      </x:c>
      <x:c r="E532" s="102" t="str">
        <x:v>COMP_APMT</x:v>
      </x:c>
      <x:c r="F532" s="102" t="str">
        <x:v>Operating / network</x:v>
      </x:c>
    </x:row>
    <x:row r="533">
      <x:c r="A533" s="102" t="str">
        <x:v>ASSET057</x:v>
      </x:c>
      <x:c r="B533" s="102" t="str">
        <x:v>Asset</x:v>
      </x:c>
      <x:c r="C533" s="102" t="str">
        <x:v>Gothenburg</x:v>
      </x:c>
      <x:c r="D533" s="102" t="str">
        <x:v>Sweden</x:v>
      </x:c>
      <x:c r="E533" s="102" t="str">
        <x:v>COMP_APMT</x:v>
      </x:c>
      <x:c r="F533" s="102" t="str">
        <x:v>Operating / network</x:v>
      </x:c>
    </x:row>
    <x:row r="534">
      <x:c r="A534" s="102" t="str">
        <x:v>ASSET058</x:v>
      </x:c>
      <x:c r="B534" s="102" t="str">
        <x:v>Asset</x:v>
      </x:c>
      <x:c r="C534" s="102" t="str">
        <x:v>Izmir</x:v>
      </x:c>
      <x:c r="D534" s="102" t="str">
        <x:v>Turkey</x:v>
      </x:c>
      <x:c r="E534" s="102" t="str">
        <x:v>COMP_APMT</x:v>
      </x:c>
      <x:c r="F534" s="102" t="str">
        <x:v>Operating / network</x:v>
      </x:c>
    </x:row>
    <x:row r="535">
      <x:c r="A535" s="102" t="str">
        <x:v>ASSET059</x:v>
      </x:c>
      <x:c r="B535" s="102" t="str">
        <x:v>Asset</x:v>
      </x:c>
      <x:c r="C535" s="102" t="str">
        <x:v>Buenos Aires</x:v>
      </x:c>
      <x:c r="D535" s="102" t="str">
        <x:v>Argentina</x:v>
      </x:c>
      <x:c r="E535" s="102" t="str">
        <x:v>COMP_APMT</x:v>
      </x:c>
      <x:c r="F535" s="102" t="str">
        <x:v>Operating / network</x:v>
      </x:c>
    </x:row>
    <x:row r="536">
      <x:c r="A536" s="102" t="str">
        <x:v>ASSET060</x:v>
      </x:c>
      <x:c r="B536" s="102" t="str">
        <x:v>Asset</x:v>
      </x:c>
      <x:c r="C536" s="102" t="str">
        <x:v>Itapoá</x:v>
      </x:c>
      <x:c r="D536" s="102" t="str">
        <x:v>Brazil</x:v>
      </x:c>
      <x:c r="E536" s="102" t="str">
        <x:v>COMP_APMT</x:v>
      </x:c>
      <x:c r="F536" s="102" t="str">
        <x:v>Operating / network</x:v>
      </x:c>
    </x:row>
    <x:row r="537">
      <x:c r="A537" s="102" t="str">
        <x:v>ASSET061</x:v>
      </x:c>
      <x:c r="B537" s="102" t="str">
        <x:v>Asset</x:v>
      </x:c>
      <x:c r="C537" s="102" t="str">
        <x:v>Pecém</x:v>
      </x:c>
      <x:c r="D537" s="102" t="str">
        <x:v>Brazil</x:v>
      </x:c>
      <x:c r="E537" s="102" t="str">
        <x:v>COMP_APMT</x:v>
      </x:c>
      <x:c r="F537" s="102" t="str">
        <x:v>Operating / network</x:v>
      </x:c>
    </x:row>
    <x:row r="538">
      <x:c r="A538" s="102" t="str">
        <x:v>ASSET062</x:v>
      </x:c>
      <x:c r="B538" s="102" t="str">
        <x:v>Asset</x:v>
      </x:c>
      <x:c r="C538" s="102" t="str">
        <x:v>Santos</x:v>
      </x:c>
      <x:c r="D538" s="102" t="str">
        <x:v>Brazil</x:v>
      </x:c>
      <x:c r="E538" s="102" t="str">
        <x:v>COMP_APMT</x:v>
      </x:c>
      <x:c r="F538" s="102" t="str">
        <x:v>Operating / network</x:v>
      </x:c>
    </x:row>
    <x:row r="539">
      <x:c r="A539" s="102" t="str">
        <x:v>ASSET063</x:v>
      </x:c>
      <x:c r="B539" s="102" t="str">
        <x:v>Asset</x:v>
      </x:c>
      <x:c r="C539" s="102" t="str">
        <x:v>Suape</x:v>
      </x:c>
      <x:c r="D539" s="102" t="str">
        <x:v>Brazil</x:v>
      </x:c>
      <x:c r="E539" s="102" t="str">
        <x:v>COMP_APMT</x:v>
      </x:c>
      <x:c r="F539" s="102" t="str">
        <x:v>Operating / network</x:v>
      </x:c>
    </x:row>
    <x:row r="540">
      <x:c r="A540" s="102" t="str">
        <x:v>ASSET064</x:v>
      </x:c>
      <x:c r="B540" s="102" t="str">
        <x:v>Asset</x:v>
      </x:c>
      <x:c r="C540" s="102" t="str">
        <x:v>Buenaventura</x:v>
      </x:c>
      <x:c r="D540" s="102" t="str">
        <x:v>Colombia</x:v>
      </x:c>
      <x:c r="E540" s="102" t="str">
        <x:v>COMP_APMT</x:v>
      </x:c>
      <x:c r="F540" s="102" t="str">
        <x:v>Operating / network</x:v>
      </x:c>
    </x:row>
    <x:row r="541">
      <x:c r="A541" s="102" t="str">
        <x:v>ASSET065</x:v>
      </x:c>
      <x:c r="B541" s="102" t="str">
        <x:v>Asset</x:v>
      </x:c>
      <x:c r="C541" s="102" t="str">
        <x:v>Moín</x:v>
      </x:c>
      <x:c r="D541" s="102" t="str">
        <x:v>Costa Rica</x:v>
      </x:c>
      <x:c r="E541" s="102" t="str">
        <x:v>COMP_APMT</x:v>
      </x:c>
      <x:c r="F541" s="102" t="str">
        <x:v>Operating / network</x:v>
      </x:c>
    </x:row>
    <x:row r="542">
      <x:c r="A542" s="102" t="str">
        <x:v>ASSET066</x:v>
      </x:c>
      <x:c r="B542" s="102" t="str">
        <x:v>Asset</x:v>
      </x:c>
      <x:c r="C542" s="102" t="str">
        <x:v>Puerto Quetzal</x:v>
      </x:c>
      <x:c r="D542" s="102" t="str">
        <x:v>Guatemala</x:v>
      </x:c>
      <x:c r="E542" s="102" t="str">
        <x:v>COMP_APMT</x:v>
      </x:c>
      <x:c r="F542" s="102" t="str">
        <x:v>Operating / network</x:v>
      </x:c>
    </x:row>
    <x:row r="543">
      <x:c r="A543" s="102" t="str">
        <x:v>ASSET067</x:v>
      </x:c>
      <x:c r="B543" s="102" t="str">
        <x:v>Asset</x:v>
      </x:c>
      <x:c r="C543" s="102" t="str">
        <x:v>Lázaro Cárdenas</x:v>
      </x:c>
      <x:c r="D543" s="102" t="str">
        <x:v>Mexico</x:v>
      </x:c>
      <x:c r="E543" s="102" t="str">
        <x:v>COMP_APMT</x:v>
      </x:c>
      <x:c r="F543" s="102" t="str">
        <x:v>Operating / network</x:v>
      </x:c>
    </x:row>
    <x:row r="544">
      <x:c r="A544" s="102" t="str">
        <x:v>ASSET068</x:v>
      </x:c>
      <x:c r="B544" s="102" t="str">
        <x:v>Asset</x:v>
      </x:c>
      <x:c r="C544" s="102" t="str">
        <x:v>Progreso</x:v>
      </x:c>
      <x:c r="D544" s="102" t="str">
        <x:v>Mexico</x:v>
      </x:c>
      <x:c r="E544" s="102" t="str">
        <x:v>COMP_APMT</x:v>
      </x:c>
      <x:c r="F544" s="102" t="str">
        <x:v>Operating / network</x:v>
      </x:c>
    </x:row>
    <x:row r="545">
      <x:c r="A545" s="102" t="str">
        <x:v>ASSET069</x:v>
      </x:c>
      <x:c r="B545" s="102" t="str">
        <x:v>Asset</x:v>
      </x:c>
      <x:c r="C545" s="102" t="str">
        <x:v>Callao</x:v>
      </x:c>
      <x:c r="D545" s="102" t="str">
        <x:v>Peru</x:v>
      </x:c>
      <x:c r="E545" s="102" t="str">
        <x:v>COMP_APMT</x:v>
      </x:c>
      <x:c r="F545" s="102" t="str">
        <x:v>Operating / network</x:v>
      </x:c>
    </x:row>
    <x:row r="546">
      <x:c r="A546" s="102" t="str">
        <x:v>ASSET070</x:v>
      </x:c>
      <x:c r="B546" s="102" t="str">
        <x:v>Asset</x:v>
      </x:c>
      <x:c r="C546" s="102" t="str">
        <x:v>Los Angeles, CA</x:v>
      </x:c>
      <x:c r="D546" s="102" t="str">
        <x:v>United States</x:v>
      </x:c>
      <x:c r="E546" s="102" t="str">
        <x:v>COMP_APMT</x:v>
      </x:c>
      <x:c r="F546" s="102" t="str">
        <x:v>Operating / network</x:v>
      </x:c>
    </x:row>
    <x:row r="547">
      <x:c r="A547" s="102" t="str">
        <x:v>ASSET071</x:v>
      </x:c>
      <x:c r="B547" s="102" t="str">
        <x:v>Asset</x:v>
      </x:c>
      <x:c r="C547" s="102" t="str">
        <x:v>Miami, FL</x:v>
      </x:c>
      <x:c r="D547" s="102" t="str">
        <x:v>United States</x:v>
      </x:c>
      <x:c r="E547" s="102" t="str">
        <x:v>COMP_APMT</x:v>
      </x:c>
      <x:c r="F547" s="102" t="str">
        <x:v>Operating / network</x:v>
      </x:c>
    </x:row>
    <x:row r="548">
      <x:c r="A548" s="102" t="str">
        <x:v>ASSET072</x:v>
      </x:c>
      <x:c r="B548" s="102" t="str">
        <x:v>Asset</x:v>
      </x:c>
      <x:c r="C548" s="102" t="str">
        <x:v>Mobile, AL</x:v>
      </x:c>
      <x:c r="D548" s="102" t="str">
        <x:v>United States</x:v>
      </x:c>
      <x:c r="E548" s="102" t="str">
        <x:v>COMP_APMT</x:v>
      </x:c>
      <x:c r="F548" s="102" t="str">
        <x:v>Operating / network</x:v>
      </x:c>
    </x:row>
    <x:row r="549">
      <x:c r="A549" s="102" t="str">
        <x:v>ASSET073</x:v>
      </x:c>
      <x:c r="B549" s="102" t="str">
        <x:v>Asset</x:v>
      </x:c>
      <x:c r="C549" s="102" t="str">
        <x:v>Elizabeth, NJ</x:v>
      </x:c>
      <x:c r="D549" s="102" t="str">
        <x:v>United States</x:v>
      </x:c>
      <x:c r="E549" s="102" t="str">
        <x:v>COMP_APMT</x:v>
      </x:c>
      <x:c r="F549" s="102" t="str">
        <x:v>Operating / network</x:v>
      </x:c>
    </x:row>
    <x:row r="550">
      <x:c r="A550" s="102" t="str">
        <x:v>ASSET074</x:v>
      </x:c>
      <x:c r="B550" s="102" t="str">
        <x:v>Asset</x:v>
      </x:c>
      <x:c r="C550" s="102" t="str">
        <x:v>United Ports LLC terminal portfolio</x:v>
      </x:c>
      <x:c r="D550" s="102" t="str">
        <x:v>Global</x:v>
      </x:c>
      <x:c r="E550" s="102" t="str">
        <x:v>COMP_UNITED_PORTS</x:v>
      </x:c>
      <x:c r="F550" s="102" t="str">
        <x:v>Operating</x:v>
      </x:c>
    </x:row>
    <x:row r="551">
      <x:c r="A551" s="102" t="str">
        <x:v>ASSET075</x:v>
      </x:c>
      <x:c r="B551" s="102" t="str">
        <x:v>Asset</x:v>
      </x:c>
      <x:c r="C551" s="102" t="str">
        <x:v>GeelongPort</x:v>
      </x:c>
      <x:c r="D551" s="102" t="str">
        <x:v>Australia</x:v>
      </x:c>
      <x:c r="E551" s="102" t="str">
        <x:v>COMP_GEELONGPORT</x:v>
      </x:c>
      <x:c r="F551" s="102" t="str">
        <x:v>Operating</x:v>
      </x:c>
    </x:row>
    <x:row r="552">
      <x:c r="A552" s="102" t="str">
        <x:v>ASSET076</x:v>
      </x:c>
      <x:c r="B552" s="102" t="str">
        <x:v>Asset</x:v>
      </x:c>
      <x:c r="C552" s="102" t="str">
        <x:v>International Transportation Service terminal portfolio</x:v>
      </x:c>
      <x:c r="D552" s="102" t="str">
        <x:v>United States</x:v>
      </x:c>
      <x:c r="E552" s="102" t="str">
        <x:v>COMP_ITS</x:v>
      </x:c>
      <x:c r="F552" s="102" t="str">
        <x:v>Operating / expanding</x:v>
      </x:c>
    </x:row>
    <x:row r="553">
      <x:c r="A553" s="102" t="str">
        <x:v>ASSET077</x:v>
      </x:c>
      <x:c r="B553" s="102" t="str">
        <x:v>Asset</x:v>
      </x:c>
      <x:c r="C553" s="102" t="str">
        <x:v>KKR/Mirastar UK logistics portfolio - July 2026</x:v>
      </x:c>
      <x:c r="D553" s="102" t="str">
        <x:v>United Kingdom</x:v>
      </x:c>
      <x:c r="E553" s="102" t="str">
        <x:v>COMP_MIRASTAR</x:v>
      </x:c>
      <x:c r="F553" s="102" t="str">
        <x:v>Operating</x:v>
      </x:c>
    </x:row>
    <x:row r="554">
      <x:c r="A554" s="102" t="str">
        <x:v>ASSET078</x:v>
      </x:c>
      <x:c r="B554" s="102" t="str">
        <x:v>Asset</x:v>
      </x:c>
      <x:c r="C554" s="102" t="str">
        <x:v>Fort Worth rail-served logistics asset</x:v>
      </x:c>
      <x:c r="D554" s="102" t="str">
        <x:v>United States</x:v>
      </x:c>
      <x:c r="E554" s="102" t="str">
        <x:v>COMP_STONEPEAK</x:v>
      </x:c>
      <x:c r="F554" s="102" t="str">
        <x:v>Operating</x:v>
      </x:c>
    </x:row>
    <x:row r="555">
      <x:c r="A555" s="102" t="str">
        <x:v>ASSET079</x:v>
      </x:c>
      <x:c r="B555" s="102" t="str">
        <x:v>Asset</x:v>
      </x:c>
      <x:c r="C555" s="102" t="str">
        <x:v>Proxity pan-European logistics portfolio</x:v>
      </x:c>
      <x:c r="D555" s="102" t="str">
        <x:v>Europe</x:v>
      </x:c>
      <x:c r="E555" s="102" t="str">
        <x:v>COMP_PROXITY</x:v>
      </x:c>
      <x:c r="F555" s="102" t="str">
        <x:v>Operating / expanding</x:v>
      </x:c>
    </x:row>
    <x:row r="556">
      <x:c r="A556" s="102" t="str">
        <x:v>ASSET080</x:v>
      </x:c>
      <x:c r="B556" s="102" t="str">
        <x:v>Asset</x:v>
      </x:c>
      <x:c r="C556" s="102" t="str">
        <x:v>PLIVE seed logistics portfolio</x:v>
      </x:c>
      <x:c r="D556" s="102" t="str">
        <x:v>Europe</x:v>
      </x:c>
      <x:c r="E556" s="102" t="str">
        <x:v>COMP_PLIVE</x:v>
      </x:c>
      <x:c r="F556" s="102" t="str">
        <x:v>Operating / expanding</x:v>
      </x:c>
    </x:row>
    <x:row r="557">
      <x:c r="A557" s="102" t="str">
        <x:v>ASSET081</x:v>
      </x:c>
      <x:c r="B557" s="102" t="str">
        <x:v>Asset</x:v>
      </x:c>
      <x:c r="C557" s="102" t="str">
        <x:v>Tbilisi Intermodal Hub / Tbilisi Dry Port</x:v>
      </x:c>
      <x:c r="D557" s="102" t="str">
        <x:v>Georgia</x:v>
      </x:c>
      <x:c r="E557" s="102" t="str">
        <x:v>COMP_TBILISI_DRY_PORT</x:v>
      </x:c>
      <x:c r="F557" s="102" t="str">
        <x:v>Operating / expanding</x:v>
      </x:c>
    </x:row>
    <x:row r="558">
      <x:c r="A558" s="102" t="str">
        <x:v>ASSET082</x:v>
      </x:c>
      <x:c r="B558" s="102" t="str">
        <x:v>Asset</x:v>
      </x:c>
      <x:c r="C558" s="102" t="str">
        <x:v>Al Faya Dry Port</x:v>
      </x:c>
      <x:c r="D558" s="102" t="str">
        <x:v>United Arab Emirates</x:v>
      </x:c>
      <x:c r="E558" s="102" t="str">
        <x:v>COMP_ADPORTS</x:v>
      </x:c>
      <x:c r="F558" s="102" t="str">
        <x:v>Operating</x:v>
      </x:c>
    </x:row>
    <x:row r="559">
      <x:c r="A559" s="102" t="str">
        <x:v>ASSET083</x:v>
      </x:c>
      <x:c r="B559" s="102" t="str">
        <x:v>Asset</x:v>
      </x:c>
      <x:c r="C559" s="102" t="str">
        <x:v>Al Ghail Dry Port rail terminal</x:v>
      </x:c>
      <x:c r="D559" s="102" t="str">
        <x:v>United Arab Emirates</x:v>
      </x:c>
      <x:c r="E559" s="102" t="str">
        <x:v>COMP_ETIHAD_RAIL</x:v>
      </x:c>
      <x:c r="F559" s="102" t="str">
        <x:v>Operating</x:v>
      </x:c>
    </x:row>
    <x:row r="560">
      <x:c r="A560" s="102" t="str">
        <x:v>ASSET084</x:v>
      </x:c>
      <x:c r="B560" s="102" t="str">
        <x:v>Asset</x:v>
      </x:c>
      <x:c r="C560" s="102" t="str">
        <x:v>CentrePort Canada</x:v>
      </x:c>
      <x:c r="D560" s="102" t="str">
        <x:v>Canada</x:v>
      </x:c>
      <x:c r="E560" s="102" t="str">
        <x:v>COMP_CENTREPORT</x:v>
      </x:c>
      <x:c r="F560" s="102" t="str">
        <x:v>Operating / expanding</x:v>
      </x:c>
    </x:row>
    <x:row r="561">
      <x:c r="A561" s="102" t="str">
        <x:v>ASSET085</x:v>
      </x:c>
      <x:c r="B561" s="102" t="str">
        <x:v>Asset</x:v>
      </x:c>
      <x:c r="C561" s="102" t="str">
        <x:v>Jebel Ali Free Zone (JAFZA)</x:v>
      </x:c>
      <x:c r="D561" s="102" t="str">
        <x:v>United Arab Emirates</x:v>
      </x:c>
      <x:c r="E561" s="102" t="str">
        <x:v>COMP_JAFZA</x:v>
      </x:c>
      <x:c r="F561" s="102" t="str">
        <x:v>Operating</x:v>
      </x:c>
    </x:row>
    <x:row r="562">
      <x:c r="A562" s="102" t="str">
        <x:v>ASSET086</x:v>
      </x:c>
      <x:c r="B562" s="102" t="str">
        <x:v>Asset</x:v>
      </x:c>
      <x:c r="C562" s="102" t="str">
        <x:v>JAFZA Logistics Park</x:v>
      </x:c>
      <x:c r="D562" s="102" t="str">
        <x:v>United Arab Emirates</x:v>
      </x:c>
      <x:c r="E562" s="102" t="str">
        <x:v>COMP_JAFZA</x:v>
      </x:c>
      <x:c r="F562" s="102" t="str">
        <x:v>Operating / expanding</x:v>
      </x:c>
    </x:row>
    <x:row r="563">
      <x:c r="A563" s="102" t="str">
        <x:v>ASSET087</x:v>
      </x:c>
      <x:c r="B563" s="102" t="str">
        <x:v>Asset</x:v>
      </x:c>
      <x:c r="C563" s="102" t="str">
        <x:v>KEZAD economic-zones ecosystem</x:v>
      </x:c>
      <x:c r="D563" s="102" t="str">
        <x:v>United Arab Emirates</x:v>
      </x:c>
      <x:c r="E563" s="102" t="str">
        <x:v>COMP_KEZAD</x:v>
      </x:c>
      <x:c r="F563" s="102" t="str">
        <x:v>Operating / expanding</x:v>
      </x:c>
    </x:row>
    <x:row r="564">
      <x:c r="A564" s="102" t="str">
        <x:v>ASSET088</x:v>
      </x:c>
      <x:c r="B564" s="102" t="str">
        <x:v>Asset</x:v>
      </x:c>
      <x:c r="C564" s="102" t="str">
        <x:v>KEZAD East Port Said Economic Zone</x:v>
      </x:c>
      <x:c r="D564" s="102" t="str">
        <x:v>Egypt</x:v>
      </x:c>
      <x:c r="E564" s="102" t="str">
        <x:v>COMP_KEZAD</x:v>
      </x:c>
      <x:c r="F564" s="102" t="str">
        <x:v>Development</x:v>
      </x:c>
    </x:row>
    <x:row r="565">
      <x:c r="A565" s="102" t="str">
        <x:v>ASSET089</x:v>
      </x:c>
      <x:c r="B565" s="102" t="str">
        <x:v>Asset</x:v>
      </x:c>
      <x:c r="C565" s="102" t="str">
        <x:v>Al Dhaid Multi-Modal Trade Corridor</x:v>
      </x:c>
      <x:c r="D565" s="102" t="str">
        <x:v>United Arab Emirates</x:v>
      </x:c>
      <x:c r="E565" s="102" t="str">
        <x:v>COMP_GULFTAINER</x:v>
      </x:c>
      <x:c r="F565" s="102" t="str">
        <x:v>Development</x:v>
      </x:c>
    </x:row>
    <x:row r="566">
      <x:c r="A566" s="102" t="str">
        <x:v>CORRIDOR_SUEZ</x:v>
      </x:c>
      <x:c r="B566" s="102" t="str">
        <x:v>Corridor</x:v>
      </x:c>
      <x:c r="C566" s="102" t="str">
        <x:v>Suez Canal</x:v>
      </x:c>
      <x:c r="D566" s="102" t="str">
        <x:v>Egypt</x:v>
      </x:c>
      <x:c r="E566" s="102"/>
      <x:c r="F566" s="102" t="str">
        <x:v>Active</x:v>
      </x:c>
    </x:row>
    <x:row r="567">
      <x:c r="A567" s="102" t="str">
        <x:v>CORRIDOR_HORMUZ</x:v>
      </x:c>
      <x:c r="B567" s="102" t="str">
        <x:v>Corridor</x:v>
      </x:c>
      <x:c r="C567" s="102" t="str">
        <x:v>Strait of Hormuz</x:v>
      </x:c>
      <x:c r="D567" s="102" t="str">
        <x:v>Oman / Iran</x:v>
      </x:c>
      <x:c r="E567" s="102"/>
      <x:c r="F567" s="102" t="str">
        <x:v>Active</x:v>
      </x:c>
    </x:row>
    <x:row r="568">
      <x:c r="A568" s="102" t="str">
        <x:v>CORRIDOR_MALACCA</x:v>
      </x:c>
      <x:c r="B568" s="102" t="str">
        <x:v>Corridor</x:v>
      </x:c>
      <x:c r="C568" s="102" t="str">
        <x:v>Strait of Malacca</x:v>
      </x:c>
      <x:c r="D568" s="102" t="str">
        <x:v>Malaysia / Singapore / Indonesia</x:v>
      </x:c>
      <x:c r="E568" s="102"/>
      <x:c r="F568" s="102" t="str">
        <x:v>Active</x:v>
      </x:c>
    </x:row>
    <x:row r="569">
      <x:c r="A569" s="102" t="str">
        <x:v>CORRIDOR_PANAMA</x:v>
      </x:c>
      <x:c r="B569" s="102" t="str">
        <x:v>Corridor</x:v>
      </x:c>
      <x:c r="C569" s="102" t="str">
        <x:v>Panama Canal</x:v>
      </x:c>
      <x:c r="D569" s="102" t="str">
        <x:v>Panama</x:v>
      </x:c>
      <x:c r="E569" s="102"/>
      <x:c r="F569" s="102" t="str">
        <x:v>Active</x:v>
      </x:c>
    </x:row>
    <x:row r="570">
      <x:c r="A570" s="102" t="str">
        <x:v>CORRIDOR_MIDDLE</x:v>
      </x:c>
      <x:c r="B570" s="102" t="str">
        <x:v>Corridor</x:v>
      </x:c>
      <x:c r="C570" s="102" t="str">
        <x:v>Middle Corridor / Trans-Caspian route</x:v>
      </x:c>
      <x:c r="D570" s="102" t="str">
        <x:v>China / Central Asia / Caspian / Caucasus / Türkiye / Black Sea</x:v>
      </x:c>
      <x:c r="E570" s="102"/>
      <x:c r="F570" s="102" t="str">
        <x:v>Active / expanding</x:v>
      </x:c>
    </x:row>
    <x:row r="571">
      <x:c r="A571" s="102" t="str">
        <x:v>CORRIDOR_UAE_RAIL</x:v>
      </x:c>
      <x:c r="B571" s="102" t="str">
        <x:v>Corridor</x:v>
      </x:c>
      <x:c r="C571" s="102" t="str">
        <x:v>UAE National Rail freight corridor</x:v>
      </x:c>
      <x:c r="D571" s="102" t="str">
        <x:v>United Arab Emirates</x:v>
      </x:c>
      <x:c r="E571" s="102"/>
      <x:c r="F571" s="102" t="str">
        <x:v>Active / expanding</x:v>
      </x:c>
    </x:row>
    <x:row r="572">
      <x:c r="A572" s="102" t="str">
        <x:v>CORRIDOR_MIDCONTINENT</x:v>
      </x:c>
      <x:c r="B572" s="102" t="str">
        <x:v>Corridor</x:v>
      </x:c>
      <x:c r="C572" s="102" t="str">
        <x:v>North American Mid-Continent Trade &amp; Transportation Corridor</x:v>
      </x:c>
      <x:c r="D572" s="102" t="str">
        <x:v>Canada / United States / Mexico</x:v>
      </x:c>
      <x:c r="E572" s="102"/>
      <x:c r="F572" s="102" t="str">
        <x:v>Active</x:v>
      </x:c>
    </x:row>
    <x:row r="573">
      <x:c r="A573" s="102" t="str">
        <x:v>CORRIDOR_GLSS</x:v>
      </x:c>
      <x:c r="B573" s="102" t="str">
        <x:v>Corridor</x:v>
      </x:c>
      <x:c r="C573" s="102" t="str">
        <x:v>Great Lakes–St. Lawrence Seaway corridor</x:v>
      </x:c>
      <x:c r="D573" s="102" t="str">
        <x:v>Canada / United States</x:v>
      </x:c>
      <x:c r="E573" s="102"/>
      <x:c r="F573" s="102" t="str">
        <x:v>Active / seasonal</x:v>
      </x:c>
    </x:row>
    <x:row r="574">
      <x:c r="A574" s="102" t="str">
        <x:v>COMP_CMA_CGM</x:v>
      </x:c>
      <x:c r="B574" s="102" t="str">
        <x:v>Company</x:v>
      </x:c>
      <x:c r="C574" s="102" t="str">
        <x:v>CMA CGM Group</x:v>
      </x:c>
      <x:c r="D574" s="102" t="str">
        <x:v>France</x:v>
      </x:c>
      <x:c r="E574" s="102"/>
      <x:c r="F574" s="102" t="str">
        <x:v>Active</x:v>
      </x:c>
    </x:row>
    <x:row r="575">
      <x:c r="A575" s="102" t="str">
        <x:v>COMP_CEVA</x:v>
      </x:c>
      <x:c r="B575" s="102" t="str">
        <x:v>Company</x:v>
      </x:c>
      <x:c r="C575" s="102" t="str">
        <x:v>CEVA Logistics</x:v>
      </x:c>
      <x:c r="D575" s="102" t="str">
        <x:v>France</x:v>
      </x:c>
      <x:c r="E575" s="102"/>
      <x:c r="F575" s="102" t="str">
        <x:v>Active</x:v>
      </x:c>
    </x:row>
    <x:row r="576">
      <x:c r="A576" s="102" t="str">
        <x:v>COMP_CMA_TERMINALS</x:v>
      </x:c>
      <x:c r="B576" s="102" t="str">
        <x:v>Company</x:v>
      </x:c>
      <x:c r="C576" s="102" t="str">
        <x:v>CMA Terminals</x:v>
      </x:c>
      <x:c r="D576" s="102" t="str">
        <x:v>France</x:v>
      </x:c>
      <x:c r="E576" s="102"/>
      <x:c r="F576" s="102" t="str">
        <x:v>Active</x:v>
      </x:c>
    </x:row>
    <x:row r="577">
      <x:c r="A577" s="102" t="str">
        <x:v>COMP_APMT</x:v>
      </x:c>
      <x:c r="B577" s="102" t="str">
        <x:v>Company</x:v>
      </x:c>
      <x:c r="C577" s="102" t="str">
        <x:v>APM Terminals</x:v>
      </x:c>
      <x:c r="D577" s="102" t="str">
        <x:v>Netherlands</x:v>
      </x:c>
      <x:c r="E577" s="102"/>
      <x:c r="F577" s="102" t="str">
        <x:v>Active</x:v>
      </x:c>
    </x:row>
    <x:row r="578">
      <x:c r="A578" s="102" t="str">
        <x:v>COMP_DPW</x:v>
      </x:c>
      <x:c r="B578" s="102" t="str">
        <x:v>Company</x:v>
      </x:c>
      <x:c r="C578" s="102" t="str">
        <x:v>DP World</x:v>
      </x:c>
      <x:c r="D578" s="102" t="str">
        <x:v>United Arab Emirates</x:v>
      </x:c>
      <x:c r="E578" s="102"/>
      <x:c r="F578" s="102" t="str">
        <x:v>Active</x:v>
      </x:c>
    </x:row>
    <x:row r="579">
      <x:c r="A579" s="102" t="str">
        <x:v>COMP_ADPORTS</x:v>
      </x:c>
      <x:c r="B579" s="102" t="str">
        <x:v>Company</x:v>
      </x:c>
      <x:c r="C579" s="102" t="str">
        <x:v>AD Ports Group</x:v>
      </x:c>
      <x:c r="D579" s="102" t="str">
        <x:v>United Arab Emirates</x:v>
      </x:c>
      <x:c r="E579" s="102"/>
      <x:c r="F579" s="102" t="str">
        <x:v>Active</x:v>
      </x:c>
    </x:row>
    <x:row r="580">
      <x:c r="A580" s="102" t="str">
        <x:v>COMP_GULFTAINER</x:v>
      </x:c>
      <x:c r="B580" s="102" t="str">
        <x:v>Company</x:v>
      </x:c>
      <x:c r="C580" s="102" t="str">
        <x:v>Gulftainer</x:v>
      </x:c>
      <x:c r="D580" s="102" t="str">
        <x:v>United Arab Emirates</x:v>
      </x:c>
      <x:c r="E580" s="102"/>
      <x:c r="F580" s="102" t="str">
        <x:v>Active</x:v>
      </x:c>
    </x:row>
    <x:row r="581">
      <x:c r="A581" s="102" t="str">
        <x:v>COMP_CARGOLUX</x:v>
      </x:c>
      <x:c r="B581" s="102" t="str">
        <x:v>Company</x:v>
      </x:c>
      <x:c r="C581" s="102" t="str">
        <x:v>Cargolux Airlines International</x:v>
      </x:c>
      <x:c r="D581" s="102" t="str">
        <x:v>Luxembourg</x:v>
      </x:c>
      <x:c r="E581" s="102"/>
      <x:c r="F581" s="102" t="str">
        <x:v>Active</x:v>
      </x:c>
    </x:row>
    <x:row r="582">
      <x:c r="A582" s="102" t="str">
        <x:v>COMP_FINCANTIERI</x:v>
      </x:c>
      <x:c r="B582" s="102" t="str">
        <x:v>Company</x:v>
      </x:c>
      <x:c r="C582" s="102" t="str">
        <x:v>Fincantieri</x:v>
      </x:c>
      <x:c r="D582" s="102" t="str">
        <x:v>Italy</x:v>
      </x:c>
      <x:c r="E582" s="102"/>
      <x:c r="F582" s="102" t="str">
        <x:v>Active</x:v>
      </x:c>
    </x:row>
    <x:row r="583">
      <x:c r="A583" s="102" t="str">
        <x:v>COMP_ABP</x:v>
      </x:c>
      <x:c r="B583" s="102" t="str">
        <x:v>Company</x:v>
      </x:c>
      <x:c r="C583" s="102" t="str">
        <x:v>Associated British Ports</x:v>
      </x:c>
      <x:c r="D583" s="102" t="str">
        <x:v>United Kingdom</x:v>
      </x:c>
      <x:c r="E583" s="102"/>
      <x:c r="F583" s="102" t="str">
        <x:v>Active</x:v>
      </x:c>
    </x:row>
    <x:row r="584">
      <x:c r="A584" s="102" t="str">
        <x:v>COMP_PEEL</x:v>
      </x:c>
      <x:c r="B584" s="102" t="str">
        <x:v>Company</x:v>
      </x:c>
      <x:c r="C584" s="102" t="str">
        <x:v>Peel Ports Group</x:v>
      </x:c>
      <x:c r="D584" s="102" t="str">
        <x:v>United Kingdom</x:v>
      </x:c>
      <x:c r="E584" s="102"/>
      <x:c r="F584" s="102" t="str">
        <x:v>Active</x:v>
      </x:c>
    </x:row>
    <x:row r="585">
      <x:c r="A585" s="102" t="str">
        <x:v>COMP_FORTH</x:v>
      </x:c>
      <x:c r="B585" s="102" t="str">
        <x:v>Company</x:v>
      </x:c>
      <x:c r="C585" s="102" t="str">
        <x:v>Forth Ports</x:v>
      </x:c>
      <x:c r="D585" s="102" t="str">
        <x:v>United Kingdom</x:v>
      </x:c>
      <x:c r="E585" s="102"/>
      <x:c r="F585" s="102" t="str">
        <x:v>Active</x:v>
      </x:c>
    </x:row>
    <x:row r="586">
      <x:c r="A586" s="102" t="str">
        <x:v>COMP_PDPORTS</x:v>
      </x:c>
      <x:c r="B586" s="102" t="str">
        <x:v>Company</x:v>
      </x:c>
      <x:c r="C586" s="102" t="str">
        <x:v>PD Ports</x:v>
      </x:c>
      <x:c r="D586" s="102" t="str">
        <x:v>United Kingdom</x:v>
      </x:c>
      <x:c r="E586" s="102"/>
      <x:c r="F586" s="102" t="str">
        <x:v>Active</x:v>
      </x:c>
    </x:row>
    <x:row r="587">
      <x:c r="A587" s="102" t="str">
        <x:v>COMP_HUTCHISON</x:v>
      </x:c>
      <x:c r="B587" s="102" t="str">
        <x:v>Company</x:v>
      </x:c>
      <x:c r="C587" s="102" t="str">
        <x:v>Hutchison Ports</x:v>
      </x:c>
      <x:c r="D587" s="102" t="str">
        <x:v>Hong Kong, China</x:v>
      </x:c>
      <x:c r="E587" s="102"/>
      <x:c r="F587" s="102" t="str">
        <x:v>Active</x:v>
      </x:c>
    </x:row>
    <x:row r="588">
      <x:c r="A588" s="102" t="str">
        <x:v>COMP_BRISTOL</x:v>
      </x:c>
      <x:c r="B588" s="102" t="str">
        <x:v>Company</x:v>
      </x:c>
      <x:c r="C588" s="102" t="str">
        <x:v>The Bristol Port Company</x:v>
      </x:c>
      <x:c r="D588" s="102" t="str">
        <x:v>United Kingdom</x:v>
      </x:c>
      <x:c r="E588" s="102"/>
      <x:c r="F588" s="102" t="str">
        <x:v>Active</x:v>
      </x:c>
    </x:row>
    <x:row r="589">
      <x:c r="A589" s="102" t="str">
        <x:v>COMP_CMA_AIR</x:v>
      </x:c>
      <x:c r="B589" s="102" t="str">
        <x:v>Company</x:v>
      </x:c>
      <x:c r="C589" s="102" t="str">
        <x:v>CMA CGM AIR CARGO</x:v>
      </x:c>
      <x:c r="D589" s="102" t="str">
        <x:v>France</x:v>
      </x:c>
      <x:c r="E589" s="102"/>
      <x:c r="F589" s="102" t="str">
        <x:v>Active</x:v>
      </x:c>
    </x:row>
    <x:row r="590">
      <x:c r="A590" s="102" t="str">
        <x:v>COMP_MAERSK</x:v>
      </x:c>
      <x:c r="B590" s="102" t="str">
        <x:v>Company</x:v>
      </x:c>
      <x:c r="C590" s="102" t="str">
        <x:v>A.P. Moller - Maersk</x:v>
      </x:c>
      <x:c r="D590" s="102" t="str">
        <x:v>Denmark</x:v>
      </x:c>
      <x:c r="E590" s="102"/>
      <x:c r="F590" s="102" t="str">
        <x:v>Active</x:v>
      </x:c>
    </x:row>
    <x:row r="591">
      <x:c r="A591" s="102" t="str">
        <x:v>COMP_MAERSK_AIR</x:v>
      </x:c>
      <x:c r="B591" s="102" t="str">
        <x:v>Company</x:v>
      </x:c>
      <x:c r="C591" s="102" t="str">
        <x:v>Maersk Air Cargo</x:v>
      </x:c>
      <x:c r="D591" s="102" t="str">
        <x:v>Denmark</x:v>
      </x:c>
      <x:c r="E591" s="102"/>
      <x:c r="F591" s="102" t="str">
        <x:v>Active</x:v>
      </x:c>
    </x:row>
    <x:row r="592">
      <x:c r="A592" s="102" t="str">
        <x:v>COMP_MSC</x:v>
      </x:c>
      <x:c r="B592" s="102" t="str">
        <x:v>Company</x:v>
      </x:c>
      <x:c r="C592" s="102" t="str">
        <x:v>MSC Mediterranean Shipping Company</x:v>
      </x:c>
      <x:c r="D592" s="102" t="str">
        <x:v>Switzerland</x:v>
      </x:c>
      <x:c r="E592" s="102"/>
      <x:c r="F592" s="102" t="str">
        <x:v>Active</x:v>
      </x:c>
    </x:row>
    <x:row r="593">
      <x:c r="A593" s="102" t="str">
        <x:v>COMP_TIL</x:v>
      </x:c>
      <x:c r="B593" s="102" t="str">
        <x:v>Company</x:v>
      </x:c>
      <x:c r="C593" s="102" t="str">
        <x:v>Terminal Investment Limited</x:v>
      </x:c>
      <x:c r="D593" s="102" t="str">
        <x:v>Switzerland</x:v>
      </x:c>
      <x:c r="E593" s="102"/>
      <x:c r="F593" s="102" t="str">
        <x:v>Active</x:v>
      </x:c>
    </x:row>
    <x:row r="594">
      <x:c r="A594" s="102" t="str">
        <x:v>COMP_MSC_CRUISES</x:v>
      </x:c>
      <x:c r="B594" s="102" t="str">
        <x:v>Company</x:v>
      </x:c>
      <x:c r="C594" s="102" t="str">
        <x:v>MSC Cruises</x:v>
      </x:c>
      <x:c r="D594" s="102" t="str">
        <x:v>Switzerland</x:v>
      </x:c>
      <x:c r="E594" s="102"/>
      <x:c r="F594" s="102" t="str">
        <x:v>Active</x:v>
      </x:c>
    </x:row>
    <x:row r="595">
      <x:c r="A595" s="102" t="str">
        <x:v>COMP_COSCO_GROUP</x:v>
      </x:c>
      <x:c r="B595" s="102" t="str">
        <x:v>Company</x:v>
      </x:c>
      <x:c r="C595" s="102" t="str">
        <x:v>COSCO SHIPPING</x:v>
      </x:c>
      <x:c r="D595" s="102" t="str">
        <x:v>China</x:v>
      </x:c>
      <x:c r="E595" s="102"/>
      <x:c r="F595" s="102" t="str">
        <x:v>Active</x:v>
      </x:c>
    </x:row>
    <x:row r="596">
      <x:c r="A596" s="102" t="str">
        <x:v>COMP_COSCO_LINES</x:v>
      </x:c>
      <x:c r="B596" s="102" t="str">
        <x:v>Company</x:v>
      </x:c>
      <x:c r="C596" s="102" t="str">
        <x:v>COSCO SHIPPING Lines</x:v>
      </x:c>
      <x:c r="D596" s="102" t="str">
        <x:v>China</x:v>
      </x:c>
      <x:c r="E596" s="102"/>
      <x:c r="F596" s="102" t="str">
        <x:v>Active</x:v>
      </x:c>
    </x:row>
    <x:row r="597">
      <x:c r="A597" s="102" t="str">
        <x:v>COMP_COSCO_PORTS</x:v>
      </x:c>
      <x:c r="B597" s="102" t="str">
        <x:v>Company</x:v>
      </x:c>
      <x:c r="C597" s="102" t="str">
        <x:v>COSCO SHIPPING Ports</x:v>
      </x:c>
      <x:c r="D597" s="102" t="str">
        <x:v>China</x:v>
      </x:c>
      <x:c r="E597" s="102"/>
      <x:c r="F597" s="102" t="str">
        <x:v>Active</x:v>
      </x:c>
    </x:row>
    <x:row r="598">
      <x:c r="A598" s="102" t="str">
        <x:v>COMP_EVERGREEN</x:v>
      </x:c>
      <x:c r="B598" s="102" t="str">
        <x:v>Company</x:v>
      </x:c>
      <x:c r="C598" s="102" t="str">
        <x:v>Evergreen Marine</x:v>
      </x:c>
      <x:c r="D598" s="102" t="str">
        <x:v>Taiwan</x:v>
      </x:c>
      <x:c r="E598" s="102"/>
      <x:c r="F598" s="102" t="str">
        <x:v>Active</x:v>
      </x:c>
    </x:row>
    <x:row r="599">
      <x:c r="A599" s="102" t="str">
        <x:v>COMP_NOATUM</x:v>
      </x:c>
      <x:c r="B599" s="102" t="str">
        <x:v>Company</x:v>
      </x:c>
      <x:c r="C599" s="102" t="str">
        <x:v>Noatum</x:v>
      </x:c>
      <x:c r="D599" s="102" t="str">
        <x:v>Spain</x:v>
      </x:c>
      <x:c r="E599" s="102"/>
      <x:c r="F599" s="102" t="str">
        <x:v>Active</x:v>
      </x:c>
    </x:row>
    <x:row r="600">
      <x:c r="A600" s="102" t="str">
        <x:v>COMP_NOATUM_MARITIME</x:v>
      </x:c>
      <x:c r="B600" s="102" t="str">
        <x:v>Company</x:v>
      </x:c>
      <x:c r="C600" s="102" t="str">
        <x:v>Noatum Maritime</x:v>
      </x:c>
      <x:c r="D600" s="102" t="str">
        <x:v>Spain</x:v>
      </x:c>
      <x:c r="E600" s="102"/>
      <x:c r="F600" s="102" t="str">
        <x:v>Active</x:v>
      </x:c>
    </x:row>
    <x:row r="601">
      <x:c r="A601" s="102" t="str">
        <x:v>COMP_NOATUM_LOGISTICS</x:v>
      </x:c>
      <x:c r="B601" s="102" t="str">
        <x:v>Company</x:v>
      </x:c>
      <x:c r="C601" s="102" t="str">
        <x:v>Noatum Logistics</x:v>
      </x:c>
      <x:c r="D601" s="102" t="str">
        <x:v>Spain</x:v>
      </x:c>
      <x:c r="E601" s="102"/>
      <x:c r="F601" s="102" t="str">
        <x:v>Active</x:v>
      </x:c>
    </x:row>
    <x:row r="602">
      <x:c r="A602" s="102" t="str">
        <x:v>COMP_GFS</x:v>
      </x:c>
      <x:c r="B602" s="102" t="str">
        <x:v>Company</x:v>
      </x:c>
      <x:c r="C602" s="102" t="str">
        <x:v>Global Feeder Shipping</x:v>
      </x:c>
      <x:c r="D602" s="102" t="str">
        <x:v>United Arab Emirates</x:v>
      </x:c>
      <x:c r="E602" s="102"/>
      <x:c r="F602" s="102" t="str">
        <x:v>Active</x:v>
      </x:c>
    </x:row>
    <x:row r="603">
      <x:c r="A603" s="102" t="str">
        <x:v>COMP_UGR</x:v>
      </x:c>
      <x:c r="B603" s="102" t="str">
        <x:v>Company</x:v>
      </x:c>
      <x:c r="C603" s="102" t="str">
        <x:v>United Global Ro-Ro</x:v>
      </x:c>
      <x:c r="D603" s="102" t="str">
        <x:v>United Arab Emirates</x:v>
      </x:c>
      <x:c r="E603" s="102"/>
      <x:c r="F603" s="102" t="str">
        <x:v>Active</x:v>
      </x:c>
    </x:row>
    <x:row r="604">
      <x:c r="A604" s="102" t="str">
        <x:v>COMP_ADNOC</x:v>
      </x:c>
      <x:c r="B604" s="102" t="str">
        <x:v>Company</x:v>
      </x:c>
      <x:c r="C604" s="102" t="str">
        <x:v>ADNOC</x:v>
      </x:c>
      <x:c r="D604" s="102" t="str">
        <x:v>United Arab Emirates</x:v>
      </x:c>
      <x:c r="E604" s="102"/>
      <x:c r="F604" s="102" t="str">
        <x:v>Active</x:v>
      </x:c>
    </x:row>
    <x:row r="605">
      <x:c r="A605" s="102" t="str">
        <x:v>COMP_ADNOC_LS</x:v>
      </x:c>
      <x:c r="B605" s="102" t="str">
        <x:v>Company</x:v>
      </x:c>
      <x:c r="C605" s="102" t="str">
        <x:v>ADNOC Logistics &amp; Services</x:v>
      </x:c>
      <x:c r="D605" s="102" t="str">
        <x:v>United Arab Emirates</x:v>
      </x:c>
      <x:c r="E605" s="102"/>
      <x:c r="F605" s="102" t="str">
        <x:v>Active</x:v>
      </x:c>
    </x:row>
    <x:row r="606">
      <x:c r="A606" s="102" t="str">
        <x:v>COMP_NAVIG8</x:v>
      </x:c>
      <x:c r="B606" s="102" t="str">
        <x:v>Company</x:v>
      </x:c>
      <x:c r="C606" s="102" t="str">
        <x:v>Navig8</x:v>
      </x:c>
      <x:c r="D606" s="102"/>
      <x:c r="E606" s="102"/>
      <x:c r="F606" s="102" t="str">
        <x:v>Active</x:v>
      </x:c>
    </x:row>
    <x:row r="607">
      <x:c r="A607" s="102" t="str">
        <x:v>COMP_ZMI</x:v>
      </x:c>
      <x:c r="B607" s="102" t="str">
        <x:v>Company</x:v>
      </x:c>
      <x:c r="C607" s="102" t="str">
        <x:v>Zakher Marine International Holdings</x:v>
      </x:c>
      <x:c r="D607" s="102" t="str">
        <x:v>United Arab Emirates</x:v>
      </x:c>
      <x:c r="E607" s="102"/>
      <x:c r="F607" s="102" t="str">
        <x:v>Active</x:v>
      </x:c>
    </x:row>
    <x:row r="608">
      <x:c r="A608" s="102" t="str">
        <x:v>COMP_AW_SHIPPING</x:v>
      </x:c>
      <x:c r="B608" s="102" t="str">
        <x:v>Company</x:v>
      </x:c>
      <x:c r="C608" s="102" t="str">
        <x:v>AW Shipping</x:v>
      </x:c>
      <x:c r="D608" s="102" t="str">
        <x:v>United Arab Emirates / China</x:v>
      </x:c>
      <x:c r="E608" s="102"/>
      <x:c r="F608" s="102" t="str">
        <x:v>Active</x:v>
      </x:c>
    </x:row>
    <x:row r="609">
      <x:c r="A609" s="102" t="str">
        <x:v>COMP_WANHUA</x:v>
      </x:c>
      <x:c r="B609" s="102" t="str">
        <x:v>Company</x:v>
      </x:c>
      <x:c r="C609" s="102" t="str">
        <x:v>Wanhua Chemical Group</x:v>
      </x:c>
      <x:c r="D609" s="102" t="str">
        <x:v>China</x:v>
      </x:c>
      <x:c r="E609" s="102"/>
      <x:c r="F609" s="102" t="str">
        <x:v>Active</x:v>
      </x:c>
    </x:row>
    <x:row r="610">
      <x:c r="A610" s="102" t="str">
        <x:v>COMP_ADNOC_GAS</x:v>
      </x:c>
      <x:c r="B610" s="102" t="str">
        <x:v>Company</x:v>
      </x:c>
      <x:c r="C610" s="102" t="str">
        <x:v>ADNOC Gas</x:v>
      </x:c>
      <x:c r="D610" s="102" t="str">
        <x:v>United Arab Emirates</x:v>
      </x:c>
      <x:c r="E610" s="102"/>
      <x:c r="F610" s="102" t="str">
        <x:v>Active</x:v>
      </x:c>
    </x:row>
    <x:row r="611">
      <x:c r="A611" s="102" t="str">
        <x:v>COMP_BAHRI</x:v>
      </x:c>
      <x:c r="B611" s="102" t="str">
        <x:v>Company</x:v>
      </x:c>
      <x:c r="C611" s="102" t="str">
        <x:v>Bahri</x:v>
      </x:c>
      <x:c r="D611" s="102" t="str">
        <x:v>Saudi Arabia</x:v>
      </x:c>
      <x:c r="E611" s="102"/>
      <x:c r="F611" s="102" t="str">
        <x:v>Active</x:v>
      </x:c>
    </x:row>
    <x:row r="612">
      <x:c r="A612" s="102" t="str">
        <x:v>COMP_NAKILAT</x:v>
      </x:c>
      <x:c r="B612" s="102" t="str">
        <x:v>Company</x:v>
      </x:c>
      <x:c r="C612" s="102" t="str">
        <x:v>Nakilat</x:v>
      </x:c>
      <x:c r="D612" s="102" t="str">
        <x:v>Qatar</x:v>
      </x:c>
      <x:c r="E612" s="102"/>
      <x:c r="F612" s="102" t="str">
        <x:v>Active</x:v>
      </x:c>
    </x:row>
    <x:row r="613">
      <x:c r="A613" s="102" t="str">
        <x:v>COMP_MILAHA</x:v>
      </x:c>
      <x:c r="B613" s="102" t="str">
        <x:v>Company</x:v>
      </x:c>
      <x:c r="C613" s="102" t="str">
        <x:v>Milaha / Qatar Navigation Q.P.S.C.</x:v>
      </x:c>
      <x:c r="D613" s="102" t="str">
        <x:v>Qatar</x:v>
      </x:c>
      <x:c r="E613" s="102"/>
      <x:c r="F613" s="102" t="str">
        <x:v>Active</x:v>
      </x:c>
    </x:row>
    <x:row r="614">
      <x:c r="A614" s="102" t="str">
        <x:v>COMP_QATARENERGY</x:v>
      </x:c>
      <x:c r="B614" s="102" t="str">
        <x:v>Company</x:v>
      </x:c>
      <x:c r="C614" s="102" t="str">
        <x:v>QatarEnergy</x:v>
      </x:c>
      <x:c r="D614" s="102" t="str">
        <x:v>Qatar</x:v>
      </x:c>
      <x:c r="E614" s="102"/>
      <x:c r="F614" s="102" t="str">
        <x:v>Active</x:v>
      </x:c>
    </x:row>
    <x:row r="615">
      <x:c r="A615" s="102" t="str">
        <x:v>COMP_BYD</x:v>
      </x:c>
      <x:c r="B615" s="102" t="str">
        <x:v>Company</x:v>
      </x:c>
      <x:c r="C615" s="102" t="str">
        <x:v>BYD Company / BYD Auto</x:v>
      </x:c>
      <x:c r="D615" s="102" t="str">
        <x:v>China</x:v>
      </x:c>
      <x:c r="E615" s="102"/>
      <x:c r="F615" s="102" t="str">
        <x:v>Active</x:v>
      </x:c>
    </x:row>
    <x:row r="616">
      <x:c r="A616" s="102" t="str">
        <x:v>COMP_ZODIAC</x:v>
      </x:c>
      <x:c r="B616" s="102" t="str">
        <x:v>Company</x:v>
      </x:c>
      <x:c r="C616" s="102" t="str">
        <x:v>Zodiac Maritime</x:v>
      </x:c>
      <x:c r="D616" s="102" t="str">
        <x:v>United Kingdom</x:v>
      </x:c>
      <x:c r="E616" s="102"/>
      <x:c r="F616" s="102" t="str">
        <x:v>Active</x:v>
      </x:c>
    </x:row>
    <x:row r="617">
      <x:c r="A617" s="102" t="str">
        <x:v>COMP_ZIM</x:v>
      </x:c>
      <x:c r="B617" s="102" t="str">
        <x:v>Company</x:v>
      </x:c>
      <x:c r="C617" s="102" t="str">
        <x:v>ZIM Integrated Shipping Services</x:v>
      </x:c>
      <x:c r="D617" s="102" t="str">
        <x:v>Israel</x:v>
      </x:c>
      <x:c r="E617" s="102"/>
      <x:c r="F617" s="102" t="str">
        <x:v>Active</x:v>
      </x:c>
    </x:row>
    <x:row r="618">
      <x:c r="A618" s="102" t="str">
        <x:v>COMP_SINOKOR</x:v>
      </x:c>
      <x:c r="B618" s="102" t="str">
        <x:v>Company</x:v>
      </x:c>
      <x:c r="C618" s="102" t="str">
        <x:v>SINOKOR Merchant Marine</x:v>
      </x:c>
      <x:c r="D618" s="102" t="str">
        <x:v>South Korea</x:v>
      </x:c>
      <x:c r="E618" s="102"/>
      <x:c r="F618" s="102" t="str">
        <x:v>Active</x:v>
      </x:c>
    </x:row>
    <x:row r="619">
      <x:c r="A619" s="102" t="str">
        <x:v>COMP_BP</x:v>
      </x:c>
      <x:c r="B619" s="102" t="str">
        <x:v>Company</x:v>
      </x:c>
      <x:c r="C619" s="102" t="str">
        <x:v>bp p.l.c.</x:v>
      </x:c>
      <x:c r="D619" s="102" t="str">
        <x:v>United Kingdom</x:v>
      </x:c>
      <x:c r="E619" s="102"/>
      <x:c r="F619" s="102" t="str">
        <x:v>Active</x:v>
      </x:c>
    </x:row>
    <x:row r="620">
      <x:c r="A620" s="102" t="str">
        <x:v>COMP_BP_SHIPPING</x:v>
      </x:c>
      <x:c r="B620" s="102" t="str">
        <x:v>Company</x:v>
      </x:c>
      <x:c r="C620" s="102" t="str">
        <x:v>bp Shipping Limited</x:v>
      </x:c>
      <x:c r="D620" s="102" t="str">
        <x:v>United Kingdom</x:v>
      </x:c>
      <x:c r="E620" s="102"/>
      <x:c r="F620" s="102" t="str">
        <x:v>Active</x:v>
      </x:c>
    </x:row>
    <x:row r="621">
      <x:c r="A621" s="102" t="str">
        <x:v>COMP_CHEVRON</x:v>
      </x:c>
      <x:c r="B621" s="102" t="str">
        <x:v>Company</x:v>
      </x:c>
      <x:c r="C621" s="102" t="str">
        <x:v>Chevron Corporation</x:v>
      </x:c>
      <x:c r="D621" s="102" t="str">
        <x:v>United States</x:v>
      </x:c>
      <x:c r="E621" s="102"/>
      <x:c r="F621" s="102" t="str">
        <x:v>Active</x:v>
      </x:c>
    </x:row>
    <x:row r="622">
      <x:c r="A622" s="102" t="str">
        <x:v>COMP_CHEVRON_SHIPPING</x:v>
      </x:c>
      <x:c r="B622" s="102" t="str">
        <x:v>Company</x:v>
      </x:c>
      <x:c r="C622" s="102" t="str">
        <x:v>Chevron Shipping Company</x:v>
      </x:c>
      <x:c r="D622" s="102" t="str">
        <x:v>United States</x:v>
      </x:c>
      <x:c r="E622" s="102"/>
      <x:c r="F622" s="102" t="str">
        <x:v>Active</x:v>
      </x:c>
    </x:row>
    <x:row r="623">
      <x:c r="A623" s="102" t="str">
        <x:v>COMP_EXXON</x:v>
      </x:c>
      <x:c r="B623" s="102" t="str">
        <x:v>Company</x:v>
      </x:c>
      <x:c r="C623" s="102" t="str">
        <x:v>Exxon Mobil Corporation</x:v>
      </x:c>
      <x:c r="D623" s="102" t="str">
        <x:v>United States</x:v>
      </x:c>
      <x:c r="E623" s="102"/>
      <x:c r="F623" s="102" t="str">
        <x:v>Active</x:v>
      </x:c>
    </x:row>
    <x:row r="624">
      <x:c r="A624" s="102" t="str">
        <x:v>COMP_SEARIVER</x:v>
      </x:c>
      <x:c r="B624" s="102" t="str">
        <x:v>Company</x:v>
      </x:c>
      <x:c r="C624" s="102" t="str">
        <x:v>SeaRiver Maritime, Inc.</x:v>
      </x:c>
      <x:c r="D624" s="102" t="str">
        <x:v>United States</x:v>
      </x:c>
      <x:c r="E624" s="102"/>
      <x:c r="F624" s="102" t="str">
        <x:v>Active</x:v>
      </x:c>
    </x:row>
    <x:row r="625">
      <x:c r="A625" s="102" t="str">
        <x:v>COMP_IMT</x:v>
      </x:c>
      <x:c r="B625" s="102" t="str">
        <x:v>Company</x:v>
      </x:c>
      <x:c r="C625" s="102" t="str">
        <x:v>International Marine Transportation Limited</x:v>
      </x:c>
      <x:c r="D625" s="102" t="str">
        <x:v>United Kingdom</x:v>
      </x:c>
      <x:c r="E625" s="102"/>
      <x:c r="F625" s="102" t="str">
        <x:v>Active</x:v>
      </x:c>
    </x:row>
    <x:row r="626">
      <x:c r="A626" s="102" t="str">
        <x:v>COMP_PERFORMANCE_SHIPPING</x:v>
      </x:c>
      <x:c r="B626" s="102" t="str">
        <x:v>Company</x:v>
      </x:c>
      <x:c r="C626" s="102" t="str">
        <x:v>Performance Shipping Inc.</x:v>
      </x:c>
      <x:c r="D626" s="102" t="str">
        <x:v>Greece</x:v>
      </x:c>
      <x:c r="E626" s="102"/>
      <x:c r="F626" s="102" t="str">
        <x:v>Active</x:v>
      </x:c>
    </x:row>
    <x:row r="627">
      <x:c r="A627" s="102" t="str">
        <x:v>COMP_VITOL</x:v>
      </x:c>
      <x:c r="B627" s="102" t="str">
        <x:v>Company</x:v>
      </x:c>
      <x:c r="C627" s="102" t="str">
        <x:v>Vitol</x:v>
      </x:c>
      <x:c r="D627" s="102"/>
      <x:c r="E627" s="102"/>
      <x:c r="F627" s="102" t="str">
        <x:v>Active</x:v>
      </x:c>
    </x:row>
    <x:row r="628">
      <x:c r="A628" s="102" t="str">
        <x:v>COMP_HAPAG_LLOYD</x:v>
      </x:c>
      <x:c r="B628" s="102" t="str">
        <x:v>Company</x:v>
      </x:c>
      <x:c r="C628" s="102" t="str">
        <x:v>Hapag-Lloyd AG</x:v>
      </x:c>
      <x:c r="D628" s="102" t="str">
        <x:v>Germany</x:v>
      </x:c>
      <x:c r="E628" s="102"/>
      <x:c r="F628" s="102" t="str">
        <x:v>Active</x:v>
      </x:c>
    </x:row>
    <x:row r="629">
      <x:c r="A629" s="102" t="str">
        <x:v>COMP_ONE</x:v>
      </x:c>
      <x:c r="B629" s="102" t="str">
        <x:v>Company</x:v>
      </x:c>
      <x:c r="C629" s="102" t="str">
        <x:v>Ocean Network Express Pte. Ltd.</x:v>
      </x:c>
      <x:c r="D629" s="102" t="str">
        <x:v>Singapore</x:v>
      </x:c>
      <x:c r="E629" s="102"/>
      <x:c r="F629" s="102" t="str">
        <x:v>Active</x:v>
      </x:c>
    </x:row>
    <x:row r="630">
      <x:c r="A630" s="102" t="str">
        <x:v>COMP_YANG_MING</x:v>
      </x:c>
      <x:c r="B630" s="102" t="str">
        <x:v>Company</x:v>
      </x:c>
      <x:c r="C630" s="102" t="str">
        <x:v>Yang Ming Marine Transport Corporation</x:v>
      </x:c>
      <x:c r="D630" s="102" t="str">
        <x:v>Taiwan</x:v>
      </x:c>
      <x:c r="E630" s="102"/>
      <x:c r="F630" s="102" t="str">
        <x:v>Active</x:v>
      </x:c>
    </x:row>
    <x:row r="631">
      <x:c r="A631" s="102" t="str">
        <x:v>COMP_HMM</x:v>
      </x:c>
      <x:c r="B631" s="102" t="str">
        <x:v>Company</x:v>
      </x:c>
      <x:c r="C631" s="102" t="str">
        <x:v>HMM Co., Ltd.</x:v>
      </x:c>
      <x:c r="D631" s="102" t="str">
        <x:v>South Korea</x:v>
      </x:c>
      <x:c r="E631" s="102"/>
      <x:c r="F631" s="102" t="str">
        <x:v>Active</x:v>
      </x:c>
    </x:row>
    <x:row r="632">
      <x:c r="A632" s="102" t="str">
        <x:v>COMP_PIL</x:v>
      </x:c>
      <x:c r="B632" s="102" t="str">
        <x:v>Company</x:v>
      </x:c>
      <x:c r="C632" s="102" t="str">
        <x:v>Pacific International Lines (Pte) Ltd</x:v>
      </x:c>
      <x:c r="D632" s="102" t="str">
        <x:v>Singapore</x:v>
      </x:c>
      <x:c r="E632" s="102"/>
      <x:c r="F632" s="102" t="str">
        <x:v>Active</x:v>
      </x:c>
    </x:row>
    <x:row r="633">
      <x:c r="A633" s="102" t="str">
        <x:v>COMP_WAN_HAI</x:v>
      </x:c>
      <x:c r="B633" s="102" t="str">
        <x:v>Company</x:v>
      </x:c>
      <x:c r="C633" s="102" t="str">
        <x:v>Wan Hai Lines Ltd.</x:v>
      </x:c>
      <x:c r="D633" s="102" t="str">
        <x:v>Taiwan</x:v>
      </x:c>
      <x:c r="E633" s="102"/>
      <x:c r="F633" s="102" t="str">
        <x:v>Active</x:v>
      </x:c>
    </x:row>
    <x:row r="634">
      <x:c r="A634" s="102" t="str">
        <x:v>COMP_SEALEAD</x:v>
      </x:c>
      <x:c r="B634" s="102" t="str">
        <x:v>Company</x:v>
      </x:c>
      <x:c r="C634" s="102" t="str">
        <x:v>SeaLead Shipping</x:v>
      </x:c>
      <x:c r="D634" s="102" t="str">
        <x:v>Singapore</x:v>
      </x:c>
      <x:c r="E634" s="102"/>
      <x:c r="F634" s="102" t="str">
        <x:v>Active</x:v>
      </x:c>
    </x:row>
    <x:row r="635">
      <x:c r="A635" s="102" t="str">
        <x:v>COMP_XPRESS</x:v>
      </x:c>
      <x:c r="B635" s="102" t="str">
        <x:v>Company</x:v>
      </x:c>
      <x:c r="C635" s="102" t="str">
        <x:v>X-Press Feeders</x:v>
      </x:c>
      <x:c r="D635" s="102" t="str">
        <x:v>Singapore</x:v>
      </x:c>
      <x:c r="E635" s="102"/>
      <x:c r="F635" s="102" t="str">
        <x:v>Active</x:v>
      </x:c>
    </x:row>
    <x:row r="636">
      <x:c r="A636" s="102" t="str">
        <x:v>COMP_UNIFEEDER</x:v>
      </x:c>
      <x:c r="B636" s="102" t="str">
        <x:v>Company</x:v>
      </x:c>
      <x:c r="C636" s="102" t="str">
        <x:v>Unifeeder A/S</x:v>
      </x:c>
      <x:c r="D636" s="102" t="str">
        <x:v>Denmark</x:v>
      </x:c>
      <x:c r="E636" s="102"/>
      <x:c r="F636" s="102" t="str">
        <x:v>Active</x:v>
      </x:c>
    </x:row>
    <x:row r="637">
      <x:c r="A637" s="102" t="str">
        <x:v>COMP_ESL</x:v>
      </x:c>
      <x:c r="B637" s="102" t="str">
        <x:v>Company</x:v>
      </x:c>
      <x:c r="C637" s="102" t="str">
        <x:v>Emirates Shipping Line</x:v>
      </x:c>
      <x:c r="D637" s="102" t="str">
        <x:v>United Arab Emirates</x:v>
      </x:c>
      <x:c r="E637" s="102"/>
      <x:c r="F637" s="102" t="str">
        <x:v>Active</x:v>
      </x:c>
    </x:row>
    <x:row r="638">
      <x:c r="A638" s="102" t="str">
        <x:v>COMP_SAFEEN_FEEDERS</x:v>
      </x:c>
      <x:c r="B638" s="102" t="str">
        <x:v>Company</x:v>
      </x:c>
      <x:c r="C638" s="102" t="str">
        <x:v>SAFEEN Feeders</x:v>
      </x:c>
      <x:c r="D638" s="102" t="str">
        <x:v>United Arab Emirates</x:v>
      </x:c>
      <x:c r="E638" s="102"/>
      <x:c r="F638" s="102" t="str">
        <x:v>Active</x:v>
      </x:c>
    </x:row>
    <x:row r="639">
      <x:c r="A639" s="102" t="str">
        <x:v>COMP_TRANSMAR</x:v>
      </x:c>
      <x:c r="B639" s="102" t="str">
        <x:v>Company</x:v>
      </x:c>
      <x:c r="C639" s="102" t="str">
        <x:v>Transmar International Shipping</x:v>
      </x:c>
      <x:c r="D639" s="102" t="str">
        <x:v>Egypt</x:v>
      </x:c>
      <x:c r="E639" s="102"/>
      <x:c r="F639" s="102" t="str">
        <x:v>Active</x:v>
      </x:c>
    </x:row>
    <x:row r="640">
      <x:c r="A640" s="102" t="str">
        <x:v>COMP_GFS_SHIP_MGMT</x:v>
      </x:c>
      <x:c r="B640" s="102" t="str">
        <x:v>Company</x:v>
      </x:c>
      <x:c r="C640" s="102" t="str">
        <x:v>GFS Ship Management FZE</x:v>
      </x:c>
      <x:c r="D640" s="102" t="str">
        <x:v>United Arab Emirates</x:v>
      </x:c>
      <x:c r="E640" s="102"/>
      <x:c r="F640" s="102" t="str">
        <x:v>Active</x:v>
      </x:c>
    </x:row>
    <x:row r="641">
      <x:c r="A641" s="102" t="str">
        <x:v>COMP_CHINA_MERCHANTS_GROUP</x:v>
      </x:c>
      <x:c r="B641" s="102" t="str">
        <x:v>Company</x:v>
      </x:c>
      <x:c r="C641" s="102" t="str">
        <x:v>China Merchants Group</x:v>
      </x:c>
      <x:c r="D641" s="102" t="str">
        <x:v>China</x:v>
      </x:c>
      <x:c r="E641" s="102"/>
      <x:c r="F641" s="102" t="str">
        <x:v>Active</x:v>
      </x:c>
    </x:row>
    <x:row r="642">
      <x:c r="A642" s="102" t="str">
        <x:v>COMP_CMES</x:v>
      </x:c>
      <x:c r="B642" s="102" t="str">
        <x:v>Company</x:v>
      </x:c>
      <x:c r="C642" s="102" t="str">
        <x:v>China Merchants Energy Shipping Co., Ltd.</x:v>
      </x:c>
      <x:c r="D642" s="102" t="str">
        <x:v>China</x:v>
      </x:c>
      <x:c r="E642" s="102"/>
      <x:c r="F642" s="102" t="str">
        <x:v>Active</x:v>
      </x:c>
    </x:row>
    <x:row r="643">
      <x:c r="A643" s="102" t="str">
        <x:v>COMP_COSCO_ENERGY</x:v>
      </x:c>
      <x:c r="B643" s="102" t="str">
        <x:v>Company</x:v>
      </x:c>
      <x:c r="C643" s="102" t="str">
        <x:v>COSCO SHIPPING Energy Transportation Co., Ltd.</x:v>
      </x:c>
      <x:c r="D643" s="102" t="str">
        <x:v>China</x:v>
      </x:c>
      <x:c r="E643" s="102"/>
      <x:c r="F643" s="102" t="str">
        <x:v>Active</x:v>
      </x:c>
    </x:row>
    <x:row r="644">
      <x:c r="A644" s="102" t="str">
        <x:v>COMP_FRONTLINE</x:v>
      </x:c>
      <x:c r="B644" s="102" t="str">
        <x:v>Company</x:v>
      </x:c>
      <x:c r="C644" s="102" t="str">
        <x:v>Frontline plc</x:v>
      </x:c>
      <x:c r="D644" s="102" t="str">
        <x:v>Cyprus</x:v>
      </x:c>
      <x:c r="E644" s="102"/>
      <x:c r="F644" s="102" t="str">
        <x:v>Active</x:v>
      </x:c>
    </x:row>
    <x:row r="645">
      <x:c r="A645" s="102" t="str">
        <x:v>COMP_ANGELICOUSSIS_GROUP</x:v>
      </x:c>
      <x:c r="B645" s="102" t="str">
        <x:v>Company</x:v>
      </x:c>
      <x:c r="C645" s="102" t="str">
        <x:v>Angelicoussis Group</x:v>
      </x:c>
      <x:c r="D645" s="102" t="str">
        <x:v>Greece</x:v>
      </x:c>
      <x:c r="E645" s="102"/>
      <x:c r="F645" s="102" t="str">
        <x:v>Active</x:v>
      </x:c>
    </x:row>
    <x:row r="646">
      <x:c r="A646" s="102" t="str">
        <x:v>COMP_MARAN_TANKERS</x:v>
      </x:c>
      <x:c r="B646" s="102" t="str">
        <x:v>Company</x:v>
      </x:c>
      <x:c r="C646" s="102" t="str">
        <x:v>Maran Tankers Management Inc.</x:v>
      </x:c>
      <x:c r="D646" s="102" t="str">
        <x:v>Greece</x:v>
      </x:c>
      <x:c r="E646" s="102"/>
      <x:c r="F646" s="102" t="str">
        <x:v>Active</x:v>
      </x:c>
    </x:row>
    <x:row r="647">
      <x:c r="A647" s="102" t="str">
        <x:v>COMP_MOL</x:v>
      </x:c>
      <x:c r="B647" s="102" t="str">
        <x:v>Company</x:v>
      </x:c>
      <x:c r="C647" s="102" t="str">
        <x:v>Mitsui O.S.K. Lines, Ltd.</x:v>
      </x:c>
      <x:c r="D647" s="102" t="str">
        <x:v>Japan</x:v>
      </x:c>
      <x:c r="E647" s="102"/>
      <x:c r="F647" s="102" t="str">
        <x:v>Active</x:v>
      </x:c>
    </x:row>
    <x:row r="648">
      <x:c r="A648" s="102" t="str">
        <x:v>COMP_DHT</x:v>
      </x:c>
      <x:c r="B648" s="102" t="str">
        <x:v>Company</x:v>
      </x:c>
      <x:c r="C648" s="102" t="str">
        <x:v>DHT Holdings, Inc.</x:v>
      </x:c>
      <x:c r="D648" s="102" t="str">
        <x:v>Bermuda</x:v>
      </x:c>
      <x:c r="E648" s="102"/>
      <x:c r="F648" s="102" t="str">
        <x:v>Active</x:v>
      </x:c>
    </x:row>
    <x:row r="649">
      <x:c r="A649" s="102" t="str">
        <x:v>COMP_NYK</x:v>
      </x:c>
      <x:c r="B649" s="102" t="str">
        <x:v>Company</x:v>
      </x:c>
      <x:c r="C649" s="102" t="str">
        <x:v>Nippon Yusen Kabushiki Kaisha (NYK Line)</x:v>
      </x:c>
      <x:c r="D649" s="102" t="str">
        <x:v>Japan</x:v>
      </x:c>
      <x:c r="E649" s="102"/>
      <x:c r="F649" s="102" t="str">
        <x:v>Active</x:v>
      </x:c>
    </x:row>
    <x:row r="650">
      <x:c r="A650" s="102" t="str">
        <x:v>COMP_ASYAD_GROUP</x:v>
      </x:c>
      <x:c r="B650" s="102" t="str">
        <x:v>Company</x:v>
      </x:c>
      <x:c r="C650" s="102" t="str">
        <x:v>Asyad Group</x:v>
      </x:c>
      <x:c r="D650" s="102" t="str">
        <x:v>Oman</x:v>
      </x:c>
      <x:c r="E650" s="102"/>
      <x:c r="F650" s="102" t="str">
        <x:v>Active</x:v>
      </x:c>
    </x:row>
    <x:row r="651">
      <x:c r="A651" s="102" t="str">
        <x:v>COMP_ASYAD_SHIPPING</x:v>
      </x:c>
      <x:c r="B651" s="102" t="str">
        <x:v>Company</x:v>
      </x:c>
      <x:c r="C651" s="102" t="str">
        <x:v>Asyad Shipping Company</x:v>
      </x:c>
      <x:c r="D651" s="102" t="str">
        <x:v>Oman</x:v>
      </x:c>
      <x:c r="E651" s="102"/>
      <x:c r="F651" s="102" t="str">
        <x:v>Active</x:v>
      </x:c>
    </x:row>
    <x:row r="652">
      <x:c r="A652" s="102" t="str">
        <x:v>COMP_NITC</x:v>
      </x:c>
      <x:c r="B652" s="102" t="str">
        <x:v>Company</x:v>
      </x:c>
      <x:c r="C652" s="102" t="str">
        <x:v>National Iranian Tanker Company</x:v>
      </x:c>
      <x:c r="D652" s="102" t="str">
        <x:v>Iran</x:v>
      </x:c>
      <x:c r="E652" s="102"/>
      <x:c r="F652" s="102" t="str">
        <x:v>Active</x:v>
      </x:c>
    </x:row>
    <x:row r="653">
      <x:c r="A653" s="102" t="str">
        <x:v>COMP_BC_FERRIES</x:v>
      </x:c>
      <x:c r="B653" s="102" t="str">
        <x:v>Company</x:v>
      </x:c>
      <x:c r="C653" s="102" t="str">
        <x:v>BC Ferries</x:v>
      </x:c>
      <x:c r="D653" s="102" t="str">
        <x:v>Canada</x:v>
      </x:c>
      <x:c r="E653" s="102"/>
      <x:c r="F653" s="102" t="str">
        <x:v>Active</x:v>
      </x:c>
    </x:row>
    <x:row r="654">
      <x:c r="A654" s="102" t="str">
        <x:v>COMP_WSF</x:v>
      </x:c>
      <x:c r="B654" s="102" t="str">
        <x:v>Company</x:v>
      </x:c>
      <x:c r="C654" s="102" t="str">
        <x:v>Washington State Ferries</x:v>
      </x:c>
      <x:c r="D654" s="102" t="str">
        <x:v>United States</x:v>
      </x:c>
      <x:c r="E654" s="102"/>
      <x:c r="F654" s="102" t="str">
        <x:v>Active</x:v>
      </x:c>
    </x:row>
    <x:row r="655">
      <x:c r="A655" s="102" t="str">
        <x:v>COMP_AMHS</x:v>
      </x:c>
      <x:c r="B655" s="102" t="str">
        <x:v>Company</x:v>
      </x:c>
      <x:c r="C655" s="102" t="str">
        <x:v>Alaska Marine Highway System</x:v>
      </x:c>
      <x:c r="D655" s="102" t="str">
        <x:v>United States</x:v>
      </x:c>
      <x:c r="E655" s="102"/>
      <x:c r="F655" s="102" t="str">
        <x:v>Active</x:v>
      </x:c>
    </x:row>
    <x:row r="656">
      <x:c r="A656" s="102" t="str">
        <x:v>COMP_MARINE_ATLANTIC</x:v>
      </x:c>
      <x:c r="B656" s="102" t="str">
        <x:v>Company</x:v>
      </x:c>
      <x:c r="C656" s="102" t="str">
        <x:v>Marine Atlantic</x:v>
      </x:c>
      <x:c r="D656" s="102" t="str">
        <x:v>Canada</x:v>
      </x:c>
      <x:c r="E656" s="102"/>
      <x:c r="F656" s="102" t="str">
        <x:v>Active</x:v>
      </x:c>
    </x:row>
    <x:row r="657">
      <x:c r="A657" s="102" t="str">
        <x:v>COMP_PO_FERRIES</x:v>
      </x:c>
      <x:c r="B657" s="102" t="str">
        <x:v>Company</x:v>
      </x:c>
      <x:c r="C657" s="102" t="str">
        <x:v>P&amp;O Ferries</x:v>
      </x:c>
      <x:c r="D657" s="102" t="str">
        <x:v>United Kingdom</x:v>
      </x:c>
      <x:c r="E657" s="102"/>
      <x:c r="F657" s="102" t="str">
        <x:v>Active</x:v>
      </x:c>
    </x:row>
    <x:row r="658">
      <x:c r="A658" s="102" t="str">
        <x:v>COMP_DFDS</x:v>
      </x:c>
      <x:c r="B658" s="102" t="str">
        <x:v>Company</x:v>
      </x:c>
      <x:c r="C658" s="102" t="str">
        <x:v>DFDS</x:v>
      </x:c>
      <x:c r="D658" s="102" t="str">
        <x:v>Denmark</x:v>
      </x:c>
      <x:c r="E658" s="102"/>
      <x:c r="F658" s="102" t="str">
        <x:v>Active</x:v>
      </x:c>
    </x:row>
    <x:row r="659">
      <x:c r="A659" s="102" t="str">
        <x:v>COMP_MOL_SUNFLOWER</x:v>
      </x:c>
      <x:c r="B659" s="102" t="str">
        <x:v>Company</x:v>
      </x:c>
      <x:c r="C659" s="102" t="str">
        <x:v>MOL Sunflower</x:v>
      </x:c>
      <x:c r="D659" s="102" t="str">
        <x:v>Japan</x:v>
      </x:c>
      <x:c r="E659" s="102"/>
      <x:c r="F659" s="102" t="str">
        <x:v>Active</x:v>
      </x:c>
    </x:row>
    <x:row r="660">
      <x:c r="A660" s="102" t="str">
        <x:v>COMP_2GO</x:v>
      </x:c>
      <x:c r="B660" s="102" t="str">
        <x:v>Company</x:v>
      </x:c>
      <x:c r="C660" s="102" t="str">
        <x:v>2GO Group / 2GO Travel</x:v>
      </x:c>
      <x:c r="D660" s="102" t="str">
        <x:v>Philippines</x:v>
      </x:c>
      <x:c r="E660" s="102"/>
      <x:c r="F660" s="102" t="str">
        <x:v>Active</x:v>
      </x:c>
    </x:row>
    <x:row r="661">
      <x:c r="A661" s="102" t="str">
        <x:v>COMP_ASDP</x:v>
      </x:c>
      <x:c r="B661" s="102" t="str">
        <x:v>Company</x:v>
      </x:c>
      <x:c r="C661" s="102" t="str">
        <x:v>PT ASDP Indonesia Ferry</x:v>
      </x:c>
      <x:c r="D661" s="102" t="str">
        <x:v>Indonesia</x:v>
      </x:c>
      <x:c r="E661" s="102"/>
      <x:c r="F661" s="102" t="str">
        <x:v>Active</x:v>
      </x:c>
    </x:row>
    <x:row r="662">
      <x:c r="A662" s="102" t="str">
        <x:v>COMP_STAR_FERRY</x:v>
      </x:c>
      <x:c r="B662" s="102" t="str">
        <x:v>Company</x:v>
      </x:c>
      <x:c r="C662" s="102" t="str">
        <x:v>The Star Ferry Company</x:v>
      </x:c>
      <x:c r="D662" s="102" t="str">
        <x:v>Hong Kong, China</x:v>
      </x:c>
      <x:c r="E662" s="102"/>
      <x:c r="F662" s="102" t="str">
        <x:v>Active</x:v>
      </x:c>
    </x:row>
    <x:row r="663">
      <x:c r="A663" s="102" t="str">
        <x:v>COMP_AB_MARITIME</x:v>
      </x:c>
      <x:c r="B663" s="102" t="str">
        <x:v>Company</x:v>
      </x:c>
      <x:c r="C663" s="102" t="str">
        <x:v>Arab Bridge Maritime</x:v>
      </x:c>
      <x:c r="D663" s="102" t="str">
        <x:v>Jordan</x:v>
      </x:c>
      <x:c r="E663" s="102"/>
      <x:c r="F663" s="102" t="str">
        <x:v>Active</x:v>
      </x:c>
    </x:row>
    <x:row r="664">
      <x:c r="A664" s="102" t="str">
        <x:v>COMP_SEALINK_KI</x:v>
      </x:c>
      <x:c r="B664" s="102" t="str">
        <x:v>Company</x:v>
      </x:c>
      <x:c r="C664" s="102" t="str">
        <x:v>SeaLink Kangaroo Island</x:v>
      </x:c>
      <x:c r="D664" s="102" t="str">
        <x:v>Australia</x:v>
      </x:c>
      <x:c r="E664" s="102"/>
      <x:c r="F664" s="102" t="str">
        <x:v>Active</x:v>
      </x:c>
    </x:row>
    <x:row r="665">
      <x:c r="A665" s="102" t="str">
        <x:v>COMP_FULLERS360</x:v>
      </x:c>
      <x:c r="B665" s="102" t="str">
        <x:v>Company</x:v>
      </x:c>
      <x:c r="C665" s="102" t="str">
        <x:v>Fullers360</x:v>
      </x:c>
      <x:c r="D665" s="102" t="str">
        <x:v>New Zealand</x:v>
      </x:c>
      <x:c r="E665" s="102"/>
      <x:c r="F665" s="102" t="str">
        <x:v>Active</x:v>
      </x:c>
    </x:row>
    <x:row r="666">
      <x:c r="A666" s="102" t="str">
        <x:v>COMP_CALMAC</x:v>
      </x:c>
      <x:c r="B666" s="102" t="str">
        <x:v>Company</x:v>
      </x:c>
      <x:c r="C666" s="102" t="str">
        <x:v>CalMac Ferries / Caledonian MacBrayne</x:v>
      </x:c>
      <x:c r="D666" s="102" t="str">
        <x:v>United Kingdom</x:v>
      </x:c>
      <x:c r="E666" s="102"/>
      <x:c r="F666" s="102" t="str">
        <x:v>Active</x:v>
      </x:c>
    </x:row>
    <x:row r="667">
      <x:c r="A667" s="102" t="str">
        <x:v>COMP_CSL_GROUP</x:v>
      </x:c>
      <x:c r="B667" s="102" t="str">
        <x:v>Company</x:v>
      </x:c>
      <x:c r="C667" s="102" t="str">
        <x:v>The CSL Group</x:v>
      </x:c>
      <x:c r="D667" s="102" t="str">
        <x:v>Canada</x:v>
      </x:c>
      <x:c r="E667" s="102"/>
      <x:c r="F667" s="102" t="str">
        <x:v>Active</x:v>
      </x:c>
    </x:row>
    <x:row r="668">
      <x:c r="A668" s="102" t="str">
        <x:v>COMP_CSL_CANADA</x:v>
      </x:c>
      <x:c r="B668" s="102" t="str">
        <x:v>Company</x:v>
      </x:c>
      <x:c r="C668" s="102" t="str">
        <x:v>Canada Steamship Lines</x:v>
      </x:c>
      <x:c r="D668" s="102" t="str">
        <x:v>Canada</x:v>
      </x:c>
      <x:c r="E668" s="102"/>
      <x:c r="F668" s="102" t="str">
        <x:v>Active</x:v>
      </x:c>
    </x:row>
    <x:row r="669">
      <x:c r="A669" s="102" t="str">
        <x:v>COMP_CSL_AUSTRALIA</x:v>
      </x:c>
      <x:c r="B669" s="102" t="str">
        <x:v>Company</x:v>
      </x:c>
      <x:c r="C669" s="102" t="str">
        <x:v>CSL Australia</x:v>
      </x:c>
      <x:c r="D669" s="102" t="str">
        <x:v>Australia</x:v>
      </x:c>
      <x:c r="E669" s="102"/>
      <x:c r="F669" s="102" t="str">
        <x:v>Active</x:v>
      </x:c>
    </x:row>
    <x:row r="670">
      <x:c r="A670" s="102" t="str">
        <x:v>COMP_CSL_AMERICAS</x:v>
      </x:c>
      <x:c r="B670" s="102" t="str">
        <x:v>Company</x:v>
      </x:c>
      <x:c r="C670" s="102" t="str">
        <x:v>CSL Americas</x:v>
      </x:c>
      <x:c r="D670" s="102" t="str">
        <x:v>United States</x:v>
      </x:c>
      <x:c r="E670" s="102"/>
      <x:c r="F670" s="102" t="str">
        <x:v>Active</x:v>
      </x:c>
    </x:row>
    <x:row r="671">
      <x:c r="A671" s="102" t="str">
        <x:v>COMP_ALGOMA</x:v>
      </x:c>
      <x:c r="B671" s="102" t="str">
        <x:v>Company</x:v>
      </x:c>
      <x:c r="C671" s="102" t="str">
        <x:v>Algoma Central Corporation</x:v>
      </x:c>
      <x:c r="D671" s="102" t="str">
        <x:v>Canada</x:v>
      </x:c>
      <x:c r="E671" s="102"/>
      <x:c r="F671" s="102" t="str">
        <x:v>Active</x:v>
      </x:c>
    </x:row>
    <x:row r="672">
      <x:c r="A672" s="102" t="str">
        <x:v>COMP_INTERLAKE</x:v>
      </x:c>
      <x:c r="B672" s="102" t="str">
        <x:v>Company</x:v>
      </x:c>
      <x:c r="C672" s="102" t="str">
        <x:v>The Interlake Steamship Company</x:v>
      </x:c>
      <x:c r="D672" s="102" t="str">
        <x:v>United States</x:v>
      </x:c>
      <x:c r="E672" s="102"/>
      <x:c r="F672" s="102" t="str">
        <x:v>Active</x:v>
      </x:c>
    </x:row>
    <x:row r="673">
      <x:c r="A673" s="102" t="str">
        <x:v>COMP_CN</x:v>
      </x:c>
      <x:c r="B673" s="102" t="str">
        <x:v>Company</x:v>
      </x:c>
      <x:c r="C673" s="102" t="str">
        <x:v>Canadian National Railway / CN</x:v>
      </x:c>
      <x:c r="D673" s="102" t="str">
        <x:v>Canada</x:v>
      </x:c>
      <x:c r="E673" s="102"/>
      <x:c r="F673" s="102" t="str">
        <x:v>Active</x:v>
      </x:c>
    </x:row>
    <x:row r="674">
      <x:c r="A674" s="102" t="str">
        <x:v>COMP_GREAT_LAKES_FLEET</x:v>
      </x:c>
      <x:c r="B674" s="102" t="str">
        <x:v>Company</x:v>
      </x:c>
      <x:c r="C674" s="102" t="str">
        <x:v>Great Lakes Fleet</x:v>
      </x:c>
      <x:c r="D674" s="102" t="str">
        <x:v>United States</x:v>
      </x:c>
      <x:c r="E674" s="102"/>
      <x:c r="F674" s="102" t="str">
        <x:v>Active</x:v>
      </x:c>
    </x:row>
    <x:row r="675">
      <x:c r="A675" s="102" t="str">
        <x:v>COMP_FEDNAV</x:v>
      </x:c>
      <x:c r="B675" s="102" t="str">
        <x:v>Company</x:v>
      </x:c>
      <x:c r="C675" s="102" t="str">
        <x:v>Fednav</x:v>
      </x:c>
      <x:c r="D675" s="102" t="str">
        <x:v>Canada</x:v>
      </x:c>
      <x:c r="E675" s="102"/>
      <x:c r="F675" s="102" t="str">
        <x:v>Active</x:v>
      </x:c>
    </x:row>
    <x:row r="676">
      <x:c r="A676" s="102" t="str">
        <x:v>COMP_MCKEIL</x:v>
      </x:c>
      <x:c r="B676" s="102" t="str">
        <x:v>Company</x:v>
      </x:c>
      <x:c r="C676" s="102" t="str">
        <x:v>McKeil Marine</x:v>
      </x:c>
      <x:c r="D676" s="102" t="str">
        <x:v>Canada</x:v>
      </x:c>
      <x:c r="E676" s="102"/>
      <x:c r="F676" s="102" t="str">
        <x:v>Active</x:v>
      </x:c>
    </x:row>
    <x:row r="677">
      <x:c r="A677" s="102" t="str">
        <x:v>COMP_MAINSTAY</x:v>
      </x:c>
      <x:c r="B677" s="102" t="str">
        <x:v>Company</x:v>
      </x:c>
      <x:c r="C677" s="102" t="str">
        <x:v>Mainstay Maritime</x:v>
      </x:c>
      <x:c r="D677" s="102" t="str">
        <x:v>United States</x:v>
      </x:c>
      <x:c r="E677" s="102"/>
      <x:c r="F677" s="102" t="str">
        <x:v>Active</x:v>
      </x:c>
    </x:row>
    <x:row r="678">
      <x:c r="A678" s="102" t="str">
        <x:v>COMP_ASC</x:v>
      </x:c>
      <x:c r="B678" s="102" t="str">
        <x:v>Company</x:v>
      </x:c>
      <x:c r="C678" s="102" t="str">
        <x:v>American Steamship Company</x:v>
      </x:c>
      <x:c r="D678" s="102" t="str">
        <x:v>United States</x:v>
      </x:c>
      <x:c r="E678" s="102"/>
      <x:c r="F678" s="102" t="str">
        <x:v>Active</x:v>
      </x:c>
    </x:row>
    <x:row r="679">
      <x:c r="A679" s="102" t="str">
        <x:v>COMP_GRN</x:v>
      </x:c>
      <x:c r="B679" s="102" t="str">
        <x:v>Company</x:v>
      </x:c>
      <x:c r="C679" s="102" t="str">
        <x:v>Grand River Navigation</x:v>
      </x:c>
      <x:c r="D679" s="102" t="str">
        <x:v>United States</x:v>
      </x:c>
      <x:c r="E679" s="102"/>
      <x:c r="F679" s="102" t="str">
        <x:v>Active</x:v>
      </x:c>
    </x:row>
    <x:row r="680">
      <x:c r="A680" s="102" t="str">
        <x:v>COMP_ANDRIE</x:v>
      </x:c>
      <x:c r="B680" s="102" t="str">
        <x:v>Company</x:v>
      </x:c>
      <x:c r="C680" s="102" t="str">
        <x:v>Andrie</x:v>
      </x:c>
      <x:c r="D680" s="102" t="str">
        <x:v>United States</x:v>
      </x:c>
      <x:c r="E680" s="102"/>
      <x:c r="F680" s="102" t="str">
        <x:v>Active</x:v>
      </x:c>
    </x:row>
    <x:row r="681">
      <x:c r="A681" s="102" t="str">
        <x:v>COMP_VICTORY_CRUISE</x:v>
      </x:c>
      <x:c r="B681" s="102" t="str">
        <x:v>Company</x:v>
      </x:c>
      <x:c r="C681" s="102" t="str">
        <x:v>Victory Cruise Lines</x:v>
      </x:c>
      <x:c r="D681" s="102" t="str">
        <x:v>United States</x:v>
      </x:c>
      <x:c r="E681" s="102"/>
      <x:c r="F681" s="102" t="str">
        <x:v>Active</x:v>
      </x:c>
    </x:row>
    <x:row r="682">
      <x:c r="A682" s="102" t="str">
        <x:v>COMP_PEARL_SEAS</x:v>
      </x:c>
      <x:c r="B682" s="102" t="str">
        <x:v>Company</x:v>
      </x:c>
      <x:c r="C682" s="102" t="str">
        <x:v>Pearl Seas Cruises</x:v>
      </x:c>
      <x:c r="D682" s="102" t="str">
        <x:v>United States</x:v>
      </x:c>
      <x:c r="E682" s="102"/>
      <x:c r="F682" s="102" t="str">
        <x:v>Active</x:v>
      </x:c>
    </x:row>
    <x:row r="683">
      <x:c r="A683" s="102" t="str">
        <x:v>COMP_VIKING</x:v>
      </x:c>
      <x:c r="B683" s="102" t="str">
        <x:v>Company</x:v>
      </x:c>
      <x:c r="C683" s="102" t="str">
        <x:v>Viking</x:v>
      </x:c>
      <x:c r="D683" s="102"/>
      <x:c r="E683" s="102"/>
      <x:c r="F683" s="102" t="str">
        <x:v>Active</x:v>
      </x:c>
    </x:row>
    <x:row r="684">
      <x:c r="A684" s="102" t="str">
        <x:v>COMP_PONANT</x:v>
      </x:c>
      <x:c r="B684" s="102" t="str">
        <x:v>Company</x:v>
      </x:c>
      <x:c r="C684" s="102" t="str">
        <x:v>Ponant</x:v>
      </x:c>
      <x:c r="D684" s="102" t="str">
        <x:v>France</x:v>
      </x:c>
      <x:c r="E684" s="102"/>
      <x:c r="F684" s="102" t="str">
        <x:v>Active</x:v>
      </x:c>
    </x:row>
    <x:row r="685">
      <x:c r="A685" s="102" t="str">
        <x:v>COMP_HAPAG_LLOYD_CRUISES</x:v>
      </x:c>
      <x:c r="B685" s="102" t="str">
        <x:v>Company</x:v>
      </x:c>
      <x:c r="C685" s="102" t="str">
        <x:v>Hapag-Lloyd Cruises</x:v>
      </x:c>
      <x:c r="D685" s="102" t="str">
        <x:v>Germany</x:v>
      </x:c>
      <x:c r="E685" s="102"/>
      <x:c r="F685" s="102" t="str">
        <x:v>Active</x:v>
      </x:c>
    </x:row>
    <x:row r="686">
      <x:c r="A686" s="102" t="str">
        <x:v>COMP_AMERICAN_CRUISE</x:v>
      </x:c>
      <x:c r="B686" s="102" t="str">
        <x:v>Company</x:v>
      </x:c>
      <x:c r="C686" s="102" t="str">
        <x:v>American Cruise Lines</x:v>
      </x:c>
      <x:c r="D686" s="102" t="str">
        <x:v>United States</x:v>
      </x:c>
      <x:c r="E686" s="102"/>
      <x:c r="F686" s="102" t="str">
        <x:v>Active</x:v>
      </x:c>
    </x:row>
    <x:row r="687">
      <x:c r="A687" s="102" t="str">
        <x:v>COMP_ST_LAWRENCE_CRUISE</x:v>
      </x:c>
      <x:c r="B687" s="102" t="str">
        <x:v>Company</x:v>
      </x:c>
      <x:c r="C687" s="102" t="str">
        <x:v>St. Lawrence Cruise Lines</x:v>
      </x:c>
      <x:c r="D687" s="102" t="str">
        <x:v>Canada</x:v>
      </x:c>
      <x:c r="E687" s="102"/>
      <x:c r="F687" s="102" t="str">
        <x:v>Active</x:v>
      </x:c>
    </x:row>
    <x:row r="688">
      <x:c r="A688" s="102" t="str">
        <x:v>COMP_EUREKA_SHIPPING</x:v>
      </x:c>
      <x:c r="B688" s="102" t="str">
        <x:v>Company</x:v>
      </x:c>
      <x:c r="C688" s="102" t="str">
        <x:v>Eureka Shipping</x:v>
      </x:c>
      <x:c r="D688" s="102"/>
      <x:c r="E688" s="102"/>
      <x:c r="F688" s="102" t="str">
        <x:v>Active</x:v>
      </x:c>
    </x:row>
    <x:row r="689">
      <x:c r="A689" s="102" t="str">
        <x:v>COMP_SMT_SHIPPING</x:v>
      </x:c>
      <x:c r="B689" s="102" t="str">
        <x:v>Company</x:v>
      </x:c>
      <x:c r="C689" s="102" t="str">
        <x:v>SMT Shipping</x:v>
      </x:c>
      <x:c r="D689" s="102"/>
      <x:c r="E689" s="102"/>
      <x:c r="F689" s="102" t="str">
        <x:v>Active</x:v>
      </x:c>
    </x:row>
    <x:row r="690">
      <x:c r="A690" s="102" t="str">
        <x:v>COMP_ALGOMA_TANKERS</x:v>
      </x:c>
      <x:c r="B690" s="102" t="str">
        <x:v>Company</x:v>
      </x:c>
      <x:c r="C690" s="102" t="str">
        <x:v>Algoma Tankers Chartering Limited</x:v>
      </x:c>
      <x:c r="D690" s="102" t="str">
        <x:v>Canada</x:v>
      </x:c>
      <x:c r="E690" s="102"/>
      <x:c r="F690" s="102" t="str">
        <x:v>Active</x:v>
      </x:c>
    </x:row>
    <x:row r="691">
      <x:c r="A691" s="102" t="str">
        <x:v>COMP_FUNDY_TANKERS</x:v>
      </x:c>
      <x:c r="B691" s="102" t="str">
        <x:v>Company</x:v>
      </x:c>
      <x:c r="C691" s="102" t="str">
        <x:v>Fundy Tankers Ltd.</x:v>
      </x:c>
      <x:c r="D691" s="102" t="str">
        <x:v>Canada</x:v>
      </x:c>
      <x:c r="E691" s="102"/>
      <x:c r="F691" s="102" t="str">
        <x:v>Active</x:v>
      </x:c>
    </x:row>
    <x:row r="692">
      <x:c r="A692" s="102" t="str">
        <x:v>COMP_LOWER_LAKES</x:v>
      </x:c>
      <x:c r="B692" s="102" t="str">
        <x:v>Company</x:v>
      </x:c>
      <x:c r="C692" s="102" t="str">
        <x:v>Lower Lakes Towing</x:v>
      </x:c>
      <x:c r="D692" s="102" t="str">
        <x:v>Canada</x:v>
      </x:c>
      <x:c r="E692" s="102"/>
      <x:c r="F692" s="102" t="str">
        <x:v>Active</x:v>
      </x:c>
    </x:row>
    <x:row r="693">
      <x:c r="A693" s="102" t="str">
        <x:v>COMP_KEY_LAKES</x:v>
      </x:c>
      <x:c r="B693" s="102" t="str">
        <x:v>Company</x:v>
      </x:c>
      <x:c r="C693" s="102" t="str">
        <x:v>Key Lakes, Inc.</x:v>
      </x:c>
      <x:c r="D693" s="102" t="str">
        <x:v>United States</x:v>
      </x:c>
      <x:c r="E693" s="102"/>
      <x:c r="F693" s="102" t="str">
        <x:v>Active</x:v>
      </x:c>
    </x:row>
    <x:row r="694">
      <x:c r="A694" s="102" t="str">
        <x:v>COMP_LAKE_MICHIGAN_CARFERRY</x:v>
      </x:c>
      <x:c r="B694" s="102" t="str">
        <x:v>Company</x:v>
      </x:c>
      <x:c r="C694" s="102" t="str">
        <x:v>Lake Michigan Carferry</x:v>
      </x:c>
      <x:c r="D694" s="102" t="str">
        <x:v>United States</x:v>
      </x:c>
      <x:c r="E694" s="102"/>
      <x:c r="F694" s="102" t="str">
        <x:v>Active</x:v>
      </x:c>
    </x:row>
    <x:row r="695">
      <x:c r="A695" s="102" t="str">
        <x:v>COMP_BROOKFIELD_AM</x:v>
      </x:c>
      <x:c r="B695" s="102" t="str">
        <x:v>Company</x:v>
      </x:c>
      <x:c r="C695" s="102" t="str">
        <x:v>Brookfield Asset Management</x:v>
      </x:c>
      <x:c r="D695" s="102" t="str">
        <x:v>Canada</x:v>
      </x:c>
      <x:c r="E695" s="102"/>
      <x:c r="F695" s="102" t="str">
        <x:v>Active</x:v>
      </x:c>
    </x:row>
    <x:row r="696">
      <x:c r="A696" s="102" t="str">
        <x:v>COMP_BROOKFIELD_INFRA</x:v>
      </x:c>
      <x:c r="B696" s="102" t="str">
        <x:v>Company</x:v>
      </x:c>
      <x:c r="C696" s="102" t="str">
        <x:v>Brookfield Infrastructure Partners</x:v>
      </x:c>
      <x:c r="D696" s="102" t="str">
        <x:v>Bermuda</x:v>
      </x:c>
      <x:c r="E696" s="102"/>
      <x:c r="F696" s="102" t="str">
        <x:v>Active</x:v>
      </x:c>
    </x:row>
    <x:row r="697">
      <x:c r="A697" s="102" t="str">
        <x:v>COMP_KKR</x:v>
      </x:c>
      <x:c r="B697" s="102" t="str">
        <x:v>Company</x:v>
      </x:c>
      <x:c r="C697" s="102" t="str">
        <x:v>KKR &amp; Co. Inc.</x:v>
      </x:c>
      <x:c r="D697" s="102" t="str">
        <x:v>United States</x:v>
      </x:c>
      <x:c r="E697" s="102"/>
      <x:c r="F697" s="102" t="str">
        <x:v>Active</x:v>
      </x:c>
    </x:row>
    <x:row r="698">
      <x:c r="A698" s="102" t="str">
        <x:v>COMP_MIRASTAR</x:v>
      </x:c>
      <x:c r="B698" s="102" t="str">
        <x:v>Company</x:v>
      </x:c>
      <x:c r="C698" s="102" t="str">
        <x:v>Mirastar</x:v>
      </x:c>
      <x:c r="D698" s="102" t="str">
        <x:v>United Kingdom</x:v>
      </x:c>
      <x:c r="E698" s="102"/>
      <x:c r="F698" s="102" t="str">
        <x:v>Active</x:v>
      </x:c>
    </x:row>
    <x:row r="699">
      <x:c r="A699" s="102" t="str">
        <x:v>COMP_STONEPEAK</x:v>
      </x:c>
      <x:c r="B699" s="102" t="str">
        <x:v>Company</x:v>
      </x:c>
      <x:c r="C699" s="102" t="str">
        <x:v>Stonepeak</x:v>
      </x:c>
      <x:c r="D699" s="102" t="str">
        <x:v>United States</x:v>
      </x:c>
      <x:c r="E699" s="102"/>
      <x:c r="F699" s="102" t="str">
        <x:v>Active</x:v>
      </x:c>
    </x:row>
    <x:row r="700">
      <x:c r="A700" s="102" t="str">
        <x:v>COMP_BLACKROCK</x:v>
      </x:c>
      <x:c r="B700" s="102" t="str">
        <x:v>Company</x:v>
      </x:c>
      <x:c r="C700" s="102" t="str">
        <x:v>BlackRock, Inc.</x:v>
      </x:c>
      <x:c r="D700" s="102" t="str">
        <x:v>United States</x:v>
      </x:c>
      <x:c r="E700" s="102"/>
      <x:c r="F700" s="102" t="str">
        <x:v>Active</x:v>
      </x:c>
    </x:row>
    <x:row r="701">
      <x:c r="A701" s="102" t="str">
        <x:v>COMP_GIP</x:v>
      </x:c>
      <x:c r="B701" s="102" t="str">
        <x:v>Company</x:v>
      </x:c>
      <x:c r="C701" s="102" t="str">
        <x:v>Global Infrastructure Partners</x:v>
      </x:c>
      <x:c r="D701" s="102" t="str">
        <x:v>United States</x:v>
      </x:c>
      <x:c r="E701" s="102"/>
      <x:c r="F701" s="102" t="str">
        <x:v>Active</x:v>
      </x:c>
    </x:row>
    <x:row r="702">
      <x:c r="A702" s="102" t="str">
        <x:v>COMP_MACQUARIE_AM</x:v>
      </x:c>
      <x:c r="B702" s="102" t="str">
        <x:v>Company</x:v>
      </x:c>
      <x:c r="C702" s="102" t="str">
        <x:v>Macquarie Asset Management</x:v>
      </x:c>
      <x:c r="D702" s="102" t="str">
        <x:v>Australia</x:v>
      </x:c>
      <x:c r="E702" s="102"/>
      <x:c r="F702" s="102" t="str">
        <x:v>Active</x:v>
      </x:c>
    </x:row>
    <x:row r="703">
      <x:c r="A703" s="102" t="str">
        <x:v>COMP_IFM</x:v>
      </x:c>
      <x:c r="B703" s="102" t="str">
        <x:v>Company</x:v>
      </x:c>
      <x:c r="C703" s="102" t="str">
        <x:v>IFM Investors</x:v>
      </x:c>
      <x:c r="D703" s="102" t="str">
        <x:v>Australia</x:v>
      </x:c>
      <x:c r="E703" s="102"/>
      <x:c r="F703" s="102" t="str">
        <x:v>Active</x:v>
      </x:c>
    </x:row>
    <x:row r="704">
      <x:c r="A704" s="102" t="str">
        <x:v>COMP_BLACKSTONE</x:v>
      </x:c>
      <x:c r="B704" s="102" t="str">
        <x:v>Company</x:v>
      </x:c>
      <x:c r="C704" s="102" t="str">
        <x:v>Blackstone Inc.</x:v>
      </x:c>
      <x:c r="D704" s="102" t="str">
        <x:v>United States</x:v>
      </x:c>
      <x:c r="E704" s="102"/>
      <x:c r="F704" s="102" t="str">
        <x:v>Active</x:v>
      </x:c>
    </x:row>
    <x:row r="705">
      <x:c r="A705" s="102" t="str">
        <x:v>COMP_PROXITY</x:v>
      </x:c>
      <x:c r="B705" s="102" t="str">
        <x:v>Company</x:v>
      </x:c>
      <x:c r="C705" s="102" t="str">
        <x:v>Proxity</x:v>
      </x:c>
      <x:c r="D705" s="102" t="str">
        <x:v>Germany</x:v>
      </x:c>
      <x:c r="E705" s="102"/>
      <x:c r="F705" s="102" t="str">
        <x:v>Active</x:v>
      </x:c>
    </x:row>
    <x:row r="706">
      <x:c r="A706" s="102" t="str">
        <x:v>COMP_PROLOGIS</x:v>
      </x:c>
      <x:c r="B706" s="102" t="str">
        <x:v>Company</x:v>
      </x:c>
      <x:c r="C706" s="102" t="str">
        <x:v>Prologis, Inc.</x:v>
      </x:c>
      <x:c r="D706" s="102" t="str">
        <x:v>United States</x:v>
      </x:c>
      <x:c r="E706" s="102"/>
      <x:c r="F706" s="102" t="str">
        <x:v>Active</x:v>
      </x:c>
    </x:row>
    <x:row r="707">
      <x:c r="A707" s="102" t="str">
        <x:v>COMP_GIC</x:v>
      </x:c>
      <x:c r="B707" s="102" t="str">
        <x:v>Company</x:v>
      </x:c>
      <x:c r="C707" s="102" t="str">
        <x:v>GIC</x:v>
      </x:c>
      <x:c r="D707" s="102" t="str">
        <x:v>Singapore</x:v>
      </x:c>
      <x:c r="E707" s="102"/>
      <x:c r="F707" s="102" t="str">
        <x:v>Active</x:v>
      </x:c>
    </x:row>
    <x:row r="708">
      <x:c r="A708" s="102" t="str">
        <x:v>COMP_LA_CAISSE</x:v>
      </x:c>
      <x:c r="B708" s="102" t="str">
        <x:v>Company</x:v>
      </x:c>
      <x:c r="C708" s="102" t="str">
        <x:v>La Caisse (CDPQ)</x:v>
      </x:c>
      <x:c r="D708" s="102" t="str">
        <x:v>Canada</x:v>
      </x:c>
      <x:c r="E708" s="102"/>
      <x:c r="F708" s="102" t="str">
        <x:v>Active</x:v>
      </x:c>
    </x:row>
    <x:row r="709">
      <x:c r="A709" s="102" t="str">
        <x:v>COMP_ESR</x:v>
      </x:c>
      <x:c r="B709" s="102" t="str">
        <x:v>Company</x:v>
      </x:c>
      <x:c r="C709" s="102" t="str">
        <x:v>ESR Group</x:v>
      </x:c>
      <x:c r="D709" s="102" t="str">
        <x:v>Hong Kong SAR</x:v>
      </x:c>
      <x:c r="E709" s="102"/>
      <x:c r="F709" s="102" t="str">
        <x:v>Active</x:v>
      </x:c>
    </x:row>
    <x:row r="710">
      <x:c r="A710" s="102" t="str">
        <x:v>COMP_CIC</x:v>
      </x:c>
      <x:c r="B710" s="102" t="str">
        <x:v>Company</x:v>
      </x:c>
      <x:c r="C710" s="102" t="str">
        <x:v>China Investment Corporation</x:v>
      </x:c>
      <x:c r="D710" s="102" t="str">
        <x:v>China</x:v>
      </x:c>
      <x:c r="E710" s="102"/>
      <x:c r="F710" s="102" t="str">
        <x:v>Active</x:v>
      </x:c>
    </x:row>
    <x:row r="711">
      <x:c r="A711" s="102" t="str">
        <x:v>COMP_LOGICOR</x:v>
      </x:c>
      <x:c r="B711" s="102" t="str">
        <x:v>Company</x:v>
      </x:c>
      <x:c r="C711" s="102" t="str">
        <x:v>Logicor</x:v>
      </x:c>
      <x:c r="D711" s="102" t="str">
        <x:v>United Kingdom / Luxembourg</x:v>
      </x:c>
      <x:c r="E711" s="102"/>
      <x:c r="F711" s="102" t="str">
        <x:v>Active</x:v>
      </x:c>
    </x:row>
    <x:row r="712">
      <x:c r="A712" s="102" t="str">
        <x:v>COMP_CARESUPER</x:v>
      </x:c>
      <x:c r="B712" s="102" t="str">
        <x:v>Company</x:v>
      </x:c>
      <x:c r="C712" s="102" t="str">
        <x:v>CareSuper</x:v>
      </x:c>
      <x:c r="D712" s="102" t="str">
        <x:v>Australia</x:v>
      </x:c>
      <x:c r="E712" s="102"/>
      <x:c r="F712" s="102" t="str">
        <x:v>Active</x:v>
      </x:c>
    </x:row>
    <x:row r="713">
      <x:c r="A713" s="102" t="str">
        <x:v>COMP_UNITED_PORTS</x:v>
      </x:c>
      <x:c r="B713" s="102" t="str">
        <x:v>Company</x:v>
      </x:c>
      <x:c r="C713" s="102" t="str">
        <x:v>United Ports LLC</x:v>
      </x:c>
      <x:c r="D713" s="102" t="str">
        <x:v>United States</x:v>
      </x:c>
      <x:c r="E713" s="102"/>
      <x:c r="F713" s="102" t="str">
        <x:v>Active</x:v>
      </x:c>
    </x:row>
    <x:row r="714">
      <x:c r="A714" s="102" t="str">
        <x:v>COMP_GEELONGPORT</x:v>
      </x:c>
      <x:c r="B714" s="102" t="str">
        <x:v>Company</x:v>
      </x:c>
      <x:c r="C714" s="102" t="str">
        <x:v>GeelongPort Pty Limited</x:v>
      </x:c>
      <x:c r="D714" s="102" t="str">
        <x:v>Australia</x:v>
      </x:c>
      <x:c r="E714" s="102"/>
      <x:c r="F714" s="102" t="str">
        <x:v>Active</x:v>
      </x:c>
    </x:row>
    <x:row r="715">
      <x:c r="A715" s="102" t="str">
        <x:v>COMP_ITS</x:v>
      </x:c>
      <x:c r="B715" s="102" t="str">
        <x:v>Company</x:v>
      </x:c>
      <x:c r="C715" s="102" t="str">
        <x:v>International Transportation Service</x:v>
      </x:c>
      <x:c r="D715" s="102" t="str">
        <x:v>United States</x:v>
      </x:c>
      <x:c r="E715" s="102"/>
      <x:c r="F715" s="102" t="str">
        <x:v>Active</x:v>
      </x:c>
    </x:row>
    <x:row r="716">
      <x:c r="A716" s="102" t="str">
        <x:v>COMP_PLP</x:v>
      </x:c>
      <x:c r="B716" s="102" t="str">
        <x:v>Company</x:v>
      </x:c>
      <x:c r="C716" s="102" t="str">
        <x:v>PLP</x:v>
      </x:c>
      <x:c r="D716" s="102" t="str">
        <x:v>United Kingdom</x:v>
      </x:c>
      <x:c r="E716" s="102"/>
      <x:c r="F716" s="102" t="str">
        <x:v>Active</x:v>
      </x:c>
    </x:row>
    <x:row r="717">
      <x:c r="A717" s="102" t="str">
        <x:v>COMP_PLIVE</x:v>
      </x:c>
      <x:c r="B717" s="102" t="str">
        <x:v>Company</x:v>
      </x:c>
      <x:c r="C717" s="102" t="str">
        <x:v>Prologis Logistics Investment Venture Europe</x:v>
      </x:c>
      <x:c r="D717" s="102" t="str">
        <x:v>Europe</x:v>
      </x:c>
      <x:c r="E717" s="102"/>
      <x:c r="F717" s="102" t="str">
        <x:v>Active</x:v>
      </x:c>
    </x:row>
    <x:row r="718">
      <x:c r="A718" s="102" t="str">
        <x:v>COMP_TBILISI_DRY_PORT</x:v>
      </x:c>
      <x:c r="B718" s="102" t="str">
        <x:v>Company</x:v>
      </x:c>
      <x:c r="C718" s="102" t="str">
        <x:v>Tbilisi Dry Port LLC</x:v>
      </x:c>
      <x:c r="D718" s="102" t="str">
        <x:v>Georgia</x:v>
      </x:c>
      <x:c r="E718" s="102"/>
      <x:c r="F718" s="102" t="str">
        <x:v>Active</x:v>
      </x:c>
    </x:row>
    <x:row r="719">
      <x:c r="A719" s="102" t="str">
        <x:v>COMP_WILHELMSEN_PORT_SERVICES</x:v>
      </x:c>
      <x:c r="B719" s="102" t="str">
        <x:v>Company</x:v>
      </x:c>
      <x:c r="C719" s="102" t="str">
        <x:v>Wilhelmsen Port Services</x:v>
      </x:c>
      <x:c r="D719" s="102" t="str">
        <x:v>Norway</x:v>
      </x:c>
      <x:c r="E719" s="102"/>
      <x:c r="F719" s="102" t="str">
        <x:v>Active</x:v>
      </x:c>
    </x:row>
    <x:row r="720">
      <x:c r="A720" s="102" t="str">
        <x:v>COMP_INVECO</x:v>
      </x:c>
      <x:c r="B720" s="102" t="str">
        <x:v>Company</x:v>
      </x:c>
      <x:c r="C720" s="102" t="str">
        <x:v>Inveco LLC</x:v>
      </x:c>
      <x:c r="D720" s="102" t="str">
        <x:v>Georgia</x:v>
      </x:c>
      <x:c r="E720" s="102"/>
      <x:c r="F720" s="102" t="str">
        <x:v>Active</x:v>
      </x:c>
    </x:row>
    <x:row r="721">
      <x:c r="A721" s="102" t="str">
        <x:v>COMP_CENTREPORT</x:v>
      </x:c>
      <x:c r="B721" s="102" t="str">
        <x:v>Company</x:v>
      </x:c>
      <x:c r="C721" s="102" t="str">
        <x:v>CentrePort Canada Inc.</x:v>
      </x:c>
      <x:c r="D721" s="102" t="str">
        <x:v>Canada</x:v>
      </x:c>
      <x:c r="E721" s="102"/>
      <x:c r="F721" s="102" t="str">
        <x:v>Active</x:v>
      </x:c>
    </x:row>
    <x:row r="722">
      <x:c r="A722" s="102" t="str">
        <x:v>COMP_ETIHAD_RAIL</x:v>
      </x:c>
      <x:c r="B722" s="102" t="str">
        <x:v>Company</x:v>
      </x:c>
      <x:c r="C722" s="102" t="str">
        <x:v>Etihad Rail</x:v>
      </x:c>
      <x:c r="D722" s="102" t="str">
        <x:v>United Arab Emirates</x:v>
      </x:c>
      <x:c r="E722" s="102"/>
      <x:c r="F722" s="102" t="str">
        <x:v>Active</x:v>
      </x:c>
    </x:row>
    <x:row r="723">
      <x:c r="A723" s="102" t="str">
        <x:v>COMP_KEZAD</x:v>
      </x:c>
      <x:c r="B723" s="102" t="str">
        <x:v>Company</x:v>
      </x:c>
      <x:c r="C723" s="102" t="str">
        <x:v>KEZAD Group</x:v>
      </x:c>
      <x:c r="D723" s="102" t="str">
        <x:v>United Arab Emirates</x:v>
      </x:c>
      <x:c r="E723" s="102"/>
      <x:c r="F723" s="102" t="str">
        <x:v>Active</x:v>
      </x:c>
    </x:row>
    <x:row r="724">
      <x:c r="A724" s="102" t="str">
        <x:v>COMP_JAFZA</x:v>
      </x:c>
      <x:c r="B724" s="102" t="str">
        <x:v>Company</x:v>
      </x:c>
      <x:c r="C724" s="102" t="str">
        <x:v>Jebel Ali Free Zone (JAFZA)</x:v>
      </x:c>
      <x:c r="D724" s="102" t="str">
        <x:v>United Arab Emirates</x:v>
      </x:c>
      <x:c r="E724" s="102"/>
      <x:c r="F724" s="102" t="str">
        <x:v>Active</x:v>
      </x:c>
    </x:row>
    <x:row r="725">
      <x:c r="A725" s="42" t="str">
        <x:v>COMP_DHL_AG</x:v>
      </x:c>
      <x:c r="B725" s="42" t="str">
        <x:v>Company</x:v>
      </x:c>
      <x:c r="C725" s="42" t="str">
        <x:v>DHL AG</x:v>
      </x:c>
      <x:c r="D725" s="42" t="str">
        <x:v>Germany</x:v>
      </x:c>
      <x:c r="E725" s="42" t="str"/>
      <x:c r="F725" s="42" t="str">
        <x:v>Active</x:v>
      </x:c>
    </x:row>
    <x:row r="726">
      <x:c r="A726" s="42" t="str">
        <x:v>COMP_DHL_EXPRESS</x:v>
      </x:c>
      <x:c r="B726" s="42" t="str">
        <x:v>Company</x:v>
      </x:c>
      <x:c r="C726" s="42" t="str">
        <x:v>DHL Express</x:v>
      </x:c>
      <x:c r="D726" s="42" t="str">
        <x:v>Germany</x:v>
      </x:c>
      <x:c r="E726" s="42" t="str">
        <x:v>COMP_DHL_AG</x:v>
      </x:c>
      <x:c r="F726" s="42" t="str">
        <x:v>Active</x:v>
      </x:c>
    </x:row>
    <x:row r="727">
      <x:c r="A727" s="42" t="str">
        <x:v>COMP_DHL_GLOBAL_FORWARDING</x:v>
      </x:c>
      <x:c r="B727" s="42" t="str">
        <x:v>Company</x:v>
      </x:c>
      <x:c r="C727" s="42" t="str">
        <x:v>DHL Global Forwarding</x:v>
      </x:c>
      <x:c r="D727" s="42" t="str">
        <x:v>Germany</x:v>
      </x:c>
      <x:c r="E727" s="42" t="str">
        <x:v>COMP_DHL_AG</x:v>
      </x:c>
      <x:c r="F727" s="42" t="str">
        <x:v>Active</x:v>
      </x:c>
    </x:row>
    <x:row r="728">
      <x:c r="A728" s="42" t="str">
        <x:v>COMP_DHL_SUPPLY_CHAIN</x:v>
      </x:c>
      <x:c r="B728" s="42" t="str">
        <x:v>Company</x:v>
      </x:c>
      <x:c r="C728" s="42" t="str">
        <x:v>DHL Supply Chain</x:v>
      </x:c>
      <x:c r="D728" s="42" t="str">
        <x:v>Germany</x:v>
      </x:c>
      <x:c r="E728" s="42" t="str">
        <x:v>COMP_DHL_AG</x:v>
      </x:c>
      <x:c r="F728" s="42" t="str">
        <x:v>Active</x:v>
      </x:c>
    </x:row>
    <x:row r="729">
      <x:c r="A729" s="42" t="str">
        <x:v>COMP_DHL_ECOMMERCE</x:v>
      </x:c>
      <x:c r="B729" s="42" t="str">
        <x:v>Company</x:v>
      </x:c>
      <x:c r="C729" s="42" t="str">
        <x:v>DHL eCommerce</x:v>
      </x:c>
      <x:c r="D729" s="42" t="str">
        <x:v>Germany</x:v>
      </x:c>
      <x:c r="E729" s="42" t="str">
        <x:v>COMP_DHL_AG</x:v>
      </x:c>
      <x:c r="F729" s="42" t="str">
        <x:v>Active</x:v>
      </x:c>
    </x:row>
    <x:row r="730">
      <x:c r="A730" s="42" t="str">
        <x:v>COMP_DEUTSCHE_POST</x:v>
      </x:c>
      <x:c r="B730" s="42" t="str">
        <x:v>Company</x:v>
      </x:c>
      <x:c r="C730" s="42" t="str">
        <x:v>Deutsche Post AG</x:v>
      </x:c>
      <x:c r="D730" s="42" t="str">
        <x:v>Germany</x:v>
      </x:c>
      <x:c r="E730" s="42" t="str">
        <x:v>COMP_DHL_AG</x:v>
      </x:c>
      <x:c r="F730" s="42" t="str">
        <x:v>Active</x:v>
      </x:c>
    </x:row>
    <x:row r="731">
      <x:c r="A731" s="42" t="str">
        <x:v>COMP_DHL_AVIATION</x:v>
      </x:c>
      <x:c r="B731" s="42" t="str">
        <x:v>Company</x:v>
      </x:c>
      <x:c r="C731" s="42" t="str">
        <x:v>DHL Aviation</x:v>
      </x:c>
      <x:c r="D731" s="42" t="str">
        <x:v>Germany</x:v>
      </x:c>
      <x:c r="E731" s="42" t="str">
        <x:v>COMP_DHL_AG</x:v>
      </x:c>
      <x:c r="F731" s="42" t="str">
        <x:v>Active</x:v>
      </x:c>
    </x:row>
    <x:row r="732">
      <x:c r="A732" s="42" t="str">
        <x:v>COMP_FEDEX_CORP</x:v>
      </x:c>
      <x:c r="B732" s="42" t="str">
        <x:v>Company</x:v>
      </x:c>
      <x:c r="C732" s="42" t="str">
        <x:v>FedEx Corporation</x:v>
      </x:c>
      <x:c r="D732" s="42" t="str">
        <x:v>United States</x:v>
      </x:c>
      <x:c r="E732" s="42" t="str"/>
      <x:c r="F732" s="42" t="str">
        <x:v>Active</x:v>
      </x:c>
    </x:row>
    <x:row r="733">
      <x:c r="A733" s="42" t="str">
        <x:v>COMP_FEDERAL_EXPRESS</x:v>
      </x:c>
      <x:c r="B733" s="42" t="str">
        <x:v>Company</x:v>
      </x:c>
      <x:c r="C733" s="42" t="str">
        <x:v>Federal Express Corporation</x:v>
      </x:c>
      <x:c r="D733" s="42" t="str">
        <x:v>United States</x:v>
      </x:c>
      <x:c r="E733" s="42" t="str">
        <x:v>COMP_FEDEX_CORP</x:v>
      </x:c>
      <x:c r="F733" s="42" t="str">
        <x:v>Active</x:v>
      </x:c>
    </x:row>
    <x:row r="734">
      <x:c r="A734" s="42" t="str">
        <x:v>COMP_FEDEX_SUPPLY_CHAIN</x:v>
      </x:c>
      <x:c r="B734" s="42" t="str">
        <x:v>Company</x:v>
      </x:c>
      <x:c r="C734" s="42" t="str">
        <x:v>FedEx Supply Chain</x:v>
      </x:c>
      <x:c r="D734" s="42" t="str">
        <x:v>United States</x:v>
      </x:c>
      <x:c r="E734" s="42" t="str">
        <x:v>COMP_FEDEX_CORP</x:v>
      </x:c>
      <x:c r="F734" s="42" t="str">
        <x:v>Active</x:v>
      </x:c>
    </x:row>
    <x:row r="735">
      <x:c r="A735" s="42" t="str">
        <x:v>COMP_FEDEX_FREIGHT</x:v>
      </x:c>
      <x:c r="B735" s="42" t="str">
        <x:v>Company</x:v>
      </x:c>
      <x:c r="C735" s="42" t="str">
        <x:v>FedEx Freight Holding Company</x:v>
      </x:c>
      <x:c r="D735" s="42" t="str">
        <x:v>United States</x:v>
      </x:c>
      <x:c r="E735" s="42" t="str"/>
      <x:c r="F735" s="42" t="str">
        <x:v>Active</x:v>
      </x:c>
    </x:row>
    <x:row r="736">
      <x:c r="A736" s="42" t="str">
        <x:v>COMP_AMAZON</x:v>
      </x:c>
      <x:c r="B736" s="42" t="str">
        <x:v>Company</x:v>
      </x:c>
      <x:c r="C736" s="42" t="str">
        <x:v>Amazon.com, Inc.</x:v>
      </x:c>
      <x:c r="D736" s="42" t="str">
        <x:v>United States</x:v>
      </x:c>
      <x:c r="E736" s="42" t="str"/>
      <x:c r="F736" s="42" t="str">
        <x:v>Active</x:v>
      </x:c>
    </x:row>
    <x:row r="737">
      <x:c r="A737" s="42" t="str">
        <x:v>COMP_AMAZON_SUPPLY_CHAIN</x:v>
      </x:c>
      <x:c r="B737" s="42" t="str">
        <x:v>Company</x:v>
      </x:c>
      <x:c r="C737" s="42" t="str">
        <x:v>Amazon Supply Chain Services</x:v>
      </x:c>
      <x:c r="D737" s="42" t="str">
        <x:v>United States</x:v>
      </x:c>
      <x:c r="E737" s="42" t="str">
        <x:v>COMP_AMAZON</x:v>
      </x:c>
      <x:c r="F737" s="42" t="str">
        <x:v>Active</x:v>
      </x:c>
    </x:row>
    <x:row r="738">
      <x:c r="A738" s="42" t="str">
        <x:v>COMP_AMAZON_GLOBAL_LOGISTICS</x:v>
      </x:c>
      <x:c r="B738" s="42" t="str">
        <x:v>Company</x:v>
      </x:c>
      <x:c r="C738" s="42" t="str">
        <x:v>Amazon Global Logistics</x:v>
      </x:c>
      <x:c r="D738" s="42" t="str">
        <x:v>United States</x:v>
      </x:c>
      <x:c r="E738" s="42" t="str">
        <x:v>COMP_AMAZON</x:v>
      </x:c>
      <x:c r="F738" s="42" t="str">
        <x:v>Active</x:v>
      </x:c>
    </x:row>
    <x:row r="739">
      <x:c r="A739" s="42" t="str">
        <x:v>COMP_AMAZON_FREIGHT</x:v>
      </x:c>
      <x:c r="B739" s="42" t="str">
        <x:v>Company</x:v>
      </x:c>
      <x:c r="C739" s="42" t="str">
        <x:v>Amazon Freight</x:v>
      </x:c>
      <x:c r="D739" s="42" t="str">
        <x:v>United States</x:v>
      </x:c>
      <x:c r="E739" s="42" t="str">
        <x:v>COMP_AMAZON</x:v>
      </x:c>
      <x:c r="F739" s="42" t="str">
        <x:v>Active</x:v>
      </x:c>
    </x:row>
    <x:row r="740">
      <x:c r="A740" s="42" t="str">
        <x:v>COMP_AMAZON_AIR</x:v>
      </x:c>
      <x:c r="B740" s="42" t="str">
        <x:v>Company</x:v>
      </x:c>
      <x:c r="C740" s="42" t="str">
        <x:v>Amazon Air</x:v>
      </x:c>
      <x:c r="D740" s="42" t="str">
        <x:v>United States</x:v>
      </x:c>
      <x:c r="E740" s="42" t="str">
        <x:v>COMP_AMAZON</x:v>
      </x:c>
      <x:c r="F740" s="42" t="str">
        <x:v>Active</x:v>
      </x:c>
    </x:row>
    <x:row r="741">
      <x:c r="A741" s="42" t="str">
        <x:v>COMP_SUN_COUNTRY</x:v>
      </x:c>
      <x:c r="B741" s="42" t="str">
        <x:v>Company</x:v>
      </x:c>
      <x:c r="C741" s="42" t="str">
        <x:v>Sun Country Airlines</x:v>
      </x:c>
      <x:c r="D741" s="42" t="str">
        <x:v>United States</x:v>
      </x:c>
      <x:c r="E741" s="42" t="str">
        <x:v>COMP_ALLEGIANT</x:v>
      </x:c>
      <x:c r="F741" s="42" t="str">
        <x:v>Active</x:v>
      </x:c>
    </x:row>
    <x:row r="742">
      <x:c r="A742" s="42" t="str">
        <x:v>COMP_ALLEGIANT</x:v>
      </x:c>
      <x:c r="B742" s="42" t="str">
        <x:v>Company</x:v>
      </x:c>
      <x:c r="C742" s="42" t="str">
        <x:v>Allegiant Travel Company</x:v>
      </x:c>
      <x:c r="D742" s="42" t="str">
        <x:v>United States</x:v>
      </x:c>
      <x:c r="E742" s="42" t="str"/>
      <x:c r="F742" s="42" t="str">
        <x:v>Active</x:v>
      </x:c>
    </x:row>
    <x:row r="743">
      <x:c r="A743" s="42" t="str">
        <x:v>COMP_ADQ</x:v>
      </x:c>
      <x:c r="B743" s="42" t="str">
        <x:v>Company</x:v>
      </x:c>
      <x:c r="C743" s="42" t="str">
        <x:v>Abu Dhabi Developmental Holding Company PJSC (ADQ)</x:v>
      </x:c>
      <x:c r="D743" s="42" t="str">
        <x:v>United Arab Emirates</x:v>
      </x:c>
      <x:c r="E743" s="42" t="str"/>
      <x:c r="F743" s="42" t="str">
        <x:v>Active</x:v>
      </x:c>
    </x:row>
    <x:row r="744">
      <x:c r="A744" s="42" t="str">
        <x:v>COMP_Q_LOGISTICS</x:v>
      </x:c>
      <x:c r="B744" s="42" t="str">
        <x:v>Company</x:v>
      </x:c>
      <x:c r="C744" s="42" t="str">
        <x:v>Q Logistics Holding LLC</x:v>
      </x:c>
      <x:c r="D744" s="42" t="str">
        <x:v>United Arab Emirates</x:v>
      </x:c>
      <x:c r="E744" s="42" t="str">
        <x:v>COMP_ADQ</x:v>
      </x:c>
      <x:c r="F744" s="42" t="str">
        <x:v>Active</x:v>
      </x:c>
    </x:row>
    <x:row r="745">
      <x:c r="A745" s="42" t="str">
        <x:v>COMP_ARAMEX</x:v>
      </x:c>
      <x:c r="B745" s="42" t="str">
        <x:v>Company</x:v>
      </x:c>
      <x:c r="C745" s="42" t="str">
        <x:v>Aramex PJSC</x:v>
      </x:c>
      <x:c r="D745" s="42" t="str">
        <x:v>United Arab Emirates</x:v>
      </x:c>
      <x:c r="E745" s="42" t="str">
        <x:v>COMP_ADQ</x:v>
      </x:c>
      <x:c r="F745" s="42" t="str">
        <x:v>Active</x:v>
      </x:c>
    </x:row>
    <x:row r="746">
      <x:c r="A746" s="42" t="str">
        <x:v>PERSON_0034</x:v>
      </x:c>
      <x:c r="B746" s="42" t="str">
        <x:v>Person</x:v>
      </x:c>
      <x:c r="C746" s="42" t="str">
        <x:v>Tobias Meyer</x:v>
      </x:c>
      <x:c r="D746" s="42" t="str"/>
      <x:c r="E746" s="42" t="str"/>
      <x:c r="F746" s="42" t="str">
        <x:v>Active</x:v>
      </x:c>
    </x:row>
    <x:row r="747">
      <x:c r="A747" s="42" t="str">
        <x:v>PERSON_0035</x:v>
      </x:c>
      <x:c r="B747" s="42" t="str">
        <x:v>Person</x:v>
      </x:c>
      <x:c r="C747" s="42" t="str">
        <x:v>John Pearson</x:v>
      </x:c>
      <x:c r="D747" s="42" t="str"/>
      <x:c r="E747" s="42" t="str"/>
      <x:c r="F747" s="42" t="str">
        <x:v>Active</x:v>
      </x:c>
    </x:row>
    <x:row r="748">
      <x:c r="A748" s="42" t="str">
        <x:v>PERSON_0036</x:v>
      </x:c>
      <x:c r="B748" s="42" t="str">
        <x:v>Person</x:v>
      </x:c>
      <x:c r="C748" s="42" t="str">
        <x:v>Hendrik Venter</x:v>
      </x:c>
      <x:c r="D748" s="42" t="str"/>
      <x:c r="E748" s="42" t="str"/>
      <x:c r="F748" s="42" t="str">
        <x:v>Active</x:v>
      </x:c>
    </x:row>
    <x:row r="749">
      <x:c r="A749" s="42" t="str">
        <x:v>PERSON_0037</x:v>
      </x:c>
      <x:c r="B749" s="42" t="str">
        <x:v>Person</x:v>
      </x:c>
      <x:c r="C749" s="42" t="str">
        <x:v>Oscar de Bok</x:v>
      </x:c>
      <x:c r="D749" s="42" t="str"/>
      <x:c r="E749" s="42" t="str"/>
      <x:c r="F749" s="42" t="str">
        <x:v>Active</x:v>
      </x:c>
    </x:row>
    <x:row r="750">
      <x:c r="A750" s="42" t="str">
        <x:v>PERSON_0038</x:v>
      </x:c>
      <x:c r="B750" s="42" t="str">
        <x:v>Person</x:v>
      </x:c>
      <x:c r="C750" s="42" t="str">
        <x:v>Pablo Ciano</x:v>
      </x:c>
      <x:c r="D750" s="42" t="str"/>
      <x:c r="E750" s="42" t="str"/>
      <x:c r="F750" s="42" t="str">
        <x:v>Active</x:v>
      </x:c>
    </x:row>
    <x:row r="751">
      <x:c r="A751" s="42" t="str">
        <x:v>PERSON_0039</x:v>
      </x:c>
      <x:c r="B751" s="42" t="str">
        <x:v>Person</x:v>
      </x:c>
      <x:c r="C751" s="42" t="str">
        <x:v>Raj Subramaniam</x:v>
      </x:c>
      <x:c r="D751" s="42" t="str"/>
      <x:c r="E751" s="42" t="str"/>
      <x:c r="F751" s="42" t="str">
        <x:v>Active</x:v>
      </x:c>
    </x:row>
    <x:row r="752">
      <x:c r="A752" s="42" t="str">
        <x:v>PERSON_0040</x:v>
      </x:c>
      <x:c r="B752" s="42" t="str">
        <x:v>Person</x:v>
      </x:c>
      <x:c r="C752" s="42" t="str">
        <x:v>Andy Jassy</x:v>
      </x:c>
      <x:c r="D752" s="42" t="str"/>
      <x:c r="E752" s="42" t="str"/>
      <x:c r="F752" s="42" t="str">
        <x:v>Active</x:v>
      </x:c>
    </x:row>
    <x:row r="753">
      <x:c r="A753" s="42" t="str">
        <x:v>PERSON_0041</x:v>
      </x:c>
      <x:c r="B753" s="42" t="str">
        <x:v>Person</x:v>
      </x:c>
      <x:c r="C753" s="42" t="str">
        <x:v>Amadou Diallo</x:v>
      </x:c>
      <x:c r="D753" s="42" t="str"/>
      <x:c r="E753" s="42" t="str"/>
      <x:c r="F753" s="42" t="str">
        <x:v>Active</x:v>
      </x:c>
    </x:row>
    <x:row r="754">
      <x:c r="A754" t="str">
        <x:v>COMP_TERMINAL_LINK</x:v>
      </x:c>
      <x:c r="B754" t="str">
        <x:v>Company</x:v>
      </x:c>
      <x:c r="C754" t="str">
        <x:v>Terminal Link</x:v>
      </x:c>
      <x:c r="D754" t="str">
        <x:v>France</x:v>
      </x:c>
      <x:c r="E754" t="str">
        <x:v>COMP_CMA_TERMINALS</x:v>
      </x:c>
      <x:c r="F754" t="str">
        <x:v>Active</x:v>
      </x:c>
    </x:row>
    <x:row r="755">
      <x:c r="A755" t="str">
        <x:v>PORTG0001</x:v>
      </x:c>
      <x:c r="B755" t="str">
        <x:v>Port</x:v>
      </x:c>
      <x:c r="C755" t="str">
        <x:v>Sydney</x:v>
      </x:c>
      <x:c r="D755" t="str">
        <x:v>Australia</x:v>
      </x:c>
      <x:c r="E755"/>
      <x:c r="F755" t="str">
        <x:v>Active</x:v>
      </x:c>
    </x:row>
    <x:row r="756">
      <x:c r="A756" t="str">
        <x:v>PORTG0002</x:v>
      </x:c>
      <x:c r="B756" t="str">
        <x:v>Port</x:v>
      </x:c>
      <x:c r="C756" t="str">
        <x:v>Brisbane</x:v>
      </x:c>
      <x:c r="D756" t="str">
        <x:v>Australia</x:v>
      </x:c>
      <x:c r="E756"/>
      <x:c r="F756" t="str">
        <x:v>Active</x:v>
      </x:c>
    </x:row>
    <x:row r="757">
      <x:c r="A757" t="str">
        <x:v>PORTG0003</x:v>
      </x:c>
      <x:c r="B757" t="str">
        <x:v>Port</x:v>
      </x:c>
      <x:c r="C757" t="str">
        <x:v>Melbourne</x:v>
      </x:c>
      <x:c r="D757" t="str">
        <x:v>Australia</x:v>
      </x:c>
      <x:c r="E757"/>
      <x:c r="F757" t="str">
        <x:v>Active</x:v>
      </x:c>
    </x:row>
    <x:row r="758">
      <x:c r="A758" t="str">
        <x:v>PORTG0004</x:v>
      </x:c>
      <x:c r="B758" t="str">
        <x:v>Port</x:v>
      </x:c>
      <x:c r="C758" t="str">
        <x:v>Fremantle</x:v>
      </x:c>
      <x:c r="D758" t="str">
        <x:v>Australia</x:v>
      </x:c>
      <x:c r="E758"/>
      <x:c r="F758" t="str">
        <x:v>Active</x:v>
      </x:c>
    </x:row>
    <x:row r="759">
      <x:c r="A759" t="str">
        <x:v>PORTG0005</x:v>
      </x:c>
      <x:c r="B759" t="str">
        <x:v>Port</x:v>
      </x:c>
      <x:c r="C759" t="str">
        <x:v>Qingdao</x:v>
      </x:c>
      <x:c r="D759" t="str">
        <x:v>China</x:v>
      </x:c>
      <x:c r="E759"/>
      <x:c r="F759" t="str">
        <x:v>Active</x:v>
      </x:c>
    </x:row>
    <x:row r="760">
      <x:c r="A760" t="str">
        <x:v>PORTG0006</x:v>
      </x:c>
      <x:c r="B760" t="str">
        <x:v>Port</x:v>
      </x:c>
      <x:c r="C760" t="str">
        <x:v>Yantai</x:v>
      </x:c>
      <x:c r="D760" t="str">
        <x:v>China</x:v>
      </x:c>
      <x:c r="E760"/>
      <x:c r="F760" t="str">
        <x:v>Active</x:v>
      </x:c>
    </x:row>
    <x:row r="761">
      <x:c r="A761" t="str">
        <x:v>PORTG0007</x:v>
      </x:c>
      <x:c r="B761" t="str">
        <x:v>Port</x:v>
      </x:c>
      <x:c r="C761" t="str">
        <x:v>Hong Kong</x:v>
      </x:c>
      <x:c r="D761" t="str">
        <x:v>China</x:v>
      </x:c>
      <x:c r="E761"/>
      <x:c r="F761" t="str">
        <x:v>Active</x:v>
      </x:c>
    </x:row>
    <x:row r="762">
      <x:c r="A762" t="str">
        <x:v>PORTG0008</x:v>
      </x:c>
      <x:c r="B762" t="str">
        <x:v>Port</x:v>
      </x:c>
      <x:c r="C762" t="str">
        <x:v>Yiwu Port</x:v>
      </x:c>
      <x:c r="D762" t="str">
        <x:v>China</x:v>
      </x:c>
      <x:c r="E762"/>
      <x:c r="F762" t="str">
        <x:v>Active</x:v>
      </x:c>
    </x:row>
    <x:row r="763">
      <x:c r="A763" t="str">
        <x:v>PORTG0009</x:v>
      </x:c>
      <x:c r="B763" t="str">
        <x:v>Port</x:v>
      </x:c>
      <x:c r="C763" t="str">
        <x:v>Belawan</x:v>
      </x:c>
      <x:c r="D763" t="str">
        <x:v>Indonesia</x:v>
      </x:c>
      <x:c r="E763"/>
      <x:c r="F763" t="str">
        <x:v>Active</x:v>
      </x:c>
    </x:row>
    <x:row r="764">
      <x:c r="A764" t="str">
        <x:v>PORTG0010</x:v>
      </x:c>
      <x:c r="B764" t="str">
        <x:v>Port</x:v>
      </x:c>
      <x:c r="C764" t="str">
        <x:v>East Java / Gresik</x:v>
      </x:c>
      <x:c r="D764" t="str">
        <x:v>Indonesia</x:v>
      </x:c>
      <x:c r="E764"/>
      <x:c r="F764" t="str">
        <x:v>Active</x:v>
      </x:c>
    </x:row>
    <x:row r="765">
      <x:c r="A765" t="str">
        <x:v>PORTG0011</x:v>
      </x:c>
      <x:c r="B765" t="str">
        <x:v>Port</x:v>
      </x:c>
      <x:c r="C765" t="str">
        <x:v>Sapangar Bay</x:v>
      </x:c>
      <x:c r="D765" t="str">
        <x:v>Malaysia</x:v>
      </x:c>
      <x:c r="E765"/>
      <x:c r="F765" t="str">
        <x:v>Active</x:v>
      </x:c>
    </x:row>
    <x:row r="766">
      <x:c r="A766" t="str">
        <x:v>PORTG0012</x:v>
      </x:c>
      <x:c r="B766" t="str">
        <x:v>Port</x:v>
      </x:c>
      <x:c r="C766" t="str">
        <x:v>Manila</x:v>
      </x:c>
      <x:c r="D766" t="str">
        <x:v>Philippines</x:v>
      </x:c>
      <x:c r="E766"/>
      <x:c r="F766" t="str">
        <x:v>Active</x:v>
      </x:c>
    </x:row>
    <x:row r="767">
      <x:c r="A767" t="str">
        <x:v>PORTG0013</x:v>
      </x:c>
      <x:c r="B767" t="str">
        <x:v>Port</x:v>
      </x:c>
      <x:c r="C767" t="str">
        <x:v>Batangas</x:v>
      </x:c>
      <x:c r="D767" t="str">
        <x:v>Philippines</x:v>
      </x:c>
      <x:c r="E767"/>
      <x:c r="F767" t="str">
        <x:v>Active</x:v>
      </x:c>
    </x:row>
    <x:row r="768">
      <x:c r="A768" t="str">
        <x:v>PORTG0014</x:v>
      </x:c>
      <x:c r="B768" t="str">
        <x:v>Port</x:v>
      </x:c>
      <x:c r="C768" t="str">
        <x:v>Cavite / Tanza</x:v>
      </x:c>
      <x:c r="D768" t="str">
        <x:v>Philippines</x:v>
      </x:c>
      <x:c r="E768"/>
      <x:c r="F768" t="str">
        <x:v>Active</x:v>
      </x:c>
    </x:row>
    <x:row r="769">
      <x:c r="A769" t="str">
        <x:v>PORTG0015</x:v>
      </x:c>
      <x:c r="B769" t="str">
        <x:v>Port</x:v>
      </x:c>
      <x:c r="C769" t="str">
        <x:v>Busan</x:v>
      </x:c>
      <x:c r="D769" t="str">
        <x:v>South Korea</x:v>
      </x:c>
      <x:c r="E769"/>
      <x:c r="F769" t="str">
        <x:v>Active</x:v>
      </x:c>
    </x:row>
    <x:row r="770">
      <x:c r="A770" t="str">
        <x:v>PORTG0016</x:v>
      </x:c>
      <x:c r="B770" t="str">
        <x:v>Port</x:v>
      </x:c>
      <x:c r="C770" t="str">
        <x:v>Laem Chabang</x:v>
      </x:c>
      <x:c r="D770" t="str">
        <x:v>Thailand</x:v>
      </x:c>
      <x:c r="E770"/>
      <x:c r="F770" t="str">
        <x:v>Active</x:v>
      </x:c>
    </x:row>
    <x:row r="771">
      <x:c r="A771" t="str">
        <x:v>PORTG0017</x:v>
      </x:c>
      <x:c r="B771" t="str">
        <x:v>Port</x:v>
      </x:c>
      <x:c r="C771" t="str">
        <x:v>Ho Chi Minh City</x:v>
      </x:c>
      <x:c r="D771" t="str">
        <x:v>Vietnam</x:v>
      </x:c>
      <x:c r="E771"/>
      <x:c r="F771" t="str">
        <x:v>Active</x:v>
      </x:c>
    </x:row>
    <x:row r="772">
      <x:c r="A772" t="str">
        <x:v>PORTG0018</x:v>
      </x:c>
      <x:c r="B772" t="str">
        <x:v>Port</x:v>
      </x:c>
      <x:c r="C772" t="str">
        <x:v>Port of Antwerp-Bruges</x:v>
      </x:c>
      <x:c r="D772" t="str">
        <x:v>Belgium</x:v>
      </x:c>
      <x:c r="E772"/>
      <x:c r="F772" t="str">
        <x:v>Active</x:v>
      </x:c>
    </x:row>
    <x:row r="773">
      <x:c r="A773" t="str">
        <x:v>PORTG0019</x:v>
      </x:c>
      <x:c r="B773" t="str">
        <x:v>Port</x:v>
      </x:c>
      <x:c r="C773" t="str">
        <x:v>Limassol</x:v>
      </x:c>
      <x:c r="D773" t="str">
        <x:v>Cyprus</x:v>
      </x:c>
      <x:c r="E773"/>
      <x:c r="F773" t="str">
        <x:v>Active</x:v>
      </x:c>
    </x:row>
    <x:row r="774">
      <x:c r="A774" t="str">
        <x:v>PORTG0020</x:v>
      </x:c>
      <x:c r="B774" t="str">
        <x:v>Port</x:v>
      </x:c>
      <x:c r="C774" t="str">
        <x:v>Rotterdam</x:v>
      </x:c>
      <x:c r="D774" t="str">
        <x:v>Netherlands</x:v>
      </x:c>
      <x:c r="E774"/>
      <x:c r="F774" t="str">
        <x:v>Active</x:v>
      </x:c>
    </x:row>
    <x:row r="775">
      <x:c r="A775" t="str">
        <x:v>PORTG0021</x:v>
      </x:c>
      <x:c r="B775" t="str">
        <x:v>Port</x:v>
      </x:c>
      <x:c r="C775" t="str">
        <x:v>Constanța</x:v>
      </x:c>
      <x:c r="D775" t="str">
        <x:v>Romania</x:v>
      </x:c>
      <x:c r="E775"/>
      <x:c r="F775" t="str">
        <x:v>Active</x:v>
      </x:c>
    </x:row>
    <x:row r="776">
      <x:c r="A776" t="str">
        <x:v>PORTG0022</x:v>
      </x:c>
      <x:c r="B776" t="str">
        <x:v>Port</x:v>
      </x:c>
      <x:c r="C776" t="str">
        <x:v>Novi Sad</x:v>
      </x:c>
      <x:c r="D776" t="str">
        <x:v>Serbia</x:v>
      </x:c>
      <x:c r="E776"/>
      <x:c r="F776" t="str">
        <x:v>Active</x:v>
      </x:c>
    </x:row>
    <x:row r="777">
      <x:c r="A777" t="str">
        <x:v>PORTG0023</x:v>
      </x:c>
      <x:c r="B777" t="str">
        <x:v>Port</x:v>
      </x:c>
      <x:c r="C777" t="str">
        <x:v>Yarımca</x:v>
      </x:c>
      <x:c r="D777" t="str">
        <x:v>Türkiye</x:v>
      </x:c>
      <x:c r="E777"/>
      <x:c r="F777" t="str">
        <x:v>Active</x:v>
      </x:c>
    </x:row>
    <x:row r="778">
      <x:c r="A778" t="str">
        <x:v>PORTG0024</x:v>
      </x:c>
      <x:c r="B778" t="str">
        <x:v>Port</x:v>
      </x:c>
      <x:c r="C778" t="str">
        <x:v>Körfez</x:v>
      </x:c>
      <x:c r="D778" t="str">
        <x:v>Türkiye</x:v>
      </x:c>
      <x:c r="E778"/>
      <x:c r="F778" t="str">
        <x:v>Active</x:v>
      </x:c>
    </x:row>
    <x:row r="779">
      <x:c r="A779" t="str">
        <x:v>PORTG0025</x:v>
      </x:c>
      <x:c r="B779" t="str">
        <x:v>Port</x:v>
      </x:c>
      <x:c r="C779" t="str">
        <x:v>Pivdennyi</x:v>
      </x:c>
      <x:c r="D779" t="str">
        <x:v>Ukraine</x:v>
      </x:c>
      <x:c r="E779"/>
      <x:c r="F779" t="str">
        <x:v>Active</x:v>
      </x:c>
    </x:row>
    <x:row r="780">
      <x:c r="A780" t="str">
        <x:v>PORTG0026</x:v>
      </x:c>
      <x:c r="B780" t="str">
        <x:v>Port</x:v>
      </x:c>
      <x:c r="C780" t="str">
        <x:v>Luanda</x:v>
      </x:c>
      <x:c r="D780" t="str">
        <x:v>Angola</x:v>
      </x:c>
      <x:c r="E780"/>
      <x:c r="F780" t="str">
        <x:v>Active</x:v>
      </x:c>
    </x:row>
    <x:row r="781">
      <x:c r="A781" t="str">
        <x:v>PORTG0027</x:v>
      </x:c>
      <x:c r="B781" t="str">
        <x:v>Port</x:v>
      </x:c>
      <x:c r="C781" t="str">
        <x:v>Algiers</x:v>
      </x:c>
      <x:c r="D781" t="str">
        <x:v>Algeria</x:v>
      </x:c>
      <x:c r="E781"/>
      <x:c r="F781" t="str">
        <x:v>Active</x:v>
      </x:c>
    </x:row>
    <x:row r="782">
      <x:c r="A782" t="str">
        <x:v>PORTG0028</x:v>
      </x:c>
      <x:c r="B782" t="str">
        <x:v>Port</x:v>
      </x:c>
      <x:c r="C782" t="str">
        <x:v>Djen Djen</x:v>
      </x:c>
      <x:c r="D782" t="str">
        <x:v>Algeria</x:v>
      </x:c>
      <x:c r="E782"/>
      <x:c r="F782" t="str">
        <x:v>Active</x:v>
      </x:c>
    </x:row>
    <x:row r="783">
      <x:c r="A783" t="str">
        <x:v>PORTG0029</x:v>
      </x:c>
      <x:c r="B783" t="str">
        <x:v>Port</x:v>
      </x:c>
      <x:c r="C783" t="str">
        <x:v>Sokhna</x:v>
      </x:c>
      <x:c r="D783" t="str">
        <x:v>Egypt</x:v>
      </x:c>
      <x:c r="E783"/>
      <x:c r="F783" t="str">
        <x:v>Active</x:v>
      </x:c>
    </x:row>
    <x:row r="784">
      <x:c r="A784" t="str">
        <x:v>PORTG0030</x:v>
      </x:c>
      <x:c r="B784" t="str">
        <x:v>Port</x:v>
      </x:c>
      <x:c r="C784" t="str">
        <x:v>Nhava Sheva</x:v>
      </x:c>
      <x:c r="D784" t="str">
        <x:v>India</x:v>
      </x:c>
      <x:c r="E784"/>
      <x:c r="F784" t="str">
        <x:v>Active</x:v>
      </x:c>
    </x:row>
    <x:row r="785">
      <x:c r="A785" t="str">
        <x:v>PORTG0031</x:v>
      </x:c>
      <x:c r="B785" t="str">
        <x:v>Port</x:v>
      </x:c>
      <x:c r="C785" t="str">
        <x:v>Mundra</x:v>
      </x:c>
      <x:c r="D785" t="str">
        <x:v>India</x:v>
      </x:c>
      <x:c r="E785"/>
      <x:c r="F785" t="str">
        <x:v>Active</x:v>
      </x:c>
    </x:row>
    <x:row r="786">
      <x:c r="A786" t="str">
        <x:v>PORTG0032</x:v>
      </x:c>
      <x:c r="B786" t="str">
        <x:v>Port</x:v>
      </x:c>
      <x:c r="C786" t="str">
        <x:v>Chennai</x:v>
      </x:c>
      <x:c r="D786" t="str">
        <x:v>India</x:v>
      </x:c>
      <x:c r="E786"/>
      <x:c r="F786" t="str">
        <x:v>Active</x:v>
      </x:c>
    </x:row>
    <x:row r="787">
      <x:c r="A787" t="str">
        <x:v>PORTG0033</x:v>
      </x:c>
      <x:c r="B787" t="str">
        <x:v>Port</x:v>
      </x:c>
      <x:c r="C787" t="str">
        <x:v>Cochin</x:v>
      </x:c>
      <x:c r="D787" t="str">
        <x:v>India</x:v>
      </x:c>
      <x:c r="E787"/>
      <x:c r="F787" t="str">
        <x:v>Active</x:v>
      </x:c>
    </x:row>
    <x:row r="788">
      <x:c r="A788" t="str">
        <x:v>PORTG0034</x:v>
      </x:c>
      <x:c r="B788" t="str">
        <x:v>Port</x:v>
      </x:c>
      <x:c r="C788" t="str">
        <x:v>Tuna Tekra</x:v>
      </x:c>
      <x:c r="D788" t="str">
        <x:v>India</x:v>
      </x:c>
      <x:c r="E788"/>
      <x:c r="F788" t="str">
        <x:v>Active</x:v>
      </x:c>
    </x:row>
    <x:row r="789">
      <x:c r="A789" t="str">
        <x:v>PORTG0035</x:v>
      </x:c>
      <x:c r="B789" t="str">
        <x:v>Port</x:v>
      </x:c>
      <x:c r="C789" t="str">
        <x:v>Maputo</x:v>
      </x:c>
      <x:c r="D789" t="str">
        <x:v>Mozambique</x:v>
      </x:c>
      <x:c r="E789"/>
      <x:c r="F789" t="str">
        <x:v>Active</x:v>
      </x:c>
    </x:row>
    <x:row r="790">
      <x:c r="A790" t="str">
        <x:v>PORTG0036</x:v>
      </x:c>
      <x:c r="B790" t="str">
        <x:v>Port</x:v>
      </x:c>
      <x:c r="C790" t="str">
        <x:v>Port Qasim</x:v>
      </x:c>
      <x:c r="D790" t="str">
        <x:v>Pakistan</x:v>
      </x:c>
      <x:c r="E790"/>
      <x:c r="F790" t="str">
        <x:v>Active</x:v>
      </x:c>
    </x:row>
    <x:row r="791">
      <x:c r="A791" t="str">
        <x:v>PORTG0037</x:v>
      </x:c>
      <x:c r="B791" t="str">
        <x:v>Port</x:v>
      </x:c>
      <x:c r="C791" t="str">
        <x:v>Jeddah Islamic Port</x:v>
      </x:c>
      <x:c r="D791" t="str">
        <x:v>Saudi Arabia</x:v>
      </x:c>
      <x:c r="E791"/>
      <x:c r="F791" t="str">
        <x:v>Active</x:v>
      </x:c>
    </x:row>
    <x:row r="792">
      <x:c r="A792" t="str">
        <x:v>PORTG0038</x:v>
      </x:c>
      <x:c r="B792" t="str">
        <x:v>Port</x:v>
      </x:c>
      <x:c r="C792" t="str">
        <x:v>Dakar</x:v>
      </x:c>
      <x:c r="D792" t="str">
        <x:v>Senegal</x:v>
      </x:c>
      <x:c r="E792"/>
      <x:c r="F792" t="str">
        <x:v>Active</x:v>
      </x:c>
    </x:row>
    <x:row r="793">
      <x:c r="A793" t="str">
        <x:v>PORTG0039</x:v>
      </x:c>
      <x:c r="B793" t="str">
        <x:v>Port</x:v>
      </x:c>
      <x:c r="C793" t="str">
        <x:v>Ndayane</x:v>
      </x:c>
      <x:c r="D793" t="str">
        <x:v>Senegal</x:v>
      </x:c>
      <x:c r="E793"/>
      <x:c r="F793" t="str">
        <x:v>Active</x:v>
      </x:c>
    </x:row>
    <x:row r="794">
      <x:c r="A794" t="str">
        <x:v>PORTG0040</x:v>
      </x:c>
      <x:c r="B794" t="str">
        <x:v>Port</x:v>
      </x:c>
      <x:c r="C794" t="str">
        <x:v>Berbera</x:v>
      </x:c>
      <x:c r="D794" t="str">
        <x:v>Somaliland</x:v>
      </x:c>
      <x:c r="E794"/>
      <x:c r="F794" t="str">
        <x:v>Active</x:v>
      </x:c>
    </x:row>
    <x:row r="795">
      <x:c r="A795" t="str">
        <x:v>PORTG0041</x:v>
      </x:c>
      <x:c r="B795" t="str">
        <x:v>Port</x:v>
      </x:c>
      <x:c r="C795" t="str">
        <x:v>Dar es Salaam</x:v>
      </x:c>
      <x:c r="D795" t="str">
        <x:v>Tanzania</x:v>
      </x:c>
      <x:c r="E795"/>
      <x:c r="F795" t="str">
        <x:v>Active</x:v>
      </x:c>
    </x:row>
    <x:row r="796">
      <x:c r="A796" t="str">
        <x:v>PORTG0042</x:v>
      </x:c>
      <x:c r="B796" t="str">
        <x:v>Port</x:v>
      </x:c>
      <x:c r="C796" t="str">
        <x:v>Jebel Ali</x:v>
      </x:c>
      <x:c r="D796" t="str">
        <x:v>United Arab Emirates</x:v>
      </x:c>
      <x:c r="E796"/>
      <x:c r="F796" t="str">
        <x:v>Active</x:v>
      </x:c>
    </x:row>
    <x:row r="797">
      <x:c r="A797" t="str">
        <x:v>PORTG0043</x:v>
      </x:c>
      <x:c r="B797" t="str">
        <x:v>Port</x:v>
      </x:c>
      <x:c r="C797" t="str">
        <x:v>Mina Al Hamriya</x:v>
      </x:c>
      <x:c r="D797" t="str">
        <x:v>United Arab Emirates</x:v>
      </x:c>
      <x:c r="E797"/>
      <x:c r="F797" t="str">
        <x:v>Active</x:v>
      </x:c>
    </x:row>
    <x:row r="798">
      <x:c r="A798" t="str">
        <x:v>PORTG0044</x:v>
      </x:c>
      <x:c r="B798" t="str">
        <x:v>Port</x:v>
      </x:c>
      <x:c r="C798" t="str">
        <x:v>Dubai Creek / Deira</x:v>
      </x:c>
      <x:c r="D798" t="str">
        <x:v>United Arab Emirates</x:v>
      </x:c>
      <x:c r="E798"/>
      <x:c r="F798" t="str">
        <x:v>Active</x:v>
      </x:c>
    </x:row>
    <x:row r="799">
      <x:c r="A799" t="str">
        <x:v>PORTG0045</x:v>
      </x:c>
      <x:c r="B799" t="str">
        <x:v>Port</x:v>
      </x:c>
      <x:c r="C799" t="str">
        <x:v>Mina Rashid</x:v>
      </x:c>
      <x:c r="D799" t="str">
        <x:v>United Arab Emirates</x:v>
      </x:c>
      <x:c r="E799"/>
      <x:c r="F799" t="str">
        <x:v>Active</x:v>
      </x:c>
    </x:row>
    <x:row r="800">
      <x:c r="A800" t="str">
        <x:v>PORTG0046</x:v>
      </x:c>
      <x:c r="B800" t="str">
        <x:v>Port</x:v>
      </x:c>
      <x:c r="C800" t="str">
        <x:v>Fujairah</x:v>
      </x:c>
      <x:c r="D800" t="str">
        <x:v>United Arab Emirates</x:v>
      </x:c>
      <x:c r="E800"/>
      <x:c r="F800" t="str">
        <x:v>Active</x:v>
      </x:c>
    </x:row>
    <x:row r="801">
      <x:c r="A801" t="str">
        <x:v>PORTG0047</x:v>
      </x:c>
      <x:c r="B801" t="str">
        <x:v>Port</x:v>
      </x:c>
      <x:c r="C801" t="str">
        <x:v>Banana</x:v>
      </x:c>
      <x:c r="D801" t="str">
        <x:v>Democratic Republic of the Congo</x:v>
      </x:c>
      <x:c r="E801"/>
      <x:c r="F801" t="str">
        <x:v>Active</x:v>
      </x:c>
    </x:row>
    <x:row r="802">
      <x:c r="A802" t="str">
        <x:v>PORTG0048</x:v>
      </x:c>
      <x:c r="B802" t="str">
        <x:v>Port</x:v>
      </x:c>
      <x:c r="C802" t="str">
        <x:v>Buenos Aires</x:v>
      </x:c>
      <x:c r="D802" t="str">
        <x:v>Argentina</x:v>
      </x:c>
      <x:c r="E802"/>
      <x:c r="F802" t="str">
        <x:v>Active</x:v>
      </x:c>
    </x:row>
    <x:row r="803">
      <x:c r="A803" t="str">
        <x:v>PORTG0049</x:v>
      </x:c>
      <x:c r="B803" t="str">
        <x:v>Port</x:v>
      </x:c>
      <x:c r="C803" t="str">
        <x:v>Santos</x:v>
      </x:c>
      <x:c r="D803" t="str">
        <x:v>Brazil</x:v>
      </x:c>
      <x:c r="E803"/>
      <x:c r="F803" t="str">
        <x:v>Active</x:v>
      </x:c>
    </x:row>
    <x:row r="804">
      <x:c r="A804" t="str">
        <x:v>PORTG0050</x:v>
      </x:c>
      <x:c r="B804" t="str">
        <x:v>Port</x:v>
      </x:c>
      <x:c r="C804" t="str">
        <x:v>San Antonio</x:v>
      </x:c>
      <x:c r="D804" t="str">
        <x:v>Chile</x:v>
      </x:c>
      <x:c r="E804"/>
      <x:c r="F804" t="str">
        <x:v>Active</x:v>
      </x:c>
    </x:row>
    <x:row r="805">
      <x:c r="A805" t="str">
        <x:v>PORTG0051</x:v>
      </x:c>
      <x:c r="B805" t="str">
        <x:v>Port</x:v>
      </x:c>
      <x:c r="C805" t="str">
        <x:v>Lirquén</x:v>
      </x:c>
      <x:c r="D805" t="str">
        <x:v>Chile</x:v>
      </x:c>
      <x:c r="E805"/>
      <x:c r="F805" t="str">
        <x:v>Active</x:v>
      </x:c>
    </x:row>
    <x:row r="806">
      <x:c r="A806" t="str">
        <x:v>PORTG0052</x:v>
      </x:c>
      <x:c r="B806" t="str">
        <x:v>Port</x:v>
      </x:c>
      <x:c r="C806" t="str">
        <x:v>Caucedo</x:v>
      </x:c>
      <x:c r="D806" t="str">
        <x:v>Dominican Republic</x:v>
      </x:c>
      <x:c r="E806"/>
      <x:c r="F806" t="str">
        <x:v>Active</x:v>
      </x:c>
    </x:row>
    <x:row r="807">
      <x:c r="A807" t="str">
        <x:v>PORTG0053</x:v>
      </x:c>
      <x:c r="B807" t="str">
        <x:v>Port</x:v>
      </x:c>
      <x:c r="C807" t="str">
        <x:v>Posorja</x:v>
      </x:c>
      <x:c r="D807" t="str">
        <x:v>Ecuador</x:v>
      </x:c>
      <x:c r="E807"/>
      <x:c r="F807" t="str">
        <x:v>Active</x:v>
      </x:c>
    </x:row>
    <x:row r="808">
      <x:c r="A808" t="str">
        <x:v>PORTG0054</x:v>
      </x:c>
      <x:c r="B808" t="str">
        <x:v>Port</x:v>
      </x:c>
      <x:c r="C808" t="str">
        <x:v>Callao</x:v>
      </x:c>
      <x:c r="D808" t="str">
        <x:v>Peru</x:v>
      </x:c>
      <x:c r="E808"/>
      <x:c r="F808" t="str">
        <x:v>Active</x:v>
      </x:c>
    </x:row>
    <x:row r="809">
      <x:c r="A809" t="str">
        <x:v>PORTG0055</x:v>
      </x:c>
      <x:c r="B809" t="str">
        <x:v>Port</x:v>
      </x:c>
      <x:c r="C809" t="str">
        <x:v>Paita</x:v>
      </x:c>
      <x:c r="D809" t="str">
        <x:v>Peru</x:v>
      </x:c>
      <x:c r="E809"/>
      <x:c r="F809" t="str">
        <x:v>Active</x:v>
      </x:c>
    </x:row>
    <x:row r="810">
      <x:c r="A810" t="str">
        <x:v>PORTG0056</x:v>
      </x:c>
      <x:c r="B810" t="str">
        <x:v>Port</x:v>
      </x:c>
      <x:c r="C810" t="str">
        <x:v>Paramaribo</x:v>
      </x:c>
      <x:c r="D810" t="str">
        <x:v>Suriname</x:v>
      </x:c>
      <x:c r="E810"/>
      <x:c r="F810" t="str">
        <x:v>Active</x:v>
      </x:c>
    </x:row>
    <x:row r="811">
      <x:c r="A811" t="str">
        <x:v>PORTG0057</x:v>
      </x:c>
      <x:c r="B811" t="str">
        <x:v>Port</x:v>
      </x:c>
      <x:c r="C811" t="str">
        <x:v>La Vigilantia</x:v>
      </x:c>
      <x:c r="D811" t="str">
        <x:v>Suriname</x:v>
      </x:c>
      <x:c r="E811"/>
      <x:c r="F811" t="str">
        <x:v>Active</x:v>
      </x:c>
    </x:row>
    <x:row r="812">
      <x:c r="A812" t="str">
        <x:v>PORTG0058</x:v>
      </x:c>
      <x:c r="B812" t="str">
        <x:v>Port</x:v>
      </x:c>
      <x:c r="C812" t="str">
        <x:v>Vancouver</x:v>
      </x:c>
      <x:c r="D812" t="str">
        <x:v>Canada</x:v>
      </x:c>
      <x:c r="E812"/>
      <x:c r="F812" t="str">
        <x:v>Active</x:v>
      </x:c>
    </x:row>
    <x:row r="813">
      <x:c r="A813" t="str">
        <x:v>PORTG0059</x:v>
      </x:c>
      <x:c r="B813" t="str">
        <x:v>Port</x:v>
      </x:c>
      <x:c r="C813" t="str">
        <x:v>Fraser Surrey</x:v>
      </x:c>
      <x:c r="D813" t="str">
        <x:v>Canada</x:v>
      </x:c>
      <x:c r="E813"/>
      <x:c r="F813" t="str">
        <x:v>Active</x:v>
      </x:c>
    </x:row>
    <x:row r="814">
      <x:c r="A814" t="str">
        <x:v>PORTG0060</x:v>
      </x:c>
      <x:c r="B814" t="str">
        <x:v>Port</x:v>
      </x:c>
      <x:c r="C814" t="str">
        <x:v>Nanaimo</x:v>
      </x:c>
      <x:c r="D814" t="str">
        <x:v>Canada</x:v>
      </x:c>
      <x:c r="E814"/>
      <x:c r="F814" t="str">
        <x:v>Active</x:v>
      </x:c>
    </x:row>
    <x:row r="815">
      <x:c r="A815" t="str">
        <x:v>PORTG0061</x:v>
      </x:c>
      <x:c r="B815" t="str">
        <x:v>Port</x:v>
      </x:c>
      <x:c r="C815" t="str">
        <x:v>Prince Rupert</x:v>
      </x:c>
      <x:c r="D815" t="str">
        <x:v>Canada</x:v>
      </x:c>
      <x:c r="E815"/>
      <x:c r="F815" t="str">
        <x:v>Active</x:v>
      </x:c>
    </x:row>
    <x:row r="816">
      <x:c r="A816" t="str">
        <x:v>PORTG0062</x:v>
      </x:c>
      <x:c r="B816" t="str">
        <x:v>Port</x:v>
      </x:c>
      <x:c r="C816" t="str">
        <x:v>Saint John</x:v>
      </x:c>
      <x:c r="D816" t="str">
        <x:v>Canada</x:v>
      </x:c>
      <x:c r="E816"/>
      <x:c r="F816" t="str">
        <x:v>Active</x:v>
      </x:c>
    </x:row>
    <x:row r="817">
      <x:c r="A817" t="str">
        <x:v>PORTG0063</x:v>
      </x:c>
      <x:c r="B817" t="str">
        <x:v>Port</x:v>
      </x:c>
      <x:c r="C817" t="str">
        <x:v>Montréal / Contrecœur</x:v>
      </x:c>
      <x:c r="D817" t="str">
        <x:v>Canada</x:v>
      </x:c>
      <x:c r="E817"/>
      <x:c r="F817" t="str">
        <x:v>Active</x:v>
      </x:c>
    </x:row>
    <x:row r="818">
      <x:c r="A818" t="str">
        <x:v>PORTG0064</x:v>
      </x:c>
      <x:c r="B818" t="str">
        <x:v>Port</x:v>
      </x:c>
      <x:c r="C818" t="str">
        <x:v>Corpus Christi</x:v>
      </x:c>
      <x:c r="D818" t="str">
        <x:v>United States</x:v>
      </x:c>
      <x:c r="E818"/>
      <x:c r="F818" t="str">
        <x:v>Active</x:v>
      </x:c>
    </x:row>
    <x:row r="819">
      <x:c r="A819" t="str">
        <x:v>PORTG0065</x:v>
      </x:c>
      <x:c r="B819" t="str">
        <x:v>Port</x:v>
      </x:c>
      <x:c r="C819" t="str">
        <x:v>Khalifa Port</x:v>
      </x:c>
      <x:c r="D819" t="str">
        <x:v>United Arab Emirates</x:v>
      </x:c>
      <x:c r="E819"/>
      <x:c r="F819" t="str">
        <x:v>Active</x:v>
      </x:c>
    </x:row>
    <x:row r="820">
      <x:c r="A820" t="str">
        <x:v>PORTG0066</x:v>
      </x:c>
      <x:c r="B820" t="str">
        <x:v>Port</x:v>
      </x:c>
      <x:c r="C820" t="str">
        <x:v>Zayed Port</x:v>
      </x:c>
      <x:c r="D820" t="str">
        <x:v>United Arab Emirates</x:v>
      </x:c>
      <x:c r="E820"/>
      <x:c r="F820" t="str">
        <x:v>Active</x:v>
      </x:c>
    </x:row>
    <x:row r="821">
      <x:c r="A821" t="str">
        <x:v>PORTG0067</x:v>
      </x:c>
      <x:c r="B821" t="str">
        <x:v>Port</x:v>
      </x:c>
      <x:c r="C821" t="str">
        <x:v>Free Port (Old &amp; New)</x:v>
      </x:c>
      <x:c r="D821" t="str">
        <x:v>United Arab Emirates</x:v>
      </x:c>
      <x:c r="E821"/>
      <x:c r="F821" t="str">
        <x:v>Active</x:v>
      </x:c>
    </x:row>
    <x:row r="822">
      <x:c r="A822" t="str">
        <x:v>PORTG0068</x:v>
      </x:c>
      <x:c r="B822" t="str">
        <x:v>Port</x:v>
      </x:c>
      <x:c r="C822" t="str">
        <x:v>Musaffah Port</x:v>
      </x:c>
      <x:c r="D822" t="str">
        <x:v>United Arab Emirates</x:v>
      </x:c>
      <x:c r="E822"/>
      <x:c r="F822" t="str">
        <x:v>Active</x:v>
      </x:c>
    </x:row>
    <x:row r="823">
      <x:c r="A823" t="str">
        <x:v>PORTG0069</x:v>
      </x:c>
      <x:c r="B823" t="str">
        <x:v>Port</x:v>
      </x:c>
      <x:c r="C823" t="str">
        <x:v>Mugharraq Port</x:v>
      </x:c>
      <x:c r="D823" t="str">
        <x:v>United Arab Emirates</x:v>
      </x:c>
      <x:c r="E823"/>
      <x:c r="F823" t="str">
        <x:v>Active</x:v>
      </x:c>
    </x:row>
    <x:row r="824">
      <x:c r="A824" t="str">
        <x:v>PORTG0070</x:v>
      </x:c>
      <x:c r="B824" t="str">
        <x:v>Port</x:v>
      </x:c>
      <x:c r="C824" t="str">
        <x:v>Al Sila Port</x:v>
      </x:c>
      <x:c r="D824" t="str">
        <x:v>United Arab Emirates</x:v>
      </x:c>
      <x:c r="E824"/>
      <x:c r="F824" t="str">
        <x:v>Active</x:v>
      </x:c>
    </x:row>
    <x:row r="825">
      <x:c r="A825" t="str">
        <x:v>PORTG0071</x:v>
      </x:c>
      <x:c r="B825" t="str">
        <x:v>Port</x:v>
      </x:c>
      <x:c r="C825" t="str">
        <x:v>Fujairah Port / Fujairah Terminals</x:v>
      </x:c>
      <x:c r="D825" t="str">
        <x:v>United Arab Emirates</x:v>
      </x:c>
      <x:c r="E825"/>
      <x:c r="F825" t="str">
        <x:v>Active</x:v>
      </x:c>
    </x:row>
    <x:row r="826">
      <x:c r="A826" t="str">
        <x:v>PORTG0072</x:v>
      </x:c>
      <x:c r="B826" t="str">
        <x:v>Port</x:v>
      </x:c>
      <x:c r="C826" t="str">
        <x:v>Delma Port</x:v>
      </x:c>
      <x:c r="D826" t="str">
        <x:v>United Arab Emirates</x:v>
      </x:c>
      <x:c r="E826"/>
      <x:c r="F826" t="str">
        <x:v>Active</x:v>
      </x:c>
    </x:row>
    <x:row r="827">
      <x:c r="A827" t="str">
        <x:v>PORTG0073</x:v>
      </x:c>
      <x:c r="B827" t="str">
        <x:v>Port</x:v>
      </x:c>
      <x:c r="C827" t="str">
        <x:v>Mirfa Port</x:v>
      </x:c>
      <x:c r="D827" t="str">
        <x:v>United Arab Emirates</x:v>
      </x:c>
      <x:c r="E827"/>
      <x:c r="F827" t="str">
        <x:v>Active</x:v>
      </x:c>
    </x:row>
    <x:row r="828">
      <x:c r="A828" t="str">
        <x:v>PORTG0074</x:v>
      </x:c>
      <x:c r="B828" t="str">
        <x:v>Port</x:v>
      </x:c>
      <x:c r="C828" t="str">
        <x:v>Shahama Port</x:v>
      </x:c>
      <x:c r="D828" t="str">
        <x:v>United Arab Emirates</x:v>
      </x:c>
      <x:c r="E828"/>
      <x:c r="F828" t="str">
        <x:v>Active</x:v>
      </x:c>
    </x:row>
    <x:row r="829">
      <x:c r="A829" t="str">
        <x:v>PORTG0075</x:v>
      </x:c>
      <x:c r="B829" t="str">
        <x:v>Port</x:v>
      </x:c>
      <x:c r="C829" t="str">
        <x:v>Sir Bani Yas Cruise Beach</x:v>
      </x:c>
      <x:c r="D829" t="str">
        <x:v>United Arab Emirates</x:v>
      </x:c>
      <x:c r="E829"/>
      <x:c r="F829" t="str">
        <x:v>Active</x:v>
      </x:c>
    </x:row>
    <x:row r="830">
      <x:c r="A830" t="str">
        <x:v>PORTG0076</x:v>
      </x:c>
      <x:c r="B830" t="str">
        <x:v>Port</x:v>
      </x:c>
      <x:c r="C830" t="str">
        <x:v>Port of Aqaba</x:v>
      </x:c>
      <x:c r="D830" t="str">
        <x:v>Jordan</x:v>
      </x:c>
      <x:c r="E830"/>
      <x:c r="F830" t="str">
        <x:v>Active</x:v>
      </x:c>
    </x:row>
    <x:row r="831">
      <x:c r="A831" t="str">
        <x:v>PORTG0077</x:v>
      </x:c>
      <x:c r="B831" t="str">
        <x:v>Port</x:v>
      </x:c>
      <x:c r="C831" t="str">
        <x:v>Port of Sharm El Sheikh</x:v>
      </x:c>
      <x:c r="D831" t="str">
        <x:v>Egypt</x:v>
      </x:c>
      <x:c r="E831"/>
      <x:c r="F831" t="str">
        <x:v>Active</x:v>
      </x:c>
    </x:row>
    <x:row r="832">
      <x:c r="A832" t="str">
        <x:v>PORTG0078</x:v>
      </x:c>
      <x:c r="B832" t="str">
        <x:v>Port</x:v>
      </x:c>
      <x:c r="C832" t="str">
        <x:v>Port of Hurghada</x:v>
      </x:c>
      <x:c r="D832" t="str">
        <x:v>Egypt</x:v>
      </x:c>
      <x:c r="E832"/>
      <x:c r="F832" t="str">
        <x:v>Active</x:v>
      </x:c>
    </x:row>
    <x:row r="833">
      <x:c r="A833" t="str">
        <x:v>PORTG0079</x:v>
      </x:c>
      <x:c r="B833" t="str">
        <x:v>Port</x:v>
      </x:c>
      <x:c r="C833" t="str">
        <x:v>Port Safaga</x:v>
      </x:c>
      <x:c r="D833" t="str">
        <x:v>Egypt</x:v>
      </x:c>
      <x:c r="E833"/>
      <x:c r="F833" t="str">
        <x:v>Active</x:v>
      </x:c>
    </x:row>
    <x:row r="834">
      <x:c r="A834" t="str">
        <x:v>PORTG0080</x:v>
      </x:c>
      <x:c r="B834" t="str">
        <x:v>Port</x:v>
      </x:c>
      <x:c r="C834" t="str">
        <x:v>Port of Adabiya</x:v>
      </x:c>
      <x:c r="D834" t="str">
        <x:v>Egypt</x:v>
      </x:c>
      <x:c r="E834"/>
      <x:c r="F834" t="str">
        <x:v>Active</x:v>
      </x:c>
    </x:row>
    <x:row r="835">
      <x:c r="A835" t="str">
        <x:v>PORTG0081</x:v>
      </x:c>
      <x:c r="B835" t="str">
        <x:v>Port</x:v>
      </x:c>
      <x:c r="C835" t="str">
        <x:v>Karachi Port East Wharf</x:v>
      </x:c>
      <x:c r="D835" t="str">
        <x:v>Pakistan</x:v>
      </x:c>
      <x:c r="E835"/>
      <x:c r="F835" t="str">
        <x:v>Active</x:v>
      </x:c>
    </x:row>
    <x:row r="836">
      <x:c r="A836" t="str">
        <x:v>PORTG0082</x:v>
      </x:c>
      <x:c r="B836" t="str">
        <x:v>Port</x:v>
      </x:c>
      <x:c r="C836" t="str">
        <x:v>Port of Pointe-Noire</x:v>
      </x:c>
      <x:c r="D836" t="str">
        <x:v>Republic of the Congo</x:v>
      </x:c>
      <x:c r="E836"/>
      <x:c r="F836" t="str">
        <x:v>Active</x:v>
      </x:c>
    </x:row>
    <x:row r="837">
      <x:c r="A837" t="str">
        <x:v>PORTG0083</x:v>
      </x:c>
      <x:c r="B837" t="str">
        <x:v>Port</x:v>
      </x:c>
      <x:c r="C837" t="str">
        <x:v>Tbilisi Intermodal Hub / Tbilisi Dry Port</x:v>
      </x:c>
      <x:c r="D837" t="str">
        <x:v>Georgia</x:v>
      </x:c>
      <x:c r="E837"/>
      <x:c r="F837" t="str">
        <x:v>Active</x:v>
      </x:c>
    </x:row>
    <x:row r="838">
      <x:c r="A838" t="str">
        <x:v>PORTG0084</x:v>
      </x:c>
      <x:c r="B838" t="str">
        <x:v>Port</x:v>
      </x:c>
      <x:c r="C838" t="str">
        <x:v>Kuryk Port</x:v>
      </x:c>
      <x:c r="D838" t="str">
        <x:v>Kazakhstan</x:v>
      </x:c>
      <x:c r="E838"/>
      <x:c r="F838" t="str">
        <x:v>Active</x:v>
      </x:c>
    </x:row>
    <x:row r="839">
      <x:c r="A839" t="str">
        <x:v>PORTG0085</x:v>
      </x:c>
      <x:c r="B839" t="str">
        <x:v>Port</x:v>
      </x:c>
      <x:c r="C839" t="str">
        <x:v>Port of Douala</x:v>
      </x:c>
      <x:c r="D839" t="str">
        <x:v>Cameroon</x:v>
      </x:c>
      <x:c r="E839"/>
      <x:c r="F839" t="str">
        <x:v>Active</x:v>
      </x:c>
    </x:row>
    <x:row r="840">
      <x:c r="A840" t="str">
        <x:v>PORTG0086</x:v>
      </x:c>
      <x:c r="B840" t="str">
        <x:v>Port</x:v>
      </x:c>
      <x:c r="C840" t="str">
        <x:v>Port of Tarragona</x:v>
      </x:c>
      <x:c r="D840" t="str">
        <x:v>Spain</x:v>
      </x:c>
      <x:c r="E840"/>
      <x:c r="F840" t="str">
        <x:v>Active</x:v>
      </x:c>
    </x:row>
    <x:row r="841">
      <x:c r="A841" t="str">
        <x:v>PORTG0087</x:v>
      </x:c>
      <x:c r="B841" t="str">
        <x:v>Port</x:v>
      </x:c>
      <x:c r="C841" t="str">
        <x:v>Port of Castellón</x:v>
      </x:c>
      <x:c r="D841" t="str">
        <x:v>Spain</x:v>
      </x:c>
      <x:c r="E841"/>
      <x:c r="F841" t="str">
        <x:v>Active</x:v>
      </x:c>
    </x:row>
    <x:row r="842">
      <x:c r="A842" t="str">
        <x:v>PORTG0088</x:v>
      </x:c>
      <x:c r="B842" t="str">
        <x:v>Port</x:v>
      </x:c>
      <x:c r="C842" t="str">
        <x:v>Port of Sagunto</x:v>
      </x:c>
      <x:c r="D842" t="str">
        <x:v>Spain</x:v>
      </x:c>
      <x:c r="E842"/>
      <x:c r="F842" t="str">
        <x:v>Active</x:v>
      </x:c>
    </x:row>
    <x:row r="843">
      <x:c r="A843" t="str">
        <x:v>PORTG0089</x:v>
      </x:c>
      <x:c r="B843" t="str">
        <x:v>Port</x:v>
      </x:c>
      <x:c r="C843" t="str">
        <x:v>Port of Cartagena</x:v>
      </x:c>
      <x:c r="D843" t="str">
        <x:v>Spain</x:v>
      </x:c>
      <x:c r="E843"/>
      <x:c r="F843" t="str">
        <x:v>Active</x:v>
      </x:c>
    </x:row>
    <x:row r="844">
      <x:c r="A844" t="str">
        <x:v>PORTG0090</x:v>
      </x:c>
      <x:c r="B844" t="str">
        <x:v>Port</x:v>
      </x:c>
      <x:c r="C844" t="str">
        <x:v>Port of Málaga</x:v>
      </x:c>
      <x:c r="D844" t="str">
        <x:v>Spain</x:v>
      </x:c>
      <x:c r="E844"/>
      <x:c r="F844" t="str">
        <x:v>Active</x:v>
      </x:c>
    </x:row>
    <x:row r="845">
      <x:c r="A845" t="str">
        <x:v>PORTG0091</x:v>
      </x:c>
      <x:c r="B845" t="str">
        <x:v>Port</x:v>
      </x:c>
      <x:c r="C845" t="str">
        <x:v>Port of A Coruña</x:v>
      </x:c>
      <x:c r="D845" t="str">
        <x:v>Spain</x:v>
      </x:c>
      <x:c r="E845"/>
      <x:c r="F845" t="str">
        <x:v>Active</x:v>
      </x:c>
    </x:row>
    <x:row r="846">
      <x:c r="A846" t="str">
        <x:v>PORTG0092</x:v>
      </x:c>
      <x:c r="B846" t="str">
        <x:v>Port</x:v>
      </x:c>
      <x:c r="C846" t="str">
        <x:v>Port of Ferrol</x:v>
      </x:c>
      <x:c r="D846" t="str">
        <x:v>Spain</x:v>
      </x:c>
      <x:c r="E846"/>
      <x:c r="F846" t="str">
        <x:v>Active</x:v>
      </x:c>
    </x:row>
    <x:row r="847">
      <x:c r="A847" t="str">
        <x:v>PORTG0093</x:v>
      </x:c>
      <x:c r="B847" t="str">
        <x:v>Port</x:v>
      </x:c>
      <x:c r="C847" t="str">
        <x:v>Port of Santander</x:v>
      </x:c>
      <x:c r="D847" t="str">
        <x:v>Spain</x:v>
      </x:c>
      <x:c r="E847"/>
      <x:c r="F847" t="str">
        <x:v>Active</x:v>
      </x:c>
    </x:row>
    <x:row r="848">
      <x:c r="A848" t="str">
        <x:v>PORTG0094</x:v>
      </x:c>
      <x:c r="B848" t="str">
        <x:v>Port</x:v>
      </x:c>
      <x:c r="C848" t="str">
        <x:v>Port of Bilbao</x:v>
      </x:c>
      <x:c r="D848" t="str">
        <x:v>Spain</x:v>
      </x:c>
      <x:c r="E848"/>
      <x:c r="F848" t="str">
        <x:v>Active</x:v>
      </x:c>
    </x:row>
    <x:row r="849">
      <x:c r="A849" t="str">
        <x:v>PORTG0095</x:v>
      </x:c>
      <x:c r="B849" t="str">
        <x:v>Port</x:v>
      </x:c>
      <x:c r="C849" t="str">
        <x:v>Port of Vigo</x:v>
      </x:c>
      <x:c r="D849" t="str">
        <x:v>Spain</x:v>
      </x:c>
      <x:c r="E849"/>
      <x:c r="F849" t="str">
        <x:v>Active</x:v>
      </x:c>
    </x:row>
    <x:row r="850">
      <x:c r="A850" t="str">
        <x:v>PORTG0096</x:v>
      </x:c>
      <x:c r="B850" t="str">
        <x:v>Port</x:v>
      </x:c>
      <x:c r="C850" t="str">
        <x:v>Port of Barcelona</x:v>
      </x:c>
      <x:c r="D850" t="str">
        <x:v>Spain</x:v>
      </x:c>
      <x:c r="E850"/>
      <x:c r="F850" t="str">
        <x:v>Active</x:v>
      </x:c>
    </x:row>
    <x:row r="851">
      <x:c r="A851" t="str">
        <x:v>PORTG0097</x:v>
      </x:c>
      <x:c r="B851" t="str">
        <x:v>Port</x:v>
      </x:c>
      <x:c r="C851" t="str">
        <x:v>Port of Pasaia / Pasajes</x:v>
      </x:c>
      <x:c r="D851" t="str">
        <x:v>Spain</x:v>
      </x:c>
      <x:c r="E851"/>
      <x:c r="F851" t="str">
        <x:v>Active</x:v>
      </x:c>
    </x:row>
    <x:row r="852">
      <x:c r="A852" t="str">
        <x:v>PORTG0098</x:v>
      </x:c>
      <x:c r="B852" t="str">
        <x:v>Port</x:v>
      </x:c>
      <x:c r="C852" t="str">
        <x:v>Port of Los Angeles</x:v>
      </x:c>
      <x:c r="D852" t="str">
        <x:v>United States</x:v>
      </x:c>
      <x:c r="E852"/>
      <x:c r="F852" t="str">
        <x:v>Active</x:v>
      </x:c>
    </x:row>
    <x:row r="853">
      <x:c r="A853" t="str">
        <x:v>PORTG0099</x:v>
      </x:c>
      <x:c r="B853" t="str">
        <x:v>Port</x:v>
      </x:c>
      <x:c r="C853" t="str">
        <x:v>Port of New York &amp; New Jersey</x:v>
      </x:c>
      <x:c r="D853" t="str">
        <x:v>United States</x:v>
      </x:c>
      <x:c r="E853"/>
      <x:c r="F853" t="str">
        <x:v>Active</x:v>
      </x:c>
    </x:row>
    <x:row r="854">
      <x:c r="A854" t="str">
        <x:v>PORTG0100</x:v>
      </x:c>
      <x:c r="B854" t="str">
        <x:v>Port</x:v>
      </x:c>
      <x:c r="C854" t="str">
        <x:v>Port of Vila do Conde</x:v>
      </x:c>
      <x:c r="D854" t="str">
        <x:v>Brazil</x:v>
      </x:c>
      <x:c r="E854"/>
      <x:c r="F854" t="str">
        <x:v>Active</x:v>
      </x:c>
    </x:row>
    <x:row r="855">
      <x:c r="A855" t="str">
        <x:v>PORTG0101</x:v>
      </x:c>
      <x:c r="B855" t="str">
        <x:v>Port</x:v>
      </x:c>
      <x:c r="C855" t="str">
        <x:v>Port of Imbituba</x:v>
      </x:c>
      <x:c r="D855" t="str">
        <x:v>Brazil</x:v>
      </x:c>
      <x:c r="E855"/>
      <x:c r="F855" t="str">
        <x:v>Active</x:v>
      </x:c>
    </x:row>
    <x:row r="856">
      <x:c r="A856" t="str">
        <x:v>PORTG0102</x:v>
      </x:c>
      <x:c r="B856" t="str">
        <x:v>Port</x:v>
      </x:c>
      <x:c r="C856" t="str">
        <x:v>Port of Valencia</x:v>
      </x:c>
      <x:c r="D856" t="str">
        <x:v>Spain</x:v>
      </x:c>
      <x:c r="E856"/>
      <x:c r="F856" t="str">
        <x:v>Active</x:v>
      </x:c>
    </x:row>
    <x:row r="857">
      <x:c r="A857" t="str">
        <x:v>PORTG0103</x:v>
      </x:c>
      <x:c r="B857" t="str">
        <x:v>Port</x:v>
      </x:c>
      <x:c r="C857" t="str">
        <x:v>Port of Algeciras</x:v>
      </x:c>
      <x:c r="D857" t="str">
        <x:v>Spain</x:v>
      </x:c>
      <x:c r="E857"/>
      <x:c r="F857" t="str">
        <x:v>Active</x:v>
      </x:c>
    </x:row>
    <x:row r="858">
      <x:c r="A858" t="str">
        <x:v>PORTG0104</x:v>
      </x:c>
      <x:c r="B858" t="str">
        <x:v>Port</x:v>
      </x:c>
      <x:c r="C858" t="str">
        <x:v>Port of Kaohsiung</x:v>
      </x:c>
      <x:c r="D858" t="str">
        <x:v>Taiwan</x:v>
      </x:c>
      <x:c r="E858"/>
      <x:c r="F858" t="str">
        <x:v>Active</x:v>
      </x:c>
    </x:row>
    <x:row r="859">
      <x:c r="A859" t="str">
        <x:v>PORTG0105</x:v>
      </x:c>
      <x:c r="B859" t="str">
        <x:v>Port</x:v>
      </x:c>
      <x:c r="C859" t="str">
        <x:v>Cai Mep-Thi Vai</x:v>
      </x:c>
      <x:c r="D859" t="str">
        <x:v>Vietnam</x:v>
      </x:c>
      <x:c r="E859"/>
      <x:c r="F859" t="str">
        <x:v>Active</x:v>
      </x:c>
    </x:row>
    <x:row r="860">
      <x:c r="A860" t="str">
        <x:v>PORTG0106</x:v>
      </x:c>
      <x:c r="B860" t="str">
        <x:v>Port</x:v>
      </x:c>
      <x:c r="C860" t="str">
        <x:v>Jawaharlal Nehru Port</x:v>
      </x:c>
      <x:c r="D860" t="str">
        <x:v>India</x:v>
      </x:c>
      <x:c r="E860"/>
      <x:c r="F860" t="str">
        <x:v>Active</x:v>
      </x:c>
    </x:row>
    <x:row r="861">
      <x:c r="A861" t="str">
        <x:v>PORTG0107</x:v>
      </x:c>
      <x:c r="B861" t="str">
        <x:v>Port</x:v>
      </x:c>
      <x:c r="C861" t="str">
        <x:v>Lekki Deep Sea Port</x:v>
      </x:c>
      <x:c r="D861" t="str">
        <x:v>Nigeria</x:v>
      </x:c>
      <x:c r="E861"/>
      <x:c r="F861" t="str">
        <x:v>Active</x:v>
      </x:c>
    </x:row>
    <x:row r="862">
      <x:c r="A862" t="str">
        <x:v>PORTG0108</x:v>
      </x:c>
      <x:c r="B862" t="str">
        <x:v>Port</x:v>
      </x:c>
      <x:c r="C862" t="str">
        <x:v>Port of Alexandria</x:v>
      </x:c>
      <x:c r="D862" t="str">
        <x:v>Egypt</x:v>
      </x:c>
      <x:c r="E862"/>
      <x:c r="F862" t="str">
        <x:v>Active</x:v>
      </x:c>
    </x:row>
    <x:row r="863">
      <x:c r="A863" t="str">
        <x:v>PORTG0109</x:v>
      </x:c>
      <x:c r="B863" t="str">
        <x:v>Port</x:v>
      </x:c>
      <x:c r="C863" t="str">
        <x:v>Nador West Med</x:v>
      </x:c>
      <x:c r="D863" t="str">
        <x:v>Morocco</x:v>
      </x:c>
      <x:c r="E863"/>
      <x:c r="F863" t="str">
        <x:v>Active</x:v>
      </x:c>
    </x:row>
    <x:row r="864">
      <x:c r="A864" t="str">
        <x:v>PORTG0110</x:v>
      </x:c>
      <x:c r="B864" t="str">
        <x:v>Port</x:v>
      </x:c>
      <x:c r="C864" t="str">
        <x:v>Port of Haiphong / Lach Huyen</x:v>
      </x:c>
      <x:c r="D864" t="str">
        <x:v>Vietnam</x:v>
      </x:c>
      <x:c r="E864"/>
      <x:c r="F864" t="str">
        <x:v>Active</x:v>
      </x:c>
    </x:row>
    <x:row r="865">
      <x:c r="A865" t="str">
        <x:v>PORTG0111</x:v>
      </x:c>
      <x:c r="B865" t="str">
        <x:v>Port</x:v>
      </x:c>
      <x:c r="C865" t="str">
        <x:v>Port of Hamburg</x:v>
      </x:c>
      <x:c r="D865" t="str">
        <x:v>Germany</x:v>
      </x:c>
      <x:c r="E865"/>
      <x:c r="F865" t="str">
        <x:v>Active</x:v>
      </x:c>
    </x:row>
    <x:row r="866">
      <x:c r="A866" t="str">
        <x:v>PORTG0112</x:v>
      </x:c>
      <x:c r="B866" t="str">
        <x:v>Port</x:v>
      </x:c>
      <x:c r="C866" t="str">
        <x:v>Port of Mombasa</x:v>
      </x:c>
      <x:c r="D866" t="str">
        <x:v>Kenya</x:v>
      </x:c>
      <x:c r="E866"/>
      <x:c r="F866" t="str">
        <x:v>Active</x:v>
      </x:c>
    </x:row>
    <x:row r="867">
      <x:c r="A867" t="str">
        <x:v>PORTG0113</x:v>
      </x:c>
      <x:c r="B867" t="str">
        <x:v>Port</x:v>
      </x:c>
      <x:c r="C867" t="str">
        <x:v>6th of October City</x:v>
      </x:c>
      <x:c r="D867" t="str">
        <x:v>Egypt</x:v>
      </x:c>
      <x:c r="E867"/>
      <x:c r="F867" t="str">
        <x:v>Active</x:v>
      </x:c>
    </x:row>
    <x:row r="868">
      <x:c r="A868" t="str">
        <x:v>PORTG0114</x:v>
      </x:c>
      <x:c r="B868" t="str">
        <x:v>Port</x:v>
      </x:c>
      <x:c r="C868" t="str">
        <x:v>Port Édouard Herriot</x:v>
      </x:c>
      <x:c r="D868" t="str">
        <x:v>France</x:v>
      </x:c>
      <x:c r="E868"/>
      <x:c r="F868" t="str">
        <x:v>Active</x:v>
      </x:c>
    </x:row>
    <x:row r="869">
      <x:c r="A869" t="str">
        <x:v>PORTG0115</x:v>
      </x:c>
      <x:c r="B869" t="str">
        <x:v>Port</x:v>
      </x:c>
      <x:c r="C869" t="str">
        <x:v>Port Réunion</x:v>
      </x:c>
      <x:c r="D869" t="str">
        <x:v>France (Réunion)</x:v>
      </x:c>
      <x:c r="E869"/>
      <x:c r="F869" t="str">
        <x:v>Active</x:v>
      </x:c>
    </x:row>
    <x:row r="870">
      <x:c r="A870" t="str">
        <x:v>PORTG0116</x:v>
      </x:c>
      <x:c r="B870" t="str">
        <x:v>Port</x:v>
      </x:c>
      <x:c r="C870" t="str">
        <x:v>Port of Kribi</x:v>
      </x:c>
      <x:c r="D870" t="str">
        <x:v>Cameroon</x:v>
      </x:c>
      <x:c r="E870"/>
      <x:c r="F870" t="str">
        <x:v>Active</x:v>
      </x:c>
    </x:row>
    <x:row r="871">
      <x:c r="A871" t="str">
        <x:v>PORTG0117</x:v>
      </x:c>
      <x:c r="B871" t="str">
        <x:v>Port</x:v>
      </x:c>
      <x:c r="C871" t="str">
        <x:v>Port of Dunkirk</x:v>
      </x:c>
      <x:c r="D871" t="str">
        <x:v>France</x:v>
      </x:c>
      <x:c r="E871"/>
      <x:c r="F871" t="str">
        <x:v>Active</x:v>
      </x:c>
    </x:row>
    <x:row r="872">
      <x:c r="A872" t="str">
        <x:v>PORTG0118</x:v>
      </x:c>
      <x:c r="B872" t="str">
        <x:v>Port</x:v>
      </x:c>
      <x:c r="C872" t="str">
        <x:v>Port of Le Havre</x:v>
      </x:c>
      <x:c r="D872" t="str">
        <x:v>France</x:v>
      </x:c>
      <x:c r="E872"/>
      <x:c r="F872" t="str">
        <x:v>Active</x:v>
      </x:c>
    </x:row>
    <x:row r="873">
      <x:c r="A873" t="str">
        <x:v>PORTG0119</x:v>
      </x:c>
      <x:c r="B873" t="str">
        <x:v>Port</x:v>
      </x:c>
      <x:c r="C873" t="str">
        <x:v>Nantes Saint-Nazaire Port</x:v>
      </x:c>
      <x:c r="D873" t="str">
        <x:v>France</x:v>
      </x:c>
      <x:c r="E873"/>
      <x:c r="F873" t="str">
        <x:v>Active</x:v>
      </x:c>
    </x:row>
    <x:row r="874">
      <x:c r="A874" t="str">
        <x:v>PORTG0120</x:v>
      </x:c>
      <x:c r="B874" t="str">
        <x:v>Port</x:v>
      </x:c>
      <x:c r="C874" t="str">
        <x:v>Port of Marseille-Fos</x:v>
      </x:c>
      <x:c r="D874" t="str">
        <x:v>France</x:v>
      </x:c>
      <x:c r="E874"/>
      <x:c r="F874" t="str">
        <x:v>Active</x:v>
      </x:c>
    </x:row>
    <x:row r="875">
      <x:c r="A875" t="str">
        <x:v>PORTG0121</x:v>
      </x:c>
      <x:c r="B875" t="str">
        <x:v>Port</x:v>
      </x:c>
      <x:c r="C875" t="str">
        <x:v>Malta Freeport</x:v>
      </x:c>
      <x:c r="D875" t="str">
        <x:v>Malta</x:v>
      </x:c>
      <x:c r="E875"/>
      <x:c r="F875" t="str">
        <x:v>Active</x:v>
      </x:c>
    </x:row>
    <x:row r="876">
      <x:c r="A876" t="str">
        <x:v>PORTG0122</x:v>
      </x:c>
      <x:c r="B876" t="str">
        <x:v>Port</x:v>
      </x:c>
      <x:c r="C876" t="str">
        <x:v>Port of Thessaloniki</x:v>
      </x:c>
      <x:c r="D876" t="str">
        <x:v>Greece</x:v>
      </x:c>
      <x:c r="E876"/>
      <x:c r="F876" t="str">
        <x:v>Active</x:v>
      </x:c>
    </x:row>
    <x:row r="877">
      <x:c r="A877" t="str">
        <x:v>PORTG0123</x:v>
      </x:c>
      <x:c r="B877" t="str">
        <x:v>Port</x:v>
      </x:c>
      <x:c r="C877" t="str">
        <x:v>Port of Odesa</x:v>
      </x:c>
      <x:c r="D877" t="str">
        <x:v>Ukraine</x:v>
      </x:c>
      <x:c r="E877"/>
      <x:c r="F877" t="str">
        <x:v>Active</x:v>
      </x:c>
    </x:row>
    <x:row r="878">
      <x:c r="A878" t="str">
        <x:v>PORTG0124</x:v>
      </x:c>
      <x:c r="B878" t="str">
        <x:v>Port</x:v>
      </x:c>
      <x:c r="C878" t="str">
        <x:v>Tanger Med</x:v>
      </x:c>
      <x:c r="D878" t="str">
        <x:v>Morocco</x:v>
      </x:c>
      <x:c r="E878"/>
      <x:c r="F878" t="str">
        <x:v>Active</x:v>
      </x:c>
    </x:row>
    <x:row r="879">
      <x:c r="A879" t="str">
        <x:v>PORTG0125</x:v>
      </x:c>
      <x:c r="B879" t="str">
        <x:v>Port</x:v>
      </x:c>
      <x:c r="C879" t="str">
        <x:v>Port of Casablanca</x:v>
      </x:c>
      <x:c r="D879" t="str">
        <x:v>Morocco</x:v>
      </x:c>
      <x:c r="E879"/>
      <x:c r="F879" t="str">
        <x:v>Active</x:v>
      </x:c>
    </x:row>
    <x:row r="880">
      <x:c r="A880" t="str">
        <x:v>PORTG0126</x:v>
      </x:c>
      <x:c r="B880" t="str">
        <x:v>Port</x:v>
      </x:c>
      <x:c r="C880" t="str">
        <x:v>Port of Abidjan</x:v>
      </x:c>
      <x:c r="D880" t="str">
        <x:v>Côte d’Ivoire</x:v>
      </x:c>
      <x:c r="E880"/>
      <x:c r="F880" t="str">
        <x:v>Active</x:v>
      </x:c>
    </x:row>
    <x:row r="881">
      <x:c r="A881" t="str">
        <x:v>PORTG0127</x:v>
      </x:c>
      <x:c r="B881" t="str">
        <x:v>Port</x:v>
      </x:c>
      <x:c r="C881" t="str">
        <x:v>Port of Umm Qasr</x:v>
      </x:c>
      <x:c r="D881" t="str">
        <x:v>Iraq</x:v>
      </x:c>
      <x:c r="E881"/>
      <x:c r="F881" t="str">
        <x:v>Active</x:v>
      </x:c>
    </x:row>
    <x:row r="882">
      <x:c r="A882" t="str">
        <x:v>PORTG0128</x:v>
      </x:c>
      <x:c r="B882" t="str">
        <x:v>Port</x:v>
      </x:c>
      <x:c r="C882" t="str">
        <x:v>Port of Singapore</x:v>
      </x:c>
      <x:c r="D882" t="str">
        <x:v>Singapore</x:v>
      </x:c>
      <x:c r="E882"/>
      <x:c r="F882" t="str">
        <x:v>Active</x:v>
      </x:c>
    </x:row>
    <x:row r="883">
      <x:c r="A883" t="str">
        <x:v>PORTG0129</x:v>
      </x:c>
      <x:c r="B883" t="str">
        <x:v>Port</x:v>
      </x:c>
      <x:c r="C883" t="str">
        <x:v>PortMiami</x:v>
      </x:c>
      <x:c r="D883" t="str">
        <x:v>United States</x:v>
      </x:c>
      <x:c r="E883"/>
      <x:c r="F883" t="str">
        <x:v>Active</x:v>
      </x:c>
    </x:row>
    <x:row r="884">
      <x:c r="A884" t="str">
        <x:v>PORTG0130</x:v>
      </x:c>
      <x:c r="B884" t="str">
        <x:v>Port</x:v>
      </x:c>
      <x:c r="C884" t="str">
        <x:v>Port Houston</x:v>
      </x:c>
      <x:c r="D884" t="str">
        <x:v>United States</x:v>
      </x:c>
      <x:c r="E884"/>
      <x:c r="F884" t="str">
        <x:v>Active</x:v>
      </x:c>
    </x:row>
    <x:row r="885">
      <x:c r="A885" t="str">
        <x:v>PORTG0131</x:v>
      </x:c>
      <x:c r="B885" t="str">
        <x:v>Port</x:v>
      </x:c>
      <x:c r="C885" t="str">
        <x:v>Port of Kingston</x:v>
      </x:c>
      <x:c r="D885" t="str">
        <x:v>Jamaica</x:v>
      </x:c>
      <x:c r="E885"/>
      <x:c r="F885" t="str">
        <x:v>Active</x:v>
      </x:c>
    </x:row>
    <x:row r="886">
      <x:c r="A886" t="str">
        <x:v>PORTG0132</x:v>
      </x:c>
      <x:c r="B886" t="str">
        <x:v>Port</x:v>
      </x:c>
      <x:c r="C886" t="str">
        <x:v>Port of Long Beach</x:v>
      </x:c>
      <x:c r="D886" t="str">
        <x:v>United States</x:v>
      </x:c>
      <x:c r="E886"/>
      <x:c r="F886" t="str">
        <x:v>Active</x:v>
      </x:c>
    </x:row>
    <x:row r="887">
      <x:c r="A887" t="str">
        <x:v>PORTG0133</x:v>
      </x:c>
      <x:c r="B887" t="str">
        <x:v>Port</x:v>
      </x:c>
      <x:c r="C887" t="str">
        <x:v>King Abdullah Port</x:v>
      </x:c>
      <x:c r="D887" t="str">
        <x:v>Saudi Arabia</x:v>
      </x:c>
      <x:c r="E887"/>
      <x:c r="F887" t="str">
        <x:v>Active</x:v>
      </x:c>
    </x:row>
    <x:row r="888">
      <x:c r="A888" t="str">
        <x:v>PORTG0134</x:v>
      </x:c>
      <x:c r="B888" t="str">
        <x:v>Port</x:v>
      </x:c>
      <x:c r="C888" t="str">
        <x:v>Port of Navegantes</x:v>
      </x:c>
      <x:c r="D888" t="str">
        <x:v>Brazil</x:v>
      </x:c>
      <x:c r="E888"/>
      <x:c r="F888" t="str">
        <x:v>Active</x:v>
      </x:c>
    </x:row>
    <x:row r="889">
      <x:c r="A889" t="str">
        <x:v>PORTG0135</x:v>
      </x:c>
      <x:c r="B889" t="str">
        <x:v>Port</x:v>
      </x:c>
      <x:c r="C889" t="str">
        <x:v>Port of Lomé</x:v>
      </x:c>
      <x:c r="D889" t="str">
        <x:v>Togo</x:v>
      </x:c>
      <x:c r="E889"/>
      <x:c r="F889" t="str">
        <x:v>Active</x:v>
      </x:c>
    </x:row>
    <x:row r="890">
      <x:c r="A890" t="str">
        <x:v>PORTG0136</x:v>
      </x:c>
      <x:c r="B890" t="str">
        <x:v>Port</x:v>
      </x:c>
      <x:c r="C890" t="str">
        <x:v>Port Everglades</x:v>
      </x:c>
      <x:c r="D890" t="str">
        <x:v>United States</x:v>
      </x:c>
      <x:c r="E890"/>
      <x:c r="F890" t="str">
        <x:v>Active</x:v>
      </x:c>
    </x:row>
    <x:row r="891">
      <x:c r="A891" t="str">
        <x:v>PORTG0137</x:v>
      </x:c>
      <x:c r="B891" t="str">
        <x:v>Port</x:v>
      </x:c>
      <x:c r="C891" t="str">
        <x:v>Port of New Orleans</x:v>
      </x:c>
      <x:c r="D891" t="str">
        <x:v>United States</x:v>
      </x:c>
      <x:c r="E891"/>
      <x:c r="F891" t="str">
        <x:v>Active</x:v>
      </x:c>
    </x:row>
    <x:row r="892">
      <x:c r="A892" t="str">
        <x:v>PORTG0138</x:v>
      </x:c>
      <x:c r="B892" t="str">
        <x:v>Port</x:v>
      </x:c>
      <x:c r="C892" t="str">
        <x:v>Port of Seattle</x:v>
      </x:c>
      <x:c r="D892" t="str">
        <x:v>United States</x:v>
      </x:c>
      <x:c r="E892"/>
      <x:c r="F892" t="str">
        <x:v>Active</x:v>
      </x:c>
    </x:row>
    <x:row r="893">
      <x:c r="A893" t="str">
        <x:v>PORTG0139</x:v>
      </x:c>
      <x:c r="B893" t="str">
        <x:v>Port</x:v>
      </x:c>
      <x:c r="C893" t="str">
        <x:v>Sparrows Point / Baltimore</x:v>
      </x:c>
      <x:c r="D893" t="str">
        <x:v>United States</x:v>
      </x:c>
      <x:c r="E893"/>
      <x:c r="F893" t="str">
        <x:v>Active</x:v>
      </x:c>
    </x:row>
    <x:row r="894">
      <x:c r="A894" t="str">
        <x:v>PORTG0140</x:v>
      </x:c>
      <x:c r="B894" t="str">
        <x:v>Port</x:v>
      </x:c>
      <x:c r="C894" t="str">
        <x:v>Kamarajar / Ennore Port</x:v>
      </x:c>
      <x:c r="D894" t="str">
        <x:v>India</x:v>
      </x:c>
      <x:c r="E894"/>
      <x:c r="F894" t="str">
        <x:v>Active</x:v>
      </x:c>
    </x:row>
    <x:row r="895">
      <x:c r="A895" t="str">
        <x:v>PORTG0141</x:v>
      </x:c>
      <x:c r="B895" t="str">
        <x:v>Port</x:v>
      </x:c>
      <x:c r="C895" t="str">
        <x:v>Vizhinjam Port</x:v>
      </x:c>
      <x:c r="D895" t="str">
        <x:v>India</x:v>
      </x:c>
      <x:c r="E895"/>
      <x:c r="F895" t="str">
        <x:v>Active</x:v>
      </x:c>
    </x:row>
    <x:row r="896">
      <x:c r="A896" t="str">
        <x:v>PORTG0142</x:v>
      </x:c>
      <x:c r="B896" t="str">
        <x:v>Port</x:v>
      </x:c>
      <x:c r="C896" t="str">
        <x:v>Misurata Free Zone Port</x:v>
      </x:c>
      <x:c r="D896" t="str">
        <x:v>Libya</x:v>
      </x:c>
      <x:c r="E896"/>
      <x:c r="F896" t="str">
        <x:v>Active</x:v>
      </x:c>
    </x:row>
    <x:row r="897">
      <x:c r="A897" t="str">
        <x:v>PORTG0143</x:v>
      </x:c>
      <x:c r="B897" t="str">
        <x:v>Port</x:v>
      </x:c>
      <x:c r="C897" t="str">
        <x:v>Port of Gioia Tauro</x:v>
      </x:c>
      <x:c r="D897" t="str">
        <x:v>Italy</x:v>
      </x:c>
      <x:c r="E897"/>
      <x:c r="F897" t="str">
        <x:v>Active</x:v>
      </x:c>
    </x:row>
    <x:row r="898">
      <x:c r="A898" t="str">
        <x:v>PORTG0144</x:v>
      </x:c>
      <x:c r="B898" t="str">
        <x:v>Port</x:v>
      </x:c>
      <x:c r="C898" t="str">
        <x:v>Port of Trieste</x:v>
      </x:c>
      <x:c r="D898" t="str">
        <x:v>Italy</x:v>
      </x:c>
      <x:c r="E898"/>
      <x:c r="F898" t="str">
        <x:v>Active</x:v>
      </x:c>
    </x:row>
    <x:row r="899">
      <x:c r="A899" t="str">
        <x:v>PORTG0145</x:v>
      </x:c>
      <x:c r="B899" t="str">
        <x:v>Port</x:v>
      </x:c>
      <x:c r="C899" t="str">
        <x:v>Port of Sines</x:v>
      </x:c>
      <x:c r="D899" t="str">
        <x:v>Portugal</x:v>
      </x:c>
      <x:c r="E899"/>
      <x:c r="F899" t="str">
        <x:v>Active</x:v>
      </x:c>
    </x:row>
    <x:row r="900">
      <x:c r="A900" t="str">
        <x:v>PORTG0146</x:v>
      </x:c>
      <x:c r="B900" t="str">
        <x:v>Port</x:v>
      </x:c>
      <x:c r="C900" t="str">
        <x:v>Port of Tekirdağ</x:v>
      </x:c>
      <x:c r="D900" t="str">
        <x:v>Türkiye</x:v>
      </x:c>
      <x:c r="E900"/>
      <x:c r="F900" t="str">
        <x:v>Active</x:v>
      </x:c>
    </x:row>
    <x:row r="901">
      <x:c r="A901" t="str">
        <x:v>PORTG0147</x:v>
      </x:c>
      <x:c r="B901" t="str">
        <x:v>Port</x:v>
      </x:c>
      <x:c r="C901" t="str">
        <x:v>Port of San Pedro</x:v>
      </x:c>
      <x:c r="D901" t="str">
        <x:v>Côte d’Ivoire</x:v>
      </x:c>
      <x:c r="E901"/>
      <x:c r="F901" t="str">
        <x:v>Active</x:v>
      </x:c>
    </x:row>
    <x:row r="902">
      <x:c r="A902" t="str">
        <x:v>PORTG0148</x:v>
      </x:c>
      <x:c r="B902" t="str">
        <x:v>Port</x:v>
      </x:c>
      <x:c r="C902" t="str">
        <x:v>Colón</x:v>
      </x:c>
      <x:c r="D902" t="str">
        <x:v>Panama</x:v>
      </x:c>
      <x:c r="E902"/>
      <x:c r="F902" t="str">
        <x:v>Active</x:v>
      </x:c>
    </x:row>
    <x:row r="903">
      <x:c r="A903" t="str">
        <x:v>PORTG0149</x:v>
      </x:c>
      <x:c r="B903" t="str">
        <x:v>Port</x:v>
      </x:c>
      <x:c r="C903" t="str">
        <x:v>Port of Buenos Aires / Dock Sud</x:v>
      </x:c>
      <x:c r="D903" t="str">
        <x:v>Argentina</x:v>
      </x:c>
      <x:c r="E903"/>
      <x:c r="F903" t="str">
        <x:v>Active</x:v>
      </x:c>
    </x:row>
    <x:row r="904">
      <x:c r="A904" t="str">
        <x:v>PORTG0150</x:v>
      </x:c>
      <x:c r="B904" t="str">
        <x:v>Port</x:v>
      </x:c>
      <x:c r="C904" t="str">
        <x:v>Port of Ningbo-Zhoushan</x:v>
      </x:c>
      <x:c r="D904" t="str">
        <x:v>China</x:v>
      </x:c>
      <x:c r="E904"/>
      <x:c r="F904" t="str">
        <x:v>Active</x:v>
      </x:c>
    </x:row>
    <x:row r="905">
      <x:c r="A905" t="str">
        <x:v>PORTG0151</x:v>
      </x:c>
      <x:c r="B905" t="str">
        <x:v>Port</x:v>
      </x:c>
      <x:c r="C905" t="str">
        <x:v>Port of Lázaro Cárdenas</x:v>
      </x:c>
      <x:c r="D905" t="str">
        <x:v>Mexico</x:v>
      </x:c>
      <x:c r="E905"/>
      <x:c r="F905" t="str">
        <x:v>Active</x:v>
      </x:c>
    </x:row>
    <x:row r="906">
      <x:c r="A906" t="str">
        <x:v>PORTG0152</x:v>
      </x:c>
      <x:c r="B906" t="str">
        <x:v>Port</x:v>
      </x:c>
      <x:c r="C906" t="str">
        <x:v>Port of Suape</x:v>
      </x:c>
      <x:c r="D906" t="str">
        <x:v>Brazil</x:v>
      </x:c>
      <x:c r="E906"/>
      <x:c r="F906" t="str">
        <x:v>Active</x:v>
      </x:c>
    </x:row>
    <x:row r="907">
      <x:c r="A907" t="str">
        <x:v>PORTG0153</x:v>
      </x:c>
      <x:c r="B907" t="str">
        <x:v>Port</x:v>
      </x:c>
      <x:c r="C907" t="str">
        <x:v>Khalifa Bin Salman Port</x:v>
      </x:c>
      <x:c r="D907" t="str">
        <x:v>Bahrain</x:v>
      </x:c>
      <x:c r="E907"/>
      <x:c r="F907" t="str">
        <x:v>Active</x:v>
      </x:c>
    </x:row>
    <x:row r="908">
      <x:c r="A908" t="str">
        <x:v>PORTG0154</x:v>
      </x:c>
      <x:c r="B908" t="str">
        <x:v>Port</x:v>
      </x:c>
      <x:c r="C908" t="str">
        <x:v>Port of Pointe-Noire</x:v>
      </x:c>
      <x:c r="D908" t="str">
        <x:v>Congo</x:v>
      </x:c>
      <x:c r="E908"/>
      <x:c r="F908" t="str">
        <x:v>Active</x:v>
      </x:c>
    </x:row>
    <x:row r="909">
      <x:c r="A909" t="str">
        <x:v>PORTG0155</x:v>
      </x:c>
      <x:c r="B909" t="str">
        <x:v>Port</x:v>
      </x:c>
      <x:c r="C909" t="str">
        <x:v>Port of Abidjan</x:v>
      </x:c>
      <x:c r="D909" t="str">
        <x:v>Côte d'Ivoire</x:v>
      </x:c>
      <x:c r="E909"/>
      <x:c r="F909" t="str">
        <x:v>Active</x:v>
      </x:c>
    </x:row>
    <x:row r="910">
      <x:c r="A910" t="str">
        <x:v>PORTG0156</x:v>
      </x:c>
      <x:c r="B910" t="str">
        <x:v>Port</x:v>
      </x:c>
      <x:c r="C910" t="str">
        <x:v>Port of San Pedro</x:v>
      </x:c>
      <x:c r="D910" t="str">
        <x:v>Côte d'Ivoire</x:v>
      </x:c>
      <x:c r="E910"/>
      <x:c r="F910" t="str">
        <x:v>Active</x:v>
      </x:c>
    </x:row>
    <x:row r="911">
      <x:c r="A911" t="str">
        <x:v>PORTG0157</x:v>
      </x:c>
      <x:c r="B911" t="str">
        <x:v>Port</x:v>
      </x:c>
      <x:c r="C911" t="str">
        <x:v>Port Said East Port</x:v>
      </x:c>
      <x:c r="D911" t="str">
        <x:v>Egypt</x:v>
      </x:c>
      <x:c r="E911"/>
      <x:c r="F911" t="str">
        <x:v>Active</x:v>
      </x:c>
    </x:row>
    <x:row r="912">
      <x:c r="A912" t="str">
        <x:v>PORTG0158</x:v>
      </x:c>
      <x:c r="B912" t="str">
        <x:v>Port</x:v>
      </x:c>
      <x:c r="C912" t="str">
        <x:v>Port of Tema</x:v>
      </x:c>
      <x:c r="D912" t="str">
        <x:v>Ghana</x:v>
      </x:c>
      <x:c r="E912"/>
      <x:c r="F912" t="str">
        <x:v>Active</x:v>
      </x:c>
    </x:row>
    <x:row r="913">
      <x:c r="A913" t="str">
        <x:v>PORTG0159</x:v>
      </x:c>
      <x:c r="B913" t="str">
        <x:v>Port</x:v>
      </x:c>
      <x:c r="C913" t="str">
        <x:v>Freeport of Monrovia</x:v>
      </x:c>
      <x:c r="D913" t="str">
        <x:v>Liberia</x:v>
      </x:c>
      <x:c r="E913"/>
      <x:c r="F913" t="str">
        <x:v>Active</x:v>
      </x:c>
    </x:row>
    <x:row r="914">
      <x:c r="A914" t="str">
        <x:v>PORTG0160</x:v>
      </x:c>
      <x:c r="B914" t="str">
        <x:v>Port</x:v>
      </x:c>
      <x:c r="C914" t="str">
        <x:v>Lagos Port Complex / Apapa</x:v>
      </x:c>
      <x:c r="D914" t="str">
        <x:v>Nigeria</x:v>
      </x:c>
      <x:c r="E914"/>
      <x:c r="F914" t="str">
        <x:v>Active</x:v>
      </x:c>
    </x:row>
    <x:row r="915">
      <x:c r="A915" t="str">
        <x:v>PORTG0161</x:v>
      </x:c>
      <x:c r="B915" t="str">
        <x:v>Port</x:v>
      </x:c>
      <x:c r="C915" t="str">
        <x:v>Onne Port</x:v>
      </x:c>
      <x:c r="D915" t="str">
        <x:v>Nigeria</x:v>
      </x:c>
      <x:c r="E915"/>
      <x:c r="F915" t="str">
        <x:v>Active</x:v>
      </x:c>
    </x:row>
    <x:row r="916">
      <x:c r="A916" t="str">
        <x:v>PORTG0162</x:v>
      </x:c>
      <x:c r="B916" t="str">
        <x:v>Port</x:v>
      </x:c>
      <x:c r="C916" t="str">
        <x:v>Port of Salalah</x:v>
      </x:c>
      <x:c r="D916" t="str">
        <x:v>Oman</x:v>
      </x:c>
      <x:c r="E916"/>
      <x:c r="F916" t="str">
        <x:v>Active</x:v>
      </x:c>
    </x:row>
    <x:row r="917">
      <x:c r="A917" t="str">
        <x:v>PORTG0163</x:v>
      </x:c>
      <x:c r="B917" t="str">
        <x:v>Port</x:v>
      </x:c>
      <x:c r="C917" t="str">
        <x:v>Port of Guangzhou</x:v>
      </x:c>
      <x:c r="D917" t="str">
        <x:v>China</x:v>
      </x:c>
      <x:c r="E917"/>
      <x:c r="F917" t="str">
        <x:v>Active</x:v>
      </x:c>
    </x:row>
    <x:row r="918">
      <x:c r="A918" t="str">
        <x:v>PORTG0164</x:v>
      </x:c>
      <x:c r="B918" t="str">
        <x:v>Port</x:v>
      </x:c>
      <x:c r="C918" t="str">
        <x:v>Port of Shanghai</x:v>
      </x:c>
      <x:c r="D918" t="str">
        <x:v>China</x:v>
      </x:c>
      <x:c r="E918"/>
      <x:c r="F918" t="str">
        <x:v>Active</x:v>
      </x:c>
    </x:row>
    <x:row r="919">
      <x:c r="A919" t="str">
        <x:v>PORTG0165</x:v>
      </x:c>
      <x:c r="B919" t="str">
        <x:v>Port</x:v>
      </x:c>
      <x:c r="C919" t="str">
        <x:v>Port of Tianjin</x:v>
      </x:c>
      <x:c r="D919" t="str">
        <x:v>China</x:v>
      </x:c>
      <x:c r="E919"/>
      <x:c r="F919" t="str">
        <x:v>Active</x:v>
      </x:c>
    </x:row>
    <x:row r="920">
      <x:c r="A920" t="str">
        <x:v>PORTG0166</x:v>
      </x:c>
      <x:c r="B920" t="str">
        <x:v>Port</x:v>
      </x:c>
      <x:c r="C920" t="str">
        <x:v>Port of Xiamen</x:v>
      </x:c>
      <x:c r="D920" t="str">
        <x:v>China</x:v>
      </x:c>
      <x:c r="E920"/>
      <x:c r="F920" t="str">
        <x:v>Active</x:v>
      </x:c>
    </x:row>
    <x:row r="921">
      <x:c r="A921" t="str">
        <x:v>PORTG0167</x:v>
      </x:c>
      <x:c r="B921" t="str">
        <x:v>Port</x:v>
      </x:c>
      <x:c r="C921" t="str">
        <x:v>Port Pipavav</x:v>
      </x:c>
      <x:c r="D921" t="str">
        <x:v>India</x:v>
      </x:c>
      <x:c r="E921"/>
      <x:c r="F921" t="str">
        <x:v>Active</x:v>
      </x:c>
    </x:row>
    <x:row r="922">
      <x:c r="A922" t="str">
        <x:v>PORTG0168</x:v>
      </x:c>
      <x:c r="B922" t="str">
        <x:v>Port</x:v>
      </x:c>
      <x:c r="C922" t="str">
        <x:v>Port of Yokohama</x:v>
      </x:c>
      <x:c r="D922" t="str">
        <x:v>Japan</x:v>
      </x:c>
      <x:c r="E922"/>
      <x:c r="F922" t="str">
        <x:v>Active</x:v>
      </x:c>
    </x:row>
    <x:row r="923">
      <x:c r="A923" t="str">
        <x:v>PORTG0169</x:v>
      </x:c>
      <x:c r="B923" t="str">
        <x:v>Port</x:v>
      </x:c>
      <x:c r="C923" t="str">
        <x:v>Port of Tanjung Pelepas</x:v>
      </x:c>
      <x:c r="D923" t="str">
        <x:v>Malaysia</x:v>
      </x:c>
      <x:c r="E923"/>
      <x:c r="F923" t="str">
        <x:v>Active</x:v>
      </x:c>
    </x:row>
    <x:row r="924">
      <x:c r="A924" t="str">
        <x:v>PORTG0170</x:v>
      </x:c>
      <x:c r="B924" t="str">
        <x:v>Port</x:v>
      </x:c>
      <x:c r="C924" t="str">
        <x:v>Port of Colombo</x:v>
      </x:c>
      <x:c r="D924" t="str">
        <x:v>Sri Lanka</x:v>
      </x:c>
      <x:c r="E924"/>
      <x:c r="F924" t="str">
        <x:v>Active</x:v>
      </x:c>
    </x:row>
    <x:row r="925">
      <x:c r="A925" t="str">
        <x:v>PORTG0171</x:v>
      </x:c>
      <x:c r="B925" t="str">
        <x:v>Port</x:v>
      </x:c>
      <x:c r="C925" t="str">
        <x:v>Port of Rijeka</x:v>
      </x:c>
      <x:c r="D925" t="str">
        <x:v>Croatia</x:v>
      </x:c>
      <x:c r="E925"/>
      <x:c r="F925" t="str">
        <x:v>Active</x:v>
      </x:c>
    </x:row>
    <x:row r="926">
      <x:c r="A926" t="str">
        <x:v>PORTG0172</x:v>
      </x:c>
      <x:c r="B926" t="str">
        <x:v>Port</x:v>
      </x:c>
      <x:c r="C926" t="str">
        <x:v>Port of Aarhus</x:v>
      </x:c>
      <x:c r="D926" t="str">
        <x:v>Denmark</x:v>
      </x:c>
      <x:c r="E926"/>
      <x:c r="F926" t="str">
        <x:v>Active</x:v>
      </x:c>
    </x:row>
    <x:row r="927">
      <x:c r="A927" t="str">
        <x:v>PORTG0173</x:v>
      </x:c>
      <x:c r="B927" t="str">
        <x:v>Port</x:v>
      </x:c>
      <x:c r="C927" t="str">
        <x:v>Port of Kalundborg</x:v>
      </x:c>
      <x:c r="D927" t="str">
        <x:v>Denmark</x:v>
      </x:c>
      <x:c r="E927"/>
      <x:c r="F927" t="str">
        <x:v>Active</x:v>
      </x:c>
    </x:row>
    <x:row r="928">
      <x:c r="A928" t="str">
        <x:v>PORTG0174</x:v>
      </x:c>
      <x:c r="B928" t="str">
        <x:v>Port</x:v>
      </x:c>
      <x:c r="C928" t="str">
        <x:v>Port of Poti</x:v>
      </x:c>
      <x:c r="D928" t="str">
        <x:v>Georgia</x:v>
      </x:c>
      <x:c r="E928"/>
      <x:c r="F928" t="str">
        <x:v>Active</x:v>
      </x:c>
    </x:row>
    <x:row r="929">
      <x:c r="A929" t="str">
        <x:v>PORTG0175</x:v>
      </x:c>
      <x:c r="B929" t="str">
        <x:v>Port</x:v>
      </x:c>
      <x:c r="C929" t="str">
        <x:v>Port of Bremerhaven</x:v>
      </x:c>
      <x:c r="D929" t="str">
        <x:v>Germany</x:v>
      </x:c>
      <x:c r="E929"/>
      <x:c r="F929" t="str">
        <x:v>Active</x:v>
      </x:c>
    </x:row>
    <x:row r="930">
      <x:c r="A930" t="str">
        <x:v>PORTG0176</x:v>
      </x:c>
      <x:c r="B930" t="str">
        <x:v>Port</x:v>
      </x:c>
      <x:c r="C930" t="str">
        <x:v>Port of Vado Ligure</x:v>
      </x:c>
      <x:c r="D930" t="str">
        <x:v>Italy</x:v>
      </x:c>
      <x:c r="E930"/>
      <x:c r="F930" t="str">
        <x:v>Active</x:v>
      </x:c>
    </x:row>
    <x:row r="931">
      <x:c r="A931" t="str">
        <x:v>PORTG0177</x:v>
      </x:c>
      <x:c r="B931" t="str">
        <x:v>Port</x:v>
      </x:c>
      <x:c r="C931" t="str">
        <x:v>Port of Gijón</x:v>
      </x:c>
      <x:c r="D931" t="str">
        <x:v>Spain</x:v>
      </x:c>
      <x:c r="E931"/>
      <x:c r="F931" t="str">
        <x:v>Active</x:v>
      </x:c>
    </x:row>
    <x:row r="932">
      <x:c r="A932" t="str">
        <x:v>PORTG0178</x:v>
      </x:c>
      <x:c r="B932" t="str">
        <x:v>Port</x:v>
      </x:c>
      <x:c r="C932" t="str">
        <x:v>Port of Gothenburg</x:v>
      </x:c>
      <x:c r="D932" t="str">
        <x:v>Sweden</x:v>
      </x:c>
      <x:c r="E932"/>
      <x:c r="F932" t="str">
        <x:v>Active</x:v>
      </x:c>
    </x:row>
    <x:row r="933">
      <x:c r="A933" t="str">
        <x:v>PORTG0179</x:v>
      </x:c>
      <x:c r="B933" t="str">
        <x:v>Port</x:v>
      </x:c>
      <x:c r="C933" t="str">
        <x:v>Port of Aliağa / İzmir</x:v>
      </x:c>
      <x:c r="D933" t="str">
        <x:v>Turkey</x:v>
      </x:c>
      <x:c r="E933"/>
      <x:c r="F933" t="str">
        <x:v>Active</x:v>
      </x:c>
    </x:row>
    <x:row r="934">
      <x:c r="A934" t="str">
        <x:v>PORTG0180</x:v>
      </x:c>
      <x:c r="B934" t="str">
        <x:v>Port</x:v>
      </x:c>
      <x:c r="C934" t="str">
        <x:v>Port of Itapoá</x:v>
      </x:c>
      <x:c r="D934" t="str">
        <x:v>Brazil</x:v>
      </x:c>
      <x:c r="E934"/>
      <x:c r="F934" t="str">
        <x:v>Active</x:v>
      </x:c>
    </x:row>
    <x:row r="935">
      <x:c r="A935" t="str">
        <x:v>PORTG0181</x:v>
      </x:c>
      <x:c r="B935" t="str">
        <x:v>Port</x:v>
      </x:c>
      <x:c r="C935" t="str">
        <x:v>Port of Pecém</x:v>
      </x:c>
      <x:c r="D935" t="str">
        <x:v>Brazil</x:v>
      </x:c>
      <x:c r="E935"/>
      <x:c r="F935" t="str">
        <x:v>Active</x:v>
      </x:c>
    </x:row>
    <x:row r="936">
      <x:c r="A936" t="str">
        <x:v>PORTG0182</x:v>
      </x:c>
      <x:c r="B936" t="str">
        <x:v>Port</x:v>
      </x:c>
      <x:c r="C936" t="str">
        <x:v>Port of Buenaventura</x:v>
      </x:c>
      <x:c r="D936" t="str">
        <x:v>Colombia</x:v>
      </x:c>
      <x:c r="E936"/>
      <x:c r="F936" t="str">
        <x:v>Active</x:v>
      </x:c>
    </x:row>
    <x:row r="937">
      <x:c r="A937" t="str">
        <x:v>PORTG0183</x:v>
      </x:c>
      <x:c r="B937" t="str">
        <x:v>Port</x:v>
      </x:c>
      <x:c r="C937" t="str">
        <x:v>Port of Moín</x:v>
      </x:c>
      <x:c r="D937" t="str">
        <x:v>Costa Rica</x:v>
      </x:c>
      <x:c r="E937"/>
      <x:c r="F937" t="str">
        <x:v>Active</x:v>
      </x:c>
    </x:row>
    <x:row r="938">
      <x:c r="A938" t="str">
        <x:v>PORTG0184</x:v>
      </x:c>
      <x:c r="B938" t="str">
        <x:v>Port</x:v>
      </x:c>
      <x:c r="C938" t="str">
        <x:v>Puerto Quetzal</x:v>
      </x:c>
      <x:c r="D938" t="str">
        <x:v>Guatemala</x:v>
      </x:c>
      <x:c r="E938"/>
      <x:c r="F938" t="str">
        <x:v>Active</x:v>
      </x:c>
    </x:row>
    <x:row r="939">
      <x:c r="A939" t="str">
        <x:v>PORTG0185</x:v>
      </x:c>
      <x:c r="B939" t="str">
        <x:v>Port</x:v>
      </x:c>
      <x:c r="C939" t="str">
        <x:v>Port of Progreso</x:v>
      </x:c>
      <x:c r="D939" t="str">
        <x:v>Mexico</x:v>
      </x:c>
      <x:c r="E939"/>
      <x:c r="F939" t="str">
        <x:v>Active</x:v>
      </x:c>
    </x:row>
    <x:row r="940">
      <x:c r="A940" t="str">
        <x:v>PORTG0186</x:v>
      </x:c>
      <x:c r="B940" t="str">
        <x:v>Port</x:v>
      </x:c>
      <x:c r="C940" t="str">
        <x:v>Port of Mobile</x:v>
      </x:c>
      <x:c r="D940" t="str">
        <x:v>United States</x:v>
      </x:c>
      <x:c r="E940"/>
      <x:c r="F940" t="str">
        <x:v>Active</x:v>
      </x:c>
    </x:row>
    <x:row r="941">
      <x:c r="A941" t="str">
        <x:v>PORTG0187</x:v>
      </x:c>
      <x:c r="B941" t="str">
        <x:v>Port</x:v>
      </x:c>
      <x:c r="C941" t="str">
        <x:v>Port of Chattogram</x:v>
      </x:c>
      <x:c r="D941" t="str">
        <x:v>Bangladesh</x:v>
      </x:c>
      <x:c r="E941"/>
      <x:c r="F941" t="str">
        <x:v>Active</x:v>
      </x:c>
    </x:row>
    <x:row r="942">
      <x:c r="A942" t="str">
        <x:v>PORTG0188</x:v>
      </x:c>
      <x:c r="B942" t="str">
        <x:v>Port</x:v>
      </x:c>
      <x:c r="C942" t="str">
        <x:v>Lien Chieu Port</x:v>
      </x:c>
      <x:c r="D942" t="str">
        <x:v>Vietnam</x:v>
      </x:c>
      <x:c r="E942"/>
      <x:c r="F942" t="str">
        <x:v>Active</x:v>
      </x:c>
    </x:row>
    <x:row r="943">
      <x:c r="A943" t="str">
        <x:v>PORTG0189</x:v>
      </x:c>
      <x:c r="B943" t="str">
        <x:v>Port</x:v>
      </x:c>
      <x:c r="C943" t="str">
        <x:v>Port of Balboa</x:v>
      </x:c>
      <x:c r="D943" t="str">
        <x:v>Panama</x:v>
      </x:c>
      <x:c r="E943"/>
      <x:c r="F943" t="str">
        <x:v>Active</x:v>
      </x:c>
    </x:row>
    <x:row r="944">
      <x:c r="A944" t="str">
        <x:v>PORTG0190</x:v>
      </x:c>
      <x:c r="B944" t="str">
        <x:v>Port</x:v>
      </x:c>
      <x:c r="C944" t="str">
        <x:v>Lach Huyen / Haiphong Port</x:v>
      </x:c>
      <x:c r="D944" t="str">
        <x:v>Vietnam</x:v>
      </x:c>
      <x:c r="E944"/>
      <x:c r="F944" t="str">
        <x:v>Active</x:v>
      </x:c>
    </x:row>
    <x:row r="945">
      <x:c r="A945" t="str">
        <x:v>TERM0001</x:v>
      </x:c>
      <x:c r="B945" t="str">
        <x:v>Port terminal</x:v>
      </x:c>
      <x:c r="C945" t="str">
        <x:v>DP World Sydney</x:v>
      </x:c>
      <x:c r="D945" t="str">
        <x:v>Australia</x:v>
      </x:c>
      <x:c r="E945" t="str">
        <x:v>PORTG0001</x:v>
      </x:c>
      <x:c r="F945" t="str">
        <x:v>Active</x:v>
      </x:c>
    </x:row>
    <x:row r="946">
      <x:c r="A946" t="str">
        <x:v>TERM0002</x:v>
      </x:c>
      <x:c r="B946" t="str">
        <x:v>Port terminal</x:v>
      </x:c>
      <x:c r="C946" t="str">
        <x:v>DP World Brisbane</x:v>
      </x:c>
      <x:c r="D946" t="str">
        <x:v>Australia</x:v>
      </x:c>
      <x:c r="E946" t="str">
        <x:v>PORTG0002</x:v>
      </x:c>
      <x:c r="F946" t="str">
        <x:v>Active</x:v>
      </x:c>
    </x:row>
    <x:row r="947">
      <x:c r="A947" t="str">
        <x:v>TERM0003</x:v>
      </x:c>
      <x:c r="B947" t="str">
        <x:v>Port terminal</x:v>
      </x:c>
      <x:c r="C947" t="str">
        <x:v>DP World Melbourne</x:v>
      </x:c>
      <x:c r="D947" t="str">
        <x:v>Australia</x:v>
      </x:c>
      <x:c r="E947" t="str">
        <x:v>PORTG0003</x:v>
      </x:c>
      <x:c r="F947" t="str">
        <x:v>Active</x:v>
      </x:c>
    </x:row>
    <x:row r="948">
      <x:c r="A948" t="str">
        <x:v>TERM0004</x:v>
      </x:c>
      <x:c r="B948" t="str">
        <x:v>Port terminal</x:v>
      </x:c>
      <x:c r="C948" t="str">
        <x:v>DP World Fremantle</x:v>
      </x:c>
      <x:c r="D948" t="str">
        <x:v>Australia</x:v>
      </x:c>
      <x:c r="E948" t="str">
        <x:v>PORTG0004</x:v>
      </x:c>
      <x:c r="F948" t="str">
        <x:v>Active</x:v>
      </x:c>
    </x:row>
    <x:row r="949">
      <x:c r="A949" t="str">
        <x:v>TERM0005</x:v>
      </x:c>
      <x:c r="B949" t="str">
        <x:v>Port terminal</x:v>
      </x:c>
      <x:c r="C949" t="str">
        <x:v>DP World Qingdao</x:v>
      </x:c>
      <x:c r="D949" t="str">
        <x:v>China</x:v>
      </x:c>
      <x:c r="E949" t="str">
        <x:v>PORTG0005</x:v>
      </x:c>
      <x:c r="F949" t="str">
        <x:v>Active</x:v>
      </x:c>
    </x:row>
    <x:row r="950">
      <x:c r="A950" t="str">
        <x:v>TERM0006</x:v>
      </x:c>
      <x:c r="B950" t="str">
        <x:v>Port terminal</x:v>
      </x:c>
      <x:c r="C950" t="str">
        <x:v>DP World Yantai</x:v>
      </x:c>
      <x:c r="D950" t="str">
        <x:v>China</x:v>
      </x:c>
      <x:c r="E950" t="str">
        <x:v>PORTG0006</x:v>
      </x:c>
      <x:c r="F950" t="str">
        <x:v>Active</x:v>
      </x:c>
    </x:row>
    <x:row r="951">
      <x:c r="A951" t="str">
        <x:v>TERM0007</x:v>
      </x:c>
      <x:c r="B951" t="str">
        <x:v>Port terminal</x:v>
      </x:c>
      <x:c r="C951" t="str">
        <x:v>DP World Hong Kong / Berth 3</x:v>
      </x:c>
      <x:c r="D951" t="str">
        <x:v>China</x:v>
      </x:c>
      <x:c r="E951" t="str">
        <x:v>PORTG0007</x:v>
      </x:c>
      <x:c r="F951" t="str">
        <x:v>Active</x:v>
      </x:c>
    </x:row>
    <x:row r="952">
      <x:c r="A952" t="str">
        <x:v>TERM0008</x:v>
      </x:c>
      <x:c r="B952" t="str">
        <x:v>Port terminal</x:v>
      </x:c>
      <x:c r="C952" t="str">
        <x:v>DP World Yiwu Port</x:v>
      </x:c>
      <x:c r="D952" t="str">
        <x:v>China</x:v>
      </x:c>
      <x:c r="E952" t="str">
        <x:v>PORTG0008</x:v>
      </x:c>
      <x:c r="F952" t="str">
        <x:v>Active</x:v>
      </x:c>
    </x:row>
    <x:row r="953">
      <x:c r="A953" t="str">
        <x:v>TERM0009</x:v>
      </x:c>
      <x:c r="B953" t="str">
        <x:v>Port terminal</x:v>
      </x:c>
      <x:c r="C953" t="str">
        <x:v>DP World Belawan</x:v>
      </x:c>
      <x:c r="D953" t="str">
        <x:v>Indonesia</x:v>
      </x:c>
      <x:c r="E953" t="str">
        <x:v>PORTG0009</x:v>
      </x:c>
      <x:c r="F953" t="str">
        <x:v>Active</x:v>
      </x:c>
    </x:row>
    <x:row r="954">
      <x:c r="A954" t="str">
        <x:v>TERM0010</x:v>
      </x:c>
      <x:c r="B954" t="str">
        <x:v>Port terminal</x:v>
      </x:c>
      <x:c r="C954" t="str">
        <x:v>DP World Maspion East Java</x:v>
      </x:c>
      <x:c r="D954" t="str">
        <x:v>Indonesia</x:v>
      </x:c>
      <x:c r="E954" t="str">
        <x:v>PORTG0010</x:v>
      </x:c>
      <x:c r="F954" t="str">
        <x:v>Development</x:v>
      </x:c>
    </x:row>
    <x:row r="955">
      <x:c r="A955" t="str">
        <x:v>TERM0011</x:v>
      </x:c>
      <x:c r="B955" t="str">
        <x:v>Port terminal</x:v>
      </x:c>
      <x:c r="C955" t="str">
        <x:v>Sapangar Bay Container Port</x:v>
      </x:c>
      <x:c r="D955" t="str">
        <x:v>Malaysia</x:v>
      </x:c>
      <x:c r="E955" t="str">
        <x:v>PORTG0011</x:v>
      </x:c>
      <x:c r="F955" t="str">
        <x:v>Active</x:v>
      </x:c>
    </x:row>
    <x:row r="956">
      <x:c r="A956" t="str">
        <x:v>TERM0012</x:v>
      </x:c>
      <x:c r="B956" t="str">
        <x:v>Port terminal</x:v>
      </x:c>
      <x:c r="C956" t="str">
        <x:v>Manila South Harbor</x:v>
      </x:c>
      <x:c r="D956" t="str">
        <x:v>Philippines</x:v>
      </x:c>
      <x:c r="E956" t="str">
        <x:v>PORTG0012</x:v>
      </x:c>
      <x:c r="F956" t="str">
        <x:v>Active</x:v>
      </x:c>
    </x:row>
    <x:row r="957">
      <x:c r="A957" t="str">
        <x:v>TERM0013</x:v>
      </x:c>
      <x:c r="B957" t="str">
        <x:v>Port terminal</x:v>
      </x:c>
      <x:c r="C957" t="str">
        <x:v>Batangas Port</x:v>
      </x:c>
      <x:c r="D957" t="str">
        <x:v>Philippines</x:v>
      </x:c>
      <x:c r="E957" t="str">
        <x:v>PORTG0013</x:v>
      </x:c>
      <x:c r="F957" t="str">
        <x:v>Active</x:v>
      </x:c>
    </x:row>
    <x:row r="958">
      <x:c r="A958" t="str">
        <x:v>TERM0014</x:v>
      </x:c>
      <x:c r="B958" t="str">
        <x:v>Port terminal</x:v>
      </x:c>
      <x:c r="C958" t="str">
        <x:v>Cavite Container Barge Terminal</x:v>
      </x:c>
      <x:c r="D958" t="str">
        <x:v>Philippines</x:v>
      </x:c>
      <x:c r="E958" t="str">
        <x:v>PORTG0014</x:v>
      </x:c>
      <x:c r="F958" t="str">
        <x:v>Active</x:v>
      </x:c>
    </x:row>
    <x:row r="959">
      <x:c r="A959" t="str">
        <x:v>TERM0015</x:v>
      </x:c>
      <x:c r="B959" t="str">
        <x:v>Port terminal</x:v>
      </x:c>
      <x:c r="C959" t="str">
        <x:v>Pusan Newport Company (PNC)</x:v>
      </x:c>
      <x:c r="D959" t="str">
        <x:v>South Korea</x:v>
      </x:c>
      <x:c r="E959" t="str">
        <x:v>PORTG0015</x:v>
      </x:c>
      <x:c r="F959" t="str">
        <x:v>Active</x:v>
      </x:c>
    </x:row>
    <x:row r="960">
      <x:c r="A960" t="str">
        <x:v>TERM0016</x:v>
      </x:c>
      <x:c r="B960" t="str">
        <x:v>Port terminal</x:v>
      </x:c>
      <x:c r="C960" t="str">
        <x:v>Laem Chabang International Terminal (LCIT)</x:v>
      </x:c>
      <x:c r="D960" t="str">
        <x:v>Thailand</x:v>
      </x:c>
      <x:c r="E960" t="str">
        <x:v>PORTG0016</x:v>
      </x:c>
      <x:c r="F960" t="str">
        <x:v>Active</x:v>
      </x:c>
    </x:row>
    <x:row r="961">
      <x:c r="A961" t="str">
        <x:v>TERM0017</x:v>
      </x:c>
      <x:c r="B961" t="str">
        <x:v>Port terminal</x:v>
      </x:c>
      <x:c r="C961" t="str">
        <x:v>Saigon Premier Container Terminal (SPCT)</x:v>
      </x:c>
      <x:c r="D961" t="str">
        <x:v>Vietnam</x:v>
      </x:c>
      <x:c r="E961" t="str">
        <x:v>PORTG0017</x:v>
      </x:c>
      <x:c r="F961" t="str">
        <x:v>Active</x:v>
      </x:c>
    </x:row>
    <x:row r="962">
      <x:c r="A962" t="str">
        <x:v>TERM0018</x:v>
      </x:c>
      <x:c r="B962" t="str">
        <x:v>Port terminal</x:v>
      </x:c>
      <x:c r="C962" t="str">
        <x:v>Antwerp Gateway</x:v>
      </x:c>
      <x:c r="D962" t="str">
        <x:v>Belgium</x:v>
      </x:c>
      <x:c r="E962" t="str">
        <x:v>PORTG0018</x:v>
      </x:c>
      <x:c r="F962" t="str">
        <x:v>Active</x:v>
      </x:c>
    </x:row>
    <x:row r="963">
      <x:c r="A963" t="str">
        <x:v>TERM0019</x:v>
      </x:c>
      <x:c r="B963" t="str">
        <x:v>Port terminal</x:v>
      </x:c>
      <x:c r="C963" t="str">
        <x:v>DP World Limassol</x:v>
      </x:c>
      <x:c r="D963" t="str">
        <x:v>Cyprus</x:v>
      </x:c>
      <x:c r="E963" t="str">
        <x:v>PORTG0019</x:v>
      </x:c>
      <x:c r="F963" t="str">
        <x:v>Active</x:v>
      </x:c>
    </x:row>
    <x:row r="964">
      <x:c r="A964" t="str">
        <x:v>TERM0020</x:v>
      </x:c>
      <x:c r="B964" t="str">
        <x:v>Port terminal</x:v>
      </x:c>
      <x:c r="C964" t="str">
        <x:v>Rotterdam World Gateway</x:v>
      </x:c>
      <x:c r="D964" t="str">
        <x:v>Netherlands</x:v>
      </x:c>
      <x:c r="E964" t="str">
        <x:v>PORTG0020</x:v>
      </x:c>
      <x:c r="F964" t="str">
        <x:v>Active</x:v>
      </x:c>
    </x:row>
    <x:row r="965">
      <x:c r="A965" t="str">
        <x:v>TERM0021</x:v>
      </x:c>
      <x:c r="B965" t="str">
        <x:v>Port terminal</x:v>
      </x:c>
      <x:c r="C965" t="str">
        <x:v>DP World Constanța</x:v>
      </x:c>
      <x:c r="D965" t="str">
        <x:v>Romania</x:v>
      </x:c>
      <x:c r="E965" t="str">
        <x:v>PORTG0021</x:v>
      </x:c>
      <x:c r="F965" t="str">
        <x:v>Active</x:v>
      </x:c>
    </x:row>
    <x:row r="966">
      <x:c r="A966" t="str">
        <x:v>TERM0022</x:v>
      </x:c>
      <x:c r="B966" t="str">
        <x:v>Port terminal</x:v>
      </x:c>
      <x:c r="C966" t="str">
        <x:v>DP World Novi Sad</x:v>
      </x:c>
      <x:c r="D966" t="str">
        <x:v>Serbia</x:v>
      </x:c>
      <x:c r="E966" t="str">
        <x:v>PORTG0022</x:v>
      </x:c>
      <x:c r="F966" t="str">
        <x:v>Active</x:v>
      </x:c>
    </x:row>
    <x:row r="967">
      <x:c r="A967" t="str">
        <x:v>TERM0023</x:v>
      </x:c>
      <x:c r="B967" t="str">
        <x:v>Port terminal</x:v>
      </x:c>
      <x:c r="C967" t="str">
        <x:v>DP World Yarımca</x:v>
      </x:c>
      <x:c r="D967" t="str">
        <x:v>Türkiye</x:v>
      </x:c>
      <x:c r="E967" t="str">
        <x:v>PORTG0023</x:v>
      </x:c>
      <x:c r="F967" t="str">
        <x:v>Active</x:v>
      </x:c>
    </x:row>
    <x:row r="968">
      <x:c r="A968" t="str">
        <x:v>TERM0024</x:v>
      </x:c>
      <x:c r="B968" t="str">
        <x:v>Port terminal</x:v>
      </x:c>
      <x:c r="C968" t="str">
        <x:v>DP World Evyap Körfez</x:v>
      </x:c>
      <x:c r="D968" t="str">
        <x:v>Türkiye</x:v>
      </x:c>
      <x:c r="E968" t="str">
        <x:v>PORTG0024</x:v>
      </x:c>
      <x:c r="F968" t="str">
        <x:v>Active</x:v>
      </x:c>
    </x:row>
    <x:row r="969">
      <x:c r="A969" t="str">
        <x:v>TERM0025</x:v>
      </x:c>
      <x:c r="B969" t="str">
        <x:v>Port terminal</x:v>
      </x:c>
      <x:c r="C969" t="str">
        <x:v>DP World TIS Pivdennyi</x:v>
      </x:c>
      <x:c r="D969" t="str">
        <x:v>Ukraine</x:v>
      </x:c>
      <x:c r="E969" t="str">
        <x:v>PORTG0025</x:v>
      </x:c>
      <x:c r="F969" t="str">
        <x:v>Active</x:v>
      </x:c>
    </x:row>
    <x:row r="970">
      <x:c r="A970" t="str">
        <x:v>TERM0026</x:v>
      </x:c>
      <x:c r="B970" t="str">
        <x:v>Port terminal</x:v>
      </x:c>
      <x:c r="C970" t="str">
        <x:v>DP World London Gateway</x:v>
      </x:c>
      <x:c r="D970" t="str">
        <x:v>United Kingdom</x:v>
      </x:c>
      <x:c r="E970" t="str">
        <x:v>UKP053</x:v>
      </x:c>
      <x:c r="F970" t="str">
        <x:v>Active</x:v>
      </x:c>
    </x:row>
    <x:row r="971">
      <x:c r="A971" t="str">
        <x:v>TERM0027</x:v>
      </x:c>
      <x:c r="B971" t="str">
        <x:v>Port terminal</x:v>
      </x:c>
      <x:c r="C971" t="str">
        <x:v>DP World Southampton</x:v>
      </x:c>
      <x:c r="D971" t="str">
        <x:v>United Kingdom</x:v>
      </x:c>
      <x:c r="E971" t="str">
        <x:v>UKP054</x:v>
      </x:c>
      <x:c r="F971" t="str">
        <x:v>Active</x:v>
      </x:c>
    </x:row>
    <x:row r="972">
      <x:c r="A972" t="str">
        <x:v>TERM0028</x:v>
      </x:c>
      <x:c r="B972" t="str">
        <x:v>Port terminal</x:v>
      </x:c>
      <x:c r="C972" t="str">
        <x:v>DP World Luanda</x:v>
      </x:c>
      <x:c r="D972" t="str">
        <x:v>Angola</x:v>
      </x:c>
      <x:c r="E972" t="str">
        <x:v>PORTG0026</x:v>
      </x:c>
      <x:c r="F972" t="str">
        <x:v>Active</x:v>
      </x:c>
    </x:row>
    <x:row r="973">
      <x:c r="A973" t="str">
        <x:v>TERM0029</x:v>
      </x:c>
      <x:c r="B973" t="str">
        <x:v>Port terminal</x:v>
      </x:c>
      <x:c r="C973" t="str">
        <x:v>DP World Djazair</x:v>
      </x:c>
      <x:c r="D973" t="str">
        <x:v>Algeria</x:v>
      </x:c>
      <x:c r="E973" t="str">
        <x:v>PORTG0027</x:v>
      </x:c>
      <x:c r="F973" t="str">
        <x:v>Active</x:v>
      </x:c>
    </x:row>
    <x:row r="974">
      <x:c r="A974" t="str">
        <x:v>TERM0030</x:v>
      </x:c>
      <x:c r="B974" t="str">
        <x:v>Port terminal</x:v>
      </x:c>
      <x:c r="C974" t="str">
        <x:v>DP World Djen Djen</x:v>
      </x:c>
      <x:c r="D974" t="str">
        <x:v>Algeria</x:v>
      </x:c>
      <x:c r="E974" t="str">
        <x:v>PORTG0028</x:v>
      </x:c>
      <x:c r="F974" t="str">
        <x:v>Active</x:v>
      </x:c>
    </x:row>
    <x:row r="975">
      <x:c r="A975" t="str">
        <x:v>TERM0031</x:v>
      </x:c>
      <x:c r="B975" t="str">
        <x:v>Port terminal</x:v>
      </x:c>
      <x:c r="C975" t="str">
        <x:v>DP World Sokhna</x:v>
      </x:c>
      <x:c r="D975" t="str">
        <x:v>Egypt</x:v>
      </x:c>
      <x:c r="E975" t="str">
        <x:v>PORTG0029</x:v>
      </x:c>
      <x:c r="F975" t="str">
        <x:v>Active</x:v>
      </x:c>
    </x:row>
    <x:row r="976">
      <x:c r="A976" t="str">
        <x:v>TERM0032</x:v>
      </x:c>
      <x:c r="B976" t="str">
        <x:v>Port terminal</x:v>
      </x:c>
      <x:c r="C976" t="str">
        <x:v>Nhava Sheva International Container Terminal (NSICT)</x:v>
      </x:c>
      <x:c r="D976" t="str">
        <x:v>India</x:v>
      </x:c>
      <x:c r="E976" t="str">
        <x:v>PORTG0030</x:v>
      </x:c>
      <x:c r="F976" t="str">
        <x:v>Active</x:v>
      </x:c>
    </x:row>
    <x:row r="977">
      <x:c r="A977" t="str">
        <x:v>TERM0033</x:v>
      </x:c>
      <x:c r="B977" t="str">
        <x:v>Port terminal</x:v>
      </x:c>
      <x:c r="C977" t="str">
        <x:v>Nhava Sheva India Gateway Terminal (NSIGT)</x:v>
      </x:c>
      <x:c r="D977" t="str">
        <x:v>India</x:v>
      </x:c>
      <x:c r="E977" t="str">
        <x:v>PORTG0030</x:v>
      </x:c>
      <x:c r="F977" t="str">
        <x:v>Active</x:v>
      </x:c>
    </x:row>
    <x:row r="978">
      <x:c r="A978" t="str">
        <x:v>TERM0034</x:v>
      </x:c>
      <x:c r="B978" t="str">
        <x:v>Port terminal</x:v>
      </x:c>
      <x:c r="C978" t="str">
        <x:v>Mundra International Container Terminal (MICT)</x:v>
      </x:c>
      <x:c r="D978" t="str">
        <x:v>India</x:v>
      </x:c>
      <x:c r="E978" t="str">
        <x:v>PORTG0031</x:v>
      </x:c>
      <x:c r="F978" t="str">
        <x:v>Active</x:v>
      </x:c>
    </x:row>
    <x:row r="979">
      <x:c r="A979" t="str">
        <x:v>TERM0035</x:v>
      </x:c>
      <x:c r="B979" t="str">
        <x:v>Port terminal</x:v>
      </x:c>
      <x:c r="C979" t="str">
        <x:v>Chennai Container Terminal (CCT)</x:v>
      </x:c>
      <x:c r="D979" t="str">
        <x:v>India</x:v>
      </x:c>
      <x:c r="E979" t="str">
        <x:v>PORTG0032</x:v>
      </x:c>
      <x:c r="F979" t="str">
        <x:v>Active</x:v>
      </x:c>
    </x:row>
    <x:row r="980">
      <x:c r="A980" t="str">
        <x:v>TERM0036</x:v>
      </x:c>
      <x:c r="B980" t="str">
        <x:v>Port terminal</x:v>
      </x:c>
      <x:c r="C980" t="str">
        <x:v>International Container Transshipment Terminal (ICTT)</x:v>
      </x:c>
      <x:c r="D980" t="str">
        <x:v>India</x:v>
      </x:c>
      <x:c r="E980" t="str">
        <x:v>PORTG0033</x:v>
      </x:c>
      <x:c r="F980" t="str">
        <x:v>Active</x:v>
      </x:c>
    </x:row>
    <x:row r="981">
      <x:c r="A981" t="str">
        <x:v>TERM0037</x:v>
      </x:c>
      <x:c r="B981" t="str">
        <x:v>Port terminal</x:v>
      </x:c>
      <x:c r="C981" t="str">
        <x:v>Tuna-Tekra Mega Container Terminal</x:v>
      </x:c>
      <x:c r="D981" t="str">
        <x:v>India</x:v>
      </x:c>
      <x:c r="E981" t="str">
        <x:v>PORTG0034</x:v>
      </x:c>
      <x:c r="F981" t="str">
        <x:v>Development</x:v>
      </x:c>
    </x:row>
    <x:row r="982">
      <x:c r="A982" t="str">
        <x:v>TERM0038</x:v>
      </x:c>
      <x:c r="B982" t="str">
        <x:v>Port terminal</x:v>
      </x:c>
      <x:c r="C982" t="str">
        <x:v>DP World Maputo</x:v>
      </x:c>
      <x:c r="D982" t="str">
        <x:v>Mozambique</x:v>
      </x:c>
      <x:c r="E982" t="str">
        <x:v>PORTG0035</x:v>
      </x:c>
      <x:c r="F982" t="str">
        <x:v>Active</x:v>
      </x:c>
    </x:row>
    <x:row r="983">
      <x:c r="A983" t="str">
        <x:v>TERM0039</x:v>
      </x:c>
      <x:c r="B983" t="str">
        <x:v>Port terminal</x:v>
      </x:c>
      <x:c r="C983" t="str">
        <x:v>Qasim International Container Terminal (QICT)</x:v>
      </x:c>
      <x:c r="D983" t="str">
        <x:v>Pakistan</x:v>
      </x:c>
      <x:c r="E983" t="str">
        <x:v>PORTG0036</x:v>
      </x:c>
      <x:c r="F983" t="str">
        <x:v>Active</x:v>
      </x:c>
    </x:row>
    <x:row r="984">
      <x:c r="A984" t="str">
        <x:v>TERM0040</x:v>
      </x:c>
      <x:c r="B984" t="str">
        <x:v>Port terminal</x:v>
      </x:c>
      <x:c r="C984" t="str">
        <x:v>South Container Terminal – Jeddah</x:v>
      </x:c>
      <x:c r="D984" t="str">
        <x:v>Saudi Arabia</x:v>
      </x:c>
      <x:c r="E984" t="str">
        <x:v>PORTG0037</x:v>
      </x:c>
      <x:c r="F984" t="str">
        <x:v>Active</x:v>
      </x:c>
    </x:row>
    <x:row r="985">
      <x:c r="A985" t="str">
        <x:v>TERM0041</x:v>
      </x:c>
      <x:c r="B985" t="str">
        <x:v>Port terminal</x:v>
      </x:c>
      <x:c r="C985" t="str">
        <x:v>DP World Dakar</x:v>
      </x:c>
      <x:c r="D985" t="str">
        <x:v>Senegal</x:v>
      </x:c>
      <x:c r="E985" t="str">
        <x:v>PORTG0038</x:v>
      </x:c>
      <x:c r="F985" t="str">
        <x:v>Active</x:v>
      </x:c>
    </x:row>
    <x:row r="986">
      <x:c r="A986" t="str">
        <x:v>TERM0042</x:v>
      </x:c>
      <x:c r="B986" t="str">
        <x:v>Port terminal</x:v>
      </x:c>
      <x:c r="C986" t="str">
        <x:v>Port of Ndayane</x:v>
      </x:c>
      <x:c r="D986" t="str">
        <x:v>Senegal</x:v>
      </x:c>
      <x:c r="E986" t="str">
        <x:v>PORTG0039</x:v>
      </x:c>
      <x:c r="F986" t="str">
        <x:v>Development</x:v>
      </x:c>
    </x:row>
    <x:row r="987">
      <x:c r="A987" t="str">
        <x:v>TERM0043</x:v>
      </x:c>
      <x:c r="B987" t="str">
        <x:v>Port terminal</x:v>
      </x:c>
      <x:c r="C987" t="str">
        <x:v>DP World Berbera</x:v>
      </x:c>
      <x:c r="D987" t="str">
        <x:v>Somaliland</x:v>
      </x:c>
      <x:c r="E987" t="str">
        <x:v>PORTG0040</x:v>
      </x:c>
      <x:c r="F987" t="str">
        <x:v>Active</x:v>
      </x:c>
    </x:row>
    <x:row r="988">
      <x:c r="A988" t="str">
        <x:v>TERM0044</x:v>
      </x:c>
      <x:c r="B988" t="str">
        <x:v>Port terminal</x:v>
      </x:c>
      <x:c r="C988" t="str">
        <x:v>DP World Dar es Salaam - Terminal 1</x:v>
      </x:c>
      <x:c r="D988" t="str">
        <x:v>Tanzania</x:v>
      </x:c>
      <x:c r="E988" t="str">
        <x:v>PORTG0041</x:v>
      </x:c>
      <x:c r="F988" t="str">
        <x:v>Active</x:v>
      </x:c>
    </x:row>
    <x:row r="989">
      <x:c r="A989" t="str">
        <x:v>TERM0045</x:v>
      </x:c>
      <x:c r="B989" t="str">
        <x:v>Port terminal</x:v>
      </x:c>
      <x:c r="C989" t="str">
        <x:v>Jebel Ali Port</x:v>
      </x:c>
      <x:c r="D989" t="str">
        <x:v>United Arab Emirates</x:v>
      </x:c>
      <x:c r="E989" t="str">
        <x:v>PORTG0042</x:v>
      </x:c>
      <x:c r="F989" t="str">
        <x:v>Active</x:v>
      </x:c>
    </x:row>
    <x:row r="990">
      <x:c r="A990" t="str">
        <x:v>TERM0046</x:v>
      </x:c>
      <x:c r="B990" t="str">
        <x:v>Port terminal</x:v>
      </x:c>
      <x:c r="C990" t="str">
        <x:v>Mina Al Hamriya</x:v>
      </x:c>
      <x:c r="D990" t="str">
        <x:v>United Arab Emirates</x:v>
      </x:c>
      <x:c r="E990" t="str">
        <x:v>PORTG0043</x:v>
      </x:c>
      <x:c r="F990" t="str">
        <x:v>Active</x:v>
      </x:c>
    </x:row>
    <x:row r="991">
      <x:c r="A991" t="str">
        <x:v>TERM0047</x:v>
      </x:c>
      <x:c r="B991" t="str">
        <x:v>Port terminal</x:v>
      </x:c>
      <x:c r="C991" t="str">
        <x:v>Dubai Creek &amp; Deira Wharfage</x:v>
      </x:c>
      <x:c r="D991" t="str">
        <x:v>United Arab Emirates</x:v>
      </x:c>
      <x:c r="E991" t="str">
        <x:v>PORTG0044</x:v>
      </x:c>
      <x:c r="F991" t="str">
        <x:v>Active</x:v>
      </x:c>
    </x:row>
    <x:row r="992">
      <x:c r="A992" t="str">
        <x:v>TERM0048</x:v>
      </x:c>
      <x:c r="B992" t="str">
        <x:v>Port terminal</x:v>
      </x:c>
      <x:c r="C992" t="str">
        <x:v>Mina Rashid</x:v>
      </x:c>
      <x:c r="D992" t="str">
        <x:v>United Arab Emirates</x:v>
      </x:c>
      <x:c r="E992" t="str">
        <x:v>PORTG0045</x:v>
      </x:c>
      <x:c r="F992" t="str">
        <x:v>Active</x:v>
      </x:c>
    </x:row>
    <x:row r="993">
      <x:c r="A993" t="str">
        <x:v>TERM0049</x:v>
      </x:c>
      <x:c r="B993" t="str">
        <x:v>Port terminal</x:v>
      </x:c>
      <x:c r="C993" t="str">
        <x:v>Al Rugaylat Container &amp; Multi-Purpose Terminal</x:v>
      </x:c>
      <x:c r="D993" t="str">
        <x:v>United Arab Emirates</x:v>
      </x:c>
      <x:c r="E993" t="str">
        <x:v>PORTG0046</x:v>
      </x:c>
      <x:c r="F993" t="str">
        <x:v>Development</x:v>
      </x:c>
    </x:row>
    <x:row r="994">
      <x:c r="A994" t="str">
        <x:v>TERM0050</x:v>
      </x:c>
      <x:c r="B994" t="str">
        <x:v>Port terminal</x:v>
      </x:c>
      <x:c r="C994" t="str">
        <x:v>Dibba General Cargo Terminal</x:v>
      </x:c>
      <x:c r="D994" t="str">
        <x:v>United Arab Emirates</x:v>
      </x:c>
      <x:c r="E994" t="str">
        <x:v>PORTG0046</x:v>
      </x:c>
      <x:c r="F994" t="str">
        <x:v>Development</x:v>
      </x:c>
    </x:row>
    <x:row r="995">
      <x:c r="A995" t="str">
        <x:v>TERM0051</x:v>
      </x:c>
      <x:c r="B995" t="str">
        <x:v>Port terminal</x:v>
      </x:c>
      <x:c r="C995" t="str">
        <x:v>Banana Deep-Sea Port</x:v>
      </x:c>
      <x:c r="D995" t="str">
        <x:v>Democratic Republic of the Congo</x:v>
      </x:c>
      <x:c r="E995" t="str">
        <x:v>PORTG0047</x:v>
      </x:c>
      <x:c r="F995" t="str">
        <x:v>Development</x:v>
      </x:c>
    </x:row>
    <x:row r="996">
      <x:c r="A996" t="str">
        <x:v>TERM0052</x:v>
      </x:c>
      <x:c r="B996" t="str">
        <x:v>Port terminal</x:v>
      </x:c>
      <x:c r="C996" t="str">
        <x:v>Terminales Río de la Plata (TRP)</x:v>
      </x:c>
      <x:c r="D996" t="str">
        <x:v>Argentina</x:v>
      </x:c>
      <x:c r="E996" t="str">
        <x:v>PORTG0048</x:v>
      </x:c>
      <x:c r="F996" t="str">
        <x:v>Active</x:v>
      </x:c>
    </x:row>
    <x:row r="997">
      <x:c r="A997" t="str">
        <x:v>TERM0053</x:v>
      </x:c>
      <x:c r="B997" t="str">
        <x:v>Port terminal</x:v>
      </x:c>
      <x:c r="C997" t="str">
        <x:v>DP World Santos</x:v>
      </x:c>
      <x:c r="D997" t="str">
        <x:v>Brazil</x:v>
      </x:c>
      <x:c r="E997" t="str">
        <x:v>PORTG0049</x:v>
      </x:c>
      <x:c r="F997" t="str">
        <x:v>Active</x:v>
      </x:c>
    </x:row>
    <x:row r="998">
      <x:c r="A998" t="str">
        <x:v>TERM0054</x:v>
      </x:c>
      <x:c r="B998" t="str">
        <x:v>Port terminal</x:v>
      </x:c>
      <x:c r="C998" t="str">
        <x:v>DP World San Antonio</x:v>
      </x:c>
      <x:c r="D998" t="str">
        <x:v>Chile</x:v>
      </x:c>
      <x:c r="E998" t="str">
        <x:v>PORTG0050</x:v>
      </x:c>
      <x:c r="F998" t="str">
        <x:v>Active</x:v>
      </x:c>
    </x:row>
    <x:row r="999">
      <x:c r="A999" t="str">
        <x:v>TERM0055</x:v>
      </x:c>
      <x:c r="B999" t="str">
        <x:v>Port terminal</x:v>
      </x:c>
      <x:c r="C999" t="str">
        <x:v>DP World Lirquén</x:v>
      </x:c>
      <x:c r="D999" t="str">
        <x:v>Chile</x:v>
      </x:c>
      <x:c r="E999" t="str">
        <x:v>PORTG0051</x:v>
      </x:c>
      <x:c r="F999" t="str">
        <x:v>Active</x:v>
      </x:c>
    </x:row>
    <x:row r="1000">
      <x:c r="A1000" t="str">
        <x:v>TERM0056</x:v>
      </x:c>
      <x:c r="B1000" t="str">
        <x:v>Port terminal</x:v>
      </x:c>
      <x:c r="C1000" t="str">
        <x:v>DP World Caucedo</x:v>
      </x:c>
      <x:c r="D1000" t="str">
        <x:v>Dominican Republic</x:v>
      </x:c>
      <x:c r="E1000" t="str">
        <x:v>PORTG0052</x:v>
      </x:c>
      <x:c r="F1000" t="str">
        <x:v>Active</x:v>
      </x:c>
    </x:row>
    <x:row r="1001">
      <x:c r="A1001" t="str">
        <x:v>TERM0057</x:v>
      </x:c>
      <x:c r="B1001" t="str">
        <x:v>Port terminal</x:v>
      </x:c>
      <x:c r="C1001" t="str">
        <x:v>DP World Posorja</x:v>
      </x:c>
      <x:c r="D1001" t="str">
        <x:v>Ecuador</x:v>
      </x:c>
      <x:c r="E1001" t="str">
        <x:v>PORTG0053</x:v>
      </x:c>
      <x:c r="F1001" t="str">
        <x:v>Active</x:v>
      </x:c>
    </x:row>
    <x:row r="1002">
      <x:c r="A1002" t="str">
        <x:v>TERM0058</x:v>
      </x:c>
      <x:c r="B1002" t="str">
        <x:v>Port terminal</x:v>
      </x:c>
      <x:c r="C1002" t="str">
        <x:v>DP World Callao - South Terminal</x:v>
      </x:c>
      <x:c r="D1002" t="str">
        <x:v>Peru</x:v>
      </x:c>
      <x:c r="E1002" t="str">
        <x:v>PORTG0054</x:v>
      </x:c>
      <x:c r="F1002" t="str">
        <x:v>Active</x:v>
      </x:c>
    </x:row>
    <x:row r="1003">
      <x:c r="A1003" t="str">
        <x:v>TERM0059</x:v>
      </x:c>
      <x:c r="B1003" t="str">
        <x:v>Port terminal</x:v>
      </x:c>
      <x:c r="C1003" t="str">
        <x:v>Terminal Portuario de Paita (TPE)</x:v>
      </x:c>
      <x:c r="D1003" t="str">
        <x:v>Peru</x:v>
      </x:c>
      <x:c r="E1003" t="str">
        <x:v>PORTG0055</x:v>
      </x:c>
      <x:c r="F1003" t="str">
        <x:v>Active</x:v>
      </x:c>
    </x:row>
    <x:row r="1004">
      <x:c r="A1004" t="str">
        <x:v>TERM0060</x:v>
      </x:c>
      <x:c r="B1004" t="str">
        <x:v>Port terminal</x:v>
      </x:c>
      <x:c r="C1004" t="str">
        <x:v>DP World Paramaribo</x:v>
      </x:c>
      <x:c r="D1004" t="str">
        <x:v>Suriname</x:v>
      </x:c>
      <x:c r="E1004" t="str">
        <x:v>PORTG0056</x:v>
      </x:c>
      <x:c r="F1004" t="str">
        <x:v>Active</x:v>
      </x:c>
    </x:row>
    <x:row r="1005">
      <x:c r="A1005" t="str">
        <x:v>TERM0061</x:v>
      </x:c>
      <x:c r="B1005" t="str">
        <x:v>Port terminal</x:v>
      </x:c>
      <x:c r="C1005" t="str">
        <x:v>DP World La Vigilantia</x:v>
      </x:c>
      <x:c r="D1005" t="str">
        <x:v>Suriname</x:v>
      </x:c>
      <x:c r="E1005" t="str">
        <x:v>PORTG0057</x:v>
      </x:c>
      <x:c r="F1005" t="str">
        <x:v>Active</x:v>
      </x:c>
    </x:row>
    <x:row r="1006">
      <x:c r="A1006" t="str">
        <x:v>TERM0062</x:v>
      </x:c>
      <x:c r="B1006" t="str">
        <x:v>Port terminal</x:v>
      </x:c>
      <x:c r="C1006" t="str">
        <x:v>DP World Vancouver</x:v>
      </x:c>
      <x:c r="D1006" t="str">
        <x:v>Canada</x:v>
      </x:c>
      <x:c r="E1006" t="str">
        <x:v>PORTG0058</x:v>
      </x:c>
      <x:c r="F1006" t="str">
        <x:v>Active</x:v>
      </x:c>
    </x:row>
    <x:row r="1007">
      <x:c r="A1007" t="str">
        <x:v>TERM0063</x:v>
      </x:c>
      <x:c r="B1007" t="str">
        <x:v>Port terminal</x:v>
      </x:c>
      <x:c r="C1007" t="str">
        <x:v>DP World Fraser Surrey</x:v>
      </x:c>
      <x:c r="D1007" t="str">
        <x:v>Canada</x:v>
      </x:c>
      <x:c r="E1007" t="str">
        <x:v>PORTG0059</x:v>
      </x:c>
      <x:c r="F1007" t="str">
        <x:v>Active</x:v>
      </x:c>
    </x:row>
    <x:row r="1008">
      <x:c r="A1008" t="str">
        <x:v>TERM0064</x:v>
      </x:c>
      <x:c r="B1008" t="str">
        <x:v>Port terminal</x:v>
      </x:c>
      <x:c r="C1008" t="str">
        <x:v>DP World Nanaimo / Duke Point</x:v>
      </x:c>
      <x:c r="D1008" t="str">
        <x:v>Canada</x:v>
      </x:c>
      <x:c r="E1008" t="str">
        <x:v>PORTG0060</x:v>
      </x:c>
      <x:c r="F1008" t="str">
        <x:v>Active</x:v>
      </x:c>
    </x:row>
    <x:row r="1009">
      <x:c r="A1009" t="str">
        <x:v>TERM0065</x:v>
      </x:c>
      <x:c r="B1009" t="str">
        <x:v>Port terminal</x:v>
      </x:c>
      <x:c r="C1009" t="str">
        <x:v>DP World Prince Rupert</x:v>
      </x:c>
      <x:c r="D1009" t="str">
        <x:v>Canada</x:v>
      </x:c>
      <x:c r="E1009" t="str">
        <x:v>PORTG0061</x:v>
      </x:c>
      <x:c r="F1009" t="str">
        <x:v>Active</x:v>
      </x:c>
    </x:row>
    <x:row r="1010">
      <x:c r="A1010" t="str">
        <x:v>TERM0066</x:v>
      </x:c>
      <x:c r="B1010" t="str">
        <x:v>Port terminal</x:v>
      </x:c>
      <x:c r="C1010" t="str">
        <x:v>DP World Saint John</x:v>
      </x:c>
      <x:c r="D1010" t="str">
        <x:v>Canada</x:v>
      </x:c>
      <x:c r="E1010" t="str">
        <x:v>PORTG0062</x:v>
      </x:c>
      <x:c r="F1010" t="str">
        <x:v>Active</x:v>
      </x:c>
    </x:row>
    <x:row r="1011">
      <x:c r="A1011" t="str">
        <x:v>TERM0067</x:v>
      </x:c>
      <x:c r="B1011" t="str">
        <x:v>Port terminal</x:v>
      </x:c>
      <x:c r="C1011" t="str">
        <x:v>Contrecœur Container Terminal</x:v>
      </x:c>
      <x:c r="D1011" t="str">
        <x:v>Canada</x:v>
      </x:c>
      <x:c r="E1011" t="str">
        <x:v>PORTG0063</x:v>
      </x:c>
      <x:c r="F1011" t="str">
        <x:v>Development</x:v>
      </x:c>
    </x:row>
    <x:row r="1012">
      <x:c r="A1012" t="str">
        <x:v>TERM0068</x:v>
      </x:c>
      <x:c r="B1012" t="str">
        <x:v>Port terminal</x:v>
      </x:c>
      <x:c r="C1012" t="str">
        <x:v>Proposed DP World Container Terminal</x:v>
      </x:c>
      <x:c r="D1012" t="str">
        <x:v>United States</x:v>
      </x:c>
      <x:c r="E1012" t="str">
        <x:v>PORTG0064</x:v>
      </x:c>
      <x:c r="F1012" t="str">
        <x:v>Active</x:v>
      </x:c>
    </x:row>
    <x:row r="1013">
      <x:c r="A1013" t="str">
        <x:v>TERM0069</x:v>
      </x:c>
      <x:c r="B1013" t="str">
        <x:v>Port terminal</x:v>
      </x:c>
      <x:c r="C1013" t="str">
        <x:v>Khalifa Port</x:v>
      </x:c>
      <x:c r="D1013" t="str">
        <x:v>United Arab Emirates</x:v>
      </x:c>
      <x:c r="E1013" t="str">
        <x:v>PORTG0065</x:v>
      </x:c>
      <x:c r="F1013" t="str">
        <x:v>Active</x:v>
      </x:c>
    </x:row>
    <x:row r="1014">
      <x:c r="A1014" t="str">
        <x:v>TERM0070</x:v>
      </x:c>
      <x:c r="B1014" t="str">
        <x:v>Port terminal</x:v>
      </x:c>
      <x:c r="C1014" t="str">
        <x:v>Zayed Port</x:v>
      </x:c>
      <x:c r="D1014" t="str">
        <x:v>United Arab Emirates</x:v>
      </x:c>
      <x:c r="E1014" t="str">
        <x:v>PORTG0066</x:v>
      </x:c>
      <x:c r="F1014" t="str">
        <x:v>Active</x:v>
      </x:c>
    </x:row>
    <x:row r="1015">
      <x:c r="A1015" t="str">
        <x:v>TERM0071</x:v>
      </x:c>
      <x:c r="B1015" t="str">
        <x:v>Port terminal</x:v>
      </x:c>
      <x:c r="C1015" t="str">
        <x:v>Free Port (Old &amp; New)</x:v>
      </x:c>
      <x:c r="D1015" t="str">
        <x:v>United Arab Emirates</x:v>
      </x:c>
      <x:c r="E1015" t="str">
        <x:v>PORTG0067</x:v>
      </x:c>
      <x:c r="F1015" t="str">
        <x:v>Active</x:v>
      </x:c>
    </x:row>
    <x:row r="1016">
      <x:c r="A1016" t="str">
        <x:v>TERM0072</x:v>
      </x:c>
      <x:c r="B1016" t="str">
        <x:v>Port terminal</x:v>
      </x:c>
      <x:c r="C1016" t="str">
        <x:v>Musaffah Port</x:v>
      </x:c>
      <x:c r="D1016" t="str">
        <x:v>United Arab Emirates</x:v>
      </x:c>
      <x:c r="E1016" t="str">
        <x:v>PORTG0068</x:v>
      </x:c>
      <x:c r="F1016" t="str">
        <x:v>Active</x:v>
      </x:c>
    </x:row>
    <x:row r="1017">
      <x:c r="A1017" t="str">
        <x:v>TERM0073</x:v>
      </x:c>
      <x:c r="B1017" t="str">
        <x:v>Port terminal</x:v>
      </x:c>
      <x:c r="C1017" t="str">
        <x:v>Mugharraq Port</x:v>
      </x:c>
      <x:c r="D1017" t="str">
        <x:v>United Arab Emirates</x:v>
      </x:c>
      <x:c r="E1017" t="str">
        <x:v>PORTG0069</x:v>
      </x:c>
      <x:c r="F1017" t="str">
        <x:v>Active</x:v>
      </x:c>
    </x:row>
    <x:row r="1018">
      <x:c r="A1018" t="str">
        <x:v>TERM0074</x:v>
      </x:c>
      <x:c r="B1018" t="str">
        <x:v>Port terminal</x:v>
      </x:c>
      <x:c r="C1018" t="str">
        <x:v>Al Sila Port</x:v>
      </x:c>
      <x:c r="D1018" t="str">
        <x:v>United Arab Emirates</x:v>
      </x:c>
      <x:c r="E1018" t="str">
        <x:v>PORTG0070</x:v>
      </x:c>
      <x:c r="F1018" t="str">
        <x:v>Active</x:v>
      </x:c>
    </x:row>
    <x:row r="1019">
      <x:c r="A1019" t="str">
        <x:v>TERM0075</x:v>
      </x:c>
      <x:c r="B1019" t="str">
        <x:v>Port terminal</x:v>
      </x:c>
      <x:c r="C1019" t="str">
        <x:v>Fujairah Port / Fujairah Terminals</x:v>
      </x:c>
      <x:c r="D1019" t="str">
        <x:v>United Arab Emirates</x:v>
      </x:c>
      <x:c r="E1019" t="str">
        <x:v>PORTG0071</x:v>
      </x:c>
      <x:c r="F1019" t="str">
        <x:v>Active</x:v>
      </x:c>
    </x:row>
    <x:row r="1020">
      <x:c r="A1020" t="str">
        <x:v>TERM0076</x:v>
      </x:c>
      <x:c r="B1020" t="str">
        <x:v>Port terminal</x:v>
      </x:c>
      <x:c r="C1020" t="str">
        <x:v>Delma Port</x:v>
      </x:c>
      <x:c r="D1020" t="str">
        <x:v>United Arab Emirates</x:v>
      </x:c>
      <x:c r="E1020" t="str">
        <x:v>PORTG0072</x:v>
      </x:c>
      <x:c r="F1020" t="str">
        <x:v>Active</x:v>
      </x:c>
    </x:row>
    <x:row r="1021">
      <x:c r="A1021" t="str">
        <x:v>TERM0077</x:v>
      </x:c>
      <x:c r="B1021" t="str">
        <x:v>Port terminal</x:v>
      </x:c>
      <x:c r="C1021" t="str">
        <x:v>Mirfa Port</x:v>
      </x:c>
      <x:c r="D1021" t="str">
        <x:v>United Arab Emirates</x:v>
      </x:c>
      <x:c r="E1021" t="str">
        <x:v>PORTG0073</x:v>
      </x:c>
      <x:c r="F1021" t="str">
        <x:v>Active</x:v>
      </x:c>
    </x:row>
    <x:row r="1022">
      <x:c r="A1022" t="str">
        <x:v>TERM0078</x:v>
      </x:c>
      <x:c r="B1022" t="str">
        <x:v>Port terminal</x:v>
      </x:c>
      <x:c r="C1022" t="str">
        <x:v>Shahama Port</x:v>
      </x:c>
      <x:c r="D1022" t="str">
        <x:v>United Arab Emirates</x:v>
      </x:c>
      <x:c r="E1022" t="str">
        <x:v>PORTG0074</x:v>
      </x:c>
      <x:c r="F1022" t="str">
        <x:v>Active</x:v>
      </x:c>
    </x:row>
    <x:row r="1023">
      <x:c r="A1023" t="str">
        <x:v>TERM0079</x:v>
      </x:c>
      <x:c r="B1023" t="str">
        <x:v>Port terminal</x:v>
      </x:c>
      <x:c r="C1023" t="str">
        <x:v>Al Faya Dry Port</x:v>
      </x:c>
      <x:c r="D1023" t="str">
        <x:v>United Arab Emirates</x:v>
      </x:c>
      <x:c r="E1023" t="str">
        <x:v>PORTG0065</x:v>
      </x:c>
      <x:c r="F1023" t="str">
        <x:v>Active</x:v>
      </x:c>
    </x:row>
    <x:row r="1024">
      <x:c r="A1024" t="str">
        <x:v>TERM0080</x:v>
      </x:c>
      <x:c r="B1024" t="str">
        <x:v>Port terminal</x:v>
      </x:c>
      <x:c r="C1024" t="str">
        <x:v>Abu Dhabi Terminals</x:v>
      </x:c>
      <x:c r="D1024" t="str">
        <x:v>United Arab Emirates</x:v>
      </x:c>
      <x:c r="E1024" t="str">
        <x:v>PORTG0065</x:v>
      </x:c>
      <x:c r="F1024" t="str">
        <x:v>Active</x:v>
      </x:c>
    </x:row>
    <x:row r="1025">
      <x:c r="A1025" t="str">
        <x:v>TERM0081</x:v>
      </x:c>
      <x:c r="B1025" t="str">
        <x:v>Port terminal</x:v>
      </x:c>
      <x:c r="C1025" t="str">
        <x:v>CSP Abu Dhabi Terminal</x:v>
      </x:c>
      <x:c r="D1025" t="str">
        <x:v>United Arab Emirates</x:v>
      </x:c>
      <x:c r="E1025" t="str">
        <x:v>PORTG0065</x:v>
      </x:c>
      <x:c r="F1025" t="str">
        <x:v>Active</x:v>
      </x:c>
    </x:row>
    <x:row r="1026">
      <x:c r="A1026" t="str">
        <x:v>TERM0082</x:v>
      </x:c>
      <x:c r="B1026" t="str">
        <x:v>Port terminal</x:v>
      </x:c>
      <x:c r="C1026" t="str">
        <x:v>CMA Terminals Khalifa Port</x:v>
      </x:c>
      <x:c r="D1026" t="str">
        <x:v>United Arab Emirates</x:v>
      </x:c>
      <x:c r="E1026" t="str">
        <x:v>PORTG0065</x:v>
      </x:c>
      <x:c r="F1026" t="str">
        <x:v>Active</x:v>
      </x:c>
    </x:row>
    <x:row r="1027">
      <x:c r="A1027" t="str">
        <x:v>TERM0083</x:v>
      </x:c>
      <x:c r="B1027" t="str">
        <x:v>Port terminal</x:v>
      </x:c>
      <x:c r="C1027" t="str">
        <x:v>Autoterminal Khalifa Port</x:v>
      </x:c>
      <x:c r="D1027" t="str">
        <x:v>United Arab Emirates</x:v>
      </x:c>
      <x:c r="E1027" t="str">
        <x:v>PORTG0065</x:v>
      </x:c>
      <x:c r="F1027" t="str">
        <x:v>Active</x:v>
      </x:c>
    </x:row>
    <x:row r="1028">
      <x:c r="A1028" t="str">
        <x:v>TERM0084</x:v>
      </x:c>
      <x:c r="B1028" t="str">
        <x:v>Port terminal</x:v>
      </x:c>
      <x:c r="C1028" t="str">
        <x:v>South Quay</x:v>
      </x:c>
      <x:c r="D1028" t="str">
        <x:v>United Arab Emirates</x:v>
      </x:c>
      <x:c r="E1028" t="str">
        <x:v>PORTG0065</x:v>
      </x:c>
      <x:c r="F1028" t="str">
        <x:v>Active</x:v>
      </x:c>
    </x:row>
    <x:row r="1029">
      <x:c r="A1029" t="str">
        <x:v>TERM0085</x:v>
      </x:c>
      <x:c r="B1029" t="str">
        <x:v>Port terminal</x:v>
      </x:c>
      <x:c r="C1029" t="str">
        <x:v>Khalifa Port Logistics</x:v>
      </x:c>
      <x:c r="D1029" t="str">
        <x:v>United Arab Emirates</x:v>
      </x:c>
      <x:c r="E1029" t="str">
        <x:v>PORTG0065</x:v>
      </x:c>
      <x:c r="F1029" t="str">
        <x:v>Active</x:v>
      </x:c>
    </x:row>
    <x:row r="1030">
      <x:c r="A1030" t="str">
        <x:v>TERM0086</x:v>
      </x:c>
      <x:c r="B1030" t="str">
        <x:v>Port terminal</x:v>
      </x:c>
      <x:c r="C1030" t="str">
        <x:v>Abu Dhabi Cruise Terminal</x:v>
      </x:c>
      <x:c r="D1030" t="str">
        <x:v>United Arab Emirates</x:v>
      </x:c>
      <x:c r="E1030" t="str">
        <x:v>PORTG0066</x:v>
      </x:c>
      <x:c r="F1030" t="str">
        <x:v>Active</x:v>
      </x:c>
    </x:row>
    <x:row r="1031">
      <x:c r="A1031" t="str">
        <x:v>TERM0087</x:v>
      </x:c>
      <x:c r="B1031" t="str">
        <x:v>Port terminal</x:v>
      </x:c>
      <x:c r="C1031" t="str">
        <x:v>Sir Bani Yas Cruise Beach</x:v>
      </x:c>
      <x:c r="D1031" t="str">
        <x:v>United Arab Emirates</x:v>
      </x:c>
      <x:c r="E1031" t="str">
        <x:v>PORTG0075</x:v>
      </x:c>
      <x:c r="F1031" t="str">
        <x:v>Active</x:v>
      </x:c>
    </x:row>
    <x:row r="1032">
      <x:c r="A1032" t="str">
        <x:v>TERM0088</x:v>
      </x:c>
      <x:c r="B1032" t="str">
        <x:v>Port terminal</x:v>
      </x:c>
      <x:c r="C1032" t="str">
        <x:v>Aqaba Cruise Terminal</x:v>
      </x:c>
      <x:c r="D1032" t="str">
        <x:v>Jordan</x:v>
      </x:c>
      <x:c r="E1032" t="str">
        <x:v>PORTG0076</x:v>
      </x:c>
      <x:c r="F1032" t="str">
        <x:v>Active</x:v>
      </x:c>
    </x:row>
    <x:row r="1033">
      <x:c r="A1033" t="str">
        <x:v>TERM0089</x:v>
      </x:c>
      <x:c r="B1033" t="str">
        <x:v>Port terminal</x:v>
      </x:c>
      <x:c r="C1033" t="str">
        <x:v>Sharm El Sheikh Cruise Terminal</x:v>
      </x:c>
      <x:c r="D1033" t="str">
        <x:v>Egypt</x:v>
      </x:c>
      <x:c r="E1033" t="str">
        <x:v>PORTG0077</x:v>
      </x:c>
      <x:c r="F1033" t="str">
        <x:v>Active</x:v>
      </x:c>
    </x:row>
    <x:row r="1034">
      <x:c r="A1034" t="str">
        <x:v>TERM0090</x:v>
      </x:c>
      <x:c r="B1034" t="str">
        <x:v>Port terminal</x:v>
      </x:c>
      <x:c r="C1034" t="str">
        <x:v>Hurghada Cruise Terminal</x:v>
      </x:c>
      <x:c r="D1034" t="str">
        <x:v>Egypt</x:v>
      </x:c>
      <x:c r="E1034" t="str">
        <x:v>PORTG0078</x:v>
      </x:c>
      <x:c r="F1034" t="str">
        <x:v>Active</x:v>
      </x:c>
    </x:row>
    <x:row r="1035">
      <x:c r="A1035" t="str">
        <x:v>TERM0091</x:v>
      </x:c>
      <x:c r="B1035" t="str">
        <x:v>Port terminal</x:v>
      </x:c>
      <x:c r="C1035" t="str">
        <x:v>Safaga Cruise &amp; Ferry Terminal</x:v>
      </x:c>
      <x:c r="D1035" t="str">
        <x:v>Egypt</x:v>
      </x:c>
      <x:c r="E1035" t="str">
        <x:v>PORTG0079</x:v>
      </x:c>
      <x:c r="F1035" t="str">
        <x:v>Active</x:v>
      </x:c>
    </x:row>
    <x:row r="1036">
      <x:c r="A1036" t="str">
        <x:v>TERM0092</x:v>
      </x:c>
      <x:c r="B1036" t="str">
        <x:v>Port terminal</x:v>
      </x:c>
      <x:c r="C1036" t="str">
        <x:v>Noatum Ports Safaga Terminal</x:v>
      </x:c>
      <x:c r="D1036" t="str">
        <x:v>Egypt</x:v>
      </x:c>
      <x:c r="E1036" t="str">
        <x:v>PORTG0079</x:v>
      </x:c>
      <x:c r="F1036" t="str">
        <x:v>Active</x:v>
      </x:c>
    </x:row>
    <x:row r="1037">
      <x:c r="A1037" t="str">
        <x:v>TERM0093</x:v>
      </x:c>
      <x:c r="B1037" t="str">
        <x:v>Port terminal</x:v>
      </x:c>
      <x:c r="C1037" t="str">
        <x:v>TCI / Al Adabiya Terminal</x:v>
      </x:c>
      <x:c r="D1037" t="str">
        <x:v>Egypt</x:v>
      </x:c>
      <x:c r="E1037" t="str">
        <x:v>PORTG0080</x:v>
      </x:c>
      <x:c r="F1037" t="str">
        <x:v>Active</x:v>
      </x:c>
    </x:row>
    <x:row r="1038">
      <x:c r="A1038" t="str">
        <x:v>TERM0094</x:v>
      </x:c>
      <x:c r="B1038" t="str">
        <x:v>Port terminal</x:v>
      </x:c>
      <x:c r="C1038" t="str">
        <x:v>Karachi Gateway Terminal Limited (KGTL)</x:v>
      </x:c>
      <x:c r="D1038" t="str">
        <x:v>Pakistan</x:v>
      </x:c>
      <x:c r="E1038" t="str">
        <x:v>PORTG0081</x:v>
      </x:c>
      <x:c r="F1038" t="str">
        <x:v>Active</x:v>
      </x:c>
    </x:row>
    <x:row r="1039">
      <x:c r="A1039" t="str">
        <x:v>TERM0095</x:v>
      </x:c>
      <x:c r="B1039" t="str">
        <x:v>Port terminal</x:v>
      </x:c>
      <x:c r="C1039" t="str">
        <x:v>Karachi Gateway Terminal Multipurpose Limited (KGTML)</x:v>
      </x:c>
      <x:c r="D1039" t="str">
        <x:v>Pakistan</x:v>
      </x:c>
      <x:c r="E1039" t="str">
        <x:v>PORTG0081</x:v>
      </x:c>
      <x:c r="F1039" t="str">
        <x:v>Active</x:v>
      </x:c>
    </x:row>
    <x:row r="1040">
      <x:c r="A1040" t="str">
        <x:v>TERM0096</x:v>
      </x:c>
      <x:c r="B1040" t="str">
        <x:v>Port terminal</x:v>
      </x:c>
      <x:c r="C1040" t="str">
        <x:v>Noatum Ports Luanda Terminal</x:v>
      </x:c>
      <x:c r="D1040" t="str">
        <x:v>Angola</x:v>
      </x:c>
      <x:c r="E1040" t="str">
        <x:v>PORTG0026</x:v>
      </x:c>
      <x:c r="F1040" t="str">
        <x:v>Active</x:v>
      </x:c>
    </x:row>
    <x:row r="1041">
      <x:c r="A1041" t="str">
        <x:v>TERM0097</x:v>
      </x:c>
      <x:c r="B1041" t="str">
        <x:v>Port terminal</x:v>
      </x:c>
      <x:c r="C1041" t="str">
        <x:v>Noatum Ports Pointe-Noire Terminal</x:v>
      </x:c>
      <x:c r="D1041" t="str">
        <x:v>Republic of the Congo</x:v>
      </x:c>
      <x:c r="E1041" t="str">
        <x:v>PORTG0082</x:v>
      </x:c>
      <x:c r="F1041" t="str">
        <x:v>Development</x:v>
      </x:c>
    </x:row>
    <x:row r="1042">
      <x:c r="A1042" t="str">
        <x:v>TERM0098</x:v>
      </x:c>
      <x:c r="B1042" t="str">
        <x:v>Port terminal</x:v>
      </x:c>
      <x:c r="C1042" t="str">
        <x:v>Dar es Salaam Container Terminal 2 (TICTS / berths 8-11)</x:v>
      </x:c>
      <x:c r="D1042" t="str">
        <x:v>Tanzania</x:v>
      </x:c>
      <x:c r="E1042" t="str">
        <x:v>PORTG0041</x:v>
      </x:c>
      <x:c r="F1042" t="str">
        <x:v>Active</x:v>
      </x:c>
    </x:row>
    <x:row r="1043">
      <x:c r="A1043" t="str">
        <x:v>TERM0099</x:v>
      </x:c>
      <x:c r="B1043" t="str">
        <x:v>Port terminal</x:v>
      </x:c>
      <x:c r="C1043" t="str">
        <x:v>Tbilisi Intermodal Hub / Tbilisi Dry Port</x:v>
      </x:c>
      <x:c r="D1043" t="str">
        <x:v>Georgia</x:v>
      </x:c>
      <x:c r="E1043" t="str">
        <x:v>PORTG0083</x:v>
      </x:c>
      <x:c r="F1043" t="str">
        <x:v>Active</x:v>
      </x:c>
    </x:row>
    <x:row r="1044">
      <x:c r="A1044" t="str">
        <x:v>TERM0100</x:v>
      </x:c>
      <x:c r="B1044" t="str">
        <x:v>Port terminal</x:v>
      </x:c>
      <x:c r="C1044" t="str">
        <x:v>Sarzha Grain Terminal</x:v>
      </x:c>
      <x:c r="D1044" t="str">
        <x:v>Kazakhstan</x:v>
      </x:c>
      <x:c r="E1044" t="str">
        <x:v>PORTG0084</x:v>
      </x:c>
      <x:c r="F1044" t="str">
        <x:v>Development</x:v>
      </x:c>
    </x:row>
    <x:row r="1045">
      <x:c r="A1045" t="str">
        <x:v>TERM0101</x:v>
      </x:c>
      <x:c r="B1045" t="str">
        <x:v>Port terminal</x:v>
      </x:c>
      <x:c r="C1045" t="str">
        <x:v>New Dry Bulk Terminal – Douala Port</x:v>
      </x:c>
      <x:c r="D1045" t="str">
        <x:v>Cameroon</x:v>
      </x:c>
      <x:c r="E1045" t="str">
        <x:v>PORTG0085</x:v>
      </x:c>
      <x:c r="F1045" t="str">
        <x:v>Development</x:v>
      </x:c>
    </x:row>
    <x:row r="1046">
      <x:c r="A1046" t="str">
        <x:v>TERM0102</x:v>
      </x:c>
      <x:c r="B1046" t="str">
        <x:v>Port terminal</x:v>
      </x:c>
      <x:c r="C1046" t="str">
        <x:v>Aqaba Multipurpose Port</x:v>
      </x:c>
      <x:c r="D1046" t="str">
        <x:v>Jordan</x:v>
      </x:c>
      <x:c r="E1046" t="str">
        <x:v>PORTG0076</x:v>
      </x:c>
      <x:c r="F1046" t="str">
        <x:v>Active</x:v>
      </x:c>
    </x:row>
    <x:row r="1047">
      <x:c r="A1047" t="str">
        <x:v>TERM0103</x:v>
      </x:c>
      <x:c r="B1047" t="str">
        <x:v>Port terminal</x:v>
      </x:c>
      <x:c r="C1047" t="str">
        <x:v>Noatum Ports Tarragona Terminal</x:v>
      </x:c>
      <x:c r="D1047" t="str">
        <x:v>Spain</x:v>
      </x:c>
      <x:c r="E1047" t="str">
        <x:v>PORTG0086</x:v>
      </x:c>
      <x:c r="F1047" t="str">
        <x:v>Active</x:v>
      </x:c>
    </x:row>
    <x:row r="1048">
      <x:c r="A1048" t="str">
        <x:v>TERM0104</x:v>
      </x:c>
      <x:c r="B1048" t="str">
        <x:v>Port terminal</x:v>
      </x:c>
      <x:c r="C1048" t="str">
        <x:v>Noatum Ports Castellón Terminal</x:v>
      </x:c>
      <x:c r="D1048" t="str">
        <x:v>Spain</x:v>
      </x:c>
      <x:c r="E1048" t="str">
        <x:v>PORTG0087</x:v>
      </x:c>
      <x:c r="F1048" t="str">
        <x:v>Active</x:v>
      </x:c>
    </x:row>
    <x:row r="1049">
      <x:c r="A1049" t="str">
        <x:v>TERM0105</x:v>
      </x:c>
      <x:c r="B1049" t="str">
        <x:v>Port terminal</x:v>
      </x:c>
      <x:c r="C1049" t="str">
        <x:v>Noatum Ports Sagunto Terminal</x:v>
      </x:c>
      <x:c r="D1049" t="str">
        <x:v>Spain</x:v>
      </x:c>
      <x:c r="E1049" t="str">
        <x:v>PORTG0088</x:v>
      </x:c>
      <x:c r="F1049" t="str">
        <x:v>Active</x:v>
      </x:c>
    </x:row>
    <x:row r="1050">
      <x:c r="A1050" t="str">
        <x:v>TERM0106</x:v>
      </x:c>
      <x:c r="B1050" t="str">
        <x:v>Port terminal</x:v>
      </x:c>
      <x:c r="C1050" t="str">
        <x:v>Noatum Ports Cartagena Terminal</x:v>
      </x:c>
      <x:c r="D1050" t="str">
        <x:v>Spain</x:v>
      </x:c>
      <x:c r="E1050" t="str">
        <x:v>PORTG0089</x:v>
      </x:c>
      <x:c r="F1050" t="str">
        <x:v>Active</x:v>
      </x:c>
    </x:row>
    <x:row r="1051">
      <x:c r="A1051" t="str">
        <x:v>TERM0107</x:v>
      </x:c>
      <x:c r="B1051" t="str">
        <x:v>Port terminal</x:v>
      </x:c>
      <x:c r="C1051" t="str">
        <x:v>Noatum Ports Málaga Terminal</x:v>
      </x:c>
      <x:c r="D1051" t="str">
        <x:v>Spain</x:v>
      </x:c>
      <x:c r="E1051" t="str">
        <x:v>PORTG0090</x:v>
      </x:c>
      <x:c r="F1051" t="str">
        <x:v>Active</x:v>
      </x:c>
    </x:row>
    <x:row r="1052">
      <x:c r="A1052" t="str">
        <x:v>TERM0108</x:v>
      </x:c>
      <x:c r="B1052" t="str">
        <x:v>Port terminal</x:v>
      </x:c>
      <x:c r="C1052" t="str">
        <x:v>Noatum Ports A Coruña Terminal</x:v>
      </x:c>
      <x:c r="D1052" t="str">
        <x:v>Spain</x:v>
      </x:c>
      <x:c r="E1052" t="str">
        <x:v>PORTG0091</x:v>
      </x:c>
      <x:c r="F1052" t="str">
        <x:v>Active</x:v>
      </x:c>
    </x:row>
    <x:row r="1053">
      <x:c r="A1053" t="str">
        <x:v>TERM0109</x:v>
      </x:c>
      <x:c r="B1053" t="str">
        <x:v>Port terminal</x:v>
      </x:c>
      <x:c r="C1053" t="str">
        <x:v>Noatum Ports Ferrol Terminal</x:v>
      </x:c>
      <x:c r="D1053" t="str">
        <x:v>Spain</x:v>
      </x:c>
      <x:c r="E1053" t="str">
        <x:v>PORTG0092</x:v>
      </x:c>
      <x:c r="F1053" t="str">
        <x:v>Active</x:v>
      </x:c>
    </x:row>
    <x:row r="1054">
      <x:c r="A1054" t="str">
        <x:v>TERM0110</x:v>
      </x:c>
      <x:c r="B1054" t="str">
        <x:v>Port terminal</x:v>
      </x:c>
      <x:c r="C1054" t="str">
        <x:v>Noatum Ports Santander Terminal</x:v>
      </x:c>
      <x:c r="D1054" t="str">
        <x:v>Spain</x:v>
      </x:c>
      <x:c r="E1054" t="str">
        <x:v>PORTG0093</x:v>
      </x:c>
      <x:c r="F1054" t="str">
        <x:v>Active</x:v>
      </x:c>
    </x:row>
    <x:row r="1055">
      <x:c r="A1055" t="str">
        <x:v>TERM0111</x:v>
      </x:c>
      <x:c r="B1055" t="str">
        <x:v>Port terminal</x:v>
      </x:c>
      <x:c r="C1055" t="str">
        <x:v>Noatum Ports Bilbao Terminal</x:v>
      </x:c>
      <x:c r="D1055" t="str">
        <x:v>Spain</x:v>
      </x:c>
      <x:c r="E1055" t="str">
        <x:v>PORTG0094</x:v>
      </x:c>
      <x:c r="F1055" t="str">
        <x:v>Active</x:v>
      </x:c>
    </x:row>
    <x:row r="1056">
      <x:c r="A1056" t="str">
        <x:v>TERM0112</x:v>
      </x:c>
      <x:c r="B1056" t="str">
        <x:v>Port terminal</x:v>
      </x:c>
      <x:c r="C1056" t="str">
        <x:v>Noatum Ports Vigo Terminal</x:v>
      </x:c>
      <x:c r="D1056" t="str">
        <x:v>Spain</x:v>
      </x:c>
      <x:c r="E1056" t="str">
        <x:v>PORTG0095</x:v>
      </x:c>
      <x:c r="F1056" t="str">
        <x:v>Active</x:v>
      </x:c>
    </x:row>
    <x:row r="1057">
      <x:c r="A1057" t="str">
        <x:v>TERM0113</x:v>
      </x:c>
      <x:c r="B1057" t="str">
        <x:v>Port terminal</x:v>
      </x:c>
      <x:c r="C1057" t="str">
        <x:v>Autoterminal Barcelona</x:v>
      </x:c>
      <x:c r="D1057" t="str">
        <x:v>Spain</x:v>
      </x:c>
      <x:c r="E1057" t="str">
        <x:v>PORTG0096</x:v>
      </x:c>
      <x:c r="F1057" t="str">
        <x:v>Active</x:v>
      </x:c>
    </x:row>
    <x:row r="1058">
      <x:c r="A1058" t="str">
        <x:v>TERM0114</x:v>
      </x:c>
      <x:c r="B1058" t="str">
        <x:v>Port terminal</x:v>
      </x:c>
      <x:c r="C1058" t="str">
        <x:v>Noatum Ports Pasajes Terminal</x:v>
      </x:c>
      <x:c r="D1058" t="str">
        <x:v>Spain</x:v>
      </x:c>
      <x:c r="E1058" t="str">
        <x:v>PORTG0097</x:v>
      </x:c>
      <x:c r="F1058" t="str">
        <x:v>Active</x:v>
      </x:c>
    </x:row>
    <x:row r="1059">
      <x:c r="A1059" t="str">
        <x:v>TERM0115</x:v>
      </x:c>
      <x:c r="B1059" t="str">
        <x:v>Port terminal</x:v>
      </x:c>
      <x:c r="C1059" t="str">
        <x:v>Fenix Marine Services</x:v>
      </x:c>
      <x:c r="D1059" t="str">
        <x:v>United States</x:v>
      </x:c>
      <x:c r="E1059" t="str">
        <x:v>PORTG0098</x:v>
      </x:c>
      <x:c r="F1059" t="str">
        <x:v>Active</x:v>
      </x:c>
    </x:row>
    <x:row r="1060">
      <x:c r="A1060" t="str">
        <x:v>TERM0116</x:v>
      </x:c>
      <x:c r="B1060" t="str">
        <x:v>Port terminal</x:v>
      </x:c>
      <x:c r="C1060" t="str">
        <x:v>Port Liberty New York</x:v>
      </x:c>
      <x:c r="D1060" t="str">
        <x:v>United States</x:v>
      </x:c>
      <x:c r="E1060" t="str">
        <x:v>PORTG0099</x:v>
      </x:c>
      <x:c r="F1060" t="str">
        <x:v>Active</x:v>
      </x:c>
    </x:row>
    <x:row r="1061">
      <x:c r="A1061" t="str">
        <x:v>TERM0117</x:v>
      </x:c>
      <x:c r="B1061" t="str">
        <x:v>Port terminal</x:v>
      </x:c>
      <x:c r="C1061" t="str">
        <x:v>Port Liberty Bayonne</x:v>
      </x:c>
      <x:c r="D1061" t="str">
        <x:v>United States</x:v>
      </x:c>
      <x:c r="E1061" t="str">
        <x:v>PORTG0099</x:v>
      </x:c>
      <x:c r="F1061" t="str">
        <x:v>Active</x:v>
      </x:c>
    </x:row>
    <x:row r="1062">
      <x:c r="A1062" t="str">
        <x:v>TERM0118</x:v>
      </x:c>
      <x:c r="B1062" t="str">
        <x:v>Port terminal</x:v>
      </x:c>
      <x:c r="C1062" t="str">
        <x:v>Tecon Santos / Santos Brasil</x:v>
      </x:c>
      <x:c r="D1062" t="str">
        <x:v>Brazil</x:v>
      </x:c>
      <x:c r="E1062" t="str">
        <x:v>PORTG0049</x:v>
      </x:c>
      <x:c r="F1062" t="str">
        <x:v>Active</x:v>
      </x:c>
    </x:row>
    <x:row r="1063">
      <x:c r="A1063" t="str">
        <x:v>TERM0119</x:v>
      </x:c>
      <x:c r="B1063" t="str">
        <x:v>Port terminal</x:v>
      </x:c>
      <x:c r="C1063" t="str">
        <x:v>Tecon Vila do Conde</x:v>
      </x:c>
      <x:c r="D1063" t="str">
        <x:v>Brazil</x:v>
      </x:c>
      <x:c r="E1063" t="str">
        <x:v>PORTG0100</x:v>
      </x:c>
      <x:c r="F1063" t="str">
        <x:v>Active</x:v>
      </x:c>
    </x:row>
    <x:row r="1064">
      <x:c r="A1064" t="str">
        <x:v>TERM0120</x:v>
      </x:c>
      <x:c r="B1064" t="str">
        <x:v>Port terminal</x:v>
      </x:c>
      <x:c r="C1064" t="str">
        <x:v>Tecon Imbituba</x:v>
      </x:c>
      <x:c r="D1064" t="str">
        <x:v>Brazil</x:v>
      </x:c>
      <x:c r="E1064" t="str">
        <x:v>PORTG0101</x:v>
      </x:c>
      <x:c r="F1064" t="str">
        <x:v>Active</x:v>
      </x:c>
    </x:row>
    <x:row r="1065">
      <x:c r="A1065" t="str">
        <x:v>TERM0121</x:v>
      </x:c>
      <x:c r="B1065" t="str">
        <x:v>Port terminal</x:v>
      </x:c>
      <x:c r="C1065" t="str">
        <x:v>CSP Valencia Terminal</x:v>
      </x:c>
      <x:c r="D1065" t="str">
        <x:v>Spain</x:v>
      </x:c>
      <x:c r="E1065" t="str">
        <x:v>PORTG0102</x:v>
      </x:c>
      <x:c r="F1065" t="str">
        <x:v>Active</x:v>
      </x:c>
    </x:row>
    <x:row r="1066">
      <x:c r="A1066" t="str">
        <x:v>TERM0122</x:v>
      </x:c>
      <x:c r="B1066" t="str">
        <x:v>Port terminal</x:v>
      </x:c>
      <x:c r="C1066" t="str">
        <x:v>CSP Bilbao Terminal</x:v>
      </x:c>
      <x:c r="D1066" t="str">
        <x:v>Spain</x:v>
      </x:c>
      <x:c r="E1066" t="str">
        <x:v>PORTG0094</x:v>
      </x:c>
      <x:c r="F1066" t="str">
        <x:v>Active</x:v>
      </x:c>
    </x:row>
    <x:row r="1067">
      <x:c r="A1067" t="str">
        <x:v>TERM0123</x:v>
      </x:c>
      <x:c r="B1067" t="str">
        <x:v>Port terminal</x:v>
      </x:c>
      <x:c r="C1067" t="str">
        <x:v>TTI Algeciras</x:v>
      </x:c>
      <x:c r="D1067" t="str">
        <x:v>Spain</x:v>
      </x:c>
      <x:c r="E1067" t="str">
        <x:v>PORTG0103</x:v>
      </x:c>
      <x:c r="F1067" t="str">
        <x:v>Active</x:v>
      </x:c>
    </x:row>
    <x:row r="1068">
      <x:c r="A1068" t="str">
        <x:v>TERM0124</x:v>
      </x:c>
      <x:c r="B1068" t="str">
        <x:v>Port terminal</x:v>
      </x:c>
      <x:c r="C1068" t="str">
        <x:v>CMA CGM Kaohsiung Terminal</x:v>
      </x:c>
      <x:c r="D1068" t="str">
        <x:v>Taiwan</x:v>
      </x:c>
      <x:c r="E1068" t="str">
        <x:v>PORTG0104</x:v>
      </x:c>
      <x:c r="F1068" t="str">
        <x:v>Active</x:v>
      </x:c>
    </x:row>
    <x:row r="1069">
      <x:c r="A1069" t="str">
        <x:v>TERM0125</x:v>
      </x:c>
      <x:c r="B1069" t="str">
        <x:v>Port terminal</x:v>
      </x:c>
      <x:c r="C1069" t="str">
        <x:v>Gemalink Container Terminal</x:v>
      </x:c>
      <x:c r="D1069" t="str">
        <x:v>Vietnam</x:v>
      </x:c>
      <x:c r="E1069" t="str">
        <x:v>PORTG0105</x:v>
      </x:c>
      <x:c r="F1069" t="str">
        <x:v>Active</x:v>
      </x:c>
    </x:row>
    <x:row r="1070">
      <x:c r="A1070" t="str">
        <x:v>TERM0126</x:v>
      </x:c>
      <x:c r="B1070" t="str">
        <x:v>Port terminal</x:v>
      </x:c>
      <x:c r="C1070" t="str">
        <x:v>Nhava Sheva Freeport Terminal</x:v>
      </x:c>
      <x:c r="D1070" t="str">
        <x:v>India</x:v>
      </x:c>
      <x:c r="E1070" t="str">
        <x:v>PORTG0106</x:v>
      </x:c>
      <x:c r="F1070" t="str">
        <x:v>Active</x:v>
      </x:c>
    </x:row>
    <x:row r="1071">
      <x:c r="A1071" t="str">
        <x:v>TERM0127</x:v>
      </x:c>
      <x:c r="B1071" t="str">
        <x:v>Port terminal</x:v>
      </x:c>
      <x:c r="C1071" t="str">
        <x:v>Lekki Freeport Terminal</x:v>
      </x:c>
      <x:c r="D1071" t="str">
        <x:v>Nigeria</x:v>
      </x:c>
      <x:c r="E1071" t="str">
        <x:v>PORTG0107</x:v>
      </x:c>
      <x:c r="F1071" t="str">
        <x:v>Active</x:v>
      </x:c>
    </x:row>
    <x:row r="1072">
      <x:c r="A1072" t="str">
        <x:v>TERM0128</x:v>
      </x:c>
      <x:c r="B1072" t="str">
        <x:v>Port terminal</x:v>
      </x:c>
      <x:c r="C1072" t="str">
        <x:v>Trans Misr Terminal Alexandria</x:v>
      </x:c>
      <x:c r="D1072" t="str">
        <x:v>Egypt</x:v>
      </x:c>
      <x:c r="E1072" t="str">
        <x:v>PORTG0108</x:v>
      </x:c>
      <x:c r="F1072" t="str">
        <x:v>Active</x:v>
      </x:c>
    </x:row>
    <x:row r="1073">
      <x:c r="A1073" t="str">
        <x:v>TERM0129</x:v>
      </x:c>
      <x:c r="B1073" t="str">
        <x:v>Port terminal</x:v>
      </x:c>
      <x:c r="C1073" t="str">
        <x:v>West Container Terminal – Nador West Med</x:v>
      </x:c>
      <x:c r="D1073" t="str">
        <x:v>Morocco</x:v>
      </x:c>
      <x:c r="E1073" t="str">
        <x:v>PORTG0109</x:v>
      </x:c>
      <x:c r="F1073" t="str">
        <x:v>Development</x:v>
      </x:c>
    </x:row>
    <x:row r="1074">
      <x:c r="A1074" t="str">
        <x:v>TERM0130</x:v>
      </x:c>
      <x:c r="B1074" t="str">
        <x:v>Port terminal</x:v>
      </x:c>
      <x:c r="C1074" t="str">
        <x:v>Jeddah Islamic Port Terminal 4</x:v>
      </x:c>
      <x:c r="D1074" t="str">
        <x:v>Saudi Arabia</x:v>
      </x:c>
      <x:c r="E1074" t="str">
        <x:v>PORTG0037</x:v>
      </x:c>
      <x:c r="F1074" t="str">
        <x:v>Development</x:v>
      </x:c>
    </x:row>
    <x:row r="1075">
      <x:c r="A1075" t="str">
        <x:v>TERM0131</x:v>
      </x:c>
      <x:c r="B1075" t="str">
        <x:v>Port terminal</x:v>
      </x:c>
      <x:c r="C1075" t="str">
        <x:v>Lach Huyen Terminals 7 &amp; 8</x:v>
      </x:c>
      <x:c r="D1075" t="str">
        <x:v>Vietnam</x:v>
      </x:c>
      <x:c r="E1075" t="str">
        <x:v>PORTG0110</x:v>
      </x:c>
      <x:c r="F1075" t="str">
        <x:v>Development</x:v>
      </x:c>
    </x:row>
    <x:row r="1076">
      <x:c r="A1076" t="str">
        <x:v>TERM0132</x:v>
      </x:c>
      <x:c r="B1076" t="str">
        <x:v>Port terminal</x:v>
      </x:c>
      <x:c r="C1076" t="str">
        <x:v>EUROGATE Container Terminal Hamburg – proposed CMA stake</x:v>
      </x:c>
      <x:c r="D1076" t="str">
        <x:v>Germany</x:v>
      </x:c>
      <x:c r="E1076" t="str">
        <x:v>PORTG0111</x:v>
      </x:c>
      <x:c r="F1076" t="str">
        <x:v>Active</x:v>
      </x:c>
    </x:row>
    <x:row r="1077">
      <x:c r="A1077" t="str">
        <x:v>TERM0133</x:v>
      </x:c>
      <x:c r="B1077" t="str">
        <x:v>Port terminal</x:v>
      </x:c>
      <x:c r="C1077" t="str">
        <x:v>Mombasa terminal development framework</x:v>
      </x:c>
      <x:c r="D1077" t="str">
        <x:v>Kenya</x:v>
      </x:c>
      <x:c r="E1077" t="str">
        <x:v>PORTG0112</x:v>
      </x:c>
      <x:c r="F1077" t="str">
        <x:v>Development</x:v>
      </x:c>
    </x:row>
    <x:row r="1078">
      <x:c r="A1078" t="str">
        <x:v>TERM0134</x:v>
      </x:c>
      <x:c r="B1078" t="str">
        <x:v>Port terminal</x:v>
      </x:c>
      <x:c r="C1078" t="str">
        <x:v>October Dry Port</x:v>
      </x:c>
      <x:c r="D1078" t="str">
        <x:v>Egypt</x:v>
      </x:c>
      <x:c r="E1078" t="str">
        <x:v>PORTG0113</x:v>
      </x:c>
      <x:c r="F1078" t="str">
        <x:v>Active</x:v>
      </x:c>
    </x:row>
    <x:row r="1079">
      <x:c r="A1079" t="str">
        <x:v>TERM0135</x:v>
      </x:c>
      <x:c r="B1079" t="str">
        <x:v>Port terminal</x:v>
      </x:c>
      <x:c r="C1079" t="str">
        <x:v>Lyon Rhône Terminal</x:v>
      </x:c>
      <x:c r="D1079" t="str">
        <x:v>France</x:v>
      </x:c>
      <x:c r="E1079" t="str">
        <x:v>PORTG0114</x:v>
      </x:c>
      <x:c r="F1079" t="str">
        <x:v>Active</x:v>
      </x:c>
    </x:row>
    <x:row r="1080">
      <x:c r="A1080" t="str">
        <x:v>TERM0136</x:v>
      </x:c>
      <x:c r="B1080" t="str">
        <x:v>Port terminal</x:v>
      </x:c>
      <x:c r="C1080" t="str">
        <x:v>SAMR – Port Réunion Terminal</x:v>
      </x:c>
      <x:c r="D1080" t="str">
        <x:v>France (Réunion)</x:v>
      </x:c>
      <x:c r="E1080" t="str">
        <x:v>PORTG0115</x:v>
      </x:c>
      <x:c r="F1080" t="str">
        <x:v>Active</x:v>
      </x:c>
    </x:row>
    <x:row r="1081">
      <x:c r="A1081" t="str">
        <x:v>TERM0137</x:v>
      </x:c>
      <x:c r="B1081" t="str">
        <x:v>Port terminal</x:v>
      </x:c>
      <x:c r="C1081" t="str">
        <x:v>Kribi Conteneurs Terminal</x:v>
      </x:c>
      <x:c r="D1081" t="str">
        <x:v>Cameroon</x:v>
      </x:c>
      <x:c r="E1081" t="str">
        <x:v>PORTG0116</x:v>
      </x:c>
      <x:c r="F1081" t="str">
        <x:v>Active</x:v>
      </x:c>
    </x:row>
    <x:row r="1082">
      <x:c r="A1082" t="str">
        <x:v>TERM0138</x:v>
      </x:c>
      <x:c r="B1082" t="str">
        <x:v>Port terminal</x:v>
      </x:c>
      <x:c r="C1082" t="str">
        <x:v>Terminal Link – Rotterdam</x:v>
      </x:c>
      <x:c r="D1082" t="str">
        <x:v>Netherlands</x:v>
      </x:c>
      <x:c r="E1082" t="str">
        <x:v>PORTG0020</x:v>
      </x:c>
      <x:c r="F1082" t="str">
        <x:v>Active</x:v>
      </x:c>
    </x:row>
    <x:row r="1083">
      <x:c r="A1083" t="str">
        <x:v>TERM0139</x:v>
      </x:c>
      <x:c r="B1083" t="str">
        <x:v>Port terminal</x:v>
      </x:c>
      <x:c r="C1083" t="str">
        <x:v>Terminal des Flandres</x:v>
      </x:c>
      <x:c r="D1083" t="str">
        <x:v>France</x:v>
      </x:c>
      <x:c r="E1083" t="str">
        <x:v>PORTG0117</x:v>
      </x:c>
      <x:c r="F1083" t="str">
        <x:v>Active</x:v>
      </x:c>
    </x:row>
    <x:row r="1084">
      <x:c r="A1084" t="str">
        <x:v>TERM0140</x:v>
      </x:c>
      <x:c r="B1084" t="str">
        <x:v>Port terminal</x:v>
      </x:c>
      <x:c r="C1084" t="str">
        <x:v>Terminal Link – Le Havre</x:v>
      </x:c>
      <x:c r="D1084" t="str">
        <x:v>France</x:v>
      </x:c>
      <x:c r="E1084" t="str">
        <x:v>PORTG0118</x:v>
      </x:c>
      <x:c r="F1084" t="str">
        <x:v>Active</x:v>
      </x:c>
    </x:row>
    <x:row r="1085">
      <x:c r="A1085" t="str">
        <x:v>TERM0141</x:v>
      </x:c>
      <x:c r="B1085" t="str">
        <x:v>Port terminal</x:v>
      </x:c>
      <x:c r="C1085" t="str">
        <x:v>Terminal du Grand Ouest / Montoir</x:v>
      </x:c>
      <x:c r="D1085" t="str">
        <x:v>France</x:v>
      </x:c>
      <x:c r="E1085" t="str">
        <x:v>PORTG0119</x:v>
      </x:c>
      <x:c r="F1085" t="str">
        <x:v>Active</x:v>
      </x:c>
    </x:row>
    <x:row r="1086">
      <x:c r="A1086" t="str">
        <x:v>TERM0142</x:v>
      </x:c>
      <x:c r="B1086" t="str">
        <x:v>Port terminal</x:v>
      </x:c>
      <x:c r="C1086" t="str">
        <x:v>EUROFOS</x:v>
      </x:c>
      <x:c r="D1086" t="str">
        <x:v>France</x:v>
      </x:c>
      <x:c r="E1086" t="str">
        <x:v>PORTG0120</x:v>
      </x:c>
      <x:c r="F1086" t="str">
        <x:v>Active</x:v>
      </x:c>
    </x:row>
    <x:row r="1087">
      <x:c r="A1087" t="str">
        <x:v>TERM0143</x:v>
      </x:c>
      <x:c r="B1087" t="str">
        <x:v>Port terminal</x:v>
      </x:c>
      <x:c r="C1087" t="str">
        <x:v>Malta Freeport Terminal</x:v>
      </x:c>
      <x:c r="D1087" t="str">
        <x:v>Malta</x:v>
      </x:c>
      <x:c r="E1087" t="str">
        <x:v>PORTG0121</x:v>
      </x:c>
      <x:c r="F1087" t="str">
        <x:v>Active</x:v>
      </x:c>
    </x:row>
    <x:row r="1088">
      <x:c r="A1088" t="str">
        <x:v>TERM0144</x:v>
      </x:c>
      <x:c r="B1088" t="str">
        <x:v>Port terminal</x:v>
      </x:c>
      <x:c r="C1088" t="str">
        <x:v>Thessaloniki Container Terminal</x:v>
      </x:c>
      <x:c r="D1088" t="str">
        <x:v>Greece</x:v>
      </x:c>
      <x:c r="E1088" t="str">
        <x:v>PORTG0122</x:v>
      </x:c>
      <x:c r="F1088" t="str">
        <x:v>Active</x:v>
      </x:c>
    </x:row>
    <x:row r="1089">
      <x:c r="A1089" t="str">
        <x:v>TERM0145</x:v>
      </x:c>
      <x:c r="B1089" t="str">
        <x:v>Port terminal</x:v>
      </x:c>
      <x:c r="C1089" t="str">
        <x:v>Terminal Link – Odesa</x:v>
      </x:c>
      <x:c r="D1089" t="str">
        <x:v>Ukraine</x:v>
      </x:c>
      <x:c r="E1089" t="str">
        <x:v>PORTG0123</x:v>
      </x:c>
      <x:c r="F1089" t="str">
        <x:v>Active</x:v>
      </x:c>
    </x:row>
    <x:row r="1090">
      <x:c r="A1090" t="str">
        <x:v>TERM0146</x:v>
      </x:c>
      <x:c r="B1090" t="str">
        <x:v>Port terminal</x:v>
      </x:c>
      <x:c r="C1090" t="str">
        <x:v>Eurogate Tanger</x:v>
      </x:c>
      <x:c r="D1090" t="str">
        <x:v>Morocco</x:v>
      </x:c>
      <x:c r="E1090" t="str">
        <x:v>PORTG0124</x:v>
      </x:c>
      <x:c r="F1090" t="str">
        <x:v>Active</x:v>
      </x:c>
    </x:row>
    <x:row r="1091">
      <x:c r="A1091" t="str">
        <x:v>TERM0147</x:v>
      </x:c>
      <x:c r="B1091" t="str">
        <x:v>Port terminal</x:v>
      </x:c>
      <x:c r="C1091" t="str">
        <x:v>SOMAPORT Casablanca</x:v>
      </x:c>
      <x:c r="D1091" t="str">
        <x:v>Morocco</x:v>
      </x:c>
      <x:c r="E1091" t="str">
        <x:v>PORTG0125</x:v>
      </x:c>
      <x:c r="F1091" t="str">
        <x:v>Active</x:v>
      </x:c>
    </x:row>
    <x:row r="1092">
      <x:c r="A1092" t="str">
        <x:v>TERM0148</x:v>
      </x:c>
      <x:c r="B1092" t="str">
        <x:v>Port terminal</x:v>
      </x:c>
      <x:c r="C1092" t="str">
        <x:v>Terminal Link – Côte d’Ivoire / Abidjan</x:v>
      </x:c>
      <x:c r="D1092" t="str">
        <x:v>Côte d’Ivoire</x:v>
      </x:c>
      <x:c r="E1092" t="str">
        <x:v>PORTG0126</x:v>
      </x:c>
      <x:c r="F1092" t="str">
        <x:v>Active</x:v>
      </x:c>
    </x:row>
    <x:row r="1093">
      <x:c r="A1093" t="str">
        <x:v>TERM0149</x:v>
      </x:c>
      <x:c r="B1093" t="str">
        <x:v>Port terminal</x:v>
      </x:c>
      <x:c r="C1093" t="str">
        <x:v>CMA CGM Terminal Iraq / Umm Qasr</x:v>
      </x:c>
      <x:c r="D1093" t="str">
        <x:v>Iraq</x:v>
      </x:c>
      <x:c r="E1093" t="str">
        <x:v>PORTG0127</x:v>
      </x:c>
      <x:c r="F1093" t="str">
        <x:v>Active</x:v>
      </x:c>
    </x:row>
    <x:row r="1094">
      <x:c r="A1094" t="str">
        <x:v>TERM0150</x:v>
      </x:c>
      <x:c r="B1094" t="str">
        <x:v>Port terminal</x:v>
      </x:c>
      <x:c r="C1094" t="str">
        <x:v>Vietnam International Container Terminals (VICT)</x:v>
      </x:c>
      <x:c r="D1094" t="str">
        <x:v>Vietnam</x:v>
      </x:c>
      <x:c r="E1094" t="str">
        <x:v>PORTG0017</x:v>
      </x:c>
      <x:c r="F1094" t="str">
        <x:v>Active</x:v>
      </x:c>
    </x:row>
    <x:row r="1095">
      <x:c r="A1095" t="str">
        <x:v>TERM0151</x:v>
      </x:c>
      <x:c r="B1095" t="str">
        <x:v>Port terminal</x:v>
      </x:c>
      <x:c r="C1095" t="str">
        <x:v>Laem Chabang International Terminal</x:v>
      </x:c>
      <x:c r="D1095" t="str">
        <x:v>Thailand</x:v>
      </x:c>
      <x:c r="E1095" t="str">
        <x:v>PORTG0016</x:v>
      </x:c>
      <x:c r="F1095" t="str">
        <x:v>Active</x:v>
      </x:c>
    </x:row>
    <x:row r="1096">
      <x:c r="A1096" t="str">
        <x:v>TERM0152</x:v>
      </x:c>
      <x:c r="B1096" t="str">
        <x:v>Port terminal</x:v>
      </x:c>
      <x:c r="C1096" t="str">
        <x:v>CMA CGM PSA Lion Terminal</x:v>
      </x:c>
      <x:c r="D1096" t="str">
        <x:v>Singapore</x:v>
      </x:c>
      <x:c r="E1096" t="str">
        <x:v>PORTG0128</x:v>
      </x:c>
      <x:c r="F1096" t="str">
        <x:v>Active</x:v>
      </x:c>
    </x:row>
    <x:row r="1097">
      <x:c r="A1097" t="str">
        <x:v>TERM0153</x:v>
      </x:c>
      <x:c r="B1097" t="str">
        <x:v>Port terminal</x:v>
      </x:c>
      <x:c r="C1097" t="str">
        <x:v>Terminal Link – Qingdao</x:v>
      </x:c>
      <x:c r="D1097" t="str">
        <x:v>China</x:v>
      </x:c>
      <x:c r="E1097" t="str">
        <x:v>PORTG0005</x:v>
      </x:c>
      <x:c r="F1097" t="str">
        <x:v>Active</x:v>
      </x:c>
    </x:row>
    <x:row r="1098">
      <x:c r="A1098" t="str">
        <x:v>TERM0154</x:v>
      </x:c>
      <x:c r="B1098" t="str">
        <x:v>Port terminal</x:v>
      </x:c>
      <x:c r="C1098" t="str">
        <x:v>Busan New Container Terminal</x:v>
      </x:c>
      <x:c r="D1098" t="str">
        <x:v>South Korea</x:v>
      </x:c>
      <x:c r="E1098" t="str">
        <x:v>PORTG0015</x:v>
      </x:c>
      <x:c r="F1098" t="str">
        <x:v>Active</x:v>
      </x:c>
    </x:row>
    <x:row r="1099">
      <x:c r="A1099" t="str">
        <x:v>TERM0155</x:v>
      </x:c>
      <x:c r="B1099" t="str">
        <x:v>Port terminal</x:v>
      </x:c>
      <x:c r="C1099" t="str">
        <x:v>South Florida Container Terminal</x:v>
      </x:c>
      <x:c r="D1099" t="str">
        <x:v>United States</x:v>
      </x:c>
      <x:c r="E1099" t="str">
        <x:v>PORTG0129</x:v>
      </x:c>
      <x:c r="F1099" t="str">
        <x:v>Active</x:v>
      </x:c>
    </x:row>
    <x:row r="1100">
      <x:c r="A1100" t="str">
        <x:v>TERM0156</x:v>
      </x:c>
      <x:c r="B1100" t="str">
        <x:v>Port terminal</x:v>
      </x:c>
      <x:c r="C1100" t="str">
        <x:v>Houston Terminal Link</x:v>
      </x:c>
      <x:c r="D1100" t="str">
        <x:v>United States</x:v>
      </x:c>
      <x:c r="E1100" t="str">
        <x:v>PORTG0130</x:v>
      </x:c>
      <x:c r="F1100" t="str">
        <x:v>Active</x:v>
      </x:c>
    </x:row>
    <x:row r="1101">
      <x:c r="A1101" t="str">
        <x:v>TERM0157</x:v>
      </x:c>
      <x:c r="B1101" t="str">
        <x:v>Port terminal</x:v>
      </x:c>
      <x:c r="C1101" t="str">
        <x:v>Kingston Freeport Terminal</x:v>
      </x:c>
      <x:c r="D1101" t="str">
        <x:v>Jamaica</x:v>
      </x:c>
      <x:c r="E1101" t="str">
        <x:v>PORTG0131</x:v>
      </x:c>
      <x:c r="F1101" t="str">
        <x:v>Active</x:v>
      </x:c>
    </x:row>
    <x:row r="1102">
      <x:c r="A1102" t="str">
        <x:v>TERM0158</x:v>
      </x:c>
      <x:c r="B1102" t="str">
        <x:v>Port terminal</x:v>
      </x:c>
      <x:c r="C1102" t="str">
        <x:v>MSC PSA European Terminal (MPET)</x:v>
      </x:c>
      <x:c r="D1102" t="str">
        <x:v>Belgium</x:v>
      </x:c>
      <x:c r="E1102" t="str">
        <x:v>PORTG0018</x:v>
      </x:c>
      <x:c r="F1102" t="str">
        <x:v>Active</x:v>
      </x:c>
    </x:row>
    <x:row r="1103">
      <x:c r="A1103" t="str">
        <x:v>TERM0159</x:v>
      </x:c>
      <x:c r="B1103" t="str">
        <x:v>Port terminal</x:v>
      </x:c>
      <x:c r="C1103" t="str">
        <x:v>Total Terminals International (TTI) Pier T</x:v>
      </x:c>
      <x:c r="D1103" t="str">
        <x:v>United States</x:v>
      </x:c>
      <x:c r="E1103" t="str">
        <x:v>PORTG0132</x:v>
      </x:c>
      <x:c r="F1103" t="str">
        <x:v>Active</x:v>
      </x:c>
    </x:row>
    <x:row r="1104">
      <x:c r="A1104" t="str">
        <x:v>TERM0160</x:v>
      </x:c>
      <x:c r="B1104" t="str">
        <x:v>Port terminal</x:v>
      </x:c>
      <x:c r="C1104" t="str">
        <x:v>MSC PSA Asia Terminal (MPAT)</x:v>
      </x:c>
      <x:c r="D1104" t="str">
        <x:v>Singapore</x:v>
      </x:c>
      <x:c r="E1104" t="str">
        <x:v>PORTG0128</x:v>
      </x:c>
      <x:c r="F1104" t="str">
        <x:v>Active</x:v>
      </x:c>
    </x:row>
    <x:row r="1105">
      <x:c r="A1105" t="str">
        <x:v>TERM0161</x:v>
      </x:c>
      <x:c r="B1105" t="str">
        <x:v>Port terminal</x:v>
      </x:c>
      <x:c r="C1105" t="str">
        <x:v>National Container Terminals (NCT)</x:v>
      </x:c>
      <x:c r="D1105" t="str">
        <x:v>Saudi Arabia</x:v>
      </x:c>
      <x:c r="E1105" t="str">
        <x:v>PORTG0133</x:v>
      </x:c>
      <x:c r="F1105" t="str">
        <x:v>Active</x:v>
      </x:c>
    </x:row>
    <x:row r="1106">
      <x:c r="A1106" t="str">
        <x:v>TERM0162</x:v>
      </x:c>
      <x:c r="B1106" t="str">
        <x:v>Port terminal</x:v>
      </x:c>
      <x:c r="C1106" t="str">
        <x:v>Portonave</x:v>
      </x:c>
      <x:c r="D1106" t="str">
        <x:v>Brazil</x:v>
      </x:c>
      <x:c r="E1106" t="str">
        <x:v>PORTG0134</x:v>
      </x:c>
      <x:c r="F1106" t="str">
        <x:v>Active</x:v>
      </x:c>
    </x:row>
    <x:row r="1107">
      <x:c r="A1107" t="str">
        <x:v>TERM0163</x:v>
      </x:c>
      <x:c r="B1107" t="str">
        <x:v>Port terminal</x:v>
      </x:c>
      <x:c r="C1107" t="str">
        <x:v>MSC Terminal Valencia</x:v>
      </x:c>
      <x:c r="D1107" t="str">
        <x:v>Spain</x:v>
      </x:c>
      <x:c r="E1107" t="str">
        <x:v>PORTG0102</x:v>
      </x:c>
      <x:c r="F1107" t="str">
        <x:v>Active</x:v>
      </x:c>
    </x:row>
    <x:row r="1108">
      <x:c r="A1108" t="str">
        <x:v>TERM0164</x:v>
      </x:c>
      <x:c r="B1108" t="str">
        <x:v>Port terminal</x:v>
      </x:c>
      <x:c r="C1108" t="str">
        <x:v>Terminaux de Normandie</x:v>
      </x:c>
      <x:c r="D1108" t="str">
        <x:v>France</x:v>
      </x:c>
      <x:c r="E1108" t="str">
        <x:v>PORTG0118</x:v>
      </x:c>
      <x:c r="F1108" t="str">
        <x:v>Active</x:v>
      </x:c>
    </x:row>
    <x:row r="1109">
      <x:c r="A1109" t="str">
        <x:v>TERM0165</x:v>
      </x:c>
      <x:c r="B1109" t="str">
        <x:v>Port terminal</x:v>
      </x:c>
      <x:c r="C1109" t="str">
        <x:v>Lomé Container Terminal</x:v>
      </x:c>
      <x:c r="D1109" t="str">
        <x:v>Togo</x:v>
      </x:c>
      <x:c r="E1109" t="str">
        <x:v>PORTG0135</x:v>
      </x:c>
      <x:c r="F1109" t="str">
        <x:v>Active</x:v>
      </x:c>
    </x:row>
    <x:row r="1110">
      <x:c r="A1110" t="str">
        <x:v>TERM0166</x:v>
      </x:c>
      <x:c r="B1110" t="str">
        <x:v>Port terminal</x:v>
      </x:c>
      <x:c r="C1110" t="str">
        <x:v>Port Newark Container Terminal (PNCT)</x:v>
      </x:c>
      <x:c r="D1110" t="str">
        <x:v>United States</x:v>
      </x:c>
      <x:c r="E1110" t="str">
        <x:v>PORTG0099</x:v>
      </x:c>
      <x:c r="F1110" t="str">
        <x:v>Active</x:v>
      </x:c>
    </x:row>
    <x:row r="1111">
      <x:c r="A1111" t="str">
        <x:v>TERM0167</x:v>
      </x:c>
      <x:c r="B1111" t="str">
        <x:v>Port terminal</x:v>
      </x:c>
      <x:c r="C1111" t="str">
        <x:v>Port Everglades Terminal (PET)</x:v>
      </x:c>
      <x:c r="D1111" t="str">
        <x:v>United States</x:v>
      </x:c>
      <x:c r="E1111" t="str">
        <x:v>PORTG0136</x:v>
      </x:c>
      <x:c r="F1111" t="str">
        <x:v>Active</x:v>
      </x:c>
    </x:row>
    <x:row r="1112">
      <x:c r="A1112" t="str">
        <x:v>TERM0168</x:v>
      </x:c>
      <x:c r="B1112" t="str">
        <x:v>Port terminal</x:v>
      </x:c>
      <x:c r="C1112" t="str">
        <x:v>New Orleans Terminal (NOT)</x:v>
      </x:c>
      <x:c r="D1112" t="str">
        <x:v>United States</x:v>
      </x:c>
      <x:c r="E1112" t="str">
        <x:v>PORTG0137</x:v>
      </x:c>
      <x:c r="F1112" t="str">
        <x:v>Active</x:v>
      </x:c>
    </x:row>
    <x:row r="1113">
      <x:c r="A1113" t="str">
        <x:v>TERM0169</x:v>
      </x:c>
      <x:c r="B1113" t="str">
        <x:v>Port terminal</x:v>
      </x:c>
      <x:c r="C1113" t="str">
        <x:v>Houston Terminal – Bayport</x:v>
      </x:c>
      <x:c r="D1113" t="str">
        <x:v>United States</x:v>
      </x:c>
      <x:c r="E1113" t="str">
        <x:v>PORTG0130</x:v>
      </x:c>
      <x:c r="F1113" t="str">
        <x:v>Active</x:v>
      </x:c>
    </x:row>
    <x:row r="1114">
      <x:c r="A1114" t="str">
        <x:v>TERM0170</x:v>
      </x:c>
      <x:c r="B1114" t="str">
        <x:v>Port terminal</x:v>
      </x:c>
      <x:c r="C1114" t="str">
        <x:v>Houston Terminal – Barbours Cut</x:v>
      </x:c>
      <x:c r="D1114" t="str">
        <x:v>United States</x:v>
      </x:c>
      <x:c r="E1114" t="str">
        <x:v>PORTG0130</x:v>
      </x:c>
      <x:c r="F1114" t="str">
        <x:v>Active</x:v>
      </x:c>
    </x:row>
    <x:row r="1115">
      <x:c r="A1115" t="str">
        <x:v>TERM0171</x:v>
      </x:c>
      <x:c r="B1115" t="str">
        <x:v>Port terminal</x:v>
      </x:c>
      <x:c r="C1115" t="str">
        <x:v>Los Angeles TraPac/terminal interest (LATT)</x:v>
      </x:c>
      <x:c r="D1115" t="str">
        <x:v>United States</x:v>
      </x:c>
      <x:c r="E1115" t="str">
        <x:v>PORTG0098</x:v>
      </x:c>
      <x:c r="F1115" t="str">
        <x:v>Active</x:v>
      </x:c>
    </x:row>
    <x:row r="1116">
      <x:c r="A1116" t="str">
        <x:v>TERM0172</x:v>
      </x:c>
      <x:c r="B1116" t="str">
        <x:v>Port terminal</x:v>
      </x:c>
      <x:c r="C1116" t="str">
        <x:v>SSATS Terminal 18</x:v>
      </x:c>
      <x:c r="D1116" t="str">
        <x:v>United States</x:v>
      </x:c>
      <x:c r="E1116" t="str">
        <x:v>PORTG0138</x:v>
      </x:c>
      <x:c r="F1116" t="str">
        <x:v>Active</x:v>
      </x:c>
    </x:row>
    <x:row r="1117">
      <x:c r="A1117" t="str">
        <x:v>TERM0173</x:v>
      </x:c>
      <x:c r="B1117" t="str">
        <x:v>Port terminal</x:v>
      </x:c>
      <x:c r="C1117" t="str">
        <x:v>SSATS Terminal 5</x:v>
      </x:c>
      <x:c r="D1117" t="str">
        <x:v>United States</x:v>
      </x:c>
      <x:c r="E1117" t="str">
        <x:v>PORTG0138</x:v>
      </x:c>
      <x:c r="F1117" t="str">
        <x:v>Active</x:v>
      </x:c>
    </x:row>
    <x:row r="1118">
      <x:c r="A1118" t="str">
        <x:v>TERM0174</x:v>
      </x:c>
      <x:c r="B1118" t="str">
        <x:v>Port terminal</x:v>
      </x:c>
      <x:c r="C1118" t="str">
        <x:v>Sparrows Point Container Terminal</x:v>
      </x:c>
      <x:c r="D1118" t="str">
        <x:v>United States</x:v>
      </x:c>
      <x:c r="E1118" t="str">
        <x:v>PORTG0139</x:v>
      </x:c>
      <x:c r="F1118" t="str">
        <x:v>Development</x:v>
      </x:c>
    </x:row>
    <x:row r="1119">
      <x:c r="A1119" t="str">
        <x:v>TERM0175</x:v>
      </x:c>
      <x:c r="B1119" t="str">
        <x:v>Port terminal</x:v>
      </x:c>
      <x:c r="C1119" t="str">
        <x:v>Adani International Container Terminal / CT3</x:v>
      </x:c>
      <x:c r="D1119" t="str">
        <x:v>India</x:v>
      </x:c>
      <x:c r="E1119" t="str">
        <x:v>PORTG0031</x:v>
      </x:c>
      <x:c r="F1119" t="str">
        <x:v>Active</x:v>
      </x:c>
    </x:row>
    <x:row r="1120">
      <x:c r="A1120" t="str">
        <x:v>TERM0176</x:v>
      </x:c>
      <x:c r="B1120" t="str">
        <x:v>Port terminal</x:v>
      </x:c>
      <x:c r="C1120" t="str">
        <x:v>Adani Ennore Container Terminal</x:v>
      </x:c>
      <x:c r="D1120" t="str">
        <x:v>India</x:v>
      </x:c>
      <x:c r="E1120" t="str">
        <x:v>PORTG0140</x:v>
      </x:c>
      <x:c r="F1120" t="str">
        <x:v>Active</x:v>
      </x:c>
    </x:row>
    <x:row r="1121">
      <x:c r="A1121" t="str">
        <x:v>TERM0177</x:v>
      </x:c>
      <x:c r="B1121" t="str">
        <x:v>Port terminal</x:v>
      </x:c>
      <x:c r="C1121" t="str">
        <x:v>Vizhinjam International Seaport</x:v>
      </x:c>
      <x:c r="D1121" t="str">
        <x:v>India</x:v>
      </x:c>
      <x:c r="E1121" t="str">
        <x:v>PORTG0141</x:v>
      </x:c>
      <x:c r="F1121" t="str">
        <x:v>Active</x:v>
      </x:c>
    </x:row>
    <x:row r="1122">
      <x:c r="A1122" t="str">
        <x:v>TERM0178</x:v>
      </x:c>
      <x:c r="B1122" t="str">
        <x:v>Port terminal</x:v>
      </x:c>
      <x:c r="C1122" t="str">
        <x:v>Misurata Free Zone Port container terminals</x:v>
      </x:c>
      <x:c r="D1122" t="str">
        <x:v>Libya</x:v>
      </x:c>
      <x:c r="E1122" t="str">
        <x:v>PORTG0142</x:v>
      </x:c>
      <x:c r="F1122" t="str">
        <x:v>Development</x:v>
      </x:c>
    </x:row>
    <x:row r="1123">
      <x:c r="A1123" t="str">
        <x:v>TERM0179</x:v>
      </x:c>
      <x:c r="B1123" t="str">
        <x:v>Port terminal</x:v>
      </x:c>
      <x:c r="C1123" t="str">
        <x:v>Medcenter Container Terminal</x:v>
      </x:c>
      <x:c r="D1123" t="str">
        <x:v>Italy</x:v>
      </x:c>
      <x:c r="E1123" t="str">
        <x:v>PORTG0143</x:v>
      </x:c>
      <x:c r="F1123" t="str">
        <x:v>Active</x:v>
      </x:c>
    </x:row>
    <x:row r="1124">
      <x:c r="A1124" t="str">
        <x:v>TERM0180</x:v>
      </x:c>
      <x:c r="B1124" t="str">
        <x:v>Port terminal</x:v>
      </x:c>
      <x:c r="C1124" t="str">
        <x:v>Trieste Marine Terminal</x:v>
      </x:c>
      <x:c r="D1124" t="str">
        <x:v>Italy</x:v>
      </x:c>
      <x:c r="E1124" t="str">
        <x:v>PORTG0144</x:v>
      </x:c>
      <x:c r="F1124" t="str">
        <x:v>Active</x:v>
      </x:c>
    </x:row>
    <x:row r="1125">
      <x:c r="A1125" t="str">
        <x:v>TERM0181</x:v>
      </x:c>
      <x:c r="B1125" t="str">
        <x:v>Port terminal</x:v>
      </x:c>
      <x:c r="C1125" t="str">
        <x:v>PSA Sines / Terminal XXI TiL-linked interest</x:v>
      </x:c>
      <x:c r="D1125" t="str">
        <x:v>Portugal</x:v>
      </x:c>
      <x:c r="E1125" t="str">
        <x:v>PORTG0145</x:v>
      </x:c>
      <x:c r="F1125" t="str">
        <x:v>Active</x:v>
      </x:c>
    </x:row>
    <x:row r="1126">
      <x:c r="A1126" t="str">
        <x:v>TERM0182</x:v>
      </x:c>
      <x:c r="B1126" t="str">
        <x:v>Port terminal</x:v>
      </x:c>
      <x:c r="C1126" t="str">
        <x:v>Asyaport</x:v>
      </x:c>
      <x:c r="D1126" t="str">
        <x:v>Türkiye</x:v>
      </x:c>
      <x:c r="E1126" t="str">
        <x:v>PORTG0146</x:v>
      </x:c>
      <x:c r="F1126" t="str">
        <x:v>Active</x:v>
      </x:c>
    </x:row>
    <x:row r="1127">
      <x:c r="A1127" t="str">
        <x:v>TERM0183</x:v>
      </x:c>
      <x:c r="B1127" t="str">
        <x:v>Port terminal</x:v>
      </x:c>
      <x:c r="C1127" t="str">
        <x:v>Brasil Terminal Portuário</x:v>
      </x:c>
      <x:c r="D1127" t="str">
        <x:v>Brazil</x:v>
      </x:c>
      <x:c r="E1127" t="str">
        <x:v>PORTG0049</x:v>
      </x:c>
      <x:c r="F1127" t="str">
        <x:v>Active</x:v>
      </x:c>
    </x:row>
    <x:row r="1128">
      <x:c r="A1128" t="str">
        <x:v>TERM0184</x:v>
      </x:c>
      <x:c r="B1128" t="str">
        <x:v>Port terminal</x:v>
      </x:c>
      <x:c r="C1128" t="str">
        <x:v>San Pedro Container Terminal / TiL-linked asset</x:v>
      </x:c>
      <x:c r="D1128" t="str">
        <x:v>Côte d’Ivoire</x:v>
      </x:c>
      <x:c r="E1128" t="str">
        <x:v>PORTG0147</x:v>
      </x:c>
      <x:c r="F1128" t="str">
        <x:v>Development</x:v>
      </x:c>
    </x:row>
    <x:row r="1129">
      <x:c r="A1129" t="str">
        <x:v>TERM0185</x:v>
      </x:c>
      <x:c r="B1129" t="str">
        <x:v>Port terminal</x:v>
      </x:c>
      <x:c r="C1129" t="str">
        <x:v>Panama Colon Container Port / TiL-linked asset</x:v>
      </x:c>
      <x:c r="D1129" t="str">
        <x:v>Panama</x:v>
      </x:c>
      <x:c r="E1129" t="str">
        <x:v>PORTG0148</x:v>
      </x:c>
      <x:c r="F1129" t="str">
        <x:v>Active</x:v>
      </x:c>
    </x:row>
    <x:row r="1130">
      <x:c r="A1130" t="str">
        <x:v>TERM0186</x:v>
      </x:c>
      <x:c r="B1130" t="str">
        <x:v>Port terminal</x:v>
      </x:c>
      <x:c r="C1130" t="str">
        <x:v>Exolgan Container Terminal</x:v>
      </x:c>
      <x:c r="D1130" t="str">
        <x:v>Argentina</x:v>
      </x:c>
      <x:c r="E1130" t="str">
        <x:v>PORTG0149</x:v>
      </x:c>
      <x:c r="F1130" t="str">
        <x:v>Active</x:v>
      </x:c>
    </x:row>
    <x:row r="1131">
      <x:c r="A1131" t="str">
        <x:v>TERM0187</x:v>
      </x:c>
      <x:c r="B1131" t="str">
        <x:v>Port terminal</x:v>
      </x:c>
      <x:c r="C1131" t="str">
        <x:v>TiL-linked Callao terminal interest</x:v>
      </x:c>
      <x:c r="D1131" t="str">
        <x:v>Peru</x:v>
      </x:c>
      <x:c r="E1131" t="str">
        <x:v>PORTG0054</x:v>
      </x:c>
      <x:c r="F1131" t="str">
        <x:v>Active</x:v>
      </x:c>
    </x:row>
    <x:row r="1132">
      <x:c r="A1132" t="str">
        <x:v>TERM0188</x:v>
      </x:c>
      <x:c r="B1132" t="str">
        <x:v>Port terminal</x:v>
      </x:c>
      <x:c r="C1132" t="str">
        <x:v>TiL terminal investment – Ningbo</x:v>
      </x:c>
      <x:c r="D1132" t="str">
        <x:v>China</x:v>
      </x:c>
      <x:c r="E1132" t="str">
        <x:v>PORTG0150</x:v>
      </x:c>
      <x:c r="F1132" t="str">
        <x:v>Active</x:v>
      </x:c>
    </x:row>
    <x:row r="1133">
      <x:c r="A1133" t="str">
        <x:v>TERM0189</x:v>
      </x:c>
      <x:c r="B1133" t="str">
        <x:v>Port terminal</x:v>
      </x:c>
      <x:c r="C1133" t="str">
        <x:v>TiL terminal investment – Busan</x:v>
      </x:c>
      <x:c r="D1133" t="str">
        <x:v>South Korea</x:v>
      </x:c>
      <x:c r="E1133" t="str">
        <x:v>PORTG0015</x:v>
      </x:c>
      <x:c r="F1133" t="str">
        <x:v>Active</x:v>
      </x:c>
    </x:row>
    <x:row r="1134">
      <x:c r="A1134" t="str">
        <x:v>TERM0190</x:v>
      </x:c>
      <x:c r="B1134" t="str">
        <x:v>Port terminal</x:v>
      </x:c>
      <x:c r="C1134" t="str">
        <x:v>TiL terminal investment – Rotterdam</x:v>
      </x:c>
      <x:c r="D1134" t="str">
        <x:v>Netherlands</x:v>
      </x:c>
      <x:c r="E1134" t="str">
        <x:v>PORTG0020</x:v>
      </x:c>
      <x:c r="F1134" t="str">
        <x:v>Active</x:v>
      </x:c>
    </x:row>
    <x:row r="1135">
      <x:c r="A1135" t="str">
        <x:v>TERM0191</x:v>
      </x:c>
      <x:c r="B1135" t="str">
        <x:v>Port terminal</x:v>
      </x:c>
      <x:c r="C1135" t="str">
        <x:v>Lázaro Cárdenas terminal</x:v>
      </x:c>
      <x:c r="D1135" t="str">
        <x:v>Mexico</x:v>
      </x:c>
      <x:c r="E1135" t="str">
        <x:v>PORTG0151</x:v>
      </x:c>
      <x:c r="F1135" t="str">
        <x:v>Active</x:v>
      </x:c>
    </x:row>
    <x:row r="1136">
      <x:c r="A1136" t="str">
        <x:v>TERM0192</x:v>
      </x:c>
      <x:c r="B1136" t="str">
        <x:v>Port terminal</x:v>
      </x:c>
      <x:c r="C1136" t="str">
        <x:v>Suape terminal</x:v>
      </x:c>
      <x:c r="D1136" t="str">
        <x:v>Brazil</x:v>
      </x:c>
      <x:c r="E1136" t="str">
        <x:v>PORTG0152</x:v>
      </x:c>
      <x:c r="F1136" t="str">
        <x:v>Active</x:v>
      </x:c>
    </x:row>
    <x:row r="1137">
      <x:c r="A1137" t="str">
        <x:v>TERM0193</x:v>
      </x:c>
      <x:c r="B1137" t="str">
        <x:v>Port terminal</x:v>
      </x:c>
      <x:c r="C1137" t="str">
        <x:v>Bahrain</x:v>
      </x:c>
      <x:c r="D1137" t="str">
        <x:v>Bahrain</x:v>
      </x:c>
      <x:c r="E1137" t="str">
        <x:v>PORTG0153</x:v>
      </x:c>
      <x:c r="F1137" t="str">
        <x:v>Active</x:v>
      </x:c>
    </x:row>
    <x:row r="1138">
      <x:c r="A1138" t="str">
        <x:v>TERM0194</x:v>
      </x:c>
      <x:c r="B1138" t="str">
        <x:v>Port terminal</x:v>
      </x:c>
      <x:c r="C1138" t="str">
        <x:v>Pointe-Noire</x:v>
      </x:c>
      <x:c r="D1138" t="str">
        <x:v>Congo</x:v>
      </x:c>
      <x:c r="E1138" t="str">
        <x:v>PORTG0154</x:v>
      </x:c>
      <x:c r="F1138" t="str">
        <x:v>Active</x:v>
      </x:c>
    </x:row>
    <x:row r="1139">
      <x:c r="A1139" t="str">
        <x:v>TERM0195</x:v>
      </x:c>
      <x:c r="B1139" t="str">
        <x:v>Port terminal</x:v>
      </x:c>
      <x:c r="C1139" t="str">
        <x:v>Abidjan Côte d’Ivoire Terminal (CIT)</x:v>
      </x:c>
      <x:c r="D1139" t="str">
        <x:v>Côte d'Ivoire</x:v>
      </x:c>
      <x:c r="E1139" t="str">
        <x:v>PORTG0155</x:v>
      </x:c>
      <x:c r="F1139" t="str">
        <x:v>Active</x:v>
      </x:c>
    </x:row>
    <x:row r="1140">
      <x:c r="A1140" t="str">
        <x:v>TERM0196</x:v>
      </x:c>
      <x:c r="B1140" t="str">
        <x:v>Port terminal</x:v>
      </x:c>
      <x:c r="C1140" t="str">
        <x:v>San Pedro</x:v>
      </x:c>
      <x:c r="D1140" t="str">
        <x:v>Côte d'Ivoire</x:v>
      </x:c>
      <x:c r="E1140" t="str">
        <x:v>PORTG0156</x:v>
      </x:c>
      <x:c r="F1140" t="str">
        <x:v>Active</x:v>
      </x:c>
    </x:row>
    <x:row r="1141">
      <x:c r="A1141" t="str">
        <x:v>TERM0197</x:v>
      </x:c>
      <x:c r="B1141" t="str">
        <x:v>Port terminal</x:v>
      </x:c>
      <x:c r="C1141" t="str">
        <x:v>Suez Canal Container Terminal (SCCT)</x:v>
      </x:c>
      <x:c r="D1141" t="str">
        <x:v>Egypt</x:v>
      </x:c>
      <x:c r="E1141" t="str">
        <x:v>PORTG0157</x:v>
      </x:c>
      <x:c r="F1141" t="str">
        <x:v>Active</x:v>
      </x:c>
    </x:row>
    <x:row r="1142">
      <x:c r="A1142" t="str">
        <x:v>TERM0198</x:v>
      </x:c>
      <x:c r="B1142" t="str">
        <x:v>Port terminal</x:v>
      </x:c>
      <x:c r="C1142" t="str">
        <x:v>Tema</x:v>
      </x:c>
      <x:c r="D1142" t="str">
        <x:v>Ghana</x:v>
      </x:c>
      <x:c r="E1142" t="str">
        <x:v>PORTG0158</x:v>
      </x:c>
      <x:c r="F1142" t="str">
        <x:v>Active</x:v>
      </x:c>
    </x:row>
    <x:row r="1143">
      <x:c r="A1143" t="str">
        <x:v>TERM0199</x:v>
      </x:c>
      <x:c r="B1143" t="str">
        <x:v>Port terminal</x:v>
      </x:c>
      <x:c r="C1143" t="str">
        <x:v>Aqaba</x:v>
      </x:c>
      <x:c r="D1143" t="str">
        <x:v>Jordan</x:v>
      </x:c>
      <x:c r="E1143" t="str">
        <x:v>PORTG0076</x:v>
      </x:c>
      <x:c r="F1143" t="str">
        <x:v>Active</x:v>
      </x:c>
    </x:row>
    <x:row r="1144">
      <x:c r="A1144" t="str">
        <x:v>TERM0200</x:v>
      </x:c>
      <x:c r="B1144" t="str">
        <x:v>Port terminal</x:v>
      </x:c>
      <x:c r="C1144" t="str">
        <x:v>Monrovia</x:v>
      </x:c>
      <x:c r="D1144" t="str">
        <x:v>Liberia</x:v>
      </x:c>
      <x:c r="E1144" t="str">
        <x:v>PORTG0159</x:v>
      </x:c>
      <x:c r="F1144" t="str">
        <x:v>Active</x:v>
      </x:c>
    </x:row>
    <x:row r="1145">
      <x:c r="A1145" t="str">
        <x:v>TERM0201</x:v>
      </x:c>
      <x:c r="B1145" t="str">
        <x:v>Port terminal</x:v>
      </x:c>
      <x:c r="C1145" t="str">
        <x:v>MedPort Tangier</x:v>
      </x:c>
      <x:c r="D1145" t="str">
        <x:v>Morocco</x:v>
      </x:c>
      <x:c r="E1145" t="str">
        <x:v>PORTG0124</x:v>
      </x:c>
      <x:c r="F1145" t="str">
        <x:v>Active</x:v>
      </x:c>
    </x:row>
    <x:row r="1146">
      <x:c r="A1146" t="str">
        <x:v>TERM0202</x:v>
      </x:c>
      <x:c r="B1146" t="str">
        <x:v>Port terminal</x:v>
      </x:c>
      <x:c r="C1146" t="str">
        <x:v>Tangier</x:v>
      </x:c>
      <x:c r="D1146" t="str">
        <x:v>Morocco</x:v>
      </x:c>
      <x:c r="E1146" t="str">
        <x:v>PORTG0124</x:v>
      </x:c>
      <x:c r="F1146" t="str">
        <x:v>Active</x:v>
      </x:c>
    </x:row>
    <x:row r="1147">
      <x:c r="A1147" t="str">
        <x:v>TERM0203</x:v>
      </x:c>
      <x:c r="B1147" t="str">
        <x:v>Port terminal</x:v>
      </x:c>
      <x:c r="C1147" t="str">
        <x:v>Apapa</x:v>
      </x:c>
      <x:c r="D1147" t="str">
        <x:v>Nigeria</x:v>
      </x:c>
      <x:c r="E1147" t="str">
        <x:v>PORTG0160</x:v>
      </x:c>
      <x:c r="F1147" t="str">
        <x:v>Active</x:v>
      </x:c>
    </x:row>
    <x:row r="1148">
      <x:c r="A1148" t="str">
        <x:v>TERM0204</x:v>
      </x:c>
      <x:c r="B1148" t="str">
        <x:v>Port terminal</x:v>
      </x:c>
      <x:c r="C1148" t="str">
        <x:v>Onne</x:v>
      </x:c>
      <x:c r="D1148" t="str">
        <x:v>Nigeria</x:v>
      </x:c>
      <x:c r="E1148" t="str">
        <x:v>PORTG0161</x:v>
      </x:c>
      <x:c r="F1148" t="str">
        <x:v>Active</x:v>
      </x:c>
    </x:row>
    <x:row r="1149">
      <x:c r="A1149" t="str">
        <x:v>TERM0205</x:v>
      </x:c>
      <x:c r="B1149" t="str">
        <x:v>Port terminal</x:v>
      </x:c>
      <x:c r="C1149" t="str">
        <x:v>Salalah</x:v>
      </x:c>
      <x:c r="D1149" t="str">
        <x:v>Oman</x:v>
      </x:c>
      <x:c r="E1149" t="str">
        <x:v>PORTG0162</x:v>
      </x:c>
      <x:c r="F1149" t="str">
        <x:v>Active</x:v>
      </x:c>
    </x:row>
    <x:row r="1150">
      <x:c r="A1150" t="str">
        <x:v>TERM0206</x:v>
      </x:c>
      <x:c r="B1150" t="str">
        <x:v>Port terminal</x:v>
      </x:c>
      <x:c r="C1150" t="str">
        <x:v>Guangzhou</x:v>
      </x:c>
      <x:c r="D1150" t="str">
        <x:v>China</x:v>
      </x:c>
      <x:c r="E1150" t="str">
        <x:v>PORTG0163</x:v>
      </x:c>
      <x:c r="F1150" t="str">
        <x:v>Active</x:v>
      </x:c>
    </x:row>
    <x:row r="1151">
      <x:c r="A1151" t="str">
        <x:v>TERM0207</x:v>
      </x:c>
      <x:c r="B1151" t="str">
        <x:v>Port terminal</x:v>
      </x:c>
      <x:c r="C1151" t="str">
        <x:v>Qingdao</x:v>
      </x:c>
      <x:c r="D1151" t="str">
        <x:v>China</x:v>
      </x:c>
      <x:c r="E1151" t="str">
        <x:v>PORTG0005</x:v>
      </x:c>
      <x:c r="F1151" t="str">
        <x:v>Active</x:v>
      </x:c>
    </x:row>
    <x:row r="1152">
      <x:c r="A1152" t="str">
        <x:v>TERM0208</x:v>
      </x:c>
      <x:c r="B1152" t="str">
        <x:v>Port terminal</x:v>
      </x:c>
      <x:c r="C1152" t="str">
        <x:v>Shanghai</x:v>
      </x:c>
      <x:c r="D1152" t="str">
        <x:v>China</x:v>
      </x:c>
      <x:c r="E1152" t="str">
        <x:v>PORTG0164</x:v>
      </x:c>
      <x:c r="F1152" t="str">
        <x:v>Active</x:v>
      </x:c>
    </x:row>
    <x:row r="1153">
      <x:c r="A1153" t="str">
        <x:v>TERM0209</x:v>
      </x:c>
      <x:c r="B1153" t="str">
        <x:v>Port terminal</x:v>
      </x:c>
      <x:c r="C1153" t="str">
        <x:v>Tianjin</x:v>
      </x:c>
      <x:c r="D1153" t="str">
        <x:v>China</x:v>
      </x:c>
      <x:c r="E1153" t="str">
        <x:v>PORTG0165</x:v>
      </x:c>
      <x:c r="F1153" t="str">
        <x:v>Active</x:v>
      </x:c>
    </x:row>
    <x:row r="1154">
      <x:c r="A1154" t="str">
        <x:v>TERM0210</x:v>
      </x:c>
      <x:c r="B1154" t="str">
        <x:v>Port terminal</x:v>
      </x:c>
      <x:c r="C1154" t="str">
        <x:v>Xiamen</x:v>
      </x:c>
      <x:c r="D1154" t="str">
        <x:v>China</x:v>
      </x:c>
      <x:c r="E1154" t="str">
        <x:v>PORTG0166</x:v>
      </x:c>
      <x:c r="F1154" t="str">
        <x:v>Active</x:v>
      </x:c>
    </x:row>
    <x:row r="1155">
      <x:c r="A1155" t="str">
        <x:v>TERM0211</x:v>
      </x:c>
      <x:c r="B1155" t="str">
        <x:v>Port terminal</x:v>
      </x:c>
      <x:c r="C1155" t="str">
        <x:v>Mumbai</x:v>
      </x:c>
      <x:c r="D1155" t="str">
        <x:v>India</x:v>
      </x:c>
      <x:c r="E1155" t="str">
        <x:v>PORTG0106</x:v>
      </x:c>
      <x:c r="F1155" t="str">
        <x:v>Active</x:v>
      </x:c>
    </x:row>
    <x:row r="1156">
      <x:c r="A1156" t="str">
        <x:v>TERM0212</x:v>
      </x:c>
      <x:c r="B1156" t="str">
        <x:v>Port terminal</x:v>
      </x:c>
      <x:c r="C1156" t="str">
        <x:v>Pipavav</x:v>
      </x:c>
      <x:c r="D1156" t="str">
        <x:v>India</x:v>
      </x:c>
      <x:c r="E1156" t="str">
        <x:v>PORTG0167</x:v>
      </x:c>
      <x:c r="F1156" t="str">
        <x:v>Active</x:v>
      </x:c>
    </x:row>
    <x:row r="1157">
      <x:c r="A1157" t="str">
        <x:v>TERM0213</x:v>
      </x:c>
      <x:c r="B1157" t="str">
        <x:v>Port terminal</x:v>
      </x:c>
      <x:c r="C1157" t="str">
        <x:v>Yokohama</x:v>
      </x:c>
      <x:c r="D1157" t="str">
        <x:v>Japan</x:v>
      </x:c>
      <x:c r="E1157" t="str">
        <x:v>PORTG0168</x:v>
      </x:c>
      <x:c r="F1157" t="str">
        <x:v>Active</x:v>
      </x:c>
    </x:row>
    <x:row r="1158">
      <x:c r="A1158" t="str">
        <x:v>TERM0214</x:v>
      </x:c>
      <x:c r="B1158" t="str">
        <x:v>Port terminal</x:v>
      </x:c>
      <x:c r="C1158" t="str">
        <x:v>Tanjung Pelepas</x:v>
      </x:c>
      <x:c r="D1158" t="str">
        <x:v>Malaysia</x:v>
      </x:c>
      <x:c r="E1158" t="str">
        <x:v>PORTG0169</x:v>
      </x:c>
      <x:c r="F1158" t="str">
        <x:v>Active</x:v>
      </x:c>
    </x:row>
    <x:row r="1159">
      <x:c r="A1159" t="str">
        <x:v>TERM0215</x:v>
      </x:c>
      <x:c r="B1159" t="str">
        <x:v>Port terminal</x:v>
      </x:c>
      <x:c r="C1159" t="str">
        <x:v>Colombo</x:v>
      </x:c>
      <x:c r="D1159" t="str">
        <x:v>Sri Lanka</x:v>
      </x:c>
      <x:c r="E1159" t="str">
        <x:v>PORTG0170</x:v>
      </x:c>
      <x:c r="F1159" t="str">
        <x:v>Active</x:v>
      </x:c>
    </x:row>
    <x:row r="1160">
      <x:c r="A1160" t="str">
        <x:v>TERM0216</x:v>
      </x:c>
      <x:c r="B1160" t="str">
        <x:v>Port terminal</x:v>
      </x:c>
      <x:c r="C1160" t="str">
        <x:v>Cai Mep</x:v>
      </x:c>
      <x:c r="D1160" t="str">
        <x:v>Vietnam</x:v>
      </x:c>
      <x:c r="E1160" t="str">
        <x:v>PORTG0105</x:v>
      </x:c>
      <x:c r="F1160" t="str">
        <x:v>Active</x:v>
      </x:c>
    </x:row>
    <x:row r="1161">
      <x:c r="A1161" t="str">
        <x:v>TERM0217</x:v>
      </x:c>
      <x:c r="B1161" t="str">
        <x:v>Port terminal</x:v>
      </x:c>
      <x:c r="C1161" t="str">
        <x:v>Rijeka Gateway</x:v>
      </x:c>
      <x:c r="D1161" t="str">
        <x:v>Croatia</x:v>
      </x:c>
      <x:c r="E1161" t="str">
        <x:v>PORTG0171</x:v>
      </x:c>
      <x:c r="F1161" t="str">
        <x:v>Active</x:v>
      </x:c>
    </x:row>
    <x:row r="1162">
      <x:c r="A1162" t="str">
        <x:v>TERM0218</x:v>
      </x:c>
      <x:c r="B1162" t="str">
        <x:v>Port terminal</x:v>
      </x:c>
      <x:c r="C1162" t="str">
        <x:v>Aarhus</x:v>
      </x:c>
      <x:c r="D1162" t="str">
        <x:v>Denmark</x:v>
      </x:c>
      <x:c r="E1162" t="str">
        <x:v>PORTG0172</x:v>
      </x:c>
      <x:c r="F1162" t="str">
        <x:v>Active</x:v>
      </x:c>
    </x:row>
    <x:row r="1163">
      <x:c r="A1163" t="str">
        <x:v>TERM0219</x:v>
      </x:c>
      <x:c r="B1163" t="str">
        <x:v>Port terminal</x:v>
      </x:c>
      <x:c r="C1163" t="str">
        <x:v>Kalundborg</x:v>
      </x:c>
      <x:c r="D1163" t="str">
        <x:v>Denmark</x:v>
      </x:c>
      <x:c r="E1163" t="str">
        <x:v>PORTG0173</x:v>
      </x:c>
      <x:c r="F1163" t="str">
        <x:v>Active</x:v>
      </x:c>
    </x:row>
    <x:row r="1164">
      <x:c r="A1164" t="str">
        <x:v>TERM0220</x:v>
      </x:c>
      <x:c r="B1164" t="str">
        <x:v>Port terminal</x:v>
      </x:c>
      <x:c r="C1164" t="str">
        <x:v>Marseille Fos</x:v>
      </x:c>
      <x:c r="D1164" t="str">
        <x:v>France</x:v>
      </x:c>
      <x:c r="E1164" t="str">
        <x:v>PORTG0120</x:v>
      </x:c>
      <x:c r="F1164" t="str">
        <x:v>Active</x:v>
      </x:c>
    </x:row>
    <x:row r="1165">
      <x:c r="A1165" t="str">
        <x:v>TERM0221</x:v>
      </x:c>
      <x:c r="B1165" t="str">
        <x:v>Port terminal</x:v>
      </x:c>
      <x:c r="C1165" t="str">
        <x:v>Poti</x:v>
      </x:c>
      <x:c r="D1165" t="str">
        <x:v>Georgia</x:v>
      </x:c>
      <x:c r="E1165" t="str">
        <x:v>PORTG0174</x:v>
      </x:c>
      <x:c r="F1165" t="str">
        <x:v>Active</x:v>
      </x:c>
    </x:row>
    <x:row r="1166">
      <x:c r="A1166" t="str">
        <x:v>TERM0222</x:v>
      </x:c>
      <x:c r="B1166" t="str">
        <x:v>Port terminal</x:v>
      </x:c>
      <x:c r="C1166" t="str">
        <x:v>Bremerhaven</x:v>
      </x:c>
      <x:c r="D1166" t="str">
        <x:v>Germany</x:v>
      </x:c>
      <x:c r="E1166" t="str">
        <x:v>PORTG0175</x:v>
      </x:c>
      <x:c r="F1166" t="str">
        <x:v>Active</x:v>
      </x:c>
    </x:row>
    <x:row r="1167">
      <x:c r="A1167" t="str">
        <x:v>TERM0223</x:v>
      </x:c>
      <x:c r="B1167" t="str">
        <x:v>Port terminal</x:v>
      </x:c>
      <x:c r="C1167" t="str">
        <x:v>Vado Ligure</x:v>
      </x:c>
      <x:c r="D1167" t="str">
        <x:v>Italy</x:v>
      </x:c>
      <x:c r="E1167" t="str">
        <x:v>PORTG0176</x:v>
      </x:c>
      <x:c r="F1167" t="str">
        <x:v>Active</x:v>
      </x:c>
    </x:row>
    <x:row r="1168">
      <x:c r="A1168" t="str">
        <x:v>TERM0224</x:v>
      </x:c>
      <x:c r="B1168" t="str">
        <x:v>Port terminal</x:v>
      </x:c>
      <x:c r="C1168" t="str">
        <x:v>Rotterdam Maasvlakte II</x:v>
      </x:c>
      <x:c r="D1168" t="str">
        <x:v>Netherlands</x:v>
      </x:c>
      <x:c r="E1168" t="str">
        <x:v>PORTG0020</x:v>
      </x:c>
      <x:c r="F1168" t="str">
        <x:v>Active</x:v>
      </x:c>
    </x:row>
    <x:row r="1169">
      <x:c r="A1169" t="str">
        <x:v>TERM0225</x:v>
      </x:c>
      <x:c r="B1169" t="str">
        <x:v>Port terminal</x:v>
      </x:c>
      <x:c r="C1169" t="str">
        <x:v>Algeciras</x:v>
      </x:c>
      <x:c r="D1169" t="str">
        <x:v>Spain</x:v>
      </x:c>
      <x:c r="E1169" t="str">
        <x:v>PORTG0103</x:v>
      </x:c>
      <x:c r="F1169" t="str">
        <x:v>Active</x:v>
      </x:c>
    </x:row>
    <x:row r="1170">
      <x:c r="A1170" t="str">
        <x:v>TERM0226</x:v>
      </x:c>
      <x:c r="B1170" t="str">
        <x:v>Port terminal</x:v>
      </x:c>
      <x:c r="C1170" t="str">
        <x:v>Barcelona</x:v>
      </x:c>
      <x:c r="D1170" t="str">
        <x:v>Spain</x:v>
      </x:c>
      <x:c r="E1170" t="str">
        <x:v>PORTG0096</x:v>
      </x:c>
      <x:c r="F1170" t="str">
        <x:v>Active</x:v>
      </x:c>
    </x:row>
    <x:row r="1171">
      <x:c r="A1171" t="str">
        <x:v>TERM0227</x:v>
      </x:c>
      <x:c r="B1171" t="str">
        <x:v>Port terminal</x:v>
      </x:c>
      <x:c r="C1171" t="str">
        <x:v>Gijón</x:v>
      </x:c>
      <x:c r="D1171" t="str">
        <x:v>Spain</x:v>
      </x:c>
      <x:c r="E1171" t="str">
        <x:v>PORTG0177</x:v>
      </x:c>
      <x:c r="F1171" t="str">
        <x:v>Active</x:v>
      </x:c>
    </x:row>
    <x:row r="1172">
      <x:c r="A1172" t="str">
        <x:v>TERM0228</x:v>
      </x:c>
      <x:c r="B1172" t="str">
        <x:v>Port terminal</x:v>
      </x:c>
      <x:c r="C1172" t="str">
        <x:v>Valencia</x:v>
      </x:c>
      <x:c r="D1172" t="str">
        <x:v>Spain</x:v>
      </x:c>
      <x:c r="E1172" t="str">
        <x:v>PORTG0102</x:v>
      </x:c>
      <x:c r="F1172" t="str">
        <x:v>Active</x:v>
      </x:c>
    </x:row>
    <x:row r="1173">
      <x:c r="A1173" t="str">
        <x:v>TERM0229</x:v>
      </x:c>
      <x:c r="B1173" t="str">
        <x:v>Port terminal</x:v>
      </x:c>
      <x:c r="C1173" t="str">
        <x:v>Gothenburg</x:v>
      </x:c>
      <x:c r="D1173" t="str">
        <x:v>Sweden</x:v>
      </x:c>
      <x:c r="E1173" t="str">
        <x:v>PORTG0178</x:v>
      </x:c>
      <x:c r="F1173" t="str">
        <x:v>Active</x:v>
      </x:c>
    </x:row>
    <x:row r="1174">
      <x:c r="A1174" t="str">
        <x:v>TERM0230</x:v>
      </x:c>
      <x:c r="B1174" t="str">
        <x:v>Port terminal</x:v>
      </x:c>
      <x:c r="C1174" t="str">
        <x:v>Izmir</x:v>
      </x:c>
      <x:c r="D1174" t="str">
        <x:v>Turkey</x:v>
      </x:c>
      <x:c r="E1174" t="str">
        <x:v>PORTG0179</x:v>
      </x:c>
      <x:c r="F1174" t="str">
        <x:v>Active</x:v>
      </x:c>
    </x:row>
    <x:row r="1175">
      <x:c r="A1175" t="str">
        <x:v>TERM0231</x:v>
      </x:c>
      <x:c r="B1175" t="str">
        <x:v>Port terminal</x:v>
      </x:c>
      <x:c r="C1175" t="str">
        <x:v>Buenos Aires</x:v>
      </x:c>
      <x:c r="D1175" t="str">
        <x:v>Argentina</x:v>
      </x:c>
      <x:c r="E1175" t="str">
        <x:v>PORTG0048</x:v>
      </x:c>
      <x:c r="F1175" t="str">
        <x:v>Active</x:v>
      </x:c>
    </x:row>
    <x:row r="1176">
      <x:c r="A1176" t="str">
        <x:v>TERM0232</x:v>
      </x:c>
      <x:c r="B1176" t="str">
        <x:v>Port terminal</x:v>
      </x:c>
      <x:c r="C1176" t="str">
        <x:v>Itapoá</x:v>
      </x:c>
      <x:c r="D1176" t="str">
        <x:v>Brazil</x:v>
      </x:c>
      <x:c r="E1176" t="str">
        <x:v>PORTG0180</x:v>
      </x:c>
      <x:c r="F1176" t="str">
        <x:v>Active</x:v>
      </x:c>
    </x:row>
    <x:row r="1177">
      <x:c r="A1177" t="str">
        <x:v>TERM0233</x:v>
      </x:c>
      <x:c r="B1177" t="str">
        <x:v>Port terminal</x:v>
      </x:c>
      <x:c r="C1177" t="str">
        <x:v>Pecém</x:v>
      </x:c>
      <x:c r="D1177" t="str">
        <x:v>Brazil</x:v>
      </x:c>
      <x:c r="E1177" t="str">
        <x:v>PORTG0181</x:v>
      </x:c>
      <x:c r="F1177" t="str">
        <x:v>Active</x:v>
      </x:c>
    </x:row>
    <x:row r="1178">
      <x:c r="A1178" t="str">
        <x:v>TERM0234</x:v>
      </x:c>
      <x:c r="B1178" t="str">
        <x:v>Port terminal</x:v>
      </x:c>
      <x:c r="C1178" t="str">
        <x:v>Buenaventura</x:v>
      </x:c>
      <x:c r="D1178" t="str">
        <x:v>Colombia</x:v>
      </x:c>
      <x:c r="E1178" t="str">
        <x:v>PORTG0182</x:v>
      </x:c>
      <x:c r="F1178" t="str">
        <x:v>Active</x:v>
      </x:c>
    </x:row>
    <x:row r="1179">
      <x:c r="A1179" t="str">
        <x:v>TERM0235</x:v>
      </x:c>
      <x:c r="B1179" t="str">
        <x:v>Port terminal</x:v>
      </x:c>
      <x:c r="C1179" t="str">
        <x:v>Moín</x:v>
      </x:c>
      <x:c r="D1179" t="str">
        <x:v>Costa Rica</x:v>
      </x:c>
      <x:c r="E1179" t="str">
        <x:v>PORTG0183</x:v>
      </x:c>
      <x:c r="F1179" t="str">
        <x:v>Active</x:v>
      </x:c>
    </x:row>
    <x:row r="1180">
      <x:c r="A1180" t="str">
        <x:v>TERM0236</x:v>
      </x:c>
      <x:c r="B1180" t="str">
        <x:v>Port terminal</x:v>
      </x:c>
      <x:c r="C1180" t="str">
        <x:v>Puerto Quetzal</x:v>
      </x:c>
      <x:c r="D1180" t="str">
        <x:v>Guatemala</x:v>
      </x:c>
      <x:c r="E1180" t="str">
        <x:v>PORTG0184</x:v>
      </x:c>
      <x:c r="F1180" t="str">
        <x:v>Active</x:v>
      </x:c>
    </x:row>
    <x:row r="1181">
      <x:c r="A1181" t="str">
        <x:v>TERM0237</x:v>
      </x:c>
      <x:c r="B1181" t="str">
        <x:v>Port terminal</x:v>
      </x:c>
      <x:c r="C1181" t="str">
        <x:v>Progreso</x:v>
      </x:c>
      <x:c r="D1181" t="str">
        <x:v>Mexico</x:v>
      </x:c>
      <x:c r="E1181" t="str">
        <x:v>PORTG0185</x:v>
      </x:c>
      <x:c r="F1181" t="str">
        <x:v>Active</x:v>
      </x:c>
    </x:row>
    <x:row r="1182">
      <x:c r="A1182" t="str">
        <x:v>TERM0238</x:v>
      </x:c>
      <x:c r="B1182" t="str">
        <x:v>Port terminal</x:v>
      </x:c>
      <x:c r="C1182" t="str">
        <x:v>Callao</x:v>
      </x:c>
      <x:c r="D1182" t="str">
        <x:v>Peru</x:v>
      </x:c>
      <x:c r="E1182" t="str">
        <x:v>PORTG0054</x:v>
      </x:c>
      <x:c r="F1182" t="str">
        <x:v>Active</x:v>
      </x:c>
    </x:row>
    <x:row r="1183">
      <x:c r="A1183" t="str">
        <x:v>TERM0239</x:v>
      </x:c>
      <x:c r="B1183" t="str">
        <x:v>Port terminal</x:v>
      </x:c>
      <x:c r="C1183" t="str">
        <x:v>Los Angeles, CA</x:v>
      </x:c>
      <x:c r="D1183" t="str">
        <x:v>United States</x:v>
      </x:c>
      <x:c r="E1183" t="str">
        <x:v>PORTG0098</x:v>
      </x:c>
      <x:c r="F1183" t="str">
        <x:v>Active</x:v>
      </x:c>
    </x:row>
    <x:row r="1184">
      <x:c r="A1184" t="str">
        <x:v>TERM0240</x:v>
      </x:c>
      <x:c r="B1184" t="str">
        <x:v>Port terminal</x:v>
      </x:c>
      <x:c r="C1184" t="str">
        <x:v>Mobile, AL</x:v>
      </x:c>
      <x:c r="D1184" t="str">
        <x:v>United States</x:v>
      </x:c>
      <x:c r="E1184" t="str">
        <x:v>PORTG0186</x:v>
      </x:c>
      <x:c r="F1184" t="str">
        <x:v>Active</x:v>
      </x:c>
    </x:row>
    <x:row r="1185">
      <x:c r="A1185" t="str">
        <x:v>TERM0241</x:v>
      </x:c>
      <x:c r="B1185" t="str">
        <x:v>Port terminal</x:v>
      </x:c>
      <x:c r="C1185" t="str">
        <x:v>Elizabeth, NJ</x:v>
      </x:c>
      <x:c r="D1185" t="str">
        <x:v>United States</x:v>
      </x:c>
      <x:c r="E1185" t="str">
        <x:v>PORTG0099</x:v>
      </x:c>
      <x:c r="F1185" t="str">
        <x:v>Active</x:v>
      </x:c>
    </x:row>
    <x:row r="1186">
      <x:c r="A1186" t="str">
        <x:v>TERM0242</x:v>
      </x:c>
      <x:c r="B1186" t="str">
        <x:v>Port terminal</x:v>
      </x:c>
      <x:c r="C1186" t="str">
        <x:v>APM Terminals Laldia</x:v>
      </x:c>
      <x:c r="D1186" t="str">
        <x:v>Bangladesh</x:v>
      </x:c>
      <x:c r="E1186" t="str">
        <x:v>PORTG0187</x:v>
      </x:c>
      <x:c r="F1186" t="str">
        <x:v>Development</x:v>
      </x:c>
    </x:row>
    <x:row r="1187">
      <x:c r="A1187" t="str">
        <x:v>TERM0243</x:v>
      </x:c>
      <x:c r="B1187" t="str">
        <x:v>Port terminal</x:v>
      </x:c>
      <x:c r="C1187" t="str">
        <x:v>Lien Chieu Container Port / APM Terminals Da Nang</x:v>
      </x:c>
      <x:c r="D1187" t="str">
        <x:v>Vietnam</x:v>
      </x:c>
      <x:c r="E1187" t="str">
        <x:v>PORTG0188</x:v>
      </x:c>
      <x:c r="F1187" t="str">
        <x:v>Development</x:v>
      </x:c>
    </x:row>
    <x:row r="1188">
      <x:c r="A1188" t="str">
        <x:v>TERM0244</x:v>
      </x:c>
      <x:c r="B1188" t="str">
        <x:v>Port terminal</x:v>
      </x:c>
      <x:c r="C1188" t="str">
        <x:v>Balboa Container Terminal – temporary APM operation</x:v>
      </x:c>
      <x:c r="D1188" t="str">
        <x:v>Panama</x:v>
      </x:c>
      <x:c r="E1188" t="str">
        <x:v>PORTG0189</x:v>
      </x:c>
      <x:c r="F1188" t="str">
        <x:v>Active</x:v>
      </x:c>
    </x:row>
    <x:row r="1189">
      <x:c r="A1189" t="str">
        <x:v>TERM0245</x:v>
      </x:c>
      <x:c r="B1189" t="str">
        <x:v>Port terminal</x:v>
      </x:c>
      <x:c r="C1189" t="str">
        <x:v>Hateco Haiphong International Container Terminal (HHIT)</x:v>
      </x:c>
      <x:c r="D1189" t="str">
        <x:v>Vietnam</x:v>
      </x:c>
      <x:c r="E1189" t="str">
        <x:v>PORTG0190</x:v>
      </x:c>
      <x:c r="F1189" t="str">
        <x:v>Active</x:v>
      </x:c>
    </x:row>
  </x:sheetData>
  <x:pageMargins left="0.7" right="0.7" top="0.75" bottom="0.75" header="0.3" footer="0.3"/>
  <x:tableParts count="1">
    <x:tablePart xmlns:r="http://schemas.openxmlformats.org/officeDocument/2006/relationships" r:id="Rf7d0044265164e5b"/>
  </x:tableParts>
</x:worksheet>
</file>

<file path=xl/worksheets/sheet4.xml><?xml version="1.0" encoding="utf-8"?>
<x:worksheet xmlns:x="http://schemas.openxmlformats.org/spreadsheetml/2006/main">
  <x:sheetFormatPr defaultRowHeight="15"/>
  <x:cols>
    <x:col min="1" max="1" width="18" hidden="0" customWidth="1"/>
    <x:col min="2" max="2" width="28" hidden="0" customWidth="1"/>
    <x:col min="3" max="3" width="22" hidden="0" customWidth="1"/>
    <x:col min="4" max="4" width="20" hidden="0" customWidth="1"/>
    <x:col min="5" max="5" width="20" hidden="0" customWidth="1"/>
    <x:col min="6" max="6" width="34" hidden="0" customWidth="1"/>
    <x:col min="7" max="7" width="32" hidden="0" customWidth="1"/>
    <x:col min="8" max="8" width="20" hidden="0" customWidth="1"/>
    <x:col min="9" max="9" width="20" hidden="0" customWidth="1"/>
    <x:col min="10" max="10" width="44" hidden="0" customWidth="1"/>
    <x:col min="11" max="11" width="14" hidden="0" customWidth="1"/>
    <x:col min="12" max="12" width="14" hidden="0" customWidth="1"/>
    <x:col min="13" max="13" width="14" hidden="0" customWidth="1"/>
  </x:cols>
  <x:sheetData>
    <x:row r="1">
      <x:c r="A1" s="190" t="str">
        <x:v>Company ID</x:v>
      </x:c>
      <x:c r="B1" s="190" t="str">
        <x:v>Company</x:v>
      </x:c>
      <x:c r="C1" s="190" t="str">
        <x:v>Entity Type</x:v>
      </x:c>
      <x:c r="D1" s="190" t="str">
        <x:v>HQ City</x:v>
      </x:c>
      <x:c r="E1" s="190" t="str">
        <x:v>HQ Country</x:v>
      </x:c>
      <x:c r="F1" s="190" t="str">
        <x:v>Ownership</x:v>
      </x:c>
      <x:c r="G1" s="190" t="str">
        <x:v>Business Segments</x:v>
      </x:c>
      <x:c r="H1" s="190" t="str">
        <x:v>Senior Leader</x:v>
      </x:c>
      <x:c r="I1" s="190" t="str">
        <x:v>Title</x:v>
      </x:c>
      <x:c r="J1" s="190" t="str">
        <x:v>Scale / Network Notes</x:v>
      </x:c>
      <x:c r="K1" s="190" t="str">
        <x:v>Status</x:v>
      </x:c>
      <x:c r="L1" s="190" t="str">
        <x:v>Source ID</x:v>
      </x:c>
      <x:c r="M1" s="190" t="str">
        <x:v>As Of</x:v>
      </x:c>
      <x:c r="N1" s="165"/>
      <x:c r="O1" s="165"/>
      <x:c r="P1" s="165"/>
      <x:c r="Q1" s="165"/>
      <x:c r="R1" s="165"/>
      <x:c r="S1" s="165"/>
      <x:c r="T1" s="165"/>
      <x:c r="U1" s="165"/>
      <x:c r="V1" s="165"/>
      <x:c r="W1" s="165"/>
      <x:c r="X1" s="165"/>
      <x:c r="Y1" s="165"/>
      <x:c r="Z1" s="165"/>
      <x:c r="AA1" s="165"/>
      <x:c r="AB1" s="165"/>
      <x:c r="AC1" s="165"/>
      <x:c r="AD1" s="165"/>
      <x:c r="AE1" s="165"/>
      <x:c r="AF1" s="165"/>
      <x:c r="AG1" s="165"/>
      <x:c r="AH1" s="165"/>
      <x:c r="AI1" s="165"/>
      <x:c r="AJ1" s="165"/>
      <x:c r="AK1" s="165"/>
      <x:c r="AL1" s="165"/>
      <x:c r="AM1" s="165"/>
      <x:c r="AN1" s="165"/>
      <x:c r="AO1" s="165"/>
      <x:c r="AP1" s="165"/>
      <x:c r="AQ1" s="165"/>
      <x:c r="AR1" s="165"/>
      <x:c r="AS1" s="165"/>
      <x:c r="AT1" s="165"/>
      <x:c r="AU1" s="165"/>
      <x:c r="AV1" s="165"/>
      <x:c r="AW1" s="165"/>
      <x:c r="AX1" s="165"/>
      <x:c r="AY1" s="165"/>
      <x:c r="AZ1" s="165"/>
    </x:row>
    <x:row r="2">
      <x:c r="A2" s="42" t="str">
        <x:v>COMP_CMA_CGM</x:v>
      </x:c>
      <x:c r="B2" s="42" t="str">
        <x:v>CMA CGM Group</x:v>
      </x:c>
      <x:c r="C2" s="42" t="str">
        <x:v>Company</x:v>
      </x:c>
      <x:c r="D2" s="42" t="str">
        <x:v>Marseille</x:v>
      </x:c>
      <x:c r="E2" s="42" t="str">
        <x:v>France</x:v>
      </x:c>
      <x:c r="F2" s="42" t="str">
        <x:v>Private / Saadé family controlled</x:v>
      </x:c>
      <x:c r="G2" s="42" t="str">
        <x:v>Shipping; terminals; air cargo; logistics; inland transport; media</x:v>
      </x:c>
      <x:c r="H2" s="42" t="str">
        <x:v>Rodolphe Saadé</x:v>
      </x:c>
      <x:c r="I2" s="42" t="str">
        <x:v>Chairman &amp; CEO</x:v>
      </x:c>
      <x:c r="J2" s="42" t="str">
        <x:v>66 terminals across 40 countries reported for 2025</x:v>
      </x:c>
      <x:c r="K2" s="42" t="str">
        <x:v>Active</x:v>
      </x:c>
      <x:c r="L2" s="42" t="str">
        <x:v>SRC_0031</x:v>
      </x:c>
      <x:c r="M2" s="42" t="str">
        <x:v>2026-09-07</x:v>
      </x:c>
    </x:row>
    <x:row r="3">
      <x:c r="A3" s="42" t="str">
        <x:v>COMP_CEVA</x:v>
      </x:c>
      <x:c r="B3" s="42" t="str">
        <x:v>CEVA Logistics</x:v>
      </x:c>
      <x:c r="C3" s="42" t="str">
        <x:v>Company</x:v>
      </x:c>
      <x:c r="D3" s="42" t="str">
        <x:v>Marseille</x:v>
      </x:c>
      <x:c r="E3" s="42" t="str">
        <x:v>France</x:v>
      </x:c>
      <x:c r="F3" s="42" t="str">
        <x:v>Subsidiary of CMA CGM Group</x:v>
      </x:c>
      <x:c r="G3" s="42" t="str">
        <x:v>Contract logistics; freight forwarding; air; ocean; ground; automotive; eCommerce</x:v>
      </x:c>
      <x:c r="H3" s="42" t="str">
        <x:v>Patrick Moebel</x:v>
      </x:c>
      <x:c r="I3" s="42" t="str">
        <x:v>CEO</x:v>
      </x:c>
      <x:c r="J3" s="42" t="str">
        <x:v>Global 3PL; major North American expansion underway</x:v>
      </x:c>
      <x:c r="K3" s="42" t="str">
        <x:v>Active</x:v>
      </x:c>
      <x:c r="L3" s="42" t="str">
        <x:v>SRC_0029</x:v>
      </x:c>
      <x:c r="M3" s="42" t="str">
        <x:v>2026-09-07</x:v>
      </x:c>
    </x:row>
    <x:row r="4">
      <x:c r="A4" s="42" t="str">
        <x:v>COMP_CMA_TERMINALS</x:v>
      </x:c>
      <x:c r="B4" s="42" t="str">
        <x:v>CMA Terminals</x:v>
      </x:c>
      <x:c r="C4" s="42" t="str">
        <x:v>Company</x:v>
      </x:c>
      <x:c r="D4" s="42" t="str">
        <x:v>Marseille</x:v>
      </x:c>
      <x:c r="E4" s="42" t="str">
        <x:v>France</x:v>
      </x:c>
      <x:c r="F4" s="42" t="str">
        <x:v>100% owned by CMA CGM Group</x:v>
      </x:c>
      <x:c r="G4" s="42" t="str">
        <x:v>Container terminals; port development</x:v>
      </x:c>
      <x:c r="H4" s="42"/>
      <x:c r="I4" s="42"/>
      <x:c r="J4" s="42" t="str">
        <x:v>45 terminals; ~22m TEU handled in 2025</x:v>
      </x:c>
      <x:c r="K4" s="42" t="str">
        <x:v>Active</x:v>
      </x:c>
      <x:c r="L4" s="42" t="str">
        <x:v>SRC_0003</x:v>
      </x:c>
      <x:c r="M4" s="42" t="str">
        <x:v>2026-09-07</x:v>
      </x:c>
    </x:row>
    <x:row r="5">
      <x:c r="A5" s="42" t="str">
        <x:v>COMP_APMT</x:v>
      </x:c>
      <x:c r="B5" s="42" t="str">
        <x:v>APM Terminals</x:v>
      </x:c>
      <x:c r="C5" s="42" t="str">
        <x:v>Company</x:v>
      </x:c>
      <x:c r="D5" s="42" t="str">
        <x:v>The Hague</x:v>
      </x:c>
      <x:c r="E5" s="42" t="str">
        <x:v>Netherlands</x:v>
      </x:c>
      <x:c r="F5" s="42" t="str">
        <x:v>Part of A.P. Moller - Maersk</x:v>
      </x:c>
      <x:c r="G5" s="42" t="str">
        <x:v>Container terminals; port development</x:v>
      </x:c>
      <x:c r="H5" s="42" t="str">
        <x:v>Keith Svendsen</x:v>
      </x:c>
      <x:c r="I5" s="42" t="str">
        <x:v>CEO</x:v>
      </x:c>
      <x:c r="J5" s="42" t="str">
        <x:v>60 strategic locations globally; APM states operations in 35 countries in 2026</x:v>
      </x:c>
      <x:c r="K5" s="42" t="str">
        <x:v>Active</x:v>
      </x:c>
      <x:c r="L5" s="42" t="str">
        <x:v>SRC_0019</x:v>
      </x:c>
      <x:c r="M5" s="42" t="str">
        <x:v>2026-09-08</x:v>
      </x:c>
    </x:row>
    <x:row r="6">
      <x:c r="A6" s="42" t="str">
        <x:v>COMP_DPW</x:v>
      </x:c>
      <x:c r="B6" s="42" t="str">
        <x:v>DP World</x:v>
      </x:c>
      <x:c r="C6" s="42" t="str">
        <x:v>Company</x:v>
      </x:c>
      <x:c r="D6" s="42" t="str">
        <x:v>Dubai</x:v>
      </x:c>
      <x:c r="E6" s="42" t="str">
        <x:v>United Arab Emirates</x:v>
      </x:c>
      <x:c r="F6" s="42" t="str">
        <x:v>Dubai-government-linked global trade group</x:v>
      </x:c>
      <x:c r="G6" s="42" t="str">
        <x:v>Ports; terminals; logistics; freight forwarding; marine services; economic zones</x:v>
      </x:c>
      <x:c r="H6" s="42" t="str">
        <x:v>Yuvraj Narayan</x:v>
      </x:c>
      <x:c r="I6" s="42" t="str">
        <x:v>Group CEO</x:v>
      </x:c>
      <x:c r="J6" s="42" t="str">
        <x:v>93.4m TEU in 2025; nearly 300 forwarding branches; 500+ logistics locations</x:v>
      </x:c>
      <x:c r="K6" s="42" t="str">
        <x:v>Active</x:v>
      </x:c>
      <x:c r="L6" s="42" t="str">
        <x:v>SRC_0034</x:v>
      </x:c>
      <x:c r="M6" s="42" t="str">
        <x:v>2026-09-07</x:v>
      </x:c>
    </x:row>
    <x:row r="7">
      <x:c r="A7" s="42" t="str">
        <x:v>COMP_ADPORTS</x:v>
      </x:c>
      <x:c r="B7" s="42" t="str">
        <x:v>AD Ports Group</x:v>
      </x:c>
      <x:c r="C7" s="42" t="str">
        <x:v>Company</x:v>
      </x:c>
      <x:c r="D7" s="42" t="str">
        <x:v>Abu Dhabi</x:v>
      </x:c>
      <x:c r="E7" s="42" t="str">
        <x:v>United Arab Emirates</x:v>
      </x:c>
      <x:c r="F7" s="42" t="str">
        <x:v>75.42% owned by ADQ</x:v>
      </x:c>
      <x:c r="G7" s="42" t="str">
        <x:v>Ports; economic cities/free zones; maritime/shipping; logistics; digital</x:v>
      </x:c>
      <x:c r="H7" s="42" t="str">
        <x:v>Captain Mohamed Juma Al Shamisi</x:v>
      </x:c>
      <x:c r="I7" s="42" t="str">
        <x:v>Managing Director &amp; Group CEO</x:v>
      </x:c>
      <x:c r="J7" s="42" t="str">
        <x:v>Current management page references 36 terminals; 50+ countries; 140+ offices</x:v>
      </x:c>
      <x:c r="K7" s="42" t="str">
        <x:v>Active</x:v>
      </x:c>
      <x:c r="L7" s="42" t="str">
        <x:v>SRC_0013</x:v>
      </x:c>
      <x:c r="M7" s="42" t="str">
        <x:v>2026-09-07</x:v>
      </x:c>
    </x:row>
    <x:row r="8">
      <x:c r="A8" s="42" t="str">
        <x:v>COMP_GULFTAINER</x:v>
      </x:c>
      <x:c r="B8" s="42" t="str">
        <x:v>Gulftainer</x:v>
      </x:c>
      <x:c r="C8" s="42" t="str">
        <x:v>Company</x:v>
      </x:c>
      <x:c r="D8" s="42" t="str">
        <x:v>Sharjah</x:v>
      </x:c>
      <x:c r="E8" s="42" t="str">
        <x:v>United Arab Emirates</x:v>
      </x:c>
      <x:c r="F8" s="42" t="str">
        <x:v>Private</x:v>
      </x:c>
      <x:c r="G8" s="42" t="str">
        <x:v>Ports; terminals; inland logistics; warehousing; container shipping; maritime services</x:v>
      </x:c>
      <x:c r="H8" s="42" t="str">
        <x:v>Farid Belbouab</x:v>
      </x:c>
      <x:c r="I8" s="42" t="str">
        <x:v>Group CEO</x:v>
      </x:c>
      <x:c r="J8" s="42" t="str">
        <x:v>Strategy targets 10m+ TEU future Khorfakkan capacity and 2.3m TEU inland logistics capacity</x:v>
      </x:c>
      <x:c r="K8" s="42" t="str">
        <x:v>Active</x:v>
      </x:c>
      <x:c r="L8" s="42" t="str">
        <x:v>SRC_0040</x:v>
      </x:c>
      <x:c r="M8" s="42" t="str">
        <x:v>2026-09-07</x:v>
      </x:c>
    </x:row>
    <x:row r="9">
      <x:c r="A9" s="42" t="str">
        <x:v>COMP_CARGOLUX</x:v>
      </x:c>
      <x:c r="B9" s="42" t="str">
        <x:v>Cargolux Airlines International</x:v>
      </x:c>
      <x:c r="C9" s="42" t="str">
        <x:v>Company</x:v>
      </x:c>
      <x:c r="D9" s="42" t="str">
        <x:v>Luxembourg</x:v>
      </x:c>
      <x:c r="E9" s="42" t="str">
        <x:v>Luxembourg</x:v>
      </x:c>
      <x:c r="F9" s="42" t="str">
        <x:v>Luxair 35.10%; HNCA 35.00%; BCEE 10.90%; SNCI 10.67%; Luxembourg State 8.32%</x:v>
      </x:c>
      <x:c r="G9" s="42" t="str">
        <x:v>Air cargo; road feeder services; specialist freight</x:v>
      </x:c>
      <x:c r="H9" s="42" t="str">
        <x:v>Richard Forson</x:v>
      </x:c>
      <x:c r="I9" s="42" t="str">
        <x:v>President &amp; CEO</x:v>
      </x:c>
      <x:c r="J9" s="42" t="str">
        <x:v>30 Boeing 747 freighters; 70+ flight destinations; 85+ offices in 50+ countries</x:v>
      </x:c>
      <x:c r="K9" s="42" t="str">
        <x:v>Active</x:v>
      </x:c>
      <x:c r="L9" s="42" t="str">
        <x:v>SRC_0022</x:v>
      </x:c>
      <x:c r="M9" s="42" t="str">
        <x:v>2026-09-07</x:v>
      </x:c>
    </x:row>
    <x:row r="10">
      <x:c r="A10" s="42" t="str">
        <x:v>COMP_FINCANTIERI</x:v>
      </x:c>
      <x:c r="B10" s="42" t="str">
        <x:v>Fincantieri</x:v>
      </x:c>
      <x:c r="C10" s="42" t="str">
        <x:v>Company</x:v>
      </x:c>
      <x:c r="D10" s="42" t="str">
        <x:v>Trieste</x:v>
      </x:c>
      <x:c r="E10" s="42" t="str">
        <x:v>Italy</x:v>
      </x:c>
      <x:c r="F10" s="42" t="str">
        <x:v>Publicly listed; Italian state influence through CDP</x:v>
      </x:c>
      <x:c r="G10" s="42" t="str">
        <x:v>Naval shipbuilding; cruise shipbuilding; offshore; underwater; defence systems</x:v>
      </x:c>
      <x:c r="H10" s="42" t="str">
        <x:v>Pierroberto Folgiero</x:v>
      </x:c>
      <x:c r="I10" s="42" t="str">
        <x:v>CEO &amp; Managing Director</x:v>
      </x:c>
      <x:c r="J10" s="42" t="str">
        <x:v>~€74bn backlog at 1H 2026; deliveries visible to 2039</x:v>
      </x:c>
      <x:c r="K10" s="42" t="str">
        <x:v>Active</x:v>
      </x:c>
      <x:c r="L10" s="42" t="str">
        <x:v>SRC_0038</x:v>
      </x:c>
      <x:c r="M10" s="42" t="str">
        <x:v>2026-09-07</x:v>
      </x:c>
    </x:row>
    <x:row r="11">
      <x:c r="A11" s="42" t="str">
        <x:v>COMP_ABP</x:v>
      </x:c>
      <x:c r="B11" s="42" t="str">
        <x:v>Associated British Ports</x:v>
      </x:c>
      <x:c r="C11" s="42" t="str">
        <x:v>Company</x:v>
      </x:c>
      <x:c r="D11" s="42" t="str">
        <x:v>London</x:v>
      </x:c>
      <x:c r="E11" s="42" t="str">
        <x:v>United Kingdom</x:v>
      </x:c>
      <x:c r="F11" s="42" t="str">
        <x:v>Private infrastructure ownership</x:v>
      </x:c>
      <x:c r="G11" s="42" t="str">
        <x:v>Ports; terminals; rail freight; property; dredging; marine consultancy</x:v>
      </x:c>
      <x:c r="H11" s="42"/>
      <x:c r="I11" s="42"/>
      <x:c r="J11" s="42" t="str">
        <x:v>21 UK ports; around a quarter of UK seaborne trade in goods</x:v>
      </x:c>
      <x:c r="K11" s="42" t="str">
        <x:v>Active</x:v>
      </x:c>
      <x:c r="L11" s="42" t="str">
        <x:v>SRC_0009</x:v>
      </x:c>
      <x:c r="M11" s="42" t="str">
        <x:v>2026-09-07</x:v>
      </x:c>
    </x:row>
    <x:row r="12">
      <x:c r="A12" s="42" t="str">
        <x:v>COMP_PEEL</x:v>
      </x:c>
      <x:c r="B12" s="42" t="str">
        <x:v>Peel Ports Group</x:v>
      </x:c>
      <x:c r="C12" s="42" t="str">
        <x:v>Company</x:v>
      </x:c>
      <x:c r="D12" s="42" t="str">
        <x:v>Liverpool</x:v>
      </x:c>
      <x:c r="E12" s="42" t="str">
        <x:v>United Kingdom</x:v>
      </x:c>
      <x:c r="F12" s="42" t="str">
        <x:v>Private</x:v>
      </x:c>
      <x:c r="G12" s="42" t="str">
        <x:v>Ports; terminals; logistics; marine services</x:v>
      </x:c>
      <x:c r="H12" s="42"/>
      <x:c r="I12" s="42"/>
      <x:c r="J12" s="42" t="str">
        <x:v>Major UK/Ireland port network</x:v>
      </x:c>
      <x:c r="K12" s="42" t="str">
        <x:v>Active</x:v>
      </x:c>
      <x:c r="L12" s="42" t="str">
        <x:v>SRC_0043</x:v>
      </x:c>
      <x:c r="M12" s="42" t="str">
        <x:v>2026-09-07</x:v>
      </x:c>
    </x:row>
    <x:row r="13">
      <x:c r="A13" s="42" t="str">
        <x:v>COMP_FORTH</x:v>
      </x:c>
      <x:c r="B13" s="42" t="str">
        <x:v>Forth Ports</x:v>
      </x:c>
      <x:c r="C13" s="42" t="str">
        <x:v>Company</x:v>
      </x:c>
      <x:c r="D13" s="42" t="str">
        <x:v>Edinburgh</x:v>
      </x:c>
      <x:c r="E13" s="42" t="str">
        <x:v>United Kingdom</x:v>
      </x:c>
      <x:c r="F13" s="42" t="str">
        <x:v>Private</x:v>
      </x:c>
      <x:c r="G13" s="42" t="str">
        <x:v>Ports; terminals; logistics; towage; heavy lifting</x:v>
      </x:c>
      <x:c r="H13" s="42"/>
      <x:c r="I13" s="42"/>
      <x:c r="J13" s="42" t="str">
        <x:v>8 UK ports; 30m tonnes cargo; 2,000-acre estate</x:v>
      </x:c>
      <x:c r="K13" s="42" t="str">
        <x:v>Active</x:v>
      </x:c>
      <x:c r="L13" s="42" t="str">
        <x:v>SRC_0005</x:v>
      </x:c>
      <x:c r="M13" s="42" t="str">
        <x:v>2026-09-07</x:v>
      </x:c>
    </x:row>
    <x:row r="14">
      <x:c r="A14" s="42" t="str">
        <x:v>COMP_PDPORTS</x:v>
      </x:c>
      <x:c r="B14" s="42" t="str">
        <x:v>PD Ports</x:v>
      </x:c>
      <x:c r="C14" s="42" t="str">
        <x:v>Company</x:v>
      </x:c>
      <x:c r="D14" s="42" t="str">
        <x:v>Middlesbrough</x:v>
      </x:c>
      <x:c r="E14" s="42" t="str">
        <x:v>United Kingdom</x:v>
      </x:c>
      <x:c r="F14" s="42" t="str">
        <x:v>Brookfield Infrastructure retained a 25% interest after partial disposition; remaining ownership to resolve</x:v>
      </x:c>
      <x:c r="G14" s="42" t="str">
        <x:v>Ports; logistics; warehousing; freight forwarding; rail; stevedoring</x:v>
      </x:c>
      <x:c r="H14" s="42"/>
      <x:c r="I14" s="42"/>
      <x:c r="J14" s="42" t="str">
        <x:v>11 UK sites nationwide; current investor/control structure requires consortium-level resolution</x:v>
      </x:c>
      <x:c r="K14" s="42" t="str">
        <x:v>Active</x:v>
      </x:c>
      <x:c r="L14" s="42" t="str">
        <x:v>SRC_0255</x:v>
      </x:c>
      <x:c r="M14" s="42" t="str">
        <x:v>2026-09-07</x:v>
      </x:c>
    </x:row>
    <x:row r="15">
      <x:c r="A15" s="42" t="str">
        <x:v>COMP_HUTCHISON</x:v>
      </x:c>
      <x:c r="B15" s="42" t="str">
        <x:v>Hutchison Ports</x:v>
      </x:c>
      <x:c r="C15" s="42" t="str">
        <x:v>Company</x:v>
      </x:c>
      <x:c r="D15" s="42" t="str">
        <x:v>Hong Kong</x:v>
      </x:c>
      <x:c r="E15" s="42" t="str">
        <x:v>Hong Kong, China</x:v>
      </x:c>
      <x:c r="F15" s="42" t="str">
        <x:v>Part of CK Hutchison Holdings</x:v>
      </x:c>
      <x:c r="G15" s="42" t="str">
        <x:v>Ports; terminals; logistics</x:v>
      </x:c>
      <x:c r="H15" s="42"/>
      <x:c r="I15" s="42"/>
      <x:c r="J15" s="42" t="str">
        <x:v>53 ports in 24 countries as of 2025; UK: Felixstowe, Harwich, London Thamesport</x:v>
      </x:c>
      <x:c r="K15" s="42" t="str">
        <x:v>Active</x:v>
      </x:c>
      <x:c r="L15" s="42" t="str">
        <x:v>SRC_0008</x:v>
      </x:c>
      <x:c r="M15" s="42" t="str">
        <x:v>2026-09-07</x:v>
      </x:c>
    </x:row>
    <x:row r="16">
      <x:c r="A16" s="42" t="str">
        <x:v>COMP_BRISTOL</x:v>
      </x:c>
      <x:c r="B16" s="42" t="str">
        <x:v>The Bristol Port Company</x:v>
      </x:c>
      <x:c r="C16" s="42" t="str">
        <x:v>Company</x:v>
      </x:c>
      <x:c r="D16" s="42" t="str">
        <x:v>Bristol</x:v>
      </x:c>
      <x:c r="E16" s="42" t="str">
        <x:v>United Kingdom</x:v>
      </x:c>
      <x:c r="F16" s="42" t="str">
        <x:v>Private</x:v>
      </x:c>
      <x:c r="G16" s="42" t="str">
        <x:v>Port operations; containers; automotive; liquid bulk; dry bulk; project cargo</x:v>
      </x:c>
      <x:c r="H16" s="42"/>
      <x:c r="I16" s="42"/>
      <x:c r="J16" s="42" t="str">
        <x:v>Avonmouth + Royal Portbury; consented deep-sea container terminal adds 1.5m TEU</x:v>
      </x:c>
      <x:c r="K16" s="42" t="str">
        <x:v>Active</x:v>
      </x:c>
      <x:c r="L16" s="42" t="str">
        <x:v>SRC_0021</x:v>
      </x:c>
      <x:c r="M16" s="42" t="str">
        <x:v>2026-09-07</x:v>
      </x:c>
    </x:row>
    <x:row r="17">
      <x:c r="A17" s="42" t="str">
        <x:v>COMP_CMA_AIR</x:v>
      </x:c>
      <x:c r="B17" s="42" t="str">
        <x:v>CMA CGM AIR CARGO</x:v>
      </x:c>
      <x:c r="C17" s="42" t="str">
        <x:v>Business unit</x:v>
      </x:c>
      <x:c r="D17" s="42" t="str">
        <x:v>Paris</x:v>
      </x:c>
      <x:c r="E17" s="42" t="str">
        <x:v>France</x:v>
      </x:c>
      <x:c r="F17" s="42" t="str">
        <x:v>CMA CGM Group</x:v>
      </x:c>
      <x:c r="G17" s="42" t="str">
        <x:v>Air cargo</x:v>
      </x:c>
      <x:c r="H17" s="42" t="str">
        <x:v>Damien Mazaudier</x:v>
      </x:c>
      <x:c r="I17" s="42" t="str">
        <x:v>CEO</x:v>
      </x:c>
      <x:c r="J17" s="42" t="str">
        <x:v>Dedicated CMA CGM air-freight division; strategic hubs in France, Belgium and the United States.</x:v>
      </x:c>
      <x:c r="K17" s="42" t="str">
        <x:v>Active</x:v>
      </x:c>
      <x:c r="L17" s="42" t="str">
        <x:v>SRC_0046</x:v>
      </x:c>
      <x:c r="M17" s="42" t="str">
        <x:v>2026-09-07</x:v>
      </x:c>
    </x:row>
    <x:row r="18">
      <x:c r="A18" s="42" t="str">
        <x:v>COMP_MAERSK</x:v>
      </x:c>
      <x:c r="B18" s="42" t="str">
        <x:v>A.P. Moller - Maersk</x:v>
      </x:c>
      <x:c r="C18" s="42" t="str">
        <x:v>Company</x:v>
      </x:c>
      <x:c r="D18" s="42" t="str">
        <x:v>Copenhagen</x:v>
      </x:c>
      <x:c r="E18" s="42" t="str">
        <x:v>Denmark</x:v>
      </x:c>
      <x:c r="F18" s="42" t="str">
        <x:v>Publicly listed / foundation-influenced</x:v>
      </x:c>
      <x:c r="G18" s="42" t="str">
        <x:v>Container shipping; logistics; terminals; air cargo</x:v>
      </x:c>
      <x:c r="H18" s="42"/>
      <x:c r="I18" s="42"/>
      <x:c r="J18" s="42" t="str">
        <x:v>Integrated logistics group; Q1 2026 review reports 21 dual-fuel vessels operating and 33 vessels on order.</x:v>
      </x:c>
      <x:c r="K18" s="42" t="str">
        <x:v>Active</x:v>
      </x:c>
      <x:c r="L18" s="42" t="str">
        <x:v>SRC_0047</x:v>
      </x:c>
      <x:c r="M18" s="42" t="str">
        <x:v>2026-09-07</x:v>
      </x:c>
    </x:row>
    <x:row r="19">
      <x:c r="A19" s="42" t="str">
        <x:v>COMP_MAERSK_AIR</x:v>
      </x:c>
      <x:c r="B19" s="42" t="str">
        <x:v>Maersk Air Cargo</x:v>
      </x:c>
      <x:c r="C19" s="42" t="str">
        <x:v>Business unit</x:v>
      </x:c>
      <x:c r="D19" s="42"/>
      <x:c r="E19" s="42" t="str">
        <x:v>Denmark</x:v>
      </x:c>
      <x:c r="F19" s="42" t="str">
        <x:v>A.P. Moller - Maersk</x:v>
      </x:c>
      <x:c r="G19" s="42" t="str">
        <x:v>Air cargo</x:v>
      </x:c>
      <x:c r="H19" s="42"/>
      <x:c r="I19" s="42"/>
      <x:c r="J19" s="42" t="str">
        <x:v>In-house cargo airline within Maersk's integrated logistics network.</x:v>
      </x:c>
      <x:c r="K19" s="42" t="str">
        <x:v>Active</x:v>
      </x:c>
      <x:c r="L19" s="42" t="str">
        <x:v>SRC_0049</x:v>
      </x:c>
      <x:c r="M19" s="42" t="str">
        <x:v>2026-09-07</x:v>
      </x:c>
    </x:row>
    <x:row r="20">
      <x:c r="A20" s="42" t="str">
        <x:v>COMP_MSC</x:v>
      </x:c>
      <x:c r="B20" s="42" t="str">
        <x:v>MSC Mediterranean Shipping Company</x:v>
      </x:c>
      <x:c r="C20" s="42" t="str">
        <x:v>Company</x:v>
      </x:c>
      <x:c r="D20" s="42" t="str">
        <x:v>Geneva</x:v>
      </x:c>
      <x:c r="E20" s="42" t="str">
        <x:v>Switzerland</x:v>
      </x:c>
      <x:c r="F20" s="42" t="str">
        <x:v>Independent / family-owned</x:v>
      </x:c>
      <x:c r="G20" s="42" t="str">
        <x:v>Container shipping; logistics; air cargo; terminals</x:v>
      </x:c>
      <x:c r="H20" s="42" t="str">
        <x:v>Soren Toft</x:v>
      </x:c>
      <x:c r="I20" s="42" t="str">
        <x:v>CEO</x:v>
      </x:c>
      <x:c r="J20" s="42" t="str">
        <x:v>MSC reports about 1,000 cargo vessels, 300 routes, 520 ports of call, and 7 aircraft.</x:v>
      </x:c>
      <x:c r="K20" s="42" t="str">
        <x:v>Active</x:v>
      </x:c>
      <x:c r="L20" s="42" t="str">
        <x:v>SRC_0050</x:v>
      </x:c>
      <x:c r="M20" s="42" t="str">
        <x:v>2026-09-07</x:v>
      </x:c>
    </x:row>
    <x:row r="21">
      <x:c r="A21" s="42" t="str">
        <x:v>COMP_TIL</x:v>
      </x:c>
      <x:c r="B21" s="42" t="str">
        <x:v>Terminal Investment Limited</x:v>
      </x:c>
      <x:c r="C21" s="42" t="str">
        <x:v>Company</x:v>
      </x:c>
      <x:c r="D21" s="42" t="str">
        <x:v>Geneva</x:v>
      </x:c>
      <x:c r="E21" s="42" t="str">
        <x:v>Switzerland</x:v>
      </x:c>
      <x:c r="F21" s="42" t="str">
        <x:v>MSC majority-owned; co-investors</x:v>
      </x:c>
      <x:c r="G21" s="42" t="str">
        <x:v>Container terminal investment and operations</x:v>
      </x:c>
      <x:c r="H21" s="42"/>
      <x:c r="I21" s="42"/>
      <x:c r="J21" s="42" t="str">
        <x:v>MSC stated TiL had operations across 29 countries in 2019; terminal investor/operator.</x:v>
      </x:c>
      <x:c r="K21" s="42" t="str">
        <x:v>Active</x:v>
      </x:c>
      <x:c r="L21" s="42" t="str">
        <x:v>SRC_0052</x:v>
      </x:c>
      <x:c r="M21" s="42" t="str">
        <x:v>2026-09-07</x:v>
      </x:c>
    </x:row>
    <x:row r="22">
      <x:c r="A22" s="42" t="str">
        <x:v>COMP_MSC_CRUISES</x:v>
      </x:c>
      <x:c r="B22" s="42" t="str">
        <x:v>MSC Cruises</x:v>
      </x:c>
      <x:c r="C22" s="42" t="str">
        <x:v>Company</x:v>
      </x:c>
      <x:c r="D22" s="42" t="str">
        <x:v>Geneva</x:v>
      </x:c>
      <x:c r="E22" s="42" t="str">
        <x:v>Switzerland</x:v>
      </x:c>
      <x:c r="F22" s="42" t="str">
        <x:v>MSC Group</x:v>
      </x:c>
      <x:c r="G22" s="42" t="str">
        <x:v>Cruise shipping</x:v>
      </x:c>
      <x:c r="H22" s="42"/>
      <x:c r="I22" s="42"/>
      <x:c r="J22" s="42" t="str">
        <x:v>Cruise operating company within MSC Group.</x:v>
      </x:c>
      <x:c r="K22" s="42" t="str">
        <x:v>Active</x:v>
      </x:c>
      <x:c r="L22" s="42" t="str">
        <x:v>SRC_0064</x:v>
      </x:c>
      <x:c r="M22" s="42" t="str">
        <x:v>2026-09-07</x:v>
      </x:c>
    </x:row>
    <x:row r="23">
      <x:c r="A23" s="42" t="str">
        <x:v>COMP_COSCO_GROUP</x:v>
      </x:c>
      <x:c r="B23" s="42" t="str">
        <x:v>COSCO SHIPPING</x:v>
      </x:c>
      <x:c r="C23" s="42" t="str">
        <x:v>Company</x:v>
      </x:c>
      <x:c r="D23" s="42" t="str">
        <x:v>Shanghai</x:v>
      </x:c>
      <x:c r="E23" s="42" t="str">
        <x:v>China</x:v>
      </x:c>
      <x:c r="F23" s="42" t="str">
        <x:v>State-owned</x:v>
      </x:c>
      <x:c r="G23" s="42" t="str">
        <x:v>Shipping; ports; logistics; finance; equipment manufacturing; digital</x:v>
      </x:c>
      <x:c r="H23" s="42"/>
      <x:c r="I23" s="42"/>
      <x:c r="J23" s="42" t="str">
        <x:v>Group reported 1,660 vessels at end-2025 across container, dry bulk, tanker and specialized fleets.</x:v>
      </x:c>
      <x:c r="K23" s="42" t="str">
        <x:v>Active</x:v>
      </x:c>
      <x:c r="L23" s="42" t="str">
        <x:v>SRC_0054</x:v>
      </x:c>
      <x:c r="M23" s="42" t="str">
        <x:v>2026-09-07</x:v>
      </x:c>
    </x:row>
    <x:row r="24">
      <x:c r="A24" s="42" t="str">
        <x:v>COMP_COSCO_LINES</x:v>
      </x:c>
      <x:c r="B24" s="42" t="str">
        <x:v>COSCO SHIPPING Lines</x:v>
      </x:c>
      <x:c r="C24" s="42" t="str">
        <x:v>Company</x:v>
      </x:c>
      <x:c r="D24" s="42" t="str">
        <x:v>Shanghai</x:v>
      </x:c>
      <x:c r="E24" s="42" t="str">
        <x:v>China</x:v>
      </x:c>
      <x:c r="F24" s="42" t="str">
        <x:v>COSCO SHIPPING subsidiary</x:v>
      </x:c>
      <x:c r="G24" s="42" t="str">
        <x:v>Container shipping; logistics</x:v>
      </x:c>
      <x:c r="H24" s="42"/>
      <x:c r="I24" s="42"/>
      <x:c r="J24" s="42" t="str">
        <x:v>By end-May 2026: 456 container vessels / ~2.4m TEU; with OOCL 596 / ~3.6m TEU.</x:v>
      </x:c>
      <x:c r="K24" s="42" t="str">
        <x:v>Active</x:v>
      </x:c>
      <x:c r="L24" s="42" t="str">
        <x:v>SRC_0053</x:v>
      </x:c>
      <x:c r="M24" s="42" t="str">
        <x:v>2026-09-07</x:v>
      </x:c>
    </x:row>
    <x:row r="25">
      <x:c r="A25" s="42" t="str">
        <x:v>COMP_COSCO_PORTS</x:v>
      </x:c>
      <x:c r="B25" s="42" t="str">
        <x:v>COSCO SHIPPING Ports</x:v>
      </x:c>
      <x:c r="C25" s="42" t="str">
        <x:v>Company</x:v>
      </x:c>
      <x:c r="D25" s="42" t="str">
        <x:v>Hong Kong</x:v>
      </x:c>
      <x:c r="E25" s="42" t="str">
        <x:v>China</x:v>
      </x:c>
      <x:c r="F25" s="42" t="str">
        <x:v>COSCO SHIPPING subsidiary</x:v>
      </x:c>
      <x:c r="G25" s="42" t="str">
        <x:v>Port and terminal investment / operations</x:v>
      </x:c>
      <x:c r="H25" s="42"/>
      <x:c r="I25" s="42"/>
      <x:c r="J25" s="42" t="str">
        <x:v>Global terminal platform of COSCO SHIPPING.</x:v>
      </x:c>
      <x:c r="K25" s="42" t="str">
        <x:v>Active</x:v>
      </x:c>
      <x:c r="L25" s="42" t="str">
        <x:v>SRC_0055</x:v>
      </x:c>
      <x:c r="M25" s="42" t="str">
        <x:v>2026-09-07</x:v>
      </x:c>
    </x:row>
    <x:row r="26">
      <x:c r="A26" s="42" t="str">
        <x:v>COMP_EVERGREEN</x:v>
      </x:c>
      <x:c r="B26" s="42" t="str">
        <x:v>Evergreen Marine</x:v>
      </x:c>
      <x:c r="C26" s="42" t="str">
        <x:v>Company</x:v>
      </x:c>
      <x:c r="D26" s="42" t="str">
        <x:v>Taoyuan</x:v>
      </x:c>
      <x:c r="E26" s="42" t="str">
        <x:v>Taiwan</x:v>
      </x:c>
      <x:c r="F26" s="42" t="str">
        <x:v>Publicly listed</x:v>
      </x:c>
      <x:c r="G26" s="42" t="str">
        <x:v>Container shipping; terminal operations</x:v>
      </x:c>
      <x:c r="H26" s="42"/>
      <x:c r="I26" s="42"/>
      <x:c r="J26" s="42" t="str">
        <x:v>Evergreen Line serves 315+ locations globally; current full-fleet research queued.</x:v>
      </x:c>
      <x:c r="K26" s="42" t="str">
        <x:v>Active</x:v>
      </x:c>
      <x:c r="L26" s="42" t="str">
        <x:v>SRC_0056</x:v>
      </x:c>
      <x:c r="M26" s="42" t="str">
        <x:v>2026-09-07</x:v>
      </x:c>
    </x:row>
    <x:row r="27">
      <x:c r="A27" s="42" t="str">
        <x:v>COMP_NOATUM</x:v>
      </x:c>
      <x:c r="B27" s="42" t="str">
        <x:v>Noatum</x:v>
      </x:c>
      <x:c r="C27" s="42" t="str">
        <x:v>Company</x:v>
      </x:c>
      <x:c r="D27" s="42" t="str">
        <x:v>Madrid / Barcelona</x:v>
      </x:c>
      <x:c r="E27" s="42" t="str">
        <x:v>Spain</x:v>
      </x:c>
      <x:c r="F27" s="42" t="str">
        <x:v>AD Ports Group company</x:v>
      </x:c>
      <x:c r="G27" s="42" t="str">
        <x:v>Maritime; logistics; ports; automotive; cruise services</x:v>
      </x:c>
      <x:c r="H27" s="42"/>
      <x:c r="I27" s="42"/>
      <x:c r="J27" s="42" t="str">
        <x:v>Noatum states it is fully integrated into AD Ports Group's businesses.</x:v>
      </x:c>
      <x:c r="K27" s="42" t="str">
        <x:v>Active</x:v>
      </x:c>
      <x:c r="L27" s="42" t="str">
        <x:v>SRC_0059</x:v>
      </x:c>
      <x:c r="M27" s="42" t="str">
        <x:v>2026-09-07</x:v>
      </x:c>
    </x:row>
    <x:row r="28">
      <x:c r="A28" s="42" t="str">
        <x:v>COMP_NOATUM_MARITIME</x:v>
      </x:c>
      <x:c r="B28" s="42" t="str">
        <x:v>Noatum Maritime</x:v>
      </x:c>
      <x:c r="C28" s="42" t="str">
        <x:v>Business unit</x:v>
      </x:c>
      <x:c r="D28" s="42"/>
      <x:c r="E28" s="42" t="str">
        <x:v>Spain</x:v>
      </x:c>
      <x:c r="F28" s="42" t="str">
        <x:v>Noatum / AD Ports Group</x:v>
      </x:c>
      <x:c r="G28" s="42" t="str">
        <x:v>Maritime agency; liner; chartering; cruise services</x:v>
      </x:c>
      <x:c r="H28" s="42"/>
      <x:c r="I28" s="42"/>
      <x:c r="J28" s="42" t="str">
        <x:v>Noatum maritime business unit.</x:v>
      </x:c>
      <x:c r="K28" s="42" t="str">
        <x:v>Active</x:v>
      </x:c>
      <x:c r="L28" s="42" t="str">
        <x:v>SRC_0065</x:v>
      </x:c>
      <x:c r="M28" s="42" t="str">
        <x:v>2026-09-07</x:v>
      </x:c>
    </x:row>
    <x:row r="29">
      <x:c r="A29" s="42" t="str">
        <x:v>COMP_NOATUM_LOGISTICS</x:v>
      </x:c>
      <x:c r="B29" s="42" t="str">
        <x:v>Noatum Logistics</x:v>
      </x:c>
      <x:c r="C29" s="42" t="str">
        <x:v>Business unit</x:v>
      </x:c>
      <x:c r="D29" s="42"/>
      <x:c r="E29" s="42" t="str">
        <x:v>Spain</x:v>
      </x:c>
      <x:c r="F29" s="42" t="str">
        <x:v>Noatum / AD Ports Group</x:v>
      </x:c>
      <x:c r="G29" s="42" t="str">
        <x:v>International freight; project cargo; logistics; customs</x:v>
      </x:c>
      <x:c r="H29" s="42"/>
      <x:c r="I29" s="42"/>
      <x:c r="J29" s="42" t="str">
        <x:v>Noatum logistics business unit.</x:v>
      </x:c>
      <x:c r="K29" s="42" t="str">
        <x:v>Active</x:v>
      </x:c>
      <x:c r="L29" s="42" t="str">
        <x:v>SRC_0065</x:v>
      </x:c>
      <x:c r="M29" s="42" t="str">
        <x:v>2026-09-07</x:v>
      </x:c>
    </x:row>
    <x:row r="30">
      <x:c r="A30" s="42" t="str">
        <x:v>COMP_GFS</x:v>
      </x:c>
      <x:c r="B30" s="42" t="str">
        <x:v>Global Feeder Shipping</x:v>
      </x:c>
      <x:c r="C30" s="42" t="str">
        <x:v>Company</x:v>
      </x:c>
      <x:c r="D30" s="42" t="str">
        <x:v>Dubai</x:v>
      </x:c>
      <x:c r="E30" s="42" t="str">
        <x:v>United Arab Emirates</x:v>
      </x:c>
      <x:c r="F30" s="42" t="str">
        <x:v>81% owned by AD Ports Group as of Jun 2026</x:v>
      </x:c>
      <x:c r="G30" s="42" t="str">
        <x:v>Container feeder shipping</x:v>
      </x:c>
      <x:c r="H30" s="42"/>
      <x:c r="I30" s="42"/>
      <x:c r="J30" s="42" t="str">
        <x:v>AD Ports Group describes GFS as the world's fourth-largest feeder line by capacity.</x:v>
      </x:c>
      <x:c r="K30" s="42" t="str">
        <x:v>Active</x:v>
      </x:c>
      <x:c r="L30" s="42" t="str">
        <x:v>SRC_0058</x:v>
      </x:c>
      <x:c r="M30" s="42" t="str">
        <x:v>2026-09-07</x:v>
      </x:c>
    </x:row>
    <x:row r="31">
      <x:c r="A31" s="42" t="str">
        <x:v>COMP_UGR</x:v>
      </x:c>
      <x:c r="B31" s="42" t="str">
        <x:v>United Global Ro-Ro</x:v>
      </x:c>
      <x:c r="C31" s="42" t="str">
        <x:v>Company</x:v>
      </x:c>
      <x:c r="D31" s="42"/>
      <x:c r="E31" s="42" t="str">
        <x:v>United Arab Emirates</x:v>
      </x:c>
      <x:c r="F31" s="42" t="str">
        <x:v>JV involving Noatum Maritime and Erkport</x:v>
      </x:c>
      <x:c r="G31" s="42" t="str">
        <x:v>Ro-Ro / PCTC shipping</x:v>
      </x:c>
      <x:c r="H31" s="42"/>
      <x:c r="I31" s="42"/>
      <x:c r="J31" s="42" t="str">
        <x:v>UGR publishes a named Ro-Ro fleet including 2025-built UGR Al Samha and UGR Zakher.</x:v>
      </x:c>
      <x:c r="K31" s="42" t="str">
        <x:v>Active</x:v>
      </x:c>
      <x:c r="L31" s="42" t="str">
        <x:v>SRC_0060</x:v>
      </x:c>
      <x:c r="M31" s="42" t="str">
        <x:v>2026-09-07</x:v>
      </x:c>
    </x:row>
    <x:row r="32">
      <x:c r="A32" s="102" t="str">
        <x:v>COMP_ADNOC</x:v>
      </x:c>
      <x:c r="B32" s="102" t="str">
        <x:v>ADNOC</x:v>
      </x:c>
      <x:c r="C32" s="102" t="str">
        <x:v>Company</x:v>
      </x:c>
      <x:c r="D32" s="102" t="str">
        <x:v>Abu Dhabi</x:v>
      </x:c>
      <x:c r="E32" s="102" t="str">
        <x:v>United Arab Emirates</x:v>
      </x:c>
      <x:c r="F32" s="102" t="str">
        <x:v>Abu Dhabi state-owned energy group</x:v>
      </x:c>
      <x:c r="G32" s="102" t="str">
        <x:v>Energy; upstream; downstream; trading; gas; logistics</x:v>
      </x:c>
      <x:c r="H32" s="102" t="str">
        <x:v>H.E. Dr. Sultan Ahmed Al Jaber</x:v>
      </x:c>
      <x:c r="I32" s="102" t="str">
        <x:v>Managing Director &amp; Group CEO</x:v>
      </x:c>
      <x:c r="J32" s="102" t="str">
        <x:v>Parent energy group for ADNOC L&amp;S and other ADNOC operating companies.</x:v>
      </x:c>
      <x:c r="K32" s="102" t="str">
        <x:v>Active</x:v>
      </x:c>
      <x:c r="L32" s="102" t="str">
        <x:v>SRC_0067</x:v>
      </x:c>
      <x:c r="M32" s="102" t="str">
        <x:v>2026-09-07</x:v>
      </x:c>
    </x:row>
    <x:row r="33">
      <x:c r="A33" s="102" t="str">
        <x:v>COMP_ADNOC_LS</x:v>
      </x:c>
      <x:c r="B33" s="102" t="str">
        <x:v>ADNOC Logistics &amp; Services</x:v>
      </x:c>
      <x:c r="C33" s="102" t="str">
        <x:v>Company</x:v>
      </x:c>
      <x:c r="D33" s="102" t="str">
        <x:v>Abu Dhabi</x:v>
      </x:c>
      <x:c r="E33" s="102" t="str">
        <x:v>United Arab Emirates</x:v>
      </x:c>
      <x:c r="F33" s="102" t="str">
        <x:v>ADNOC Group / publicly listed subsidiary</x:v>
      </x:c>
      <x:c r="G33" s="102" t="str">
        <x:v>Integrated logistics; energy shipping; marine services</x:v>
      </x:c>
      <x:c r="H33" s="102" t="str">
        <x:v>Captain Abdulkareem Al Masabi</x:v>
      </x:c>
      <x:c r="I33" s="102" t="str">
        <x:v>Chief Executive Officer</x:v>
      </x:c>
      <x:c r="J33" s="102" t="str">
        <x:v>Fleet sheet states 900+ owned, chartered and operated vessels; shipping-fleet layer listed separately.</x:v>
      </x:c>
      <x:c r="K33" s="102" t="str">
        <x:v>Active</x:v>
      </x:c>
      <x:c r="L33" s="102" t="str">
        <x:v>SRC_0066</x:v>
      </x:c>
      <x:c r="M33" s="102" t="str">
        <x:v>2026-09-07</x:v>
      </x:c>
    </x:row>
    <x:row r="34">
      <x:c r="A34" s="102" t="str">
        <x:v>COMP_NAVIG8</x:v>
      </x:c>
      <x:c r="B34" s="102" t="str">
        <x:v>Navig8</x:v>
      </x:c>
      <x:c r="C34" s="102" t="str">
        <x:v>Company</x:v>
      </x:c>
      <x:c r="D34" s="102"/>
      <x:c r="E34" s="102"/>
      <x:c r="F34" s="102" t="str">
        <x:v>80% owned by ADNOC L&amp;S</x:v>
      </x:c>
      <x:c r="G34" s="102" t="str">
        <x:v>Ship ownership; commercial pools; bunkering; ship management</x:v>
      </x:c>
      <x:c r="H34" s="102"/>
      <x:c r="I34" s="102"/>
      <x:c r="J34" s="102" t="str">
        <x:v>ADNOC L&amp;S identifies Navig8 as a key subsidiary and global ship owner / commercial pools operator.</x:v>
      </x:c>
      <x:c r="K34" s="102" t="str">
        <x:v>Active</x:v>
      </x:c>
      <x:c r="L34" s="102" t="str">
        <x:v>SRC_0069</x:v>
      </x:c>
      <x:c r="M34" s="102" t="str">
        <x:v>2026-09-07</x:v>
      </x:c>
    </x:row>
    <x:row r="35">
      <x:c r="A35" s="102" t="str">
        <x:v>COMP_ZMI</x:v>
      </x:c>
      <x:c r="B35" s="102" t="str">
        <x:v>Zakher Marine International Holdings</x:v>
      </x:c>
      <x:c r="C35" s="102" t="str">
        <x:v>Company</x:v>
      </x:c>
      <x:c r="D35" s="102" t="str">
        <x:v>Abu Dhabi</x:v>
      </x:c>
      <x:c r="E35" s="102" t="str">
        <x:v>United Arab Emirates</x:v>
      </x:c>
      <x:c r="F35" s="102" t="str">
        <x:v>100% owned by ADNOC L&amp;S</x:v>
      </x:c>
      <x:c r="G35" s="102" t="str">
        <x:v>Offshore support vessels; marine logistics</x:v>
      </x:c>
      <x:c r="H35" s="102"/>
      <x:c r="I35" s="102"/>
      <x:c r="J35" s="102" t="str">
        <x:v>ADNOC L&amp;S identifies ZMI as a key wholly owned offshore-support-vessel subsidiary.</x:v>
      </x:c>
      <x:c r="K35" s="102" t="str">
        <x:v>Active</x:v>
      </x:c>
      <x:c r="L35" s="102" t="str">
        <x:v>SRC_0069</x:v>
      </x:c>
      <x:c r="M35" s="102" t="str">
        <x:v>2026-09-07</x:v>
      </x:c>
    </x:row>
    <x:row r="36">
      <x:c r="A36" s="102" t="str">
        <x:v>COMP_AW_SHIPPING</x:v>
      </x:c>
      <x:c r="B36" s="102" t="str">
        <x:v>AW Shipping</x:v>
      </x:c>
      <x:c r="C36" s="102" t="str">
        <x:v>Joint venture</x:v>
      </x:c>
      <x:c r="D36" s="102"/>
      <x:c r="E36" s="102" t="str">
        <x:v>United Arab Emirates / China</x:v>
      </x:c>
      <x:c r="F36" s="102" t="str">
        <x:v>Joint venture between ADNOC L&amp;S and Wanhua Chemical</x:v>
      </x:c>
      <x:c r="G36" s="102" t="str">
        <x:v>VLGC; VLEC; VLAC shipping</x:v>
      </x:c>
      <x:c r="H36" s="102" t="str">
        <x:v>Captain Abdulkareem Al Masabi</x:v>
      </x:c>
      <x:c r="I36" s="102" t="str">
        <x:v>Chairman</x:v>
      </x:c>
      <x:c r="J36" s="102" t="str">
        <x:v>Energy / petrochemical shipping JV serving ADNOC and Wanhua-linked flows.</x:v>
      </x:c>
      <x:c r="K36" s="102" t="str">
        <x:v>Active</x:v>
      </x:c>
      <x:c r="L36" s="102" t="str">
        <x:v>SRC_0071</x:v>
      </x:c>
      <x:c r="M36" s="102" t="str">
        <x:v>2026-09-07</x:v>
      </x:c>
    </x:row>
    <x:row r="37">
      <x:c r="A37" s="102" t="str">
        <x:v>COMP_WANHUA</x:v>
      </x:c>
      <x:c r="B37" s="102" t="str">
        <x:v>Wanhua Chemical Group</x:v>
      </x:c>
      <x:c r="C37" s="102" t="str">
        <x:v>Company</x:v>
      </x:c>
      <x:c r="D37" s="102"/>
      <x:c r="E37" s="102" t="str">
        <x:v>China</x:v>
      </x:c>
      <x:c r="F37" s="102" t="str">
        <x:v>Public company</x:v>
      </x:c>
      <x:c r="G37" s="102" t="str">
        <x:v>Chemicals; petrochemicals; international trading</x:v>
      </x:c>
      <x:c r="H37" s="102"/>
      <x:c r="I37" s="102"/>
      <x:c r="J37" s="102" t="str">
        <x:v>JV partner in AW Shipping and major cargo principal for LPG/ethane flows.</x:v>
      </x:c>
      <x:c r="K37" s="102" t="str">
        <x:v>Active</x:v>
      </x:c>
      <x:c r="L37" s="102" t="str">
        <x:v>SRC_0071</x:v>
      </x:c>
      <x:c r="M37" s="102" t="str">
        <x:v>2026-09-07</x:v>
      </x:c>
    </x:row>
    <x:row r="38">
      <x:c r="A38" s="102" t="str">
        <x:v>COMP_ADNOC_GAS</x:v>
      </x:c>
      <x:c r="B38" s="102" t="str">
        <x:v>ADNOC Gas</x:v>
      </x:c>
      <x:c r="C38" s="102" t="str">
        <x:v>Company</x:v>
      </x:c>
      <x:c r="D38" s="102" t="str">
        <x:v>Abu Dhabi</x:v>
      </x:c>
      <x:c r="E38" s="102" t="str">
        <x:v>United Arab Emirates</x:v>
      </x:c>
      <x:c r="F38" s="102" t="str">
        <x:v>ADNOC Group</x:v>
      </x:c>
      <x:c r="G38" s="102" t="str">
        <x:v>Gas processing; LNG; gas marketing</x:v>
      </x:c>
      <x:c r="H38" s="102"/>
      <x:c r="I38" s="102"/>
      <x:c r="J38" s="102" t="str">
        <x:v>Long-term charter counterparty for part of ADNOC L&amp;S LNG fleet.</x:v>
      </x:c>
      <x:c r="K38" s="102" t="str">
        <x:v>Active</x:v>
      </x:c>
      <x:c r="L38" s="102" t="str">
        <x:v>SRC_0068</x:v>
      </x:c>
      <x:c r="M38" s="102" t="str">
        <x:v>2026-09-07</x:v>
      </x:c>
    </x:row>
    <x:row r="39">
      <x:c r="A39" s="102" t="str">
        <x:v>COMP_BAHRI</x:v>
      </x:c>
      <x:c r="B39" s="102" t="str">
        <x:v>Bahri</x:v>
      </x:c>
      <x:c r="C39" s="102" t="str">
        <x:v>Company</x:v>
      </x:c>
      <x:c r="D39" s="102" t="str">
        <x:v>Riyadh</x:v>
      </x:c>
      <x:c r="E39" s="102" t="str">
        <x:v>Saudi Arabia</x:v>
      </x:c>
      <x:c r="F39" s="102" t="str">
        <x:v>Publicly listed; strategic Saudi maritime company</x:v>
      </x:c>
      <x:c r="G39" s="102" t="str">
        <x:v>Crude oil; chemicals; dry bulk; RoCon; logistics; marine services</x:v>
      </x:c>
      <x:c r="H39" s="102" t="str">
        <x:v>Eng. Ahmed Ali Alsubaey</x:v>
      </x:c>
      <x:c r="I39" s="102" t="str">
        <x:v>CEO &amp; Board Member</x:v>
      </x:c>
      <x:c r="J39" s="102" t="str">
        <x:v>Q2 2026: 107 owned vessels, 109 operated vessels, plus three floating desalination barges.</x:v>
      </x:c>
      <x:c r="K39" s="102" t="str">
        <x:v>Active</x:v>
      </x:c>
      <x:c r="L39" s="102" t="str">
        <x:v>SRC_0074</x:v>
      </x:c>
      <x:c r="M39" s="102" t="str">
        <x:v>2026-09-07</x:v>
      </x:c>
    </x:row>
    <x:row r="40">
      <x:c r="A40" s="102" t="str">
        <x:v>COMP_NAKILAT</x:v>
      </x:c>
      <x:c r="B40" s="102" t="str">
        <x:v>Nakilat</x:v>
      </x:c>
      <x:c r="C40" s="102" t="str">
        <x:v>Company</x:v>
      </x:c>
      <x:c r="D40" s="102" t="str">
        <x:v>Doha</x:v>
      </x:c>
      <x:c r="E40" s="102" t="str">
        <x:v>Qatar</x:v>
      </x:c>
      <x:c r="F40" s="102" t="str">
        <x:v>Publicly listed</x:v>
      </x:c>
      <x:c r="G40" s="102" t="str">
        <x:v>LNG shipping; LPG/ammonia shipping; shipyard; towage; maritime services</x:v>
      </x:c>
      <x:c r="H40" s="102" t="str">
        <x:v>Eng. Abdullah Al-Sulaiti</x:v>
      </x:c>
      <x:c r="I40" s="102" t="str">
        <x:v>Chief Executive Officer</x:v>
      </x:c>
      <x:c r="J40" s="102" t="str">
        <x:v>H1 2026: 40-vessel newbuild orderbook across South Korea and China.</x:v>
      </x:c>
      <x:c r="K40" s="102" t="str">
        <x:v>Active</x:v>
      </x:c>
      <x:c r="L40" s="102" t="str">
        <x:v>SRC_0079</x:v>
      </x:c>
      <x:c r="M40" s="102" t="str">
        <x:v>2026-09-07</x:v>
      </x:c>
    </x:row>
    <x:row r="41">
      <x:c r="A41" s="102" t="str">
        <x:v>COMP_MILAHA</x:v>
      </x:c>
      <x:c r="B41" s="102" t="str">
        <x:v>Milaha / Qatar Navigation Q.P.S.C.</x:v>
      </x:c>
      <x:c r="C41" s="102" t="str">
        <x:v>Company</x:v>
      </x:c>
      <x:c r="D41" s="102" t="str">
        <x:v>Doha</x:v>
      </x:c>
      <x:c r="E41" s="102" t="str">
        <x:v>Qatar</x:v>
      </x:c>
      <x:c r="F41" s="102" t="str">
        <x:v>Publicly listed</x:v>
      </x:c>
      <x:c r="G41" s="102" t="str">
        <x:v>Maritime &amp; logistics; marine technical; offshore; gas &amp; petrochem; capital</x:v>
      </x:c>
      <x:c r="H41" s="102" t="str">
        <x:v>Fahad Saad Al-Qahtani</x:v>
      </x:c>
      <x:c r="I41" s="102" t="str">
        <x:v>Group Chief Executive Officer</x:v>
      </x:c>
      <x:c r="J41" s="102" t="str">
        <x:v>Maritime/logistics group; also the largest shareholder in Nakilat according to its 2025 annual-report structure.</x:v>
      </x:c>
      <x:c r="K41" s="102" t="str">
        <x:v>Active</x:v>
      </x:c>
      <x:c r="L41" s="102" t="str">
        <x:v>SRC_0082</x:v>
      </x:c>
      <x:c r="M41" s="102" t="str">
        <x:v>2026-09-07</x:v>
      </x:c>
    </x:row>
    <x:row r="42">
      <x:c r="A42" s="102" t="str">
        <x:v>COMP_QATARENERGY</x:v>
      </x:c>
      <x:c r="B42" s="102" t="str">
        <x:v>QatarEnergy</x:v>
      </x:c>
      <x:c r="C42" s="102" t="str">
        <x:v>Company</x:v>
      </x:c>
      <x:c r="D42" s="102" t="str">
        <x:v>Doha</x:v>
      </x:c>
      <x:c r="E42" s="102" t="str">
        <x:v>Qatar</x:v>
      </x:c>
      <x:c r="F42" s="102" t="str">
        <x:v>State-owned</x:v>
      </x:c>
      <x:c r="G42" s="102" t="str">
        <x:v>Energy; LNG; marketing; trading; fleet chartering</x:v>
      </x:c>
      <x:c r="H42" s="102" t="str">
        <x:v>Saad Sherida Al-Kaabi</x:v>
      </x:c>
      <x:c r="I42" s="102" t="str">
        <x:v>President &amp; CEO</x:v>
      </x:c>
      <x:c r="J42" s="102" t="str">
        <x:v>Existing 69-vessel LNG transport fleet plus a 128-vessel fleet expansion program sponsored through shipowner charter structures.</x:v>
      </x:c>
      <x:c r="K42" s="102" t="str">
        <x:v>Active</x:v>
      </x:c>
      <x:c r="L42" s="102" t="str">
        <x:v>SRC_0086</x:v>
      </x:c>
      <x:c r="M42" s="102" t="str">
        <x:v>2026-09-07</x:v>
      </x:c>
    </x:row>
    <x:row r="43">
      <x:c r="A43" s="102" t="str">
        <x:v>COMP_BYD</x:v>
      </x:c>
      <x:c r="B43" s="102" t="str">
        <x:v>BYD Company / BYD Auto</x:v>
      </x:c>
      <x:c r="C43" s="102" t="str">
        <x:v>Company</x:v>
      </x:c>
      <x:c r="D43" s="102" t="str">
        <x:v>Shenzhen</x:v>
      </x:c>
      <x:c r="E43" s="102" t="str">
        <x:v>China</x:v>
      </x:c>
      <x:c r="F43" s="102" t="str">
        <x:v>Publicly listed</x:v>
      </x:c>
      <x:c r="G43" s="102" t="str">
        <x:v>Automotive; batteries; electronics; vehicle-export logistics</x:v>
      </x:c>
      <x:c r="H43" s="102" t="str">
        <x:v>Wang Chuanfu</x:v>
      </x:c>
      <x:c r="I43" s="102" t="str">
        <x:v>Chairman</x:v>
      </x:c>
      <x:c r="J43" s="102" t="str">
        <x:v>Dedicated eight-vessel car-carrier network by August 2026; ownership includes both BYD-owned and chartered ships.</x:v>
      </x:c>
      <x:c r="K43" s="102" t="str">
        <x:v>Active</x:v>
      </x:c>
      <x:c r="L43" s="102" t="str">
        <x:v>SRC_0090</x:v>
      </x:c>
      <x:c r="M43" s="102" t="str">
        <x:v>2026-09-07</x:v>
      </x:c>
    </x:row>
    <x:row r="44">
      <x:c r="A44" s="102" t="str">
        <x:v>COMP_ZODIAC</x:v>
      </x:c>
      <x:c r="B44" s="102" t="str">
        <x:v>Zodiac Maritime</x:v>
      </x:c>
      <x:c r="C44" s="102" t="str">
        <x:v>Company</x:v>
      </x:c>
      <x:c r="D44" s="102" t="str">
        <x:v>London</x:v>
      </x:c>
      <x:c r="E44" s="102" t="str">
        <x:v>United Kingdom</x:v>
      </x:c>
      <x:c r="F44" s="102" t="str">
        <x:v>Private</x:v>
      </x:c>
      <x:c r="G44" s="102" t="str">
        <x:v>Ship ownership; management; chartering</x:v>
      </x:c>
      <x:c r="H44" s="102"/>
      <x:c r="I44" s="102"/>
      <x:c r="J44" s="102" t="str">
        <x:v>Owner of BYD Explorer No.1 and BYD Changzhou in the first-pass vehicle-carrier relationship model.</x:v>
      </x:c>
      <x:c r="K44" s="102" t="str">
        <x:v>Active</x:v>
      </x:c>
      <x:c r="L44" s="102" t="str">
        <x:v>SRC_0091</x:v>
      </x:c>
      <x:c r="M44" s="102" t="str">
        <x:v>2026-09-07</x:v>
      </x:c>
    </x:row>
    <x:row r="45">
      <x:c r="A45" s="102" t="str">
        <x:v>COMP_ZIM</x:v>
      </x:c>
      <x:c r="B45" s="102" t="str">
        <x:v>ZIM Integrated Shipping Services</x:v>
      </x:c>
      <x:c r="C45" s="102" t="str">
        <x:v>Company</x:v>
      </x:c>
      <x:c r="D45" s="102" t="str">
        <x:v>Haifa</x:v>
      </x:c>
      <x:c r="E45" s="102" t="str">
        <x:v>Israel</x:v>
      </x:c>
      <x:c r="F45" s="102" t="str">
        <x:v>Publicly listed</x:v>
      </x:c>
      <x:c r="G45" s="102" t="str">
        <x:v>Container shipping; vehicle-carrier chartering; logistics</x:v>
      </x:c>
      <x:c r="H45" s="102" t="str">
        <x:v>Eli Glickman</x:v>
      </x:c>
      <x:c r="I45" s="102" t="str">
        <x:v>President &amp; CEO (departing / notice period)</x:v>
      </x:c>
      <x:c r="J45" s="102" t="str">
        <x:v>Q2 2026: 115 containerships / 707k TEU plus 13 car carriers; 40 future charter agreements.</x:v>
      </x:c>
      <x:c r="K45" s="102" t="str">
        <x:v>Active</x:v>
      </x:c>
      <x:c r="L45" s="102" t="str">
        <x:v>SRC_0096</x:v>
      </x:c>
      <x:c r="M45" s="102" t="str">
        <x:v>2026-09-07</x:v>
      </x:c>
    </x:row>
    <x:row r="46">
      <x:c r="A46" s="102" t="str">
        <x:v>COMP_SINOKOR</x:v>
      </x:c>
      <x:c r="B46" s="102" t="str">
        <x:v>SINOKOR Merchant Marine</x:v>
      </x:c>
      <x:c r="C46" s="102" t="str">
        <x:v>Company</x:v>
      </x:c>
      <x:c r="D46" s="102" t="str">
        <x:v>Seoul</x:v>
      </x:c>
      <x:c r="E46" s="102" t="str">
        <x:v>South Korea</x:v>
      </x:c>
      <x:c r="F46" s="102" t="str">
        <x:v>Private</x:v>
      </x:c>
      <x:c r="G46" s="102" t="str">
        <x:v>Container shipping; bulk; terminals; land logistics; warehousing; forwarding</x:v>
      </x:c>
      <x:c r="H46" s="102" t="str">
        <x:v>Tae-Soon Chung / Chang-Won Kum</x:v>
      </x:c>
      <x:c r="I46" s="102" t="str">
        <x:v>Representative Directors</x:v>
      </x:c>
      <x:c r="J46" s="102" t="str">
        <x:v>English site reports 66 operating vessels, 69 liner routes and 97 offices.</x:v>
      </x:c>
      <x:c r="K46" s="102" t="str">
        <x:v>Active</x:v>
      </x:c>
      <x:c r="L46" s="102" t="str">
        <x:v>SRC_0099</x:v>
      </x:c>
      <x:c r="M46" s="102" t="str">
        <x:v>2026-09-07</x:v>
      </x:c>
    </x:row>
    <x:row r="47">
      <x:c r="A47" s="102" t="str">
        <x:v>COMP_BP</x:v>
      </x:c>
      <x:c r="B47" s="102" t="str">
        <x:v>bp p.l.c.</x:v>
      </x:c>
      <x:c r="C47" s="102" t="str">
        <x:v>Company</x:v>
      </x:c>
      <x:c r="D47" s="102" t="str">
        <x:v>London</x:v>
      </x:c>
      <x:c r="E47" s="102" t="str">
        <x:v>United Kingdom</x:v>
      </x:c>
      <x:c r="F47" s="102" t="str">
        <x:v>Publicly listed</x:v>
      </x:c>
      <x:c r="G47" s="102" t="str">
        <x:v>Energy; trading; shipping; LNG</x:v>
      </x:c>
      <x:c r="H47" s="102" t="str">
        <x:v>Murray Auchincloss</x:v>
      </x:c>
      <x:c r="I47" s="102" t="str">
        <x:v>Chief Executive Officer</x:v>
      </x:c>
      <x:c r="J47" s="102" t="str">
        <x:v>Integrated energy company with trading and shipping activities.</x:v>
      </x:c>
      <x:c r="K47" s="102" t="str">
        <x:v>Active</x:v>
      </x:c>
      <x:c r="L47" s="102" t="str">
        <x:v>SRC_0104</x:v>
      </x:c>
      <x:c r="M47" s="102" t="str">
        <x:v>2026-09-07</x:v>
      </x:c>
    </x:row>
    <x:row r="48">
      <x:c r="A48" s="102" t="str">
        <x:v>COMP_BP_SHIPPING</x:v>
      </x:c>
      <x:c r="B48" s="102" t="str">
        <x:v>bp Shipping Limited</x:v>
      </x:c>
      <x:c r="C48" s="102" t="str">
        <x:v>Company</x:v>
      </x:c>
      <x:c r="D48" s="102" t="str">
        <x:v>London</x:v>
      </x:c>
      <x:c r="E48" s="102" t="str">
        <x:v>United Kingdom</x:v>
      </x:c>
      <x:c r="F48" s="102" t="str">
        <x:v>bp group company</x:v>
      </x:c>
      <x:c r="G48" s="102" t="str">
        <x:v>Oil shipping; LNG shipping; marine assurance; supply vessels</x:v>
      </x:c>
      <x:c r="H48" s="102"/>
      <x:c r="I48" s="102"/>
      <x:c r="J48" s="102" t="str">
        <x:v>2024 filing baseline references 48 international oil, LNG and supply vessels; current 2026 fleet needs refresh.</x:v>
      </x:c>
      <x:c r="K48" s="102" t="str">
        <x:v>Active</x:v>
      </x:c>
      <x:c r="L48" s="102" t="str">
        <x:v>SRC_0103</x:v>
      </x:c>
      <x:c r="M48" s="102" t="str">
        <x:v>2026-09-07</x:v>
      </x:c>
    </x:row>
    <x:row r="49">
      <x:c r="A49" s="102" t="str">
        <x:v>COMP_CHEVRON</x:v>
      </x:c>
      <x:c r="B49" s="102" t="str">
        <x:v>Chevron Corporation</x:v>
      </x:c>
      <x:c r="C49" s="102" t="str">
        <x:v>Company</x:v>
      </x:c>
      <x:c r="D49" s="102" t="str">
        <x:v>Houston</x:v>
      </x:c>
      <x:c r="E49" s="102" t="str">
        <x:v>United States</x:v>
      </x:c>
      <x:c r="F49" s="102" t="str">
        <x:v>Publicly listed</x:v>
      </x:c>
      <x:c r="G49" s="102" t="str">
        <x:v>Energy; LNG; crude; refined products; shipping</x:v>
      </x:c>
      <x:c r="H49" s="102" t="str">
        <x:v>Mike Wirth</x:v>
      </x:c>
      <x:c r="I49" s="102" t="str">
        <x:v>Chairman &amp; CEO</x:v>
      </x:c>
      <x:c r="J49" s="102" t="str">
        <x:v>Chevron Shipping transports crude, LNG and refined products through owned and bareboat-chartered fleet capacity.</x:v>
      </x:c>
      <x:c r="K49" s="102" t="str">
        <x:v>Active</x:v>
      </x:c>
      <x:c r="L49" s="102" t="str">
        <x:v>SRC_0105</x:v>
      </x:c>
      <x:c r="M49" s="102" t="str">
        <x:v>2026-09-07</x:v>
      </x:c>
    </x:row>
    <x:row r="50">
      <x:c r="A50" s="102" t="str">
        <x:v>COMP_CHEVRON_SHIPPING</x:v>
      </x:c>
      <x:c r="B50" s="102" t="str">
        <x:v>Chevron Shipping Company</x:v>
      </x:c>
      <x:c r="C50" s="102" t="str">
        <x:v>Business unit</x:v>
      </x:c>
      <x:c r="D50" s="102" t="str">
        <x:v>San Ramon / Houston</x:v>
      </x:c>
      <x:c r="E50" s="102" t="str">
        <x:v>United States</x:v>
      </x:c>
      <x:c r="F50" s="102" t="str">
        <x:v>Chevron Corporation</x:v>
      </x:c>
      <x:c r="G50" s="102" t="str">
        <x:v>Marine transportation; LNG; crude oil; refined products</x:v>
      </x:c>
      <x:c r="H50" s="102"/>
      <x:c r="I50" s="102"/>
      <x:c r="J50" s="102" t="str">
        <x:v>Shipping arm with owned and bareboat-chartered vessel capacity.</x:v>
      </x:c>
      <x:c r="K50" s="102" t="str">
        <x:v>Active</x:v>
      </x:c>
      <x:c r="L50" s="102" t="str">
        <x:v>SRC_0105</x:v>
      </x:c>
      <x:c r="M50" s="102" t="str">
        <x:v>2026-09-07</x:v>
      </x:c>
    </x:row>
    <x:row r="51">
      <x:c r="A51" s="102" t="str">
        <x:v>COMP_EXXON</x:v>
      </x:c>
      <x:c r="B51" s="102" t="str">
        <x:v>Exxon Mobil Corporation</x:v>
      </x:c>
      <x:c r="C51" s="102" t="str">
        <x:v>Company</x:v>
      </x:c>
      <x:c r="D51" s="102" t="str">
        <x:v>Spring, Texas</x:v>
      </x:c>
      <x:c r="E51" s="102" t="str">
        <x:v>United States</x:v>
      </x:c>
      <x:c r="F51" s="102" t="str">
        <x:v>Publicly listed</x:v>
      </x:c>
      <x:c r="G51" s="102" t="str">
        <x:v>Energy; trading; marine transportation; refined products</x:v>
      </x:c>
      <x:c r="H51" s="102" t="str">
        <x:v>Darren Woods</x:v>
      </x:c>
      <x:c r="I51" s="102" t="str">
        <x:v>Chairman &amp; CEO</x:v>
      </x:c>
      <x:c r="J51" s="102" t="str">
        <x:v>Marine exposure includes SeaRiver Maritime, International Marine Transportation entities, and cargo chartering.</x:v>
      </x:c>
      <x:c r="K51" s="102" t="str">
        <x:v>Active</x:v>
      </x:c>
      <x:c r="L51" s="102" t="str">
        <x:v>SRC_0108</x:v>
      </x:c>
      <x:c r="M51" s="102" t="str">
        <x:v>2026-09-07</x:v>
      </x:c>
    </x:row>
    <x:row r="52">
      <x:c r="A52" s="102" t="str">
        <x:v>COMP_SEARIVER</x:v>
      </x:c>
      <x:c r="B52" s="102" t="str">
        <x:v>SeaRiver Maritime, Inc.</x:v>
      </x:c>
      <x:c r="C52" s="102" t="str">
        <x:v>Company</x:v>
      </x:c>
      <x:c r="D52" s="102"/>
      <x:c r="E52" s="102" t="str">
        <x:v>United States</x:v>
      </x:c>
      <x:c r="F52" s="102" t="str">
        <x:v>Wholly owned ExxonMobil subsidiary</x:v>
      </x:c>
      <x:c r="G52" s="102" t="str">
        <x:v>Marine transportation; tanker chartering</x:v>
      </x:c>
      <x:c r="H52" s="102"/>
      <x:c r="I52" s="102"/>
      <x:c r="J52" s="102" t="str">
        <x:v>ExxonMobil marine entity; current charter exposure modeled separately from ownership.</x:v>
      </x:c>
      <x:c r="K52" s="102" t="str">
        <x:v>Active</x:v>
      </x:c>
      <x:c r="L52" s="102" t="str">
        <x:v>SRC_0107</x:v>
      </x:c>
      <x:c r="M52" s="102" t="str">
        <x:v>2026-09-07</x:v>
      </x:c>
    </x:row>
    <x:row r="53">
      <x:c r="A53" s="102" t="str">
        <x:v>COMP_IMT</x:v>
      </x:c>
      <x:c r="B53" s="102" t="str">
        <x:v>International Marine Transportation Limited</x:v>
      </x:c>
      <x:c r="C53" s="102" t="str">
        <x:v>Company</x:v>
      </x:c>
      <x:c r="D53" s="102"/>
      <x:c r="E53" s="102" t="str">
        <x:v>United Kingdom</x:v>
      </x:c>
      <x:c r="F53" s="102" t="str">
        <x:v>ExxonMobil group company</x:v>
      </x:c>
      <x:c r="G53" s="102" t="str">
        <x:v>Marine transportation / shipping services</x:v>
      </x:c>
      <x:c r="H53" s="102"/>
      <x:c r="I53" s="102"/>
      <x:c r="J53" s="102" t="str">
        <x:v>ExxonMobil-listed marine transportation entity.</x:v>
      </x:c>
      <x:c r="K53" s="102" t="str">
        <x:v>Active</x:v>
      </x:c>
      <x:c r="L53" s="102" t="str">
        <x:v>SRC_0107</x:v>
      </x:c>
      <x:c r="M53" s="102" t="str">
        <x:v>2026-09-07</x:v>
      </x:c>
    </x:row>
    <x:row r="54">
      <x:c r="A54" s="102" t="str">
        <x:v>COMP_PERFORMANCE_SHIPPING</x:v>
      </x:c>
      <x:c r="B54" s="102" t="str">
        <x:v>Performance Shipping Inc.</x:v>
      </x:c>
      <x:c r="C54" s="102" t="str">
        <x:v>Company</x:v>
      </x:c>
      <x:c r="D54" s="102" t="str">
        <x:v>Athens</x:v>
      </x:c>
      <x:c r="E54" s="102" t="str">
        <x:v>Greece</x:v>
      </x:c>
      <x:c r="F54" s="102" t="str">
        <x:v>Publicly listed</x:v>
      </x:c>
      <x:c r="G54" s="102" t="str">
        <x:v>Tanker ownership and operation</x:v>
      </x:c>
      <x:c r="H54" s="102"/>
      <x:c r="I54" s="102"/>
      <x:c r="J54" s="102" t="str">
        <x:v>Owner of M/T P. Long Beach, time-chartered to SeaRiver Maritime.</x:v>
      </x:c>
      <x:c r="K54" s="102" t="str">
        <x:v>Active</x:v>
      </x:c>
      <x:c r="L54" s="102" t="str">
        <x:v>SRC_0109</x:v>
      </x:c>
      <x:c r="M54" s="102" t="str">
        <x:v>2026-09-07</x:v>
      </x:c>
    </x:row>
    <x:row r="55">
      <x:c r="A55" s="102" t="str">
        <x:v>COMP_VITOL</x:v>
      </x:c>
      <x:c r="B55" s="102" t="str">
        <x:v>Vitol</x:v>
      </x:c>
      <x:c r="C55" s="102" t="str">
        <x:v>Company</x:v>
      </x:c>
      <x:c r="D55" s="102" t="str">
        <x:v>Geneva / Rotterdam</x:v>
      </x:c>
      <x:c r="E55" s="102"/>
      <x:c r="F55" s="102" t="str">
        <x:v>Private</x:v>
      </x:c>
      <x:c r="G55" s="102" t="str">
        <x:v>Energy trading; shipping; logistics</x:v>
      </x:c>
      <x:c r="H55" s="102"/>
      <x:c r="I55" s="102"/>
      <x:c r="J55" s="102" t="str">
        <x:v>Trading counterparty in ExxonMobil U.S.-Australia fuel movement; modeled as intermediary / charter-chain entity.</x:v>
      </x:c>
      <x:c r="K55" s="102" t="str">
        <x:v>Active</x:v>
      </x:c>
      <x:c r="L55" s="102" t="str">
        <x:v>SRC_0110</x:v>
      </x:c>
      <x:c r="M55" s="102" t="str">
        <x:v>2026-09-07</x:v>
      </x:c>
    </x:row>
    <x:row r="56">
      <x:c r="A56" s="102" t="str">
        <x:v>COMP_HAPAG_LLOYD</x:v>
      </x:c>
      <x:c r="B56" s="102" t="str">
        <x:v>Hapag-Lloyd AG</x:v>
      </x:c>
      <x:c r="C56" s="102" t="str">
        <x:v>Company</x:v>
      </x:c>
      <x:c r="D56" s="102" t="str">
        <x:v>Hamburg</x:v>
      </x:c>
      <x:c r="E56" s="102" t="str">
        <x:v>Germany</x:v>
      </x:c>
      <x:c r="F56" s="102" t="str">
        <x:v>Publicly listed</x:v>
      </x:c>
      <x:c r="G56" s="102" t="str">
        <x:v>Container shipping; logistics</x:v>
      </x:c>
      <x:c r="H56" s="102"/>
      <x:c r="I56" s="102"/>
      <x:c r="J56" s="102" t="str">
        <x:v>Tier-1 global liner; vessel-level fleet build queued.</x:v>
      </x:c>
      <x:c r="K56" s="102" t="str">
        <x:v>Active</x:v>
      </x:c>
      <x:c r="L56" s="102"/>
      <x:c r="M56" s="102"/>
    </x:row>
    <x:row r="57">
      <x:c r="A57" s="102" t="str">
        <x:v>COMP_ONE</x:v>
      </x:c>
      <x:c r="B57" s="102" t="str">
        <x:v>Ocean Network Express Pte. Ltd.</x:v>
      </x:c>
      <x:c r="C57" s="102" t="str">
        <x:v>Company</x:v>
      </x:c>
      <x:c r="D57" s="102" t="str">
        <x:v>Singapore</x:v>
      </x:c>
      <x:c r="E57" s="102" t="str">
        <x:v>Singapore</x:v>
      </x:c>
      <x:c r="F57" s="102" t="str">
        <x:v>Joint venture of NYK, MOL and K Line</x:v>
      </x:c>
      <x:c r="G57" s="102" t="str">
        <x:v>Container shipping</x:v>
      </x:c>
      <x:c r="H57" s="102"/>
      <x:c r="I57" s="102"/>
      <x:c r="J57" s="102" t="str">
        <x:v>Tier-1 global liner; vessel-level fleet build queued.</x:v>
      </x:c>
      <x:c r="K57" s="102" t="str">
        <x:v>Active</x:v>
      </x:c>
      <x:c r="L57" s="102"/>
      <x:c r="M57" s="102"/>
    </x:row>
    <x:row r="58">
      <x:c r="A58" s="102" t="str">
        <x:v>COMP_YANG_MING</x:v>
      </x:c>
      <x:c r="B58" s="102" t="str">
        <x:v>Yang Ming Marine Transport Corporation</x:v>
      </x:c>
      <x:c r="C58" s="102" t="str">
        <x:v>Company</x:v>
      </x:c>
      <x:c r="D58" s="102" t="str">
        <x:v>Keelung</x:v>
      </x:c>
      <x:c r="E58" s="102" t="str">
        <x:v>Taiwan</x:v>
      </x:c>
      <x:c r="F58" s="102" t="str">
        <x:v>Publicly listed</x:v>
      </x:c>
      <x:c r="G58" s="102" t="str">
        <x:v>Container shipping; logistics</x:v>
      </x:c>
      <x:c r="H58" s="102"/>
      <x:c r="I58" s="102"/>
      <x:c r="J58" s="102" t="str">
        <x:v>Tier-1 global liner; vessel-level fleet build queued.</x:v>
      </x:c>
      <x:c r="K58" s="102" t="str">
        <x:v>Active</x:v>
      </x:c>
      <x:c r="L58" s="102"/>
      <x:c r="M58" s="102"/>
    </x:row>
    <x:row r="59">
      <x:c r="A59" s="102" t="str">
        <x:v>COMP_HMM</x:v>
      </x:c>
      <x:c r="B59" s="102" t="str">
        <x:v>HMM Co., Ltd.</x:v>
      </x:c>
      <x:c r="C59" s="102" t="str">
        <x:v>Company</x:v>
      </x:c>
      <x:c r="D59" s="102" t="str">
        <x:v>Seoul</x:v>
      </x:c>
      <x:c r="E59" s="102" t="str">
        <x:v>South Korea</x:v>
      </x:c>
      <x:c r="F59" s="102" t="str">
        <x:v>Publicly listed</x:v>
      </x:c>
      <x:c r="G59" s="102" t="str">
        <x:v>Container shipping; logistics</x:v>
      </x:c>
      <x:c r="H59" s="102"/>
      <x:c r="I59" s="102"/>
      <x:c r="J59" s="102" t="str">
        <x:v>Tier-1 global liner; vessel-level fleet build queued.</x:v>
      </x:c>
      <x:c r="K59" s="102" t="str">
        <x:v>Active</x:v>
      </x:c>
      <x:c r="L59" s="102"/>
      <x:c r="M59" s="102"/>
    </x:row>
    <x:row r="60">
      <x:c r="A60" s="102" t="str">
        <x:v>COMP_PIL</x:v>
      </x:c>
      <x:c r="B60" s="102" t="str">
        <x:v>Pacific International Lines (Pte) Ltd</x:v>
      </x:c>
      <x:c r="C60" s="102" t="str">
        <x:v>Company</x:v>
      </x:c>
      <x:c r="D60" s="102" t="str">
        <x:v>Singapore</x:v>
      </x:c>
      <x:c r="E60" s="102" t="str">
        <x:v>Singapore</x:v>
      </x:c>
      <x:c r="F60" s="102" t="str">
        <x:v>Private / institutional ownership</x:v>
      </x:c>
      <x:c r="G60" s="102" t="str">
        <x:v>Container shipping; logistics</x:v>
      </x:c>
      <x:c r="H60" s="102"/>
      <x:c r="I60" s="102"/>
      <x:c r="J60" s="102" t="str">
        <x:v>Tier-1 global liner; vessel-level fleet build queued.</x:v>
      </x:c>
      <x:c r="K60" s="102" t="str">
        <x:v>Active</x:v>
      </x:c>
      <x:c r="L60" s="102"/>
      <x:c r="M60" s="102"/>
    </x:row>
    <x:row r="61">
      <x:c r="A61" s="102" t="str">
        <x:v>COMP_WAN_HAI</x:v>
      </x:c>
      <x:c r="B61" s="102" t="str">
        <x:v>Wan Hai Lines Ltd.</x:v>
      </x:c>
      <x:c r="C61" s="102" t="str">
        <x:v>Company</x:v>
      </x:c>
      <x:c r="D61" s="102" t="str">
        <x:v>Taipei</x:v>
      </x:c>
      <x:c r="E61" s="102" t="str">
        <x:v>Taiwan</x:v>
      </x:c>
      <x:c r="F61" s="102" t="str">
        <x:v>Publicly listed</x:v>
      </x:c>
      <x:c r="G61" s="102" t="str">
        <x:v>Container shipping</x:v>
      </x:c>
      <x:c r="H61" s="102"/>
      <x:c r="I61" s="102"/>
      <x:c r="J61" s="102" t="str">
        <x:v>Tier-1 global liner; vessel-level fleet build queued.</x:v>
      </x:c>
      <x:c r="K61" s="102" t="str">
        <x:v>Active</x:v>
      </x:c>
      <x:c r="L61" s="102"/>
      <x:c r="M61" s="102"/>
    </x:row>
    <x:row r="62">
      <x:c r="A62" s="102" t="str">
        <x:v>COMP_SEALEAD</x:v>
      </x:c>
      <x:c r="B62" s="102" t="str">
        <x:v>SeaLead Shipping</x:v>
      </x:c>
      <x:c r="C62" s="102" t="str">
        <x:v>Company</x:v>
      </x:c>
      <x:c r="D62" s="102" t="str">
        <x:v>Singapore</x:v>
      </x:c>
      <x:c r="E62" s="102" t="str">
        <x:v>Singapore</x:v>
      </x:c>
      <x:c r="F62" s="102" t="str">
        <x:v>Private</x:v>
      </x:c>
      <x:c r="G62" s="102" t="str">
        <x:v>Container shipping</x:v>
      </x:c>
      <x:c r="H62" s="102"/>
      <x:c r="I62" s="102"/>
      <x:c r="J62" s="102" t="str">
        <x:v>Emerging global liner; vessel-level fleet build queued.</x:v>
      </x:c>
      <x:c r="K62" s="102" t="str">
        <x:v>Active</x:v>
      </x:c>
      <x:c r="L62" s="102"/>
      <x:c r="M62" s="102"/>
    </x:row>
    <x:row r="63">
      <x:c r="A63" s="102" t="str">
        <x:v>COMP_XPRESS</x:v>
      </x:c>
      <x:c r="B63" s="102" t="str">
        <x:v>X-Press Feeders</x:v>
      </x:c>
      <x:c r="C63" s="102" t="str">
        <x:v>Company</x:v>
      </x:c>
      <x:c r="D63" s="102" t="str">
        <x:v>Singapore</x:v>
      </x:c>
      <x:c r="E63" s="102" t="str">
        <x:v>Singapore</x:v>
      </x:c>
      <x:c r="F63" s="102" t="str">
        <x:v>Private</x:v>
      </x:c>
      <x:c r="G63" s="102" t="str">
        <x:v>Container feeder shipping</x:v>
      </x:c>
      <x:c r="H63" s="102"/>
      <x:c r="I63" s="102"/>
      <x:c r="J63" s="102" t="str">
        <x:v>Major global feeder operator; vessel-level fleet build queued.</x:v>
      </x:c>
      <x:c r="K63" s="102" t="str">
        <x:v>Active</x:v>
      </x:c>
      <x:c r="L63" s="102"/>
      <x:c r="M63" s="102"/>
    </x:row>
    <x:row r="64">
      <x:c r="A64" s="102" t="str">
        <x:v>COMP_UNIFEEDER</x:v>
      </x:c>
      <x:c r="B64" s="102" t="str">
        <x:v>Unifeeder A/S</x:v>
      </x:c>
      <x:c r="C64" s="102" t="str">
        <x:v>Company</x:v>
      </x:c>
      <x:c r="D64" s="102" t="str">
        <x:v>Aarhus</x:v>
      </x:c>
      <x:c r="E64" s="102" t="str">
        <x:v>Denmark</x:v>
      </x:c>
      <x:c r="F64" s="102" t="str">
        <x:v>DP World group</x:v>
      </x:c>
      <x:c r="G64" s="102" t="str">
        <x:v>Container feeder shipping; short-sea logistics</x:v>
      </x:c>
      <x:c r="H64" s="102"/>
      <x:c r="I64" s="102"/>
      <x:c r="J64" s="102" t="str">
        <x:v>Major feeder / short-sea operator; vessel-level fleet build queued.</x:v>
      </x:c>
      <x:c r="K64" s="102" t="str">
        <x:v>Active</x:v>
      </x:c>
      <x:c r="L64" s="102"/>
      <x:c r="M64" s="102"/>
    </x:row>
    <x:row r="65">
      <x:c r="A65" s="102" t="str">
        <x:v>COMP_ESL</x:v>
      </x:c>
      <x:c r="B65" s="102" t="str">
        <x:v>Emirates Shipping Line</x:v>
      </x:c>
      <x:c r="C65" s="102" t="str">
        <x:v>Company</x:v>
      </x:c>
      <x:c r="D65" s="102" t="str">
        <x:v>Dubai</x:v>
      </x:c>
      <x:c r="E65" s="102" t="str">
        <x:v>United Arab Emirates</x:v>
      </x:c>
      <x:c r="F65" s="102" t="str">
        <x:v>Private</x:v>
      </x:c>
      <x:c r="G65" s="102" t="str">
        <x:v>Container shipping</x:v>
      </x:c>
      <x:c r="H65" s="102"/>
      <x:c r="I65" s="102"/>
      <x:c r="J65" s="102" t="str">
        <x:v>Regional/global liner relevant to Gulf network exposure.</x:v>
      </x:c>
      <x:c r="K65" s="102" t="str">
        <x:v>Active</x:v>
      </x:c>
      <x:c r="L65" s="102"/>
      <x:c r="M65" s="102"/>
    </x:row>
    <x:row r="66">
      <x:c r="A66" s="102" t="str">
        <x:v>COMP_SAFEEN_FEEDERS</x:v>
      </x:c>
      <x:c r="B66" s="102" t="str">
        <x:v>SAFEEN Feeders</x:v>
      </x:c>
      <x:c r="C66" s="102" t="str">
        <x:v>Business line</x:v>
      </x:c>
      <x:c r="D66" s="102" t="str">
        <x:v>Abu Dhabi</x:v>
      </x:c>
      <x:c r="E66" s="102" t="str">
        <x:v>United Arab Emirates</x:v>
      </x:c>
      <x:c r="F66" s="102" t="str">
        <x:v>AD Ports Group / Noatum Maritime ecosystem</x:v>
      </x:c>
      <x:c r="G66" s="102" t="str">
        <x:v>Container feeder shipping</x:v>
      </x:c>
      <x:c r="H66" s="102"/>
      <x:c r="I66" s="102"/>
      <x:c r="J66" s="102" t="str">
        <x:v>Identified by AD Ports Group alongside GFS and Transmar as a core feeder-shipping business.</x:v>
      </x:c>
      <x:c r="K66" s="102" t="str">
        <x:v>Active</x:v>
      </x:c>
      <x:c r="L66" s="102"/>
      <x:c r="M66" s="102"/>
    </x:row>
    <x:row r="67">
      <x:c r="A67" s="102" t="str">
        <x:v>COMP_TRANSMAR</x:v>
      </x:c>
      <x:c r="B67" s="102" t="str">
        <x:v>Transmar International Shipping</x:v>
      </x:c>
      <x:c r="C67" s="102" t="str">
        <x:v>Company</x:v>
      </x:c>
      <x:c r="D67" s="102" t="str">
        <x:v>Cairo</x:v>
      </x:c>
      <x:c r="E67" s="102" t="str">
        <x:v>Egypt</x:v>
      </x:c>
      <x:c r="F67" s="102" t="str">
        <x:v>70% owned by AD Ports Group</x:v>
      </x:c>
      <x:c r="G67" s="102" t="str">
        <x:v>Container shipping; regional feeder services</x:v>
      </x:c>
      <x:c r="H67" s="102"/>
      <x:c r="I67" s="102"/>
      <x:c r="J67" s="102" t="str">
        <x:v>AD Ports Group's first international maritime acquisition platform in Egypt.</x:v>
      </x:c>
      <x:c r="K67" s="102" t="str">
        <x:v>Active</x:v>
      </x:c>
      <x:c r="L67" s="102"/>
      <x:c r="M67" s="102"/>
    </x:row>
    <x:row r="68">
      <x:c r="A68" s="102" t="str">
        <x:v>COMP_GFS_SHIP_MGMT</x:v>
      </x:c>
      <x:c r="B68" s="102" t="str">
        <x:v>GFS Ship Management FZE</x:v>
      </x:c>
      <x:c r="C68" s="102" t="str">
        <x:v>Company</x:v>
      </x:c>
      <x:c r="D68" s="102" t="str">
        <x:v>Dubai</x:v>
      </x:c>
      <x:c r="E68" s="102" t="str">
        <x:v>United Arab Emirates</x:v>
      </x:c>
      <x:c r="F68" s="102" t="str">
        <x:v>Private; legal relationship to Global Feeder Shipping LLC to be reconciled</x:v>
      </x:c>
      <x:c r="G68" s="102" t="str">
        <x:v>Technical ship management; crew management; commercial management; owner representation</x:v>
      </x:c>
      <x:c r="H68" s="102"/>
      <x:c r="I68" s="102"/>
      <x:c r="J68" s="102" t="str">
        <x:v>Official site states 30+ in-house vessels and &gt;120,000 TEU under management.</x:v>
      </x:c>
      <x:c r="K68" s="102" t="str">
        <x:v>Active</x:v>
      </x:c>
      <x:c r="L68" s="102"/>
      <x:c r="M68" s="102"/>
    </x:row>
    <x:row r="69">
      <x:c r="A69" s="102" t="str">
        <x:v>COMP_CHINA_MERCHANTS_GROUP</x:v>
      </x:c>
      <x:c r="B69" s="102" t="str">
        <x:v>China Merchants Group</x:v>
      </x:c>
      <x:c r="C69" s="102" t="str">
        <x:v>Company</x:v>
      </x:c>
      <x:c r="D69" s="102" t="str">
        <x:v>Shenzhen</x:v>
      </x:c>
      <x:c r="E69" s="102" t="str">
        <x:v>China</x:v>
      </x:c>
      <x:c r="F69" s="102" t="str">
        <x:v>Chinese state-owned enterprise</x:v>
      </x:c>
      <x:c r="G69" s="102" t="str">
        <x:v>Ports; shipping; logistics; finance; infrastructure</x:v>
      </x:c>
      <x:c r="H69" s="102"/>
      <x:c r="I69" s="102"/>
      <x:c r="J69" s="102" t="str">
        <x:v>Parent group of China Merchants Energy Shipping and other transport/infrastructure businesses</x:v>
      </x:c>
      <x:c r="K69" s="102" t="str">
        <x:v>Active</x:v>
      </x:c>
      <x:c r="L69" s="102"/>
      <x:c r="M69" s="102"/>
    </x:row>
    <x:row r="70">
      <x:c r="A70" s="102" t="str">
        <x:v>COMP_CMES</x:v>
      </x:c>
      <x:c r="B70" s="102" t="str">
        <x:v>China Merchants Energy Shipping Co., Ltd.</x:v>
      </x:c>
      <x:c r="C70" s="102" t="str">
        <x:v>Company</x:v>
      </x:c>
      <x:c r="D70" s="102" t="str">
        <x:v>Shanghai</x:v>
      </x:c>
      <x:c r="E70" s="102" t="str">
        <x:v>China</x:v>
      </x:c>
      <x:c r="F70" s="102" t="str">
        <x:v>Public / state-controlled via China Merchants Group</x:v>
      </x:c>
      <x:c r="G70" s="102" t="str">
        <x:v>Crude tankers; LNG; dry bulk; RoRo; shipping</x:v>
      </x:c>
      <x:c r="H70" s="102"/>
      <x:c r="I70" s="102"/>
      <x:c r="J70" s="102" t="str">
        <x:v>Major Chinese energy shipping company; key VLCC operator</x:v>
      </x:c>
      <x:c r="K70" s="102" t="str">
        <x:v>Active</x:v>
      </x:c>
      <x:c r="L70" s="102"/>
      <x:c r="M70" s="102"/>
    </x:row>
    <x:row r="71">
      <x:c r="A71" s="102" t="str">
        <x:v>COMP_COSCO_ENERGY</x:v>
      </x:c>
      <x:c r="B71" s="102" t="str">
        <x:v>COSCO SHIPPING Energy Transportation Co., Ltd.</x:v>
      </x:c>
      <x:c r="C71" s="102" t="str">
        <x:v>Company</x:v>
      </x:c>
      <x:c r="D71" s="102" t="str">
        <x:v>Shanghai</x:v>
      </x:c>
      <x:c r="E71" s="102" t="str">
        <x:v>China</x:v>
      </x:c>
      <x:c r="F71" s="102" t="str">
        <x:v>Public / state-controlled via COSCO SHIPPING</x:v>
      </x:c>
      <x:c r="G71" s="102" t="str">
        <x:v>Crude tankers; product tankers; LNG shipping</x:v>
      </x:c>
      <x:c r="H71" s="102"/>
      <x:c r="I71" s="102"/>
      <x:c r="J71" s="102" t="str">
        <x:v>Energy-shipping arm of COSCO SHIPPING</x:v>
      </x:c>
      <x:c r="K71" s="102" t="str">
        <x:v>Active</x:v>
      </x:c>
      <x:c r="L71" s="102"/>
      <x:c r="M71" s="102"/>
    </x:row>
    <x:row r="72">
      <x:c r="A72" s="102" t="str">
        <x:v>COMP_FRONTLINE</x:v>
      </x:c>
      <x:c r="B72" s="102" t="str">
        <x:v>Frontline plc</x:v>
      </x:c>
      <x:c r="C72" s="102" t="str">
        <x:v>Company</x:v>
      </x:c>
      <x:c r="D72" s="102" t="str">
        <x:v>Limassol</x:v>
      </x:c>
      <x:c r="E72" s="102" t="str">
        <x:v>Cyprus</x:v>
      </x:c>
      <x:c r="F72" s="102" t="str">
        <x:v>Public</x:v>
      </x:c>
      <x:c r="G72" s="102" t="str">
        <x:v>VLCC; Suezmax; LR2/Aframax crude and product tankers</x:v>
      </x:c>
      <x:c r="H72" s="102"/>
      <x:c r="I72" s="102"/>
      <x:c r="J72" s="102" t="str">
        <x:v>Large listed tanker owner/operator with active fleet-renewal program</x:v>
      </x:c>
      <x:c r="K72" s="102" t="str">
        <x:v>Active</x:v>
      </x:c>
      <x:c r="L72" s="102"/>
      <x:c r="M72" s="102"/>
    </x:row>
    <x:row r="73">
      <x:c r="A73" s="102" t="str">
        <x:v>COMP_ANGELICOUSSIS_GROUP</x:v>
      </x:c>
      <x:c r="B73" s="102" t="str">
        <x:v>Angelicoussis Group</x:v>
      </x:c>
      <x:c r="C73" s="102" t="str">
        <x:v>Company</x:v>
      </x:c>
      <x:c r="D73" s="102" t="str">
        <x:v>Athens</x:v>
      </x:c>
      <x:c r="E73" s="102" t="str">
        <x:v>Greece</x:v>
      </x:c>
      <x:c r="F73" s="102" t="str">
        <x:v>Private</x:v>
      </x:c>
      <x:c r="G73" s="102" t="str">
        <x:v>Tankers; LNG carriers; dry bulk shipping</x:v>
      </x:c>
      <x:c r="H73" s="102"/>
      <x:c r="I73" s="102"/>
      <x:c r="J73" s="102" t="str">
        <x:v>Parent shipping group for Maran Tankers and related fleets</x:v>
      </x:c>
      <x:c r="K73" s="102" t="str">
        <x:v>Active</x:v>
      </x:c>
      <x:c r="L73" s="102"/>
      <x:c r="M73" s="102"/>
    </x:row>
    <x:row r="74">
      <x:c r="A74" s="102" t="str">
        <x:v>COMP_MARAN_TANKERS</x:v>
      </x:c>
      <x:c r="B74" s="102" t="str">
        <x:v>Maran Tankers Management Inc.</x:v>
      </x:c>
      <x:c r="C74" s="102" t="str">
        <x:v>Company</x:v>
      </x:c>
      <x:c r="D74" s="102" t="str">
        <x:v>Athens</x:v>
      </x:c>
      <x:c r="E74" s="102" t="str">
        <x:v>Greece</x:v>
      </x:c>
      <x:c r="F74" s="102" t="str">
        <x:v>Private / Angelicoussis Group</x:v>
      </x:c>
      <x:c r="G74" s="102" t="str">
        <x:v>Crude-oil tankers; VLCC management and operations</x:v>
      </x:c>
      <x:c r="H74" s="102"/>
      <x:c r="I74" s="102"/>
      <x:c r="J74" s="102" t="str">
        <x:v>Large Greek tanker-management platform</x:v>
      </x:c>
      <x:c r="K74" s="102" t="str">
        <x:v>Active</x:v>
      </x:c>
      <x:c r="L74" s="102"/>
      <x:c r="M74" s="102"/>
    </x:row>
    <x:row r="75">
      <x:c r="A75" s="102" t="str">
        <x:v>COMP_MOL</x:v>
      </x:c>
      <x:c r="B75" s="102" t="str">
        <x:v>Mitsui O.S.K. Lines, Ltd.</x:v>
      </x:c>
      <x:c r="C75" s="102" t="str">
        <x:v>Company</x:v>
      </x:c>
      <x:c r="D75" s="102" t="str">
        <x:v>Tokyo</x:v>
      </x:c>
      <x:c r="E75" s="102" t="str">
        <x:v>Japan</x:v>
      </x:c>
      <x:c r="F75" s="102" t="str">
        <x:v>Public</x:v>
      </x:c>
      <x:c r="G75" s="102" t="str">
        <x:v>Tankers; LNG/LPG; dry bulk; car carriers; ferries; logistics</x:v>
      </x:c>
      <x:c r="H75" s="102"/>
      <x:c r="I75" s="102"/>
      <x:c r="J75" s="102" t="str">
        <x:v>Diversified Japanese shipping group and ONE shareholder</x:v>
      </x:c>
      <x:c r="K75" s="102" t="str">
        <x:v>Active</x:v>
      </x:c>
      <x:c r="L75" s="102"/>
      <x:c r="M75" s="102"/>
    </x:row>
    <x:row r="76">
      <x:c r="A76" s="102" t="str">
        <x:v>COMP_DHT</x:v>
      </x:c>
      <x:c r="B76" s="102" t="str">
        <x:v>DHT Holdings, Inc.</x:v>
      </x:c>
      <x:c r="C76" s="102" t="str">
        <x:v>Company</x:v>
      </x:c>
      <x:c r="D76" s="102" t="str">
        <x:v>Hamilton</x:v>
      </x:c>
      <x:c r="E76" s="102" t="str">
        <x:v>Bermuda</x:v>
      </x:c>
      <x:c r="F76" s="102" t="str">
        <x:v>Public</x:v>
      </x:c>
      <x:c r="G76" s="102" t="str">
        <x:v>VLCC crude-oil tankers</x:v>
      </x:c>
      <x:c r="H76" s="102"/>
      <x:c r="I76" s="102"/>
      <x:c r="J76" s="102" t="str">
        <x:v>Pure-play listed VLCC company</x:v>
      </x:c>
      <x:c r="K76" s="102" t="str">
        <x:v>Active</x:v>
      </x:c>
      <x:c r="L76" s="102"/>
      <x:c r="M76" s="102"/>
    </x:row>
    <x:row r="77">
      <x:c r="A77" s="102" t="str">
        <x:v>COMP_NYK</x:v>
      </x:c>
      <x:c r="B77" s="102" t="str">
        <x:v>Nippon Yusen Kabushiki Kaisha (NYK Line)</x:v>
      </x:c>
      <x:c r="C77" s="102" t="str">
        <x:v>Company</x:v>
      </x:c>
      <x:c r="D77" s="102" t="str">
        <x:v>Tokyo</x:v>
      </x:c>
      <x:c r="E77" s="102" t="str">
        <x:v>Japan</x:v>
      </x:c>
      <x:c r="F77" s="102" t="str">
        <x:v>Public</x:v>
      </x:c>
      <x:c r="G77" s="102" t="str">
        <x:v>Tankers; LNG/LPG; car carriers; dry bulk; logistics; cruise</x:v>
      </x:c>
      <x:c r="H77" s="102"/>
      <x:c r="I77" s="102"/>
      <x:c r="J77" s="102" t="str">
        <x:v>Diversified Japanese shipping group and ONE shareholder</x:v>
      </x:c>
      <x:c r="K77" s="102" t="str">
        <x:v>Active</x:v>
      </x:c>
      <x:c r="L77" s="102"/>
      <x:c r="M77" s="102"/>
    </x:row>
    <x:row r="78">
      <x:c r="A78" s="102" t="str">
        <x:v>COMP_ASYAD_GROUP</x:v>
      </x:c>
      <x:c r="B78" s="102" t="str">
        <x:v>Asyad Group</x:v>
      </x:c>
      <x:c r="C78" s="102" t="str">
        <x:v>Company</x:v>
      </x:c>
      <x:c r="D78" s="102" t="str">
        <x:v>Muscat</x:v>
      </x:c>
      <x:c r="E78" s="102" t="str">
        <x:v>Oman</x:v>
      </x:c>
      <x:c r="F78" s="102" t="str">
        <x:v>Omani state-linked group</x:v>
      </x:c>
      <x:c r="G78" s="102" t="str">
        <x:v>Ports; logistics; shipping; free zones; transport</x:v>
      </x:c>
      <x:c r="H78" s="102"/>
      <x:c r="I78" s="102"/>
      <x:c r="J78" s="102" t="str">
        <x:v>Oman integrated logistics and maritime group</x:v>
      </x:c>
      <x:c r="K78" s="102" t="str">
        <x:v>Active</x:v>
      </x:c>
      <x:c r="L78" s="102"/>
      <x:c r="M78" s="102"/>
    </x:row>
    <x:row r="79">
      <x:c r="A79" s="102" t="str">
        <x:v>COMP_ASYAD_SHIPPING</x:v>
      </x:c>
      <x:c r="B79" s="102" t="str">
        <x:v>Asyad Shipping Company</x:v>
      </x:c>
      <x:c r="C79" s="102" t="str">
        <x:v>Company</x:v>
      </x:c>
      <x:c r="D79" s="102" t="str">
        <x:v>Muscat</x:v>
      </x:c>
      <x:c r="E79" s="102" t="str">
        <x:v>Oman</x:v>
      </x:c>
      <x:c r="F79" s="102" t="str">
        <x:v>Asyad Group-linked shipping company</x:v>
      </x:c>
      <x:c r="G79" s="102" t="str">
        <x:v>Crude tankers; product tankers; LNG; dry bulk; liner shipping</x:v>
      </x:c>
      <x:c r="H79" s="102"/>
      <x:c r="I79" s="102"/>
      <x:c r="J79" s="102" t="str">
        <x:v>Oman-based diversified shipping fleet with VLCC exposure</x:v>
      </x:c>
      <x:c r="K79" s="102" t="str">
        <x:v>Active</x:v>
      </x:c>
      <x:c r="L79" s="102"/>
      <x:c r="M79" s="102"/>
    </x:row>
    <x:row r="80">
      <x:c r="A80" s="102" t="str">
        <x:v>COMP_NITC</x:v>
      </x:c>
      <x:c r="B80" s="102" t="str">
        <x:v>National Iranian Tanker Company</x:v>
      </x:c>
      <x:c r="C80" s="102" t="str">
        <x:v>Company</x:v>
      </x:c>
      <x:c r="D80" s="102" t="str">
        <x:v>Tehran</x:v>
      </x:c>
      <x:c r="E80" s="102" t="str">
        <x:v>Iran</x:v>
      </x:c>
      <x:c r="F80" s="102" t="str">
        <x:v>Iranian state-linked / sanctioned exposure</x:v>
      </x:c>
      <x:c r="G80" s="102" t="str">
        <x:v>Crude-oil tankers; VLCCs; petroleum transport</x:v>
      </x:c>
      <x:c r="H80" s="102"/>
      <x:c r="I80" s="102"/>
      <x:c r="J80" s="102" t="str">
        <x:v>Major Iranian tanker fleet; sanctions status must be modeled separately from fleet size</x:v>
      </x:c>
      <x:c r="K80" s="102" t="str">
        <x:v>Active</x:v>
      </x:c>
      <x:c r="L80" s="102"/>
      <x:c r="M80" s="102"/>
    </x:row>
    <x:row r="81">
      <x:c r="A81" s="102" t="str">
        <x:v>COMP_BC_FERRIES</x:v>
      </x:c>
      <x:c r="B81" s="102" t="str">
        <x:v>BC Ferries</x:v>
      </x:c>
      <x:c r="C81" s="102" t="str">
        <x:v>Company / ferry system</x:v>
      </x:c>
      <x:c r="D81" s="102" t="str">
        <x:v>Victoria</x:v>
      </x:c>
      <x:c r="E81" s="102" t="str">
        <x:v>Canada</x:v>
      </x:c>
      <x:c r="F81" s="102" t="str">
        <x:v>Provincial ferry operator structure</x:v>
      </x:c>
      <x:c r="G81" s="102" t="str">
        <x:v>Passenger ferry; vehicle ferry; freight mobility</x:v>
      </x:c>
      <x:c r="H81" s="102"/>
      <x:c r="I81" s="102"/>
      <x:c r="J81" s="102" t="str">
        <x:v>Coastal British Columbia ferry network; public site lists 39 ferries and more than 30 destinations.</x:v>
      </x:c>
      <x:c r="K81" s="102" t="str">
        <x:v>Active</x:v>
      </x:c>
      <x:c r="L81" s="102" t="str">
        <x:v>SRC_0111</x:v>
      </x:c>
      <x:c r="M81" s="102" t="str">
        <x:v>2026-09-07</x:v>
      </x:c>
    </x:row>
    <x:row r="82">
      <x:c r="A82" s="102" t="str">
        <x:v>COMP_WSF</x:v>
      </x:c>
      <x:c r="B82" s="102" t="str">
        <x:v>Washington State Ferries</x:v>
      </x:c>
      <x:c r="C82" s="102" t="str">
        <x:v>Government ferry system</x:v>
      </x:c>
      <x:c r="D82" s="102" t="str">
        <x:v>Seattle / Olympia</x:v>
      </x:c>
      <x:c r="E82" s="102" t="str">
        <x:v>United States</x:v>
      </x:c>
      <x:c r="F82" s="102" t="str">
        <x:v>Washington State Department of Transportation division</x:v>
      </x:c>
      <x:c r="G82" s="102" t="str">
        <x:v>Passenger ferry; vehicle ferry; marine highway</x:v>
      </x:c>
      <x:c r="H82" s="102"/>
      <x:c r="I82" s="102"/>
      <x:c r="J82" s="102" t="str">
        <x:v>Largest ferry system in the United States; 21-ferry fleet across Puget Sound / Salish Sea.</x:v>
      </x:c>
      <x:c r="K82" s="102" t="str">
        <x:v>Active</x:v>
      </x:c>
      <x:c r="L82" s="102" t="str">
        <x:v>SRC_0114</x:v>
      </x:c>
      <x:c r="M82" s="102" t="str">
        <x:v>2026-09-07</x:v>
      </x:c>
    </x:row>
    <x:row r="83">
      <x:c r="A83" s="102" t="str">
        <x:v>COMP_AMHS</x:v>
      </x:c>
      <x:c r="B83" s="102" t="str">
        <x:v>Alaska Marine Highway System</x:v>
      </x:c>
      <x:c r="C83" s="102" t="str">
        <x:v>Government ferry system</x:v>
      </x:c>
      <x:c r="D83" s="102" t="str">
        <x:v>Ketchikan / Juneau</x:v>
      </x:c>
      <x:c r="E83" s="102" t="str">
        <x:v>United States</x:v>
      </x:c>
      <x:c r="F83" s="102" t="str">
        <x:v>Alaska Department of Transportation &amp; Public Facilities</x:v>
      </x:c>
      <x:c r="G83" s="102" t="str">
        <x:v>Passenger ferry; vehicle ferry; freight; marine highway</x:v>
      </x:c>
      <x:c r="H83" s="102"/>
      <x:c r="I83" s="102"/>
      <x:c r="J83" s="102" t="str">
        <x:v>3,500-mile route network serving more than 30 coastal communities.</x:v>
      </x:c>
      <x:c r="K83" s="102" t="str">
        <x:v>Active</x:v>
      </x:c>
      <x:c r="L83" s="102" t="str">
        <x:v>SRC_0119</x:v>
      </x:c>
      <x:c r="M83" s="102" t="str">
        <x:v>2026-09-07</x:v>
      </x:c>
    </x:row>
    <x:row r="84">
      <x:c r="A84" s="102" t="str">
        <x:v>COMP_MARINE_ATLANTIC</x:v>
      </x:c>
      <x:c r="B84" s="102" t="str">
        <x:v>Marine Atlantic</x:v>
      </x:c>
      <x:c r="C84" s="102" t="str">
        <x:v>Crown corporation / ferry operator</x:v>
      </x:c>
      <x:c r="D84" s="102" t="str">
        <x:v>North Sydney</x:v>
      </x:c>
      <x:c r="E84" s="102" t="str">
        <x:v>Canada</x:v>
      </x:c>
      <x:c r="F84" s="102" t="str">
        <x:v>Canadian federal Crown corporation</x:v>
      </x:c>
      <x:c r="G84" s="102" t="str">
        <x:v>Passenger ferry; vehicle ferry; commercial freight</x:v>
      </x:c>
      <x:c r="H84" s="102"/>
      <x:c r="I84" s="102"/>
      <x:c r="J84" s="102" t="str">
        <x:v>Newfoundland-Nova Scotia ferry service with passenger and dedicated commercial capacity.</x:v>
      </x:c>
      <x:c r="K84" s="102" t="str">
        <x:v>Active</x:v>
      </x:c>
      <x:c r="L84" s="102" t="str">
        <x:v>SRC_0122</x:v>
      </x:c>
      <x:c r="M84" s="102" t="str">
        <x:v>2026-09-07</x:v>
      </x:c>
    </x:row>
    <x:row r="85">
      <x:c r="A85" s="102" t="str">
        <x:v>COMP_PO_FERRIES</x:v>
      </x:c>
      <x:c r="B85" s="102" t="str">
        <x:v>P&amp;O Ferries</x:v>
      </x:c>
      <x:c r="C85" s="102" t="str">
        <x:v>Company</x:v>
      </x:c>
      <x:c r="D85" s="102" t="str">
        <x:v>Dover</x:v>
      </x:c>
      <x:c r="E85" s="102" t="str">
        <x:v>United Kingdom</x:v>
      </x:c>
      <x:c r="F85" s="102" t="str">
        <x:v>DP World company</x:v>
      </x:c>
      <x:c r="G85" s="102" t="str">
        <x:v>Passenger ferry; Ro-Pax; freight ferry</x:v>
      </x:c>
      <x:c r="H85" s="102"/>
      <x:c r="I85" s="102"/>
      <x:c r="J85" s="102" t="str">
        <x:v>UK-Europe / Irish Sea ferry network including Dover-Calais, Hull-Rotterdam and Cairnryan-Larne.</x:v>
      </x:c>
      <x:c r="K85" s="102" t="str">
        <x:v>Active</x:v>
      </x:c>
      <x:c r="L85" s="102" t="str">
        <x:v>SRC_0125</x:v>
      </x:c>
      <x:c r="M85" s="102" t="str">
        <x:v>2026-09-07</x:v>
      </x:c>
    </x:row>
    <x:row r="86">
      <x:c r="A86" s="102" t="str">
        <x:v>COMP_DFDS</x:v>
      </x:c>
      <x:c r="B86" s="102" t="str">
        <x:v>DFDS</x:v>
      </x:c>
      <x:c r="C86" s="102" t="str">
        <x:v>Company</x:v>
      </x:c>
      <x:c r="D86" s="102" t="str">
        <x:v>Copenhagen</x:v>
      </x:c>
      <x:c r="E86" s="102" t="str">
        <x:v>Denmark</x:v>
      </x:c>
      <x:c r="F86" s="102" t="str">
        <x:v>Publicly listed</x:v>
      </x:c>
      <x:c r="G86" s="102" t="str">
        <x:v>Passenger ferry; Ro-Pax; freight ferry; logistics</x:v>
      </x:c>
      <x:c r="H86" s="102"/>
      <x:c r="I86" s="102"/>
      <x:c r="J86" s="102" t="str">
        <x:v>European ferry and freight network spanning Channel, North Sea, Baltic and Mediterranean corridors.</x:v>
      </x:c>
      <x:c r="K86" s="102" t="str">
        <x:v>Active</x:v>
      </x:c>
      <x:c r="L86" s="102" t="str">
        <x:v>SRC_0126</x:v>
      </x:c>
      <x:c r="M86" s="102" t="str">
        <x:v>2026-09-07</x:v>
      </x:c>
    </x:row>
    <x:row r="87">
      <x:c r="A87" s="102" t="str">
        <x:v>COMP_MOL_SUNFLOWER</x:v>
      </x:c>
      <x:c r="B87" s="102" t="str">
        <x:v>MOL Sunflower</x:v>
      </x:c>
      <x:c r="C87" s="102" t="str">
        <x:v>Company / ferry operator</x:v>
      </x:c>
      <x:c r="D87" s="102" t="str">
        <x:v>Tokyo / Osaka</x:v>
      </x:c>
      <x:c r="E87" s="102" t="str">
        <x:v>Japan</x:v>
      </x:c>
      <x:c r="F87" s="102" t="str">
        <x:v>Mitsui O.S.K. Lines group</x:v>
      </x:c>
      <x:c r="G87" s="102" t="str">
        <x:v>Passenger ferry; Ro-Pax; overnight freight/passenger services</x:v>
      </x:c>
      <x:c r="H87" s="102"/>
      <x:c r="I87" s="102"/>
      <x:c r="J87" s="102" t="str">
        <x:v>Japanese overnight ferry network linking Kansai-Kyushu and other domestic corridors.</x:v>
      </x:c>
      <x:c r="K87" s="102" t="str">
        <x:v>Active</x:v>
      </x:c>
      <x:c r="L87" s="102" t="str">
        <x:v>SRC_0127</x:v>
      </x:c>
      <x:c r="M87" s="102" t="str">
        <x:v>2026-09-07</x:v>
      </x:c>
    </x:row>
    <x:row r="88">
      <x:c r="A88" s="102" t="str">
        <x:v>COMP_2GO</x:v>
      </x:c>
      <x:c r="B88" s="102" t="str">
        <x:v>2GO Group / 2GO Travel</x:v>
      </x:c>
      <x:c r="C88" s="102" t="str">
        <x:v>Company</x:v>
      </x:c>
      <x:c r="D88" s="102" t="str">
        <x:v>Manila</x:v>
      </x:c>
      <x:c r="E88" s="102" t="str">
        <x:v>Philippines</x:v>
      </x:c>
      <x:c r="F88" s="102" t="str">
        <x:v>Integrated transport and logistics group</x:v>
      </x:c>
      <x:c r="G88" s="102" t="str">
        <x:v>Passenger ferry; inter-island freight; logistics</x:v>
      </x:c>
      <x:c r="H88" s="102"/>
      <x:c r="I88" s="102"/>
      <x:c r="J88" s="102" t="str">
        <x:v>Philippine inter-island ferry and logistics operator with published sailing schedules and service advisories.</x:v>
      </x:c>
      <x:c r="K88" s="102" t="str">
        <x:v>Active</x:v>
      </x:c>
      <x:c r="L88" s="102" t="str">
        <x:v>SRC_0129</x:v>
      </x:c>
      <x:c r="M88" s="102" t="str">
        <x:v>2026-09-07</x:v>
      </x:c>
    </x:row>
    <x:row r="89">
      <x:c r="A89" s="102" t="str">
        <x:v>COMP_ASDP</x:v>
      </x:c>
      <x:c r="B89" s="102" t="str">
        <x:v>PT ASDP Indonesia Ferry</x:v>
      </x:c>
      <x:c r="C89" s="102" t="str">
        <x:v>Company / state ferry operator</x:v>
      </x:c>
      <x:c r="D89" s="102" t="str">
        <x:v>Jakarta</x:v>
      </x:c>
      <x:c r="E89" s="102" t="str">
        <x:v>Indonesia</x:v>
      </x:c>
      <x:c r="F89" s="102" t="str">
        <x:v>Indonesian state-owned ferry operator</x:v>
      </x:c>
      <x:c r="G89" s="102" t="str">
        <x:v>Passenger ferry; vehicle ferry; Ro-Ro; archipelagic connectivity</x:v>
      </x:c>
      <x:c r="H89" s="102"/>
      <x:c r="I89" s="102"/>
      <x:c r="J89" s="102" t="str">
        <x:v>Large Indonesian ferry network with public vessel register and vehicle tariff classes.</x:v>
      </x:c>
      <x:c r="K89" s="102" t="str">
        <x:v>Active</x:v>
      </x:c>
      <x:c r="L89" s="102" t="str">
        <x:v>SRC_0132</x:v>
      </x:c>
      <x:c r="M89" s="102" t="str">
        <x:v>2026-09-07</x:v>
      </x:c>
    </x:row>
    <x:row r="90">
      <x:c r="A90" s="102" t="str">
        <x:v>COMP_STAR_FERRY</x:v>
      </x:c>
      <x:c r="B90" s="102" t="str">
        <x:v>The Star Ferry Company</x:v>
      </x:c>
      <x:c r="C90" s="102" t="str">
        <x:v>Company</x:v>
      </x:c>
      <x:c r="D90" s="102" t="str">
        <x:v>Hong Kong</x:v>
      </x:c>
      <x:c r="E90" s="102" t="str">
        <x:v>Hong Kong, China</x:v>
      </x:c>
      <x:c r="F90" s="102" t="str">
        <x:v>Private / franchise ferry operator</x:v>
      </x:c>
      <x:c r="G90" s="102" t="str">
        <x:v>Urban passenger ferry; harbour tours</x:v>
      </x:c>
      <x:c r="H90" s="102"/>
      <x:c r="I90" s="102"/>
      <x:c r="J90" s="102" t="str">
        <x:v>Victoria Harbour commuter and tourist ferry operator; electric-ferry procurement underway in 2026.</x:v>
      </x:c>
      <x:c r="K90" s="102" t="str">
        <x:v>Active</x:v>
      </x:c>
      <x:c r="L90" s="102" t="str">
        <x:v>SRC_0133</x:v>
      </x:c>
      <x:c r="M90" s="102" t="str">
        <x:v>2026-09-07</x:v>
      </x:c>
    </x:row>
    <x:row r="91">
      <x:c r="A91" s="102" t="str">
        <x:v>COMP_AB_MARITIME</x:v>
      </x:c>
      <x:c r="B91" s="102" t="str">
        <x:v>Arab Bridge Maritime</x:v>
      </x:c>
      <x:c r="C91" s="102" t="str">
        <x:v>Company / government joint venture</x:v>
      </x:c>
      <x:c r="D91" s="102" t="str">
        <x:v>Aqaba</x:v>
      </x:c>
      <x:c r="E91" s="102" t="str">
        <x:v>Jordan</x:v>
      </x:c>
      <x:c r="F91" s="102" t="str">
        <x:v>Jordan-Egypt-Iraq government joint venture</x:v>
      </x:c>
      <x:c r="G91" s="102" t="str">
        <x:v>Passenger ferry; vehicle ferry; freight; tourist craft</x:v>
      </x:c>
      <x:c r="H91" s="102"/>
      <x:c r="I91" s="102"/>
      <x:c r="J91" s="102" t="str">
        <x:v>Aqaba-Nuweiba / Aqaba-Taba operator linking Asian and African Red Sea gateways.</x:v>
      </x:c>
      <x:c r="K91" s="102" t="str">
        <x:v>Active</x:v>
      </x:c>
      <x:c r="L91" s="102" t="str">
        <x:v>SRC_0135</x:v>
      </x:c>
      <x:c r="M91" s="102" t="str">
        <x:v>2026-09-07</x:v>
      </x:c>
    </x:row>
    <x:row r="92">
      <x:c r="A92" s="102" t="str">
        <x:v>COMP_SEALINK_KI</x:v>
      </x:c>
      <x:c r="B92" s="102" t="str">
        <x:v>SeaLink Kangaroo Island</x:v>
      </x:c>
      <x:c r="C92" s="102" t="str">
        <x:v>Company / ferry operator</x:v>
      </x:c>
      <x:c r="D92" s="102" t="str">
        <x:v>Adelaide / Cape Jervis</x:v>
      </x:c>
      <x:c r="E92" s="102" t="str">
        <x:v>Australia</x:v>
      </x:c>
      <x:c r="F92" s="102" t="str">
        <x:v>SeaLink / Kelsian group operation</x:v>
      </x:c>
      <x:c r="G92" s="102" t="str">
        <x:v>Passenger ferry; vehicle ferry; island connectivity</x:v>
      </x:c>
      <x:c r="H92" s="102"/>
      <x:c r="I92" s="102"/>
      <x:c r="J92" s="102" t="str">
        <x:v>Cape Jervis-Penneshaw car/passenger ferry system; new-ferry transition underway in 2026.</x:v>
      </x:c>
      <x:c r="K92" s="102" t="str">
        <x:v>Active</x:v>
      </x:c>
      <x:c r="L92" s="102" t="str">
        <x:v>SRC_0139</x:v>
      </x:c>
      <x:c r="M92" s="102" t="str">
        <x:v>2026-09-07</x:v>
      </x:c>
    </x:row>
    <x:row r="93">
      <x:c r="A93" s="102" t="str">
        <x:v>COMP_FULLERS360</x:v>
      </x:c>
      <x:c r="B93" s="102" t="str">
        <x:v>Fullers360</x:v>
      </x:c>
      <x:c r="C93" s="102" t="str">
        <x:v>Company / ferry operator</x:v>
      </x:c>
      <x:c r="D93" s="102" t="str">
        <x:v>Auckland</x:v>
      </x:c>
      <x:c r="E93" s="102" t="str">
        <x:v>New Zealand</x:v>
      </x:c>
      <x:c r="F93" s="102" t="str">
        <x:v>Private ferry operator</x:v>
      </x:c>
      <x:c r="G93" s="102" t="str">
        <x:v>Urban/island passenger ferry; tourism</x:v>
      </x:c>
      <x:c r="H93" s="102"/>
      <x:c r="I93" s="102"/>
      <x:c r="J93" s="102" t="str">
        <x:v>Auckland / Hauraki Gulf passenger-ferry network including Waiheke and Rangitoto services.</x:v>
      </x:c>
      <x:c r="K93" s="102" t="str">
        <x:v>Active</x:v>
      </x:c>
      <x:c r="L93" s="102" t="str">
        <x:v>SRC_0142</x:v>
      </x:c>
      <x:c r="M93" s="102" t="str">
        <x:v>2026-09-07</x:v>
      </x:c>
    </x:row>
    <x:row r="94">
      <x:c r="A94" s="102" t="str">
        <x:v>COMP_CALMAC</x:v>
      </x:c>
      <x:c r="B94" s="102" t="str">
        <x:v>CalMac Ferries / Caledonian MacBrayne</x:v>
      </x:c>
      <x:c r="C94" s="102" t="str">
        <x:v>Company / public-service ferry operator</x:v>
      </x:c>
      <x:c r="D94" s="102" t="str">
        <x:v>Gourock</x:v>
      </x:c>
      <x:c r="E94" s="102" t="str">
        <x:v>United Kingdom</x:v>
      </x:c>
      <x:c r="F94" s="102" t="str">
        <x:v>Scottish public-service ferry network</x:v>
      </x:c>
      <x:c r="G94" s="102" t="str">
        <x:v>Passenger ferry; vehicle ferry; island connectivity</x:v>
      </x:c>
      <x:c r="H94" s="102"/>
      <x:c r="I94" s="102"/>
      <x:c r="J94" s="102" t="str">
        <x:v>Scottish west-coast ferry network with monthly route reliability and punctuality reporting.</x:v>
      </x:c>
      <x:c r="K94" s="102" t="str">
        <x:v>Active</x:v>
      </x:c>
      <x:c r="L94" s="102" t="str">
        <x:v>SRC_0144</x:v>
      </x:c>
      <x:c r="M94" s="102" t="str">
        <x:v>2026-09-07</x:v>
      </x:c>
    </x:row>
    <x:row r="95">
      <x:c r="A95" s="102" t="str">
        <x:v>COMP_CSL_GROUP</x:v>
      </x:c>
      <x:c r="B95" s="102" t="str">
        <x:v>The CSL Group</x:v>
      </x:c>
      <x:c r="C95" s="102" t="str">
        <x:v>Company</x:v>
      </x:c>
      <x:c r="D95" s="102" t="str">
        <x:v>Montreal</x:v>
      </x:c>
      <x:c r="E95" s="102" t="str">
        <x:v>Canada</x:v>
      </x:c>
      <x:c r="F95" s="102" t="str">
        <x:v>Private</x:v>
      </x:c>
      <x:c r="G95" s="102" t="str">
        <x:v>Dry bulk shipping; self-unloaders; transhipment; cement; MPP; offshore marine logistics</x:v>
      </x:c>
      <x:c r="H95" s="102" t="str">
        <x:v>Louis Martel</x:v>
      </x:c>
      <x:c r="I95" s="102" t="str">
        <x:v>President &amp; CEO</x:v>
      </x:c>
      <x:c r="J95" s="102" t="str">
        <x:v>Global group with regional divisions in Canada, Americas, Australia/Asia, Europe and Africa; current site states 99-vessel global fleet.</x:v>
      </x:c>
      <x:c r="K95" s="102" t="str">
        <x:v>Active</x:v>
      </x:c>
      <x:c r="L95" s="102" t="str">
        <x:v>SRC_0152</x:v>
      </x:c>
      <x:c r="M95" s="102" t="str">
        <x:v>2026-09-07</x:v>
      </x:c>
    </x:row>
    <x:row r="96">
      <x:c r="A96" s="102" t="str">
        <x:v>COMP_CSL_CANADA</x:v>
      </x:c>
      <x:c r="B96" s="102" t="str">
        <x:v>Canada Steamship Lines</x:v>
      </x:c>
      <x:c r="C96" s="102" t="str">
        <x:v>Business division</x:v>
      </x:c>
      <x:c r="D96" s="102" t="str">
        <x:v>Montreal</x:v>
      </x:c>
      <x:c r="E96" s="102" t="str">
        <x:v>Canada</x:v>
      </x:c>
      <x:c r="F96" s="102" t="str">
        <x:v>The CSL Group</x:v>
      </x:c>
      <x:c r="G96" s="102" t="str">
        <x:v>Great Lakes/St. Lawrence self-unloaders; bulk carriers</x:v>
      </x:c>
      <x:c r="H96" s="102" t="str">
        <x:v>Jeremy Whitworth</x:v>
      </x:c>
      <x:c r="I96" s="102" t="str">
        <x:v>VP Commercial, Canada</x:v>
      </x:c>
      <x:c r="J96" s="102" t="str">
        <x:v>Canadian-flag Great Lakes/St. Lawrence division of CSL.</x:v>
      </x:c>
      <x:c r="K96" s="102" t="str">
        <x:v>Active</x:v>
      </x:c>
      <x:c r="L96" s="102" t="str">
        <x:v>SRC_0152</x:v>
      </x:c>
      <x:c r="M96" s="102" t="str">
        <x:v>2026-09-07</x:v>
      </x:c>
    </x:row>
    <x:row r="97">
      <x:c r="A97" s="102" t="str">
        <x:v>COMP_CSL_AUSTRALIA</x:v>
      </x:c>
      <x:c r="B97" s="102" t="str">
        <x:v>CSL Australia</x:v>
      </x:c>
      <x:c r="C97" s="102" t="str">
        <x:v>Business division</x:v>
      </x:c>
      <x:c r="D97" s="102" t="str">
        <x:v>Sydney</x:v>
      </x:c>
      <x:c r="E97" s="102" t="str">
        <x:v>Australia</x:v>
      </x:c>
      <x:c r="F97" s="102" t="str">
        <x:v>The CSL Group</x:v>
      </x:c>
      <x:c r="G97" s="102" t="str">
        <x:v>Coastal dry bulk; self-unloaders; cement carriers; transhippers</x:v>
      </x:c>
      <x:c r="H97" s="102" t="str">
        <x:v>Daniel Wilson</x:v>
      </x:c>
      <x:c r="I97" s="102" t="str">
        <x:v>VP Commercial, CSL Australia</x:v>
      </x:c>
      <x:c r="J97" s="102" t="str">
        <x:v>Largest owner/operator of dry-bulk coastal vessels in Australian waters per CSL; also operates across Australia/Asia.</x:v>
      </x:c>
      <x:c r="K97" s="102" t="str">
        <x:v>Active</x:v>
      </x:c>
      <x:c r="L97" s="102" t="str">
        <x:v>SRC_0152</x:v>
      </x:c>
      <x:c r="M97" s="102" t="str">
        <x:v>2026-09-07</x:v>
      </x:c>
    </x:row>
    <x:row r="98">
      <x:c r="A98" s="102" t="str">
        <x:v>COMP_CSL_AMERICAS</x:v>
      </x:c>
      <x:c r="B98" s="102" t="str">
        <x:v>CSL Americas</x:v>
      </x:c>
      <x:c r="C98" s="102" t="str">
        <x:v>Business division</x:v>
      </x:c>
      <x:c r="D98" s="102" t="str">
        <x:v>Boston</x:v>
      </x:c>
      <x:c r="E98" s="102" t="str">
        <x:v>United States</x:v>
      </x:c>
      <x:c r="F98" s="102" t="str">
        <x:v>The CSL Group</x:v>
      </x:c>
      <x:c r="G98" s="102" t="str">
        <x:v>Self-unloading and transhipment across Americas/Caribbean/Africa</x:v>
      </x:c>
      <x:c r="H98" s="102" t="str">
        <x:v>Henrik Friis</x:v>
      </x:c>
      <x:c r="I98" s="102" t="str">
        <x:v>VP Commercial, CSL Americas and Pool</x:v>
      </x:c>
      <x:c r="J98" s="102" t="str">
        <x:v>Commercial footprint across North, South and Central America, Caribbean and Africa.</x:v>
      </x:c>
      <x:c r="K98" s="102" t="str">
        <x:v>Active</x:v>
      </x:c>
      <x:c r="L98" s="102" t="str">
        <x:v>SRC_0152</x:v>
      </x:c>
      <x:c r="M98" s="102" t="str">
        <x:v>2026-09-07</x:v>
      </x:c>
    </x:row>
    <x:row r="99">
      <x:c r="A99" s="102" t="str">
        <x:v>COMP_ALGOMA</x:v>
      </x:c>
      <x:c r="B99" s="102" t="str">
        <x:v>Algoma Central Corporation</x:v>
      </x:c>
      <x:c r="C99" s="102" t="str">
        <x:v>Company</x:v>
      </x:c>
      <x:c r="D99" s="102" t="str">
        <x:v>St. Catharines</x:v>
      </x:c>
      <x:c r="E99" s="102" t="str">
        <x:v>Canada</x:v>
      </x:c>
      <x:c r="F99" s="102" t="str">
        <x:v>Publicly listed</x:v>
      </x:c>
      <x:c r="G99" s="102" t="str">
        <x:v>Great Lakes/St. Lawrence dry bulk; tankers; international self-unloaders; joint ventures</x:v>
      </x:c>
      <x:c r="H99" s="102"/>
      <x:c r="I99" s="102"/>
      <x:c r="J99" s="102" t="str">
        <x:v>Canadian-flag Great Lakes/St. Lawrence fleet plus international ocean self-unloaders; 50% interest in NovaAlgoma and international joint ventures.</x:v>
      </x:c>
      <x:c r="K99" s="102" t="str">
        <x:v>Active</x:v>
      </x:c>
      <x:c r="L99" s="102" t="str">
        <x:v>SRC_0155</x:v>
      </x:c>
      <x:c r="M99" s="102" t="str">
        <x:v>2026-09-07</x:v>
      </x:c>
    </x:row>
    <x:row r="100">
      <x:c r="A100" s="102" t="str">
        <x:v>COMP_INTERLAKE</x:v>
      </x:c>
      <x:c r="B100" s="102" t="str">
        <x:v>The Interlake Steamship Company</x:v>
      </x:c>
      <x:c r="C100" s="102" t="str">
        <x:v>Company</x:v>
      </x:c>
      <x:c r="D100" s="102" t="str">
        <x:v>Middleburg Heights, Ohio</x:v>
      </x:c>
      <x:c r="E100" s="102" t="str">
        <x:v>United States</x:v>
      </x:c>
      <x:c r="F100" s="102" t="str">
        <x:v>Family-owned</x:v>
      </x:c>
      <x:c r="G100" s="102" t="str">
        <x:v>Great Lakes self-unloading bulk shipping</x:v>
      </x:c>
      <x:c r="H100" s="102"/>
      <x:c r="I100" s="102"/>
      <x:c r="J100" s="102" t="str">
        <x:v>2026 season source states full fleet of 11 commercial vessels and 20m+ tons of annual cargo.</x:v>
      </x:c>
      <x:c r="K100" s="102" t="str">
        <x:v>Active</x:v>
      </x:c>
      <x:c r="L100" s="102" t="str">
        <x:v>SRC_0157</x:v>
      </x:c>
      <x:c r="M100" s="102" t="str">
        <x:v>2026-09-07</x:v>
      </x:c>
    </x:row>
    <x:row r="101">
      <x:c r="A101" s="102" t="str">
        <x:v>COMP_CN</x:v>
      </x:c>
      <x:c r="B101" s="102" t="str">
        <x:v>Canadian National Railway / CN</x:v>
      </x:c>
      <x:c r="C101" s="102" t="str">
        <x:v>Company</x:v>
      </x:c>
      <x:c r="D101" s="102" t="str">
        <x:v>Montreal</x:v>
      </x:c>
      <x:c r="E101" s="102" t="str">
        <x:v>Canada</x:v>
      </x:c>
      <x:c r="F101" s="102" t="str">
        <x:v>Publicly listed</x:v>
      </x:c>
      <x:c r="G101" s="102" t="str">
        <x:v>Rail; intermodal; marine / Great Lakes Fleet</x:v>
      </x:c>
      <x:c r="H101" s="102"/>
      <x:c r="I101" s="102"/>
      <x:c r="J101" s="102" t="str">
        <x:v>Parent transport network connected to Great Lakes Fleet and multiple Great Lakes ports.</x:v>
      </x:c>
      <x:c r="K101" s="102" t="str">
        <x:v>Active</x:v>
      </x:c>
      <x:c r="L101" s="102" t="str">
        <x:v>SRC_0158</x:v>
      </x:c>
      <x:c r="M101" s="102" t="str">
        <x:v>2026-09-07</x:v>
      </x:c>
    </x:row>
    <x:row r="102">
      <x:c r="A102" s="102" t="str">
        <x:v>COMP_GREAT_LAKES_FLEET</x:v>
      </x:c>
      <x:c r="B102" s="102" t="str">
        <x:v>Great Lakes Fleet</x:v>
      </x:c>
      <x:c r="C102" s="102" t="str">
        <x:v>Business unit / fleet</x:v>
      </x:c>
      <x:c r="D102" s="102" t="str">
        <x:v>Duluth / Great Lakes</x:v>
      </x:c>
      <x:c r="E102" s="102" t="str">
        <x:v>United States</x:v>
      </x:c>
      <x:c r="F102" s="102" t="str">
        <x:v>CN</x:v>
      </x:c>
      <x:c r="G102" s="102" t="str">
        <x:v>Great Lakes self-unloading bulk shipping</x:v>
      </x:c>
      <x:c r="H102" s="102"/>
      <x:c r="I102" s="102"/>
      <x:c r="J102" s="102" t="str">
        <x:v>CN marine fleet carrying iron ore, limestone, coal and specialty bulk commodities with direct rail connectivity.</x:v>
      </x:c>
      <x:c r="K102" s="102" t="str">
        <x:v>Active</x:v>
      </x:c>
      <x:c r="L102" s="102" t="str">
        <x:v>SRC_0158</x:v>
      </x:c>
      <x:c r="M102" s="102" t="str">
        <x:v>2026-09-07</x:v>
      </x:c>
    </x:row>
    <x:row r="103">
      <x:c r="A103" s="102" t="str">
        <x:v>COMP_FEDNAV</x:v>
      </x:c>
      <x:c r="B103" s="102" t="str">
        <x:v>Fednav</x:v>
      </x:c>
      <x:c r="C103" s="102" t="str">
        <x:v>Company</x:v>
      </x:c>
      <x:c r="D103" s="102" t="str">
        <x:v>Montreal</x:v>
      </x:c>
      <x:c r="E103" s="102" t="str">
        <x:v>Canada</x:v>
      </x:c>
      <x:c r="F103" s="102" t="str">
        <x:v>Private</x:v>
      </x:c>
      <x:c r="G103" s="102" t="str">
        <x:v>Dry bulk shipping; ice-class vessels; Great Lakes/Seaway and global</x:v>
      </x:c>
      <x:c r="H103" s="102"/>
      <x:c r="I103" s="102"/>
      <x:c r="J103" s="102" t="str">
        <x:v>Operates 130+ dry-bulk carriers and 900+ voyages per year across the Seaway and global waters.</x:v>
      </x:c>
      <x:c r="K103" s="102" t="str">
        <x:v>Active</x:v>
      </x:c>
      <x:c r="L103" s="102" t="str">
        <x:v>SRC_0159</x:v>
      </x:c>
      <x:c r="M103" s="102" t="str">
        <x:v>2026-09-07</x:v>
      </x:c>
    </x:row>
    <x:row r="104">
      <x:c r="A104" s="102" t="str">
        <x:v>COMP_MCKEIL</x:v>
      </x:c>
      <x:c r="B104" s="102" t="str">
        <x:v>McKeil Marine</x:v>
      </x:c>
      <x:c r="C104" s="102" t="str">
        <x:v>Company</x:v>
      </x:c>
      <x:c r="D104" s="102" t="str">
        <x:v>Burlington</x:v>
      </x:c>
      <x:c r="E104" s="102" t="str">
        <x:v>Canada</x:v>
      </x:c>
      <x:c r="F104" s="102" t="str">
        <x:v>Private</x:v>
      </x:c>
      <x:c r="G104" s="102" t="str">
        <x:v>Bulk carriers; tankers; tugs; barges; workboats; project marine</x:v>
      </x:c>
      <x:c r="H104" s="102"/>
      <x:c r="I104" s="102"/>
      <x:c r="J104" s="102" t="str">
        <x:v>Great Lakes/St. Lawrence, East Coast and Canadian Arctic operator.</x:v>
      </x:c>
      <x:c r="K104" s="102" t="str">
        <x:v>Active</x:v>
      </x:c>
      <x:c r="L104" s="102" t="str">
        <x:v>SRC_0160</x:v>
      </x:c>
      <x:c r="M104" s="102" t="str">
        <x:v>2026-09-07</x:v>
      </x:c>
    </x:row>
    <x:row r="105">
      <x:c r="A105" s="102" t="str">
        <x:v>COMP_MAINSTAY</x:v>
      </x:c>
      <x:c r="B105" s="102" t="str">
        <x:v>Mainstay Maritime</x:v>
      </x:c>
      <x:c r="C105" s="102" t="str">
        <x:v>Company</x:v>
      </x:c>
      <x:c r="D105" s="102" t="str">
        <x:v>Williamsville, New York</x:v>
      </x:c>
      <x:c r="E105" s="102" t="str">
        <x:v>United States</x:v>
      </x:c>
      <x:c r="F105" s="102" t="str">
        <x:v>Private / investment-owned</x:v>
      </x:c>
      <x:c r="G105" s="102" t="str">
        <x:v>Great Lakes bulk freight; liquid bulk; ship repair; logistics</x:v>
      </x:c>
      <x:c r="H105" s="102" t="str">
        <x:v>Greg Binion</x:v>
      </x:c>
      <x:c r="I105" s="102" t="str">
        <x:v>Chief Executive Officer</x:v>
      </x:c>
      <x:c r="J105" s="102" t="str">
        <x:v>Current Great Lakes marine group with American Steamship Company, Grand River Navigation, Andrie and ship-repair/logistics assets.</x:v>
      </x:c>
      <x:c r="K105" s="102" t="str">
        <x:v>Active</x:v>
      </x:c>
      <x:c r="L105" s="102" t="str">
        <x:v>SRC_0161</x:v>
      </x:c>
      <x:c r="M105" s="102" t="str">
        <x:v>2026-09-07</x:v>
      </x:c>
    </x:row>
    <x:row r="106">
      <x:c r="A106" s="102" t="str">
        <x:v>COMP_ASC</x:v>
      </x:c>
      <x:c r="B106" s="102" t="str">
        <x:v>American Steamship Company</x:v>
      </x:c>
      <x:c r="C106" s="102" t="str">
        <x:v>Company</x:v>
      </x:c>
      <x:c r="D106" s="102" t="str">
        <x:v>Williamsville, New York</x:v>
      </x:c>
      <x:c r="E106" s="102" t="str">
        <x:v>United States</x:v>
      </x:c>
      <x:c r="F106" s="102" t="str">
        <x:v>Mainstay Maritime subsidiary</x:v>
      </x:c>
      <x:c r="G106" s="102" t="str">
        <x:v>Great Lakes self-unloading bulk shipping</x:v>
      </x:c>
      <x:c r="H106" s="102"/>
      <x:c r="I106" s="102"/>
      <x:c r="J106" s="102" t="str">
        <x:v>Great Lakes operator founded in 1907; current Mainstay subsidiary.</x:v>
      </x:c>
      <x:c r="K106" s="102" t="str">
        <x:v>Active</x:v>
      </x:c>
      <x:c r="L106" s="102" t="str">
        <x:v>SRC_0161</x:v>
      </x:c>
      <x:c r="M106" s="102" t="str">
        <x:v>2026-09-07</x:v>
      </x:c>
    </x:row>
    <x:row r="107">
      <x:c r="A107" s="102" t="str">
        <x:v>COMP_GRN</x:v>
      </x:c>
      <x:c r="B107" s="102" t="str">
        <x:v>Grand River Navigation</x:v>
      </x:c>
      <x:c r="C107" s="102" t="str">
        <x:v>Company</x:v>
      </x:c>
      <x:c r="D107" s="102" t="str">
        <x:v>Traverse City, Michigan</x:v>
      </x:c>
      <x:c r="E107" s="102" t="str">
        <x:v>United States</x:v>
      </x:c>
      <x:c r="F107" s="102" t="str">
        <x:v>Mainstay Maritime operating company</x:v>
      </x:c>
      <x:c r="G107" s="102" t="str">
        <x:v>Great Lakes bulk shipping</x:v>
      </x:c>
      <x:c r="H107" s="102"/>
      <x:c r="I107" s="102"/>
      <x:c r="J107" s="102" t="str">
        <x:v>U.S. Jones Act Great Lakes operator within Mainstay Maritime.</x:v>
      </x:c>
      <x:c r="K107" s="102" t="str">
        <x:v>Active</x:v>
      </x:c>
      <x:c r="L107" s="102" t="str">
        <x:v>SRC_0162</x:v>
      </x:c>
      <x:c r="M107" s="102" t="str">
        <x:v>2026-09-07</x:v>
      </x:c>
    </x:row>
    <x:row r="108">
      <x:c r="A108" s="102" t="str">
        <x:v>COMP_ANDRIE</x:v>
      </x:c>
      <x:c r="B108" s="102" t="str">
        <x:v>Andrie</x:v>
      </x:c>
      <x:c r="C108" s="102" t="str">
        <x:v>Company</x:v>
      </x:c>
      <x:c r="D108" s="102" t="str">
        <x:v>Muskegon, Michigan</x:v>
      </x:c>
      <x:c r="E108" s="102" t="str">
        <x:v>United States</x:v>
      </x:c>
      <x:c r="F108" s="102" t="str">
        <x:v>Mainstay Maritime operating company</x:v>
      </x:c>
      <x:c r="G108" s="102" t="str">
        <x:v>Great Lakes liquid bulk / tank barge operations</x:v>
      </x:c>
      <x:c r="H108" s="102"/>
      <x:c r="I108" s="102"/>
      <x:c r="J108" s="102" t="str">
        <x:v>Mainstay acquired Andrie in 2024, adding liquid-bulk transport to its Great Lakes portfolio.</x:v>
      </x:c>
      <x:c r="K108" s="102" t="str">
        <x:v>Active</x:v>
      </x:c>
      <x:c r="L108" s="102" t="str">
        <x:v>SRC_0161</x:v>
      </x:c>
      <x:c r="M108" s="102" t="str">
        <x:v>2026-09-07</x:v>
      </x:c>
    </x:row>
    <x:row r="109">
      <x:c r="A109" s="102" t="str">
        <x:v>COMP_VICTORY_CRUISE</x:v>
      </x:c>
      <x:c r="B109" s="102" t="str">
        <x:v>Victory Cruise Lines</x:v>
      </x:c>
      <x:c r="C109" s="102" t="str">
        <x:v>Cruise company</x:v>
      </x:c>
      <x:c r="D109" s="102"/>
      <x:c r="E109" s="102" t="str">
        <x:v>United States</x:v>
      </x:c>
      <x:c r="F109" s="102" t="str">
        <x:v>Private cruise operator</x:v>
      </x:c>
      <x:c r="G109" s="102" t="str">
        <x:v>Great Lakes / St. Lawrence small-ship cruise</x:v>
      </x:c>
      <x:c r="H109" s="102"/>
      <x:c r="I109" s="102"/>
      <x:c r="J109" s="102" t="str">
        <x:v>Victory I and Victory II operate Great Lakes itineraries in 2026.</x:v>
      </x:c>
      <x:c r="K109" s="102" t="str">
        <x:v>Active</x:v>
      </x:c>
      <x:c r="L109" s="102" t="str">
        <x:v>SRC_0164</x:v>
      </x:c>
      <x:c r="M109" s="102" t="str">
        <x:v>2026-09-07</x:v>
      </x:c>
    </x:row>
    <x:row r="110">
      <x:c r="A110" s="102" t="str">
        <x:v>COMP_PEARL_SEAS</x:v>
      </x:c>
      <x:c r="B110" s="102" t="str">
        <x:v>Pearl Seas Cruises</x:v>
      </x:c>
      <x:c r="C110" s="102" t="str">
        <x:v>Cruise company</x:v>
      </x:c>
      <x:c r="D110" s="102" t="str">
        <x:v>Guilford, Connecticut</x:v>
      </x:c>
      <x:c r="E110" s="102" t="str">
        <x:v>United States</x:v>
      </x:c>
      <x:c r="F110" s="102" t="str">
        <x:v>Private cruise operator</x:v>
      </x:c>
      <x:c r="G110" s="102" t="str">
        <x:v>Great Lakes / St. Lawrence small-ship cruise</x:v>
      </x:c>
      <x:c r="H110" s="102" t="str">
        <x:v>Carter Robertson</x:v>
      </x:c>
      <x:c r="I110" s="102" t="str">
        <x:v>President</x:v>
      </x:c>
      <x:c r="J110" s="102" t="str">
        <x:v>Pearl Mist operates the company's 2026 Great Lakes season.</x:v>
      </x:c>
      <x:c r="K110" s="102" t="str">
        <x:v>Active</x:v>
      </x:c>
      <x:c r="L110" s="102" t="str">
        <x:v>SRC_0165</x:v>
      </x:c>
      <x:c r="M110" s="102" t="str">
        <x:v>2026-09-07</x:v>
      </x:c>
    </x:row>
    <x:row r="111">
      <x:c r="A111" s="102" t="str">
        <x:v>COMP_VIKING</x:v>
      </x:c>
      <x:c r="B111" s="102" t="str">
        <x:v>Viking</x:v>
      </x:c>
      <x:c r="C111" s="102" t="str">
        <x:v>Cruise company</x:v>
      </x:c>
      <x:c r="D111" s="102"/>
      <x:c r="E111" s="102"/>
      <x:c r="F111" s="102" t="str">
        <x:v>Private cruise operator</x:v>
      </x:c>
      <x:c r="G111" s="102" t="str">
        <x:v>Expedition and ocean cruising; Great Lakes</x:v>
      </x:c>
      <x:c r="H111" s="102"/>
      <x:c r="I111" s="102"/>
      <x:c r="J111" s="102" t="str">
        <x:v>Operates Great Lakes expedition itineraries traversing the Soo Locks and multiple U.S./Canadian ports.</x:v>
      </x:c>
      <x:c r="K111" s="102" t="str">
        <x:v>Active</x:v>
      </x:c>
      <x:c r="L111" s="102" t="str">
        <x:v>SRC_0166</x:v>
      </x:c>
      <x:c r="M111" s="102" t="str">
        <x:v>2026-09-07</x:v>
      </x:c>
    </x:row>
    <x:row r="112">
      <x:c r="A112" s="102" t="str">
        <x:v>COMP_PONANT</x:v>
      </x:c>
      <x:c r="B112" s="102" t="str">
        <x:v>Ponant</x:v>
      </x:c>
      <x:c r="C112" s="102" t="str">
        <x:v>Cruise company</x:v>
      </x:c>
      <x:c r="D112" s="102"/>
      <x:c r="E112" s="102" t="str">
        <x:v>France</x:v>
      </x:c>
      <x:c r="F112" s="102" t="str">
        <x:v>Cruise operator</x:v>
      </x:c>
      <x:c r="G112" s="102" t="str">
        <x:v>Expedition cruise</x:v>
      </x:c>
      <x:c r="H112" s="102"/>
      <x:c r="I112" s="102"/>
      <x:c r="J112" s="102" t="str">
        <x:v>One of seven cruise lines scheduled for the Great Lakes in 2026.</x:v>
      </x:c>
      <x:c r="K112" s="102" t="str">
        <x:v>Active</x:v>
      </x:c>
      <x:c r="L112" s="102" t="str">
        <x:v>SRC_0163</x:v>
      </x:c>
      <x:c r="M112" s="102" t="str">
        <x:v>2026-09-07</x:v>
      </x:c>
    </x:row>
    <x:row r="113">
      <x:c r="A113" s="102" t="str">
        <x:v>COMP_HAPAG_LLOYD_CRUISES</x:v>
      </x:c>
      <x:c r="B113" s="102" t="str">
        <x:v>Hapag-Lloyd Cruises</x:v>
      </x:c>
      <x:c r="C113" s="102" t="str">
        <x:v>Cruise company</x:v>
      </x:c>
      <x:c r="D113" s="102"/>
      <x:c r="E113" s="102" t="str">
        <x:v>Germany</x:v>
      </x:c>
      <x:c r="F113" s="102" t="str">
        <x:v>Cruise operator</x:v>
      </x:c>
      <x:c r="G113" s="102" t="str">
        <x:v>Expedition cruise</x:v>
      </x:c>
      <x:c r="H113" s="102"/>
      <x:c r="I113" s="102"/>
      <x:c r="J113" s="102" t="str">
        <x:v>Hanseatic Inspiration scheduled in the Great Lakes/St. Lawrence in 2026.</x:v>
      </x:c>
      <x:c r="K113" s="102" t="str">
        <x:v>Active</x:v>
      </x:c>
      <x:c r="L113" s="102" t="str">
        <x:v>SRC_0163</x:v>
      </x:c>
      <x:c r="M113" s="102" t="str">
        <x:v>2026-09-07</x:v>
      </x:c>
    </x:row>
    <x:row r="114">
      <x:c r="A114" s="102" t="str">
        <x:v>COMP_AMERICAN_CRUISE</x:v>
      </x:c>
      <x:c r="B114" s="102" t="str">
        <x:v>American Cruise Lines</x:v>
      </x:c>
      <x:c r="C114" s="102" t="str">
        <x:v>Cruise company</x:v>
      </x:c>
      <x:c r="D114" s="102"/>
      <x:c r="E114" s="102" t="str">
        <x:v>United States</x:v>
      </x:c>
      <x:c r="F114" s="102" t="str">
        <x:v>Cruise operator</x:v>
      </x:c>
      <x:c r="G114" s="102" t="str">
        <x:v>U.S. small-ship cruise</x:v>
      </x:c>
      <x:c r="H114" s="102"/>
      <x:c r="I114" s="102"/>
      <x:c r="J114" s="102" t="str">
        <x:v>Entered Great Lakes market in 2026 with American Patriot.</x:v>
      </x:c>
      <x:c r="K114" s="102" t="str">
        <x:v>Active</x:v>
      </x:c>
      <x:c r="L114" s="102" t="str">
        <x:v>SRC_0163</x:v>
      </x:c>
      <x:c r="M114" s="102" t="str">
        <x:v>2026-09-07</x:v>
      </x:c>
    </x:row>
    <x:row r="115">
      <x:c r="A115" s="102" t="str">
        <x:v>COMP_ST_LAWRENCE_CRUISE</x:v>
      </x:c>
      <x:c r="B115" s="102" t="str">
        <x:v>St. Lawrence Cruise Lines</x:v>
      </x:c>
      <x:c r="C115" s="102" t="str">
        <x:v>Cruise company</x:v>
      </x:c>
      <x:c r="D115" s="102"/>
      <x:c r="E115" s="102" t="str">
        <x:v>Canada</x:v>
      </x:c>
      <x:c r="F115" s="102" t="str">
        <x:v>Cruise operator</x:v>
      </x:c>
      <x:c r="G115" s="102" t="str">
        <x:v>St. Lawrence / Great Lakes small-ship cruise</x:v>
      </x:c>
      <x:c r="H115" s="102"/>
      <x:c r="I115" s="102"/>
      <x:c r="J115" s="102" t="str">
        <x:v>Canadian Empress scheduled in the 2026 Great Lakes/St. Lawrence market.</x:v>
      </x:c>
      <x:c r="K115" s="102" t="str">
        <x:v>Active</x:v>
      </x:c>
      <x:c r="L115" s="102" t="str">
        <x:v>SRC_0163</x:v>
      </x:c>
      <x:c r="M115" s="102" t="str">
        <x:v>2026-09-07</x:v>
      </x:c>
    </x:row>
    <x:row r="116">
      <x:c r="A116" s="102" t="str">
        <x:v>COMP_EUREKA_SHIPPING</x:v>
      </x:c>
      <x:c r="B116" s="102" t="str">
        <x:v>Eureka Shipping</x:v>
      </x:c>
      <x:c r="C116" s="102" t="str">
        <x:v>Joint venture / vessel owner</x:v>
      </x:c>
      <x:c r="D116" s="102"/>
      <x:c r="E116" s="102"/>
      <x:c r="F116" s="102" t="str">
        <x:v>CSL + SMT Shipping joint venture</x:v>
      </x:c>
      <x:c r="G116" s="102" t="str">
        <x:v>Cement carriers</x:v>
      </x:c>
      <x:c r="H116" s="102"/>
      <x:c r="I116" s="102"/>
      <x:c r="J116" s="102" t="str">
        <x:v>Owns Tamarack; CSL manages the vessel through its Canadian division.</x:v>
      </x:c>
      <x:c r="K116" s="102" t="str">
        <x:v>Active</x:v>
      </x:c>
      <x:c r="L116" s="102" t="str">
        <x:v>SRC_0168</x:v>
      </x:c>
      <x:c r="M116" s="102" t="str">
        <x:v>2026-09-07</x:v>
      </x:c>
    </x:row>
    <x:row r="117">
      <x:c r="A117" s="102" t="str">
        <x:v>COMP_SMT_SHIPPING</x:v>
      </x:c>
      <x:c r="B117" s="102" t="str">
        <x:v>SMT Shipping</x:v>
      </x:c>
      <x:c r="C117" s="102" t="str">
        <x:v>Company</x:v>
      </x:c>
      <x:c r="D117" s="102"/>
      <x:c r="E117" s="102"/>
      <x:c r="F117" s="102" t="str">
        <x:v>Private</x:v>
      </x:c>
      <x:c r="G117" s="102" t="str">
        <x:v>Dry bulk; cement shipping</x:v>
      </x:c>
      <x:c r="H117" s="102"/>
      <x:c r="I117" s="102"/>
      <x:c r="J117" s="102" t="str">
        <x:v>Joint-venture partner with CSL in Eureka Shipping.</x:v>
      </x:c>
      <x:c r="K117" s="102" t="str">
        <x:v>Active</x:v>
      </x:c>
      <x:c r="L117" s="102" t="str">
        <x:v>SRC_0168</x:v>
      </x:c>
      <x:c r="M117" s="102" t="str">
        <x:v>2026-09-07</x:v>
      </x:c>
    </x:row>
    <x:row r="118">
      <x:c r="A118" s="102" t="str">
        <x:v>COMP_ALGOMA_TANKERS</x:v>
      </x:c>
      <x:c r="B118" s="102" t="str">
        <x:v>Algoma Tankers Chartering Limited</x:v>
      </x:c>
      <x:c r="C118" s="102" t="str">
        <x:v>Company / operator</x:v>
      </x:c>
      <x:c r="D118" s="102"/>
      <x:c r="E118" s="102" t="str">
        <x:v>Canada</x:v>
      </x:c>
      <x:c r="F118" s="102" t="str">
        <x:v>Algoma-associated operator</x:v>
      </x:c>
      <x:c r="G118" s="102" t="str">
        <x:v>Product / chemical tankers</x:v>
      </x:c>
      <x:c r="H118" s="102"/>
      <x:c r="I118" s="102"/>
      <x:c r="J118" s="102" t="str">
        <x:v>Manager/operator named on Algoma East Coast specification sheet.</x:v>
      </x:c>
      <x:c r="K118" s="102" t="str">
        <x:v>Active</x:v>
      </x:c>
      <x:c r="L118" s="102" t="str">
        <x:v>SRC_0171</x:v>
      </x:c>
      <x:c r="M118" s="102" t="str">
        <x:v>2026-09-07</x:v>
      </x:c>
    </x:row>
    <x:row r="119">
      <x:c r="A119" s="102" t="str">
        <x:v>COMP_FUNDY_TANKERS</x:v>
      </x:c>
      <x:c r="B119" s="102" t="str">
        <x:v>Fundy Tankers Ltd.</x:v>
      </x:c>
      <x:c r="C119" s="102" t="str">
        <x:v>Vessel-owning company</x:v>
      </x:c>
      <x:c r="D119" s="102"/>
      <x:c r="E119" s="102" t="str">
        <x:v>Canada</x:v>
      </x:c>
      <x:c r="F119" s="102" t="str">
        <x:v>Vessel-owning entity</x:v>
      </x:c>
      <x:c r="G119" s="102" t="str">
        <x:v>Product / chemical tankers</x:v>
      </x:c>
      <x:c r="H119" s="102"/>
      <x:c r="I119" s="102"/>
      <x:c r="J119" s="102" t="str">
        <x:v>Registered owner shown for Algoma East Coast; wider control relationship remains to be separately verified.</x:v>
      </x:c>
      <x:c r="K119" s="102" t="str">
        <x:v>Active</x:v>
      </x:c>
      <x:c r="L119" s="102" t="str">
        <x:v>SRC_0172</x:v>
      </x:c>
      <x:c r="M119" s="102" t="str">
        <x:v>2026-09-07</x:v>
      </x:c>
    </x:row>
    <x:row r="120">
      <x:c r="A120" s="102" t="str">
        <x:v>COMP_LOWER_LAKES</x:v>
      </x:c>
      <x:c r="B120" s="102" t="str">
        <x:v>Lower Lakes Towing</x:v>
      </x:c>
      <x:c r="C120" s="102" t="str">
        <x:v>Company</x:v>
      </x:c>
      <x:c r="D120" s="102"/>
      <x:c r="E120" s="102" t="str">
        <x:v>Canada</x:v>
      </x:c>
      <x:c r="F120" s="102"/>
      <x:c r="G120" s="102" t="str">
        <x:v>Great Lakes bulk shipping</x:v>
      </x:c>
      <x:c r="H120" s="102"/>
      <x:c r="I120" s="102"/>
      <x:c r="J120" s="102" t="str">
        <x:v>Great Lakes operator appearing in Michigan regulator records.</x:v>
      </x:c>
      <x:c r="K120" s="102" t="str">
        <x:v>Active</x:v>
      </x:c>
      <x:c r="L120" s="102" t="str">
        <x:v>SRC_0167</x:v>
      </x:c>
      <x:c r="M120" s="102" t="str">
        <x:v>2026-09-07</x:v>
      </x:c>
    </x:row>
    <x:row r="121">
      <x:c r="A121" s="102" t="str">
        <x:v>COMP_KEY_LAKES</x:v>
      </x:c>
      <x:c r="B121" s="102" t="str">
        <x:v>Key Lakes, Inc.</x:v>
      </x:c>
      <x:c r="C121" s="102" t="str">
        <x:v>Company / vessel operator</x:v>
      </x:c>
      <x:c r="D121" s="102"/>
      <x:c r="E121" s="102" t="str">
        <x:v>United States</x:v>
      </x:c>
      <x:c r="F121" s="102"/>
      <x:c r="G121" s="102" t="str">
        <x:v>Great Lakes bulk shipping</x:v>
      </x:c>
      <x:c r="H121" s="102"/>
      <x:c r="I121" s="102"/>
      <x:c r="J121" s="102" t="str">
        <x:v>Operator appearing in Michigan regulator records; connected to CN Great Lakes Fleet at the system level.</x:v>
      </x:c>
      <x:c r="K121" s="102" t="str">
        <x:v>Active</x:v>
      </x:c>
      <x:c r="L121" s="102" t="str">
        <x:v>SRC_0167</x:v>
      </x:c>
      <x:c r="M121" s="102" t="str">
        <x:v>2026-09-07</x:v>
      </x:c>
    </x:row>
    <x:row r="122">
      <x:c r="A122" s="102" t="str">
        <x:v>COMP_LAKE_MICHIGAN_CARFERRY</x:v>
      </x:c>
      <x:c r="B122" s="102" t="str">
        <x:v>Lake Michigan Carferry</x:v>
      </x:c>
      <x:c r="C122" s="102" t="str">
        <x:v>Company / ferry operator</x:v>
      </x:c>
      <x:c r="D122" s="102" t="str">
        <x:v>Ludington, Michigan</x:v>
      </x:c>
      <x:c r="E122" s="102" t="str">
        <x:v>United States</x:v>
      </x:c>
      <x:c r="F122" s="102" t="str">
        <x:v>Private</x:v>
      </x:c>
      <x:c r="G122" s="102" t="str">
        <x:v>Passenger ferry; vehicle ferry; freight ferry</x:v>
      </x:c>
      <x:c r="H122" s="102"/>
      <x:c r="I122" s="102"/>
      <x:c r="J122" s="102" t="str">
        <x:v>Operator of SS Badger in Michigan regulator records.</x:v>
      </x:c>
      <x:c r="K122" s="102" t="str">
        <x:v>Active</x:v>
      </x:c>
      <x:c r="L122" s="102" t="str">
        <x:v>SRC_0167</x:v>
      </x:c>
      <x:c r="M122" s="102" t="str">
        <x:v>2026-09-07</x:v>
      </x:c>
    </x:row>
    <x:row r="123">
      <x:c r="A123" s="102" t="str">
        <x:v>COMP_BROOKFIELD_AM</x:v>
      </x:c>
      <x:c r="B123" s="102" t="str">
        <x:v>Brookfield Asset Management</x:v>
      </x:c>
      <x:c r="C123" s="102" t="str">
        <x:v>Investment manager</x:v>
      </x:c>
      <x:c r="D123" s="102" t="str">
        <x:v>Toronto</x:v>
      </x:c>
      <x:c r="E123" s="102" t="str">
        <x:v>Canada</x:v>
      </x:c>
      <x:c r="F123" s="102" t="str">
        <x:v>Public alternative asset manager</x:v>
      </x:c>
      <x:c r="G123" s="102" t="str">
        <x:v>Infrastructure; real estate; renewable power; private equity; credit</x:v>
      </x:c>
      <x:c r="H123" s="102"/>
      <x:c r="I123" s="102"/>
      <x:c r="J123" s="102" t="str">
        <x:v>Parent investment platform for Brookfield-managed infrastructure and real-asset strategies</x:v>
      </x:c>
      <x:c r="K123" s="102" t="str">
        <x:v>Active</x:v>
      </x:c>
      <x:c r="L123" s="102" t="str">
        <x:v>SRC_0255</x:v>
      </x:c>
      <x:c r="M123" s="102" t="str">
        <x:v>2026-09-07</x:v>
      </x:c>
    </x:row>
    <x:row r="124">
      <x:c r="A124" s="102" t="str">
        <x:v>COMP_BROOKFIELD_INFRA</x:v>
      </x:c>
      <x:c r="B124" s="102" t="str">
        <x:v>Brookfield Infrastructure Partners</x:v>
      </x:c>
      <x:c r="C124" s="102" t="str">
        <x:v>Infrastructure investor / operator</x:v>
      </x:c>
      <x:c r="D124" s="102" t="str">
        <x:v>Hamilton</x:v>
      </x:c>
      <x:c r="E124" s="102" t="str">
        <x:v>Bermuda</x:v>
      </x:c>
      <x:c r="F124" s="102" t="str">
        <x:v>Brookfield-managed listed infrastructure partnership</x:v>
      </x:c>
      <x:c r="G124" s="102" t="str">
        <x:v>Transport; utilities; midstream; data; ports; rail; logistics</x:v>
      </x:c>
      <x:c r="H124" s="102"/>
      <x:c r="I124" s="102"/>
      <x:c r="J124" s="102" t="str">
        <x:v>Retained 25% interest in UK port operation after October 2025 partial disposition</x:v>
      </x:c>
      <x:c r="K124" s="102" t="str">
        <x:v>Active</x:v>
      </x:c>
      <x:c r="L124" s="102" t="str">
        <x:v>SRC_0255</x:v>
      </x:c>
      <x:c r="M124" s="102" t="str">
        <x:v>2026-09-07</x:v>
      </x:c>
    </x:row>
    <x:row r="125">
      <x:c r="A125" s="102" t="str">
        <x:v>COMP_KKR</x:v>
      </x:c>
      <x:c r="B125" s="102" t="str">
        <x:v>KKR &amp; Co. Inc.</x:v>
      </x:c>
      <x:c r="C125" s="102" t="str">
        <x:v>Alternative investment manager</x:v>
      </x:c>
      <x:c r="D125" s="102" t="str">
        <x:v>New York</x:v>
      </x:c>
      <x:c r="E125" s="102" t="str">
        <x:v>United States</x:v>
      </x:c>
      <x:c r="F125" s="102" t="str">
        <x:v>Public alternative asset manager</x:v>
      </x:c>
      <x:c r="G125" s="102" t="str">
        <x:v>Private equity; infrastructure; real estate; credit; insurance</x:v>
      </x:c>
      <x:c r="H125" s="102"/>
      <x:c r="I125" s="102"/>
      <x:c r="J125" s="102" t="str">
        <x:v>Relevant to port-adjacent logistics real estate and infrastructure investment</x:v>
      </x:c>
      <x:c r="K125" s="102" t="str">
        <x:v>Active</x:v>
      </x:c>
      <x:c r="L125" s="102" t="str">
        <x:v>SRC_0263</x:v>
      </x:c>
      <x:c r="M125" s="102" t="str">
        <x:v>2026-09-07</x:v>
      </x:c>
    </x:row>
    <x:row r="126">
      <x:c r="A126" s="102" t="str">
        <x:v>COMP_MIRASTAR</x:v>
      </x:c>
      <x:c r="B126" s="102" t="str">
        <x:v>Mirastar</x:v>
      </x:c>
      <x:c r="C126" s="102" t="str">
        <x:v>Logistics real estate platform</x:v>
      </x:c>
      <x:c r="D126" s="102" t="str">
        <x:v>London</x:v>
      </x:c>
      <x:c r="E126" s="102" t="str">
        <x:v>United Kingdom</x:v>
      </x:c>
      <x:c r="F126" s="102" t="str">
        <x:v>KKR Real Estate industrial/logistics platform in Europe</x:v>
      </x:c>
      <x:c r="G126" s="102" t="str">
        <x:v>Logistics development; investment; asset management</x:v>
      </x:c>
      <x:c r="H126" s="102"/>
      <x:c r="I126" s="102"/>
      <x:c r="J126" s="102" t="str">
        <x:v>KKR/Mirastar manages approx. EUR2.7bn AUM across major European logistics markets</x:v>
      </x:c>
      <x:c r="K126" s="102" t="str">
        <x:v>Active</x:v>
      </x:c>
      <x:c r="L126" s="102" t="str">
        <x:v>SRC_0263</x:v>
      </x:c>
      <x:c r="M126" s="102" t="str">
        <x:v>2026-09-07</x:v>
      </x:c>
    </x:row>
    <x:row r="127">
      <x:c r="A127" s="102" t="str">
        <x:v>COMP_STONEPEAK</x:v>
      </x:c>
      <x:c r="B127" s="102" t="str">
        <x:v>Stonepeak</x:v>
      </x:c>
      <x:c r="C127" s="102" t="str">
        <x:v>Infrastructure / real assets investor</x:v>
      </x:c>
      <x:c r="D127" s="102" t="str">
        <x:v>New York</x:v>
      </x:c>
      <x:c r="E127" s="102" t="str">
        <x:v>United States</x:v>
      </x:c>
      <x:c r="F127" s="102" t="str">
        <x:v>Private alternative investment firm</x:v>
      </x:c>
      <x:c r="G127" s="102" t="str">
        <x:v>Transport &amp; logistics; real estate; digital; energy; social infrastructure</x:v>
      </x:c>
      <x:c r="H127" s="102"/>
      <x:c r="I127" s="102"/>
      <x:c r="J127" s="102" t="str">
        <x:v>Current port exposure includes United Ports and GeelongPort; logistics real estate includes rail-served assets</x:v>
      </x:c>
      <x:c r="K127" s="102" t="str">
        <x:v>Active</x:v>
      </x:c>
      <x:c r="L127" s="102" t="str">
        <x:v>SRC_0285</x:v>
      </x:c>
      <x:c r="M127" s="102" t="str">
        <x:v>2026-09-07</x:v>
      </x:c>
    </x:row>
    <x:row r="128">
      <x:c r="A128" s="102" t="str">
        <x:v>COMP_BLACKROCK</x:v>
      </x:c>
      <x:c r="B128" s="102" t="str">
        <x:v>BlackRock, Inc.</x:v>
      </x:c>
      <x:c r="C128" s="102" t="str">
        <x:v>Asset manager</x:v>
      </x:c>
      <x:c r="D128" s="102" t="str">
        <x:v>New York</x:v>
      </x:c>
      <x:c r="E128" s="102" t="str">
        <x:v>United States</x:v>
      </x:c>
      <x:c r="F128" s="102" t="str">
        <x:v>Public asset manager</x:v>
      </x:c>
      <x:c r="G128" s="102" t="str">
        <x:v>Infrastructure; public markets; private markets; technology</x:v>
      </x:c>
      <x:c r="H128" s="102"/>
      <x:c r="I128" s="102"/>
      <x:c r="J128" s="102" t="str">
        <x:v>Completed acquisition of Global Infrastructure Partners in October 2024</x:v>
      </x:c>
      <x:c r="K128" s="102" t="str">
        <x:v>Active</x:v>
      </x:c>
      <x:c r="L128" s="102" t="str">
        <x:v>SRC_0258</x:v>
      </x:c>
      <x:c r="M128" s="102" t="str">
        <x:v>2026-09-07</x:v>
      </x:c>
    </x:row>
    <x:row r="129">
      <x:c r="A129" s="102" t="str">
        <x:v>COMP_GIP</x:v>
      </x:c>
      <x:c r="B129" s="102" t="str">
        <x:v>Global Infrastructure Partners</x:v>
      </x:c>
      <x:c r="C129" s="102" t="str">
        <x:v>Infrastructure investment platform</x:v>
      </x:c>
      <x:c r="D129" s="102" t="str">
        <x:v>New York</x:v>
      </x:c>
      <x:c r="E129" s="102" t="str">
        <x:v>United States</x:v>
      </x:c>
      <x:c r="F129" s="102" t="str">
        <x:v>Part of BlackRock</x:v>
      </x:c>
      <x:c r="G129" s="102" t="str">
        <x:v>Transport; energy; digital; water; waste</x:v>
      </x:c>
      <x:c r="H129" s="102" t="str">
        <x:v>Bayo Ogunlesi</x:v>
      </x:c>
      <x:c r="I129" s="102" t="str">
        <x:v>Chairman &amp; CEO</x:v>
      </x:c>
      <x:c r="J129" s="102" t="str">
        <x:v>Portfolio has included Peel Ports and Port of Melbourne; BlackRock infrastructure platform</x:v>
      </x:c>
      <x:c r="K129" s="102" t="str">
        <x:v>Active</x:v>
      </x:c>
      <x:c r="L129" s="102" t="str">
        <x:v>SRC_0259</x:v>
      </x:c>
      <x:c r="M129" s="102" t="str">
        <x:v>2026-09-07</x:v>
      </x:c>
    </x:row>
    <x:row r="130">
      <x:c r="A130" s="102" t="str">
        <x:v>COMP_MACQUARIE_AM</x:v>
      </x:c>
      <x:c r="B130" s="102" t="str">
        <x:v>Macquarie Asset Management</x:v>
      </x:c>
      <x:c r="C130" s="102" t="str">
        <x:v>Asset / infrastructure manager</x:v>
      </x:c>
      <x:c r="D130" s="102" t="str">
        <x:v>Sydney</x:v>
      </x:c>
      <x:c r="E130" s="102" t="str">
        <x:v>Australia</x:v>
      </x:c>
      <x:c r="F130" s="102" t="str">
        <x:v>Part of Macquarie Group</x:v>
      </x:c>
      <x:c r="G130" s="102" t="str">
        <x:v>Infrastructure; real estate; private markets; transport</x:v>
      </x:c>
      <x:c r="H130" s="102"/>
      <x:c r="I130" s="102"/>
      <x:c r="J130" s="102" t="str">
        <x:v>Manages U.S. port terminal assets including International Transportation Service</x:v>
      </x:c>
      <x:c r="K130" s="102" t="str">
        <x:v>Active</x:v>
      </x:c>
      <x:c r="L130" s="102" t="str">
        <x:v>SRC_0260</x:v>
      </x:c>
      <x:c r="M130" s="102" t="str">
        <x:v>2026-09-07</x:v>
      </x:c>
    </x:row>
    <x:row r="131">
      <x:c r="A131" s="102" t="str">
        <x:v>COMP_IFM</x:v>
      </x:c>
      <x:c r="B131" s="102" t="str">
        <x:v>IFM Investors</x:v>
      </x:c>
      <x:c r="C131" s="102" t="str">
        <x:v>Infrastructure investment manager</x:v>
      </x:c>
      <x:c r="D131" s="102" t="str">
        <x:v>Melbourne</x:v>
      </x:c>
      <x:c r="E131" s="102" t="str">
        <x:v>Australia</x:v>
      </x:c>
      <x:c r="F131" s="102" t="str">
        <x:v>Investor-owned global fund manager</x:v>
      </x:c>
      <x:c r="G131" s="102" t="str">
        <x:v>Infrastructure; debt; listed equities; private equity</x:v>
      </x:c>
      <x:c r="H131" s="102"/>
      <x:c r="I131" s="102"/>
      <x:c r="J131" s="102" t="str">
        <x:v>Infrastructure portfolio includes 9 ports in 5 countries as at 30 June 2026</x:v>
      </x:c>
      <x:c r="K131" s="102" t="str">
        <x:v>Active</x:v>
      </x:c>
      <x:c r="L131" s="102" t="str">
        <x:v>SRC_0262</x:v>
      </x:c>
      <x:c r="M131" s="102" t="str">
        <x:v>2026-09-07</x:v>
      </x:c>
    </x:row>
    <x:row r="132">
      <x:c r="A132" s="102" t="str">
        <x:v>COMP_BLACKSTONE</x:v>
      </x:c>
      <x:c r="B132" s="102" t="str">
        <x:v>Blackstone Inc.</x:v>
      </x:c>
      <x:c r="C132" s="102" t="str">
        <x:v>Alternative investment manager</x:v>
      </x:c>
      <x:c r="D132" s="102" t="str">
        <x:v>New York</x:v>
      </x:c>
      <x:c r="E132" s="102" t="str">
        <x:v>United States</x:v>
      </x:c>
      <x:c r="F132" s="102" t="str">
        <x:v>Public alternative asset manager</x:v>
      </x:c>
      <x:c r="G132" s="102" t="str">
        <x:v>Real estate; private equity; credit; infrastructure</x:v>
      </x:c>
      <x:c r="H132" s="102"/>
      <x:c r="I132" s="102"/>
      <x:c r="J132" s="102" t="str">
        <x:v>Logistics is approximately 40% of global real-estate exposure in 2026</x:v>
      </x:c>
      <x:c r="K132" s="102" t="str">
        <x:v>Active</x:v>
      </x:c>
      <x:c r="L132" s="102" t="str">
        <x:v>SRC_0265</x:v>
      </x:c>
      <x:c r="M132" s="102" t="str">
        <x:v>2026-09-07</x:v>
      </x:c>
    </x:row>
    <x:row r="133">
      <x:c r="A133" s="102" t="str">
        <x:v>COMP_PROXITY</x:v>
      </x:c>
      <x:c r="B133" s="102" t="str">
        <x:v>Proxity</x:v>
      </x:c>
      <x:c r="C133" s="102" t="str">
        <x:v>Logistics real estate platform</x:v>
      </x:c>
      <x:c r="D133" s="102" t="str">
        <x:v>Frankfurt</x:v>
      </x:c>
      <x:c r="E133" s="102" t="str">
        <x:v>Germany</x:v>
      </x:c>
      <x:c r="F133" s="102" t="str">
        <x:v>Assets owned by Blackstone-managed real-estate funds</x:v>
      </x:c>
      <x:c r="G133" s="102" t="str">
        <x:v>Logistics warehouses; development; pan-European real estate</x:v>
      </x:c>
      <x:c r="H133" s="102"/>
      <x:c r="I133" s="102"/>
      <x:c r="J133" s="102" t="str">
        <x:v>Launched in 2025 with about 500 properties and development projects totaling &gt;7m sqm</x:v>
      </x:c>
      <x:c r="K133" s="102" t="str">
        <x:v>Active</x:v>
      </x:c>
      <x:c r="L133" s="102" t="str">
        <x:v>SRC_0264</x:v>
      </x:c>
      <x:c r="M133" s="102" t="str">
        <x:v>2026-09-07</x:v>
      </x:c>
    </x:row>
    <x:row r="134">
      <x:c r="A134" s="102" t="str">
        <x:v>COMP_PROLOGIS</x:v>
      </x:c>
      <x:c r="B134" s="102" t="str">
        <x:v>Prologis, Inc.</x:v>
      </x:c>
      <x:c r="C134" s="102" t="str">
        <x:v>Logistics real estate company</x:v>
      </x:c>
      <x:c r="D134" s="102" t="str">
        <x:v>San Francisco</x:v>
      </x:c>
      <x:c r="E134" s="102" t="str">
        <x:v>United States</x:v>
      </x:c>
      <x:c r="F134" s="102" t="str">
        <x:v>Public REIT / logistics real estate platform</x:v>
      </x:c>
      <x:c r="G134" s="102" t="str">
        <x:v>Logistics real estate; development; strategic capital; energy/digital infrastructure</x:v>
      </x:c>
      <x:c r="H134" s="102"/>
      <x:c r="I134" s="102"/>
      <x:c r="J134" s="102" t="str">
        <x:v>Approx. 1.3bn sq ft in 20 countries at 30 June 2026</x:v>
      </x:c>
      <x:c r="K134" s="102" t="str">
        <x:v>Active</x:v>
      </x:c>
      <x:c r="L134" s="102" t="str">
        <x:v>SRC_0266</x:v>
      </x:c>
      <x:c r="M134" s="102" t="str">
        <x:v>2026-09-07</x:v>
      </x:c>
    </x:row>
    <x:row r="135">
      <x:c r="A135" s="102" t="str">
        <x:v>COMP_GIC</x:v>
      </x:c>
      <x:c r="B135" s="102" t="str">
        <x:v>GIC</x:v>
      </x:c>
      <x:c r="C135" s="102" t="str">
        <x:v>Sovereign institutional investor</x:v>
      </x:c>
      <x:c r="D135" s="102" t="str">
        <x:v>Singapore</x:v>
      </x:c>
      <x:c r="E135" s="102" t="str">
        <x:v>Singapore</x:v>
      </x:c>
      <x:c r="F135" s="102" t="str">
        <x:v>Government of Singapore investment manager</x:v>
      </x:c>
      <x:c r="G135" s="102" t="str">
        <x:v>Infrastructure; real estate; private equity; public markets</x:v>
      </x:c>
      <x:c r="H135" s="102"/>
      <x:c r="I135" s="102"/>
      <x:c r="J135" s="102" t="str">
        <x:v>2026 logistics JV partner with Prologis in U.S. build-to-suit facilities</x:v>
      </x:c>
      <x:c r="K135" s="102" t="str">
        <x:v>Active</x:v>
      </x:c>
      <x:c r="L135" s="102" t="str">
        <x:v>SRC_0267</x:v>
      </x:c>
      <x:c r="M135" s="102" t="str">
        <x:v>2026-09-07</x:v>
      </x:c>
    </x:row>
    <x:row r="136">
      <x:c r="A136" s="102" t="str">
        <x:v>COMP_LA_CAISSE</x:v>
      </x:c>
      <x:c r="B136" s="102" t="str">
        <x:v>La Caisse (CDPQ)</x:v>
      </x:c>
      <x:c r="C136" s="102" t="str">
        <x:v>Institutional investor</x:v>
      </x:c>
      <x:c r="D136" s="102" t="str">
        <x:v>Montreal</x:v>
      </x:c>
      <x:c r="E136" s="102" t="str">
        <x:v>Canada</x:v>
      </x:c>
      <x:c r="F136" s="102" t="str">
        <x:v>Québec institutional investor</x:v>
      </x:c>
      <x:c r="G136" s="102" t="str">
        <x:v>Infrastructure; real estate; private equity; public markets</x:v>
      </x:c>
      <x:c r="H136" s="102"/>
      <x:c r="I136" s="102"/>
      <x:c r="J136" s="102" t="str">
        <x:v>70% partner in 2026 Prologis Logistics Investment Venture Europe</x:v>
      </x:c>
      <x:c r="K136" s="102" t="str">
        <x:v>Active</x:v>
      </x:c>
      <x:c r="L136" s="102" t="str">
        <x:v>SRC_0268</x:v>
      </x:c>
      <x:c r="M136" s="102" t="str">
        <x:v>2026-09-07</x:v>
      </x:c>
    </x:row>
    <x:row r="137">
      <x:c r="A137" s="102" t="str">
        <x:v>COMP_ESR</x:v>
      </x:c>
      <x:c r="B137" s="102" t="str">
        <x:v>ESR Group</x:v>
      </x:c>
      <x:c r="C137" s="102" t="str">
        <x:v>Real asset owner / manager</x:v>
      </x:c>
      <x:c r="D137" s="102" t="str">
        <x:v>Hong Kong</x:v>
      </x:c>
      <x:c r="E137" s="102" t="str">
        <x:v>Hong Kong SAR</x:v>
      </x:c>
      <x:c r="F137" s="102" t="str">
        <x:v>Private real asset platform</x:v>
      </x:c>
      <x:c r="G137" s="102" t="str">
        <x:v>Logistics real estate; industrial; data centres; fund management</x:v>
      </x:c>
      <x:c r="H137" s="102"/>
      <x:c r="I137" s="102"/>
      <x:c r="J137" s="102" t="str">
        <x:v>US$77.3bn total AUM at 31 Dec 2025; APAC logistics and industrial focus</x:v>
      </x:c>
      <x:c r="K137" s="102" t="str">
        <x:v>Active</x:v>
      </x:c>
      <x:c r="L137" s="102" t="str">
        <x:v>SRC_0269</x:v>
      </x:c>
      <x:c r="M137" s="102" t="str">
        <x:v>2026-09-07</x:v>
      </x:c>
    </x:row>
    <x:row r="138">
      <x:c r="A138" s="102" t="str">
        <x:v>COMP_CIC</x:v>
      </x:c>
      <x:c r="B138" s="102" t="str">
        <x:v>China Investment Corporation</x:v>
      </x:c>
      <x:c r="C138" s="102" t="str">
        <x:v>Sovereign wealth fund</x:v>
      </x:c>
      <x:c r="D138" s="102" t="str">
        <x:v>Beijing</x:v>
      </x:c>
      <x:c r="E138" s="102" t="str">
        <x:v>China</x:v>
      </x:c>
      <x:c r="F138" s="102" t="str">
        <x:v>Chinese sovereign wealth fund</x:v>
      </x:c>
      <x:c r="G138" s="102" t="str">
        <x:v>Global investments; real estate; infrastructure</x:v>
      </x:c>
      <x:c r="H138" s="102"/>
      <x:c r="I138" s="102"/>
      <x:c r="J138" s="102" t="str">
        <x:v>Majority owner of Logicor</x:v>
      </x:c>
      <x:c r="K138" s="102" t="str">
        <x:v>Active</x:v>
      </x:c>
      <x:c r="L138" s="102" t="str">
        <x:v>SRC_0270</x:v>
      </x:c>
      <x:c r="M138" s="102" t="str">
        <x:v>2026-09-07</x:v>
      </x:c>
    </x:row>
    <x:row r="139">
      <x:c r="A139" s="102" t="str">
        <x:v>COMP_LOGICOR</x:v>
      </x:c>
      <x:c r="B139" s="102" t="str">
        <x:v>Logicor</x:v>
      </x:c>
      <x:c r="C139" s="102" t="str">
        <x:v>Logistics real estate company</x:v>
      </x:c>
      <x:c r="D139" s="102" t="str">
        <x:v>London / Luxembourg</x:v>
      </x:c>
      <x:c r="E139" s="102" t="str">
        <x:v>United Kingdom / Luxembourg</x:v>
      </x:c>
      <x:c r="F139" s="102" t="str">
        <x:v>Majority owned by CIC</x:v>
      </x:c>
      <x:c r="G139" s="102" t="str">
        <x:v>European logistics real estate; development; asset management</x:v>
      </x:c>
      <x:c r="H139" s="102"/>
      <x:c r="I139" s="102"/>
      <x:c r="J139" s="102" t="str">
        <x:v>Leading European logistics real estate platform</x:v>
      </x:c>
      <x:c r="K139" s="102" t="str">
        <x:v>Active</x:v>
      </x:c>
      <x:c r="L139" s="102" t="str">
        <x:v>SRC_0270</x:v>
      </x:c>
      <x:c r="M139" s="102" t="str">
        <x:v>2026-09-07</x:v>
      </x:c>
    </x:row>
    <x:row r="140">
      <x:c r="A140" s="102" t="str">
        <x:v>COMP_CARESUPER</x:v>
      </x:c>
      <x:c r="B140" s="102" t="str">
        <x:v>CareSuper</x:v>
      </x:c>
      <x:c r="C140" s="102" t="str">
        <x:v>Superannuation fund</x:v>
      </x:c>
      <x:c r="D140" s="102" t="str">
        <x:v>Melbourne</x:v>
      </x:c>
      <x:c r="E140" s="102" t="str">
        <x:v>Australia</x:v>
      </x:c>
      <x:c r="F140" s="102" t="str">
        <x:v>Australian industry super fund</x:v>
      </x:c>
      <x:c r="G140" s="102" t="str">
        <x:v>Institutional investment; infrastructure; real assets</x:v>
      </x:c>
      <x:c r="H140" s="102"/>
      <x:c r="I140" s="102"/>
      <x:c r="J140" s="102" t="str">
        <x:v>30% co-owner of GeelongPort alongside Stonepeak</x:v>
      </x:c>
      <x:c r="K140" s="102" t="str">
        <x:v>Active</x:v>
      </x:c>
      <x:c r="L140" s="102" t="str">
        <x:v>SRC_0257</x:v>
      </x:c>
      <x:c r="M140" s="102" t="str">
        <x:v>2026-09-07</x:v>
      </x:c>
    </x:row>
    <x:row r="141">
      <x:c r="A141" s="102" t="str">
        <x:v>COMP_UNITED_PORTS</x:v>
      </x:c>
      <x:c r="B141" s="102" t="str">
        <x:v>United Ports LLC</x:v>
      </x:c>
      <x:c r="C141" s="102" t="str">
        <x:v>Port infrastructure joint venture</x:v>
      </x:c>
      <x:c r="D141" s="102" t="str">
        <x:v>United States</x:v>
      </x:c>
      <x:c r="E141" s="102" t="str">
        <x:v>United States</x:v>
      </x:c>
      <x:c r="F141" s="102" t="str">
        <x:v>75% CMA CGM / 25% Stonepeak</x:v>
      </x:c>
      <x:c r="G141" s="102" t="str">
        <x:v>Port terminal investment and development</x:v>
      </x:c>
      <x:c r="H141" s="102"/>
      <x:c r="I141" s="102"/>
      <x:c r="J141" s="102" t="str">
        <x:v>Portfolio of 9 major CMA CGM-operated terminals across five countries; expansion pipeline</x:v>
      </x:c>
      <x:c r="K141" s="102" t="str">
        <x:v>Active</x:v>
      </x:c>
      <x:c r="L141" s="102" t="str">
        <x:v>SRC_0256</x:v>
      </x:c>
      <x:c r="M141" s="102" t="str">
        <x:v>2026-09-07</x:v>
      </x:c>
    </x:row>
    <x:row r="142">
      <x:c r="A142" s="102" t="str">
        <x:v>COMP_GEELONGPORT</x:v>
      </x:c>
      <x:c r="B142" s="102" t="str">
        <x:v>GeelongPort Pty Limited</x:v>
      </x:c>
      <x:c r="C142" s="102" t="str">
        <x:v>Port company</x:v>
      </x:c>
      <x:c r="D142" s="102" t="str">
        <x:v>North Geelong</x:v>
      </x:c>
      <x:c r="E142" s="102" t="str">
        <x:v>Australia</x:v>
      </x:c>
      <x:c r="F142" s="102" t="str">
        <x:v>70% Stonepeak / 30% CareSuper</x:v>
      </x:c>
      <x:c r="G142" s="102" t="str">
        <x:v>Landlord port; bulk; breakbulk; infrastructure</x:v>
      </x:c>
      <x:c r="H142" s="102" t="str">
        <x:v>Brett Winter</x:v>
      </x:c>
      <x:c r="I142" s="102" t="str">
        <x:v>CEO</x:v>
      </x:c>
      <x:c r="J142" s="102" t="str">
        <x:v>Victoria diversified landlord port with 15 berths across Corio Quay and Lascelles Wharf</x:v>
      </x:c>
      <x:c r="K142" s="102" t="str">
        <x:v>Active</x:v>
      </x:c>
      <x:c r="L142" s="102" t="str">
        <x:v>SRC_0257</x:v>
      </x:c>
      <x:c r="M142" s="102" t="str">
        <x:v>2026-09-07</x:v>
      </x:c>
    </x:row>
    <x:row r="143">
      <x:c r="A143" s="102" t="str">
        <x:v>COMP_ITS</x:v>
      </x:c>
      <x:c r="B143" s="102" t="str">
        <x:v>International Transportation Service</x:v>
      </x:c>
      <x:c r="C143" s="102" t="str">
        <x:v>Container terminal company</x:v>
      </x:c>
      <x:c r="D143" s="102" t="str">
        <x:v>Long Beach</x:v>
      </x:c>
      <x:c r="E143" s="102" t="str">
        <x:v>United States</x:v>
      </x:c>
      <x:c r="F143" s="102" t="str">
        <x:v>Macquarie Asset Management portfolio company</x:v>
      </x:c>
      <x:c r="G143" s="102" t="str">
        <x:v>Container terminals; port infrastructure</x:v>
      </x:c>
      <x:c r="H143" s="102" t="str">
        <x:v>Kim Holtermand</x:v>
      </x:c>
      <x:c r="I143" s="102" t="str">
        <x:v>CEO</x:v>
      </x:c>
      <x:c r="J143" s="102" t="str">
        <x:v>Portfolio includes Long Beach ITS and Tacoma Husky terminal</x:v>
      </x:c>
      <x:c r="K143" s="102" t="str">
        <x:v>Active</x:v>
      </x:c>
      <x:c r="L143" s="102" t="str">
        <x:v>SRC_0260</x:v>
      </x:c>
      <x:c r="M143" s="102" t="str">
        <x:v>2026-09-07</x:v>
      </x:c>
    </x:row>
    <x:row r="144">
      <x:c r="A144" s="102" t="str">
        <x:v>COMP_PLP</x:v>
      </x:c>
      <x:c r="B144" s="102" t="str">
        <x:v>PLP</x:v>
      </x:c>
      <x:c r="C144" s="102" t="str">
        <x:v>Logistics real estate developer / manager</x:v>
      </x:c>
      <x:c r="D144" s="102" t="str">
        <x:v>London</x:v>
      </x:c>
      <x:c r="E144" s="102" t="str">
        <x:v>United Kingdom</x:v>
      </x:c>
      <x:c r="F144" s="102" t="str">
        <x:v>Institutional-capital-backed logistics platform</x:v>
      </x:c>
      <x:c r="G144" s="102" t="str">
        <x:v>Logistics development; investment management; industrial real estate</x:v>
      </x:c>
      <x:c r="H144" s="102"/>
      <x:c r="I144" s="102"/>
      <x:c r="J144" s="102" t="str">
        <x:v>Seller of four UK logistics assets to KKR/Mirastar in July 2026</x:v>
      </x:c>
      <x:c r="K144" s="102" t="str">
        <x:v>Active</x:v>
      </x:c>
      <x:c r="L144" s="102" t="str">
        <x:v>SRC_0263</x:v>
      </x:c>
      <x:c r="M144" s="102" t="str">
        <x:v>2026-09-07</x:v>
      </x:c>
    </x:row>
    <x:row r="145">
      <x:c r="A145" s="102" t="str">
        <x:v>COMP_PLIVE</x:v>
      </x:c>
      <x:c r="B145" s="102" t="str">
        <x:v>Prologis Logistics Investment Venture Europe</x:v>
      </x:c>
      <x:c r="C145" s="102" t="str">
        <x:v>Logistics real estate joint venture</x:v>
      </x:c>
      <x:c r="D145" s="102"/>
      <x:c r="E145" s="102" t="str">
        <x:v>Europe</x:v>
      </x:c>
      <x:c r="F145" s="102" t="str">
        <x:v>70% La Caisse / 30% Prologis</x:v>
      </x:c>
      <x:c r="G145" s="102" t="str">
        <x:v>Logistics property acquisition; development; operations</x:v>
      </x:c>
      <x:c r="H145" s="102"/>
      <x:c r="I145" s="102"/>
      <x:c r="J145" s="102" t="str">
        <x:v>EUR1bn seed portfolio across France, Germany, Netherlands, Sweden and UK</x:v>
      </x:c>
      <x:c r="K145" s="102" t="str">
        <x:v>Active</x:v>
      </x:c>
      <x:c r="L145" s="102" t="str">
        <x:v>SRC_0268</x:v>
      </x:c>
      <x:c r="M145" s="102" t="str">
        <x:v>2026-09-07</x:v>
      </x:c>
    </x:row>
    <x:row r="146">
      <x:c r="A146" s="102" t="str">
        <x:v>COMP_TBILISI_DRY_PORT</x:v>
      </x:c>
      <x:c r="B146" s="102" t="str">
        <x:v>Tbilisi Dry Port LLC</x:v>
      </x:c>
      <x:c r="C146" s="102" t="str">
        <x:v>Dry-port / inland terminal company</x:v>
      </x:c>
      <x:c r="D146" s="102" t="str">
        <x:v>Tbilisi</x:v>
      </x:c>
      <x:c r="E146" s="102" t="str">
        <x:v>Georgia</x:v>
      </x:c>
      <x:c r="F146" s="102" t="str">
        <x:v>60% AD Ports Group; other shareholders include Wilhelmsen Port Services Georgia and Inveco LLC</x:v>
      </x:c>
      <x:c r="G146" s="102" t="str">
        <x:v>Dry port; inland terminal; warehousing; 3PL; customs; rail-road intermodal</x:v>
      </x:c>
      <x:c r="H146" s="102"/>
      <x:c r="I146" s="102"/>
      <x:c r="J146" s="102" t="str">
        <x:v>Operator/developer of Tbilisi Intermodal Hub / Tbilisi Dry Port</x:v>
      </x:c>
      <x:c r="K146" s="102" t="str">
        <x:v>Active</x:v>
      </x:c>
      <x:c r="L146" s="102" t="str">
        <x:v>SRC_0282</x:v>
      </x:c>
      <x:c r="M146" s="102" t="str">
        <x:v>2026-09-07</x:v>
      </x:c>
    </x:row>
    <x:row r="147">
      <x:c r="A147" s="102" t="str">
        <x:v>COMP_WILHELMSEN_PORT_SERVICES</x:v>
      </x:c>
      <x:c r="B147" s="102" t="str">
        <x:v>Wilhelmsen Port Services</x:v>
      </x:c>
      <x:c r="C147" s="102" t="str">
        <x:v>Port services company</x:v>
      </x:c>
      <x:c r="D147" s="102" t="str">
        <x:v>Lysaker</x:v>
      </x:c>
      <x:c r="E147" s="102" t="str">
        <x:v>Norway</x:v>
      </x:c>
      <x:c r="F147" s="102" t="str">
        <x:v>Part of Wilhelmsen group</x:v>
      </x:c>
      <x:c r="G147" s="102" t="str">
        <x:v>Port agency; marine products; logistics / port services</x:v>
      </x:c>
      <x:c r="H147" s="102"/>
      <x:c r="I147" s="102"/>
      <x:c r="J147" s="102" t="str">
        <x:v>Tbilisi Dry Port JV partner via Wilhelmsen Port Services Georgia</x:v>
      </x:c>
      <x:c r="K147" s="102" t="str">
        <x:v>Active</x:v>
      </x:c>
      <x:c r="L147" s="102" t="str">
        <x:v>SRC_0282</x:v>
      </x:c>
      <x:c r="M147" s="102" t="str">
        <x:v>2026-09-07</x:v>
      </x:c>
    </x:row>
    <x:row r="148">
      <x:c r="A148" s="102" t="str">
        <x:v>COMP_INVECO</x:v>
      </x:c>
      <x:c r="B148" s="102" t="str">
        <x:v>Inveco LLC</x:v>
      </x:c>
      <x:c r="C148" s="102" t="str">
        <x:v>Investment / project company</x:v>
      </x:c>
      <x:c r="D148" s="102" t="str">
        <x:v>Tbilisi</x:v>
      </x:c>
      <x:c r="E148" s="102" t="str">
        <x:v>Georgia</x:v>
      </x:c>
      <x:c r="F148" s="102" t="str">
        <x:v>Private</x:v>
      </x:c>
      <x:c r="G148" s="102" t="str">
        <x:v>Infrastructure / logistics investment</x:v>
      </x:c>
      <x:c r="H148" s="102"/>
      <x:c r="I148" s="102"/>
      <x:c r="J148" s="102" t="str">
        <x:v>Tbilisi Dry Port JV partner</x:v>
      </x:c>
      <x:c r="K148" s="102" t="str">
        <x:v>Active</x:v>
      </x:c>
      <x:c r="L148" s="102" t="str">
        <x:v>SRC_0282</x:v>
      </x:c>
      <x:c r="M148" s="102" t="str">
        <x:v>2026-09-07</x:v>
      </x:c>
    </x:row>
    <x:row r="149">
      <x:c r="A149" s="102" t="str">
        <x:v>COMP_CENTREPORT</x:v>
      </x:c>
      <x:c r="B149" s="102" t="str">
        <x:v>CentrePort Canada Inc.</x:v>
      </x:c>
      <x:c r="C149" s="102" t="str">
        <x:v>Inland port / economic development corporation</x:v>
      </x:c>
      <x:c r="D149" s="102" t="str">
        <x:v>Winnipeg</x:v>
      </x:c>
      <x:c r="E149" s="102" t="str">
        <x:v>Canada</x:v>
      </x:c>
      <x:c r="F149" s="102" t="str">
        <x:v>Public-private inland-port development entity</x:v>
      </x:c>
      <x:c r="G149" s="102" t="str">
        <x:v>Inland port; industrial land; logistics; FTZ; rail/air/truck connectivity</x:v>
      </x:c>
      <x:c r="H149" s="102"/>
      <x:c r="I149" s="102"/>
      <x:c r="J149" s="102" t="str">
        <x:v>20,000-acre trimodal inland port and Foreign Trade Zone</x:v>
      </x:c>
      <x:c r="K149" s="102" t="str">
        <x:v>Active</x:v>
      </x:c>
      <x:c r="L149" s="102" t="str">
        <x:v>SRC_0271</x:v>
      </x:c>
      <x:c r="M149" s="102" t="str">
        <x:v>2026-09-07</x:v>
      </x:c>
    </x:row>
    <x:row r="150">
      <x:c r="A150" s="102" t="str">
        <x:v>COMP_ETIHAD_RAIL</x:v>
      </x:c>
      <x:c r="B150" s="102" t="str">
        <x:v>Etihad Rail</x:v>
      </x:c>
      <x:c r="C150" s="102" t="str">
        <x:v>Rail infrastructure / freight operator</x:v>
      </x:c>
      <x:c r="D150" s="102" t="str">
        <x:v>Abu Dhabi</x:v>
      </x:c>
      <x:c r="E150" s="102" t="str">
        <x:v>United Arab Emirates</x:v>
      </x:c>
      <x:c r="F150" s="102" t="str">
        <x:v>UAE national rail company</x:v>
      </x:c>
      <x:c r="G150" s="102" t="str">
        <x:v>Freight rail; passenger rail; logistics terminals; dry ports</x:v>
      </x:c>
      <x:c r="H150" s="102"/>
      <x:c r="I150" s="102"/>
      <x:c r="J150" s="102" t="str">
        <x:v>Operator of UAE National Rail Network; Al Ghail Dry Port rail terminal exposure</x:v>
      </x:c>
      <x:c r="K150" s="102" t="str">
        <x:v>Active</x:v>
      </x:c>
      <x:c r="L150" s="102" t="str">
        <x:v>SRC_0272</x:v>
      </x:c>
      <x:c r="M150" s="102" t="str">
        <x:v>2026-09-07</x:v>
      </x:c>
    </x:row>
    <x:row r="151">
      <x:c r="A151" s="102" t="str">
        <x:v>COMP_KEZAD</x:v>
      </x:c>
      <x:c r="B151" s="102" t="str">
        <x:v>KEZAD Group</x:v>
      </x:c>
      <x:c r="C151" s="102" t="str">
        <x:v>Economic zones / industrial real estate operator</x:v>
      </x:c>
      <x:c r="D151" s="102" t="str">
        <x:v>Abu Dhabi</x:v>
      </x:c>
      <x:c r="E151" s="102" t="str">
        <x:v>United Arab Emirates</x:v>
      </x:c>
      <x:c r="F151" s="102" t="str">
        <x:v>Part of AD Ports Group Economic Cities &amp; Free Zones</x:v>
      </x:c>
      <x:c r="G151" s="102" t="str">
        <x:v>Economic zones; free zones; industrial land; warehouses; logistics parks</x:v>
      </x:c>
      <x:c r="H151" s="102"/>
      <x:c r="I151" s="102"/>
      <x:c r="J151" s="102" t="str">
        <x:v>UAE integrated economic-zone and industrial real-estate platform</x:v>
      </x:c>
      <x:c r="K151" s="102" t="str">
        <x:v>Active</x:v>
      </x:c>
      <x:c r="L151" s="102" t="str">
        <x:v>SRC_0275</x:v>
      </x:c>
      <x:c r="M151" s="102" t="str">
        <x:v>2026-09-07</x:v>
      </x:c>
    </x:row>
    <x:row r="152">
      <x:c r="A152" s="102" t="str">
        <x:v>COMP_JAFZA</x:v>
      </x:c>
      <x:c r="B152" s="102" t="str">
        <x:v>Jebel Ali Free Zone (JAFZA)</x:v>
      </x:c>
      <x:c r="C152" s="102" t="str">
        <x:v>Free zone / industrial-logistics real estate operator</x:v>
      </x:c>
      <x:c r="D152" s="102" t="str">
        <x:v>Dubai</x:v>
      </x:c>
      <x:c r="E152" s="102" t="str">
        <x:v>United Arab Emirates</x:v>
      </x:c>
      <x:c r="F152" s="102" t="str">
        <x:v>Part of DP World UAE</x:v>
      </x:c>
      <x:c r="G152" s="102" t="str">
        <x:v>Free zone; industrial land; warehouses; logistics; light manufacturing</x:v>
      </x:c>
      <x:c r="H152" s="102"/>
      <x:c r="I152" s="102"/>
      <x:c r="J152" s="102" t="str">
        <x:v>57 sq km integrated industrial, logistics and trade hub adjacent to Jebel Ali Port</x:v>
      </x:c>
      <x:c r="K152" s="102" t="str">
        <x:v>Active</x:v>
      </x:c>
      <x:c r="L152" s="102" t="str">
        <x:v>SRC_0273</x:v>
      </x:c>
      <x:c r="M152" s="102" t="str">
        <x:v>2026-09-07</x:v>
      </x:c>
    </x:row>
    <x:row r="153">
      <x:c r="A153" s="42" t="str">
        <x:v>COMP_DHL_AG</x:v>
      </x:c>
      <x:c r="B153" s="42" t="str">
        <x:v>DHL AG</x:v>
      </x:c>
      <x:c r="C153" s="42" t="str">
        <x:v>Listed parent / logistics group</x:v>
      </x:c>
      <x:c r="D153" s="42" t="str">
        <x:v>Bonn</x:v>
      </x:c>
      <x:c r="E153" s="42" t="str">
        <x:v>Germany</x:v>
      </x:c>
      <x:c r="F153" s="42" t="str">
        <x:v>Publicly listed</x:v>
      </x:c>
      <x:c r="G153" s="42" t="str">
        <x:v>Express; Global Forwarding; Supply Chain; eCommerce; Post &amp; Parcel Germany</x:v>
      </x:c>
      <x:c r="H153" s="42" t="str">
        <x:v>Tobias Meyer</x:v>
      </x:c>
      <x:c r="I153" s="42" t="str">
        <x:v>Chief Executive Officer</x:v>
      </x:c>
      <x:c r="J153" s="42" t="str">
        <x:v>Global logistics group; operating divisions legally separated under DHL AG effective 1 Sep 2026.</x:v>
      </x:c>
      <x:c r="K153" s="42" t="str">
        <x:v>Active</x:v>
      </x:c>
      <x:c r="L153" s="42" t="str">
        <x:v>SRC_0288</x:v>
      </x:c>
      <x:c r="M153" s="42" t="str">
        <x:v>2026-09-07</x:v>
      </x:c>
    </x:row>
    <x:row r="154">
      <x:c r="A154" s="42" t="str">
        <x:v>COMP_DHL_EXPRESS</x:v>
      </x:c>
      <x:c r="B154" s="42" t="str">
        <x:v>DHL Express</x:v>
      </x:c>
      <x:c r="C154" s="42" t="str">
        <x:v>Express logistics company / division</x:v>
      </x:c>
      <x:c r="D154" s="42" t="str">
        <x:v>Bonn</x:v>
      </x:c>
      <x:c r="E154" s="42" t="str">
        <x:v>Germany</x:v>
      </x:c>
      <x:c r="F154" s="42" t="str">
        <x:v>Wholly owned by DHL AG</x:v>
      </x:c>
      <x:c r="G154" s="42" t="str">
        <x:v>International express; air network; customs; road feeder</x:v>
      </x:c>
      <x:c r="H154" s="42" t="str">
        <x:v>John Pearson</x:v>
      </x:c>
      <x:c r="I154" s="42" t="str">
        <x:v>CEO DHL Express</x:v>
      </x:c>
      <x:c r="J154" s="42" t="str">
        <x:v>&gt;220 countries/territories; &gt;275 dedicated aircraft within virtual-airline network.</x:v>
      </x:c>
      <x:c r="K154" s="42" t="str">
        <x:v>Active</x:v>
      </x:c>
      <x:c r="L154" s="42" t="str">
        <x:v>SRC_0290</x:v>
      </x:c>
      <x:c r="M154" s="42" t="str">
        <x:v>2026-09-07</x:v>
      </x:c>
    </x:row>
    <x:row r="155">
      <x:c r="A155" s="42" t="str">
        <x:v>COMP_DHL_GLOBAL_FORWARDING</x:v>
      </x:c>
      <x:c r="B155" s="42" t="str">
        <x:v>DHL Global Forwarding</x:v>
      </x:c>
      <x:c r="C155" s="42" t="str">
        <x:v>Freight forwarding company / division</x:v>
      </x:c>
      <x:c r="D155" s="42" t="str">
        <x:v>Bonn</x:v>
      </x:c>
      <x:c r="E155" s="42" t="str">
        <x:v>Germany</x:v>
      </x:c>
      <x:c r="F155" s="42" t="str">
        <x:v>Wholly owned by DHL AG</x:v>
      </x:c>
      <x:c r="G155" s="42" t="str">
        <x:v>Air freight; ocean freight; rail; road; multimodal; customs</x:v>
      </x:c>
      <x:c r="H155" s="42" t="str"/>
      <x:c r="I155" s="42" t="str"/>
      <x:c r="J155" s="42" t="str">
        <x:v>&gt;115 countries; &gt;200 terminals/storage facilities; asset-light forwarding model.</x:v>
      </x:c>
      <x:c r="K155" s="42" t="str">
        <x:v>Active</x:v>
      </x:c>
      <x:c r="L155" s="42" t="str">
        <x:v>SRC_0291</x:v>
      </x:c>
      <x:c r="M155" s="42" t="str">
        <x:v>2026-09-07</x:v>
      </x:c>
    </x:row>
    <x:row r="156">
      <x:c r="A156" s="42" t="str">
        <x:v>COMP_DHL_SUPPLY_CHAIN</x:v>
      </x:c>
      <x:c r="B156" s="42" t="str">
        <x:v>DHL Supply Chain</x:v>
      </x:c>
      <x:c r="C156" s="42" t="str">
        <x:v>Contract logistics company / division</x:v>
      </x:c>
      <x:c r="D156" s="42" t="str">
        <x:v>Bonn</x:v>
      </x:c>
      <x:c r="E156" s="42" t="str">
        <x:v>Germany</x:v>
      </x:c>
      <x:c r="F156" s="42" t="str">
        <x:v>Wholly owned by DHL AG</x:v>
      </x:c>
      <x:c r="G156" s="42" t="str">
        <x:v>Contract logistics; warehousing; fulfillment; transport; 4PL</x:v>
      </x:c>
      <x:c r="H156" s="42" t="str">
        <x:v>Hendrik Venter</x:v>
      </x:c>
      <x:c r="I156" s="42" t="str">
        <x:v>CEO DHL Supply Chain</x:v>
      </x:c>
      <x:c r="J156" s="42" t="str">
        <x:v>&gt;55 countries; ~17.5m sqm owned/leased warehousing and operational space.</x:v>
      </x:c>
      <x:c r="K156" s="42" t="str">
        <x:v>Active</x:v>
      </x:c>
      <x:c r="L156" s="42" t="str">
        <x:v>SRC_0292</x:v>
      </x:c>
      <x:c r="M156" s="42" t="str">
        <x:v>2026-09-07</x:v>
      </x:c>
    </x:row>
    <x:row r="157">
      <x:c r="A157" s="42" t="str">
        <x:v>COMP_DHL_ECOMMERCE</x:v>
      </x:c>
      <x:c r="B157" s="42" t="str">
        <x:v>DHL eCommerce</x:v>
      </x:c>
      <x:c r="C157" s="42" t="str">
        <x:v>Parcel / e-commerce logistics company / division</x:v>
      </x:c>
      <x:c r="D157" s="42" t="str">
        <x:v>Bonn</x:v>
      </x:c>
      <x:c r="E157" s="42" t="str">
        <x:v>Germany</x:v>
      </x:c>
      <x:c r="F157" s="42" t="str">
        <x:v>Wholly owned by DHL AG</x:v>
      </x:c>
      <x:c r="G157" s="42" t="str">
        <x:v>Parcel delivery; cross-border e-commerce; lockers; service points</x:v>
      </x:c>
      <x:c r="H157" s="42" t="str"/>
      <x:c r="I157" s="42" t="str"/>
      <x:c r="J157" s="42" t="str">
        <x:v>&gt;20 countries; &gt;53,000 parcel lockers and &gt;167,000 service points reported.</x:v>
      </x:c>
      <x:c r="K157" s="42" t="str">
        <x:v>Active</x:v>
      </x:c>
      <x:c r="L157" s="42" t="str">
        <x:v>SRC_0293</x:v>
      </x:c>
      <x:c r="M157" s="42" t="str">
        <x:v>2026-09-07</x:v>
      </x:c>
    </x:row>
    <x:row r="158">
      <x:c r="A158" s="42" t="str">
        <x:v>COMP_DEUTSCHE_POST</x:v>
      </x:c>
      <x:c r="B158" s="42" t="str">
        <x:v>Deutsche Post AG</x:v>
      </x:c>
      <x:c r="C158" s="42" t="str">
        <x:v>Postal / parcel subsidiary</x:v>
      </x:c>
      <x:c r="D158" s="42" t="str">
        <x:v>Bonn</x:v>
      </x:c>
      <x:c r="E158" s="42" t="str">
        <x:v>Germany</x:v>
      </x:c>
      <x:c r="F158" s="42" t="str">
        <x:v>Wholly owned by DHL AG</x:v>
      </x:c>
      <x:c r="G158" s="42" t="str">
        <x:v>Post &amp; Parcel Germany</x:v>
      </x:c>
      <x:c r="H158" s="42" t="str"/>
      <x:c r="I158" s="42" t="str"/>
      <x:c r="J158" s="42" t="str">
        <x:v>German domestic mail and parcel business after 1 Sep 2026 reorganization.</x:v>
      </x:c>
      <x:c r="K158" s="42" t="str">
        <x:v>Active</x:v>
      </x:c>
      <x:c r="L158" s="42" t="str">
        <x:v>SRC_0288</x:v>
      </x:c>
      <x:c r="M158" s="42" t="str">
        <x:v>2026-09-07</x:v>
      </x:c>
    </x:row>
    <x:row r="159">
      <x:c r="A159" s="42" t="str">
        <x:v>COMP_DHL_AVIATION</x:v>
      </x:c>
      <x:c r="B159" s="42" t="str">
        <x:v>DHL Aviation</x:v>
      </x:c>
      <x:c r="C159" s="42" t="str">
        <x:v>Air network platform</x:v>
      </x:c>
      <x:c r="D159" s="42" t="str">
        <x:v>Bonn</x:v>
      </x:c>
      <x:c r="E159" s="42" t="str">
        <x:v>Germany</x:v>
      </x:c>
      <x:c r="F159" s="42" t="str">
        <x:v>DHL Group operating platform / airline network</x:v>
      </x:c>
      <x:c r="G159" s="42" t="str">
        <x:v>Air cargo; dedicated and partner-airline capacity</x:v>
      </x:c>
      <x:c r="H159" s="42" t="str"/>
      <x:c r="I159" s="42" t="str"/>
      <x:c r="J159" s="42" t="str">
        <x:v>&gt;275 dedicated aircraft, 19 partner airlines, ~300 commercial carriers, &gt;2,400 daily flights, 23 hubs.</x:v>
      </x:c>
      <x:c r="K159" s="42" t="str">
        <x:v>Active</x:v>
      </x:c>
      <x:c r="L159" s="42" t="str">
        <x:v>SRC_0290</x:v>
      </x:c>
      <x:c r="M159" s="42" t="str">
        <x:v>2026-09-07</x:v>
      </x:c>
    </x:row>
    <x:row r="160">
      <x:c r="A160" s="42" t="str">
        <x:v>COMP_FEDEX_CORP</x:v>
      </x:c>
      <x:c r="B160" s="42" t="str">
        <x:v>FedEx Corporation</x:v>
      </x:c>
      <x:c r="C160" s="42" t="str">
        <x:v>Listed parent / logistics group</x:v>
      </x:c>
      <x:c r="D160" s="42" t="str">
        <x:v>Memphis</x:v>
      </x:c>
      <x:c r="E160" s="42" t="str">
        <x:v>United States</x:v>
      </x:c>
      <x:c r="F160" s="42" t="str">
        <x:v>Publicly listed</x:v>
      </x:c>
      <x:c r="G160" s="42" t="str">
        <x:v>Express; parcel; air cargo; ground; customs; supply chain</x:v>
      </x:c>
      <x:c r="H160" s="42" t="str">
        <x:v>Raj Subramaniam</x:v>
      </x:c>
      <x:c r="I160" s="42" t="str">
        <x:v>President &amp; CEO</x:v>
      </x:c>
      <x:c r="J160" s="42" t="str">
        <x:v>Federal Express network: 700 aircraft, &gt;180,000 motorized vehicles and ~84,000 drop-off locations.</x:v>
      </x:c>
      <x:c r="K160" s="42" t="str">
        <x:v>Active</x:v>
      </x:c>
      <x:c r="L160" s="42" t="str">
        <x:v>SRC_0297</x:v>
      </x:c>
      <x:c r="M160" s="42" t="str">
        <x:v>2026-09-07</x:v>
      </x:c>
    </x:row>
    <x:row r="161">
      <x:c r="A161" s="42" t="str">
        <x:v>COMP_FEDERAL_EXPRESS</x:v>
      </x:c>
      <x:c r="B161" s="42" t="str">
        <x:v>Federal Express Corporation</x:v>
      </x:c>
      <x:c r="C161" s="42" t="str">
        <x:v>Integrated express carrier</x:v>
      </x:c>
      <x:c r="D161" s="42" t="str">
        <x:v>Memphis</x:v>
      </x:c>
      <x:c r="E161" s="42" t="str">
        <x:v>United States</x:v>
      </x:c>
      <x:c r="F161" s="42" t="str">
        <x:v>FedEx Corporation</x:v>
      </x:c>
      <x:c r="G161" s="42" t="str">
        <x:v>Air express; ground parcel; freight; customs; e-commerce logistics</x:v>
      </x:c>
      <x:c r="H161" s="42" t="str"/>
      <x:c r="I161" s="42" t="str"/>
      <x:c r="J161" s="42" t="str">
        <x:v>Principal integrated operating company of FedEx; global air and surface network.</x:v>
      </x:c>
      <x:c r="K161" s="42" t="str">
        <x:v>Active</x:v>
      </x:c>
      <x:c r="L161" s="42" t="str">
        <x:v>SRC_0297</x:v>
      </x:c>
      <x:c r="M161" s="42" t="str">
        <x:v>2026-09-07</x:v>
      </x:c>
    </x:row>
    <x:row r="162">
      <x:c r="A162" s="42" t="str">
        <x:v>COMP_FEDEX_SUPPLY_CHAIN</x:v>
      </x:c>
      <x:c r="B162" s="42" t="str">
        <x:v>FedEx Supply Chain</x:v>
      </x:c>
      <x:c r="C162" s="42" t="str">
        <x:v>Contract logistics company</x:v>
      </x:c>
      <x:c r="D162" s="42" t="str">
        <x:v>Memphis</x:v>
      </x:c>
      <x:c r="E162" s="42" t="str">
        <x:v>United States</x:v>
      </x:c>
      <x:c r="F162" s="42" t="str">
        <x:v>FedEx Corporation; sale to CMA CGM/CEVA pending</x:v>
      </x:c>
      <x:c r="G162" s="42" t="str">
        <x:v>Contract logistics; warehousing; fulfillment; returns</x:v>
      </x:c>
      <x:c r="H162" s="42" t="str"/>
      <x:c r="I162" s="42" t="str"/>
      <x:c r="J162" s="42" t="str">
        <x:v>Nearly 10,000 employees; proposed $1.4bn sale to CMA CGM announced 1 Jul 2026, expected close in 2026.</x:v>
      </x:c>
      <x:c r="K162" s="42" t="str">
        <x:v>Active / transaction pending</x:v>
      </x:c>
      <x:c r="L162" s="42" t="str">
        <x:v>SRC_0301</x:v>
      </x:c>
      <x:c r="M162" s="42" t="str">
        <x:v>2026-09-07</x:v>
      </x:c>
    </x:row>
    <x:row r="163">
      <x:c r="A163" s="42" t="str">
        <x:v>COMP_FEDEX_FREIGHT</x:v>
      </x:c>
      <x:c r="B163" s="42" t="str">
        <x:v>FedEx Freight Holding Company</x:v>
      </x:c>
      <x:c r="C163" s="42" t="str">
        <x:v>Independent listed LTL company</x:v>
      </x:c>
      <x:c r="D163" s="42" t="str">
        <x:v>Memphis</x:v>
      </x:c>
      <x:c r="E163" s="42" t="str">
        <x:v>United States</x:v>
      </x:c>
      <x:c r="F163" s="42" t="str">
        <x:v>Independent public company; FedEx retains 19.9% temporarily</x:v>
      </x:c>
      <x:c r="G163" s="42" t="str">
        <x:v>Less-than-truckload freight; terminals; road network</x:v>
      </x:c>
      <x:c r="H163" s="42" t="str"/>
      <x:c r="I163" s="42" t="str"/>
      <x:c r="J163" s="42" t="str">
        <x:v>&gt;365 locations; ~355 terminals; nearly 30,000 motorized vehicles.</x:v>
      </x:c>
      <x:c r="K163" s="42" t="str">
        <x:v>Active</x:v>
      </x:c>
      <x:c r="L163" s="42" t="str">
        <x:v>SRC_0298</x:v>
      </x:c>
      <x:c r="M163" s="42" t="str">
        <x:v>2026-09-07</x:v>
      </x:c>
    </x:row>
    <x:row r="164">
      <x:c r="A164" s="42" t="str">
        <x:v>COMP_AMAZON</x:v>
      </x:c>
      <x:c r="B164" s="42" t="str">
        <x:v>Amazon.com, Inc.</x:v>
      </x:c>
      <x:c r="C164" s="42" t="str">
        <x:v>Listed technology / commerce / logistics group</x:v>
      </x:c>
      <x:c r="D164" s="42" t="str">
        <x:v>Seattle</x:v>
      </x:c>
      <x:c r="E164" s="42" t="str">
        <x:v>United States</x:v>
      </x:c>
      <x:c r="F164" s="42" t="str">
        <x:v>Publicly listed</x:v>
      </x:c>
      <x:c r="G164" s="42" t="str">
        <x:v>Retail; marketplace; cloud; logistics; freight; air cargo; fulfillment</x:v>
      </x:c>
      <x:c r="H164" s="42" t="str">
        <x:v>Andy Jassy</x:v>
      </x:c>
      <x:c r="I164" s="42" t="str">
        <x:v>President &amp; CEO</x:v>
      </x:c>
      <x:c r="J164" s="42" t="str">
        <x:v>Commerce platform with increasingly externalized multimodal logistics network.</x:v>
      </x:c>
      <x:c r="K164" s="42" t="str">
        <x:v>Active</x:v>
      </x:c>
      <x:c r="L164" s="42" t="str">
        <x:v>SRC_0302</x:v>
      </x:c>
      <x:c r="M164" s="42" t="str">
        <x:v>2026-09-07</x:v>
      </x:c>
    </x:row>
    <x:row r="165">
      <x:c r="A165" s="42" t="str">
        <x:v>COMP_AMAZON_SUPPLY_CHAIN</x:v>
      </x:c>
      <x:c r="B165" s="42" t="str">
        <x:v>Amazon Supply Chain Services</x:v>
      </x:c>
      <x:c r="C165" s="42" t="str">
        <x:v>Service platform / business unit</x:v>
      </x:c>
      <x:c r="D165" s="42" t="str">
        <x:v>Seattle</x:v>
      </x:c>
      <x:c r="E165" s="42" t="str">
        <x:v>United States</x:v>
      </x:c>
      <x:c r="F165" s="42" t="str">
        <x:v>Amazon.com, Inc.</x:v>
      </x:c>
      <x:c r="G165" s="42" t="str">
        <x:v>Freight; distribution; fulfillment; parcel shipping; inventory placement</x:v>
      </x:c>
      <x:c r="H165" s="42" t="str"/>
      <x:c r="I165" s="42" t="str"/>
      <x:c r="J165" s="42" t="str">
        <x:v>Opened Amazon logistics network to external businesses in May 2026 across ocean, air, ground and rail.</x:v>
      </x:c>
      <x:c r="K165" s="42" t="str">
        <x:v>Active</x:v>
      </x:c>
      <x:c r="L165" s="42" t="str">
        <x:v>SRC_0302</x:v>
      </x:c>
      <x:c r="M165" s="42" t="str">
        <x:v>2026-09-07</x:v>
      </x:c>
    </x:row>
    <x:row r="166">
      <x:c r="A166" s="42" t="str">
        <x:v>COMP_AMAZON_GLOBAL_LOGISTICS</x:v>
      </x:c>
      <x:c r="B166" s="42" t="str">
        <x:v>Amazon Global Logistics</x:v>
      </x:c>
      <x:c r="C166" s="42" t="str">
        <x:v>Service platform / business unit</x:v>
      </x:c>
      <x:c r="D166" s="42" t="str">
        <x:v>Seattle</x:v>
      </x:c>
      <x:c r="E166" s="42" t="str">
        <x:v>United States</x:v>
      </x:c>
      <x:c r="F166" s="42" t="str">
        <x:v>Amazon.com, Inc.</x:v>
      </x:c>
      <x:c r="G166" s="42" t="str">
        <x:v>International ocean freight; air freight; customs; origin pickup</x:v>
      </x:c>
      <x:c r="H166" s="42" t="str"/>
      <x:c r="I166" s="42" t="str"/>
      <x:c r="J166" s="42" t="str">
        <x:v>Cross-border ocean and air freight platform connecting origins including China into Amazon networks.</x:v>
      </x:c>
      <x:c r="K166" s="42" t="str">
        <x:v>Active</x:v>
      </x:c>
      <x:c r="L166" s="42" t="str">
        <x:v>SRC_0304</x:v>
      </x:c>
      <x:c r="M166" s="42" t="str">
        <x:v>2026-09-07</x:v>
      </x:c>
    </x:row>
    <x:row r="167">
      <x:c r="A167" s="42" t="str">
        <x:v>COMP_AMAZON_FREIGHT</x:v>
      </x:c>
      <x:c r="B167" s="42" t="str">
        <x:v>Amazon Freight</x:v>
      </x:c>
      <x:c r="C167" s="42" t="str">
        <x:v>Service platform / business unit</x:v>
      </x:c>
      <x:c r="D167" s="42" t="str">
        <x:v>Seattle</x:v>
      </x:c>
      <x:c r="E167" s="42" t="str">
        <x:v>United States</x:v>
      </x:c>
      <x:c r="F167" s="42" t="str">
        <x:v>Amazon.com, Inc.</x:v>
      </x:c>
      <x:c r="G167" s="42" t="str">
        <x:v>FTL; LTL; intermodal; freight brokerage; trucking</x:v>
      </x:c>
      <x:c r="H167" s="42" t="str"/>
      <x:c r="I167" s="42" t="str"/>
      <x:c r="J167" s="42" t="str">
        <x:v>80,000+ trailers, 24,000+ intermodal containers, 50,000+ vetted carriers.</x:v>
      </x:c>
      <x:c r="K167" s="42" t="str">
        <x:v>Active</x:v>
      </x:c>
      <x:c r="L167" s="42" t="str">
        <x:v>SRC_0303</x:v>
      </x:c>
      <x:c r="M167" s="42" t="str">
        <x:v>2026-09-07</x:v>
      </x:c>
    </x:row>
    <x:row r="168">
      <x:c r="A168" s="42" t="str">
        <x:v>COMP_AMAZON_AIR</x:v>
      </x:c>
      <x:c r="B168" s="42" t="str">
        <x:v>Amazon Air</x:v>
      </x:c>
      <x:c r="C168" s="42" t="str">
        <x:v>Air cargo network / business unit</x:v>
      </x:c>
      <x:c r="D168" s="42" t="str">
        <x:v>Seattle</x:v>
      </x:c>
      <x:c r="E168" s="42" t="str">
        <x:v>United States</x:v>
      </x:c>
      <x:c r="F168" s="42" t="str">
        <x:v>Amazon.com, Inc.</x:v>
      </x:c>
      <x:c r="G168" s="42" t="str">
        <x:v>Air cargo; contracted airline operations; sortation hubs</x:v>
      </x:c>
      <x:c r="H168" s="42" t="str"/>
      <x:c r="I168" s="42" t="str"/>
      <x:c r="J168" s="42" t="str">
        <x:v>100+ aircraft network; flagship CVG hub; uses contracted operating airlines.</x:v>
      </x:c>
      <x:c r="K168" s="42" t="str">
        <x:v>Active</x:v>
      </x:c>
      <x:c r="L168" s="42" t="str">
        <x:v>SRC_0302</x:v>
      </x:c>
      <x:c r="M168" s="42" t="str">
        <x:v>2026-09-07</x:v>
      </x:c>
    </x:row>
    <x:row r="169">
      <x:c r="A169" s="42" t="str">
        <x:v>COMP_SUN_COUNTRY</x:v>
      </x:c>
      <x:c r="B169" s="42" t="str">
        <x:v>Sun Country Airlines</x:v>
      </x:c>
      <x:c r="C169" s="42" t="str">
        <x:v>Airline / cargo operator</x:v>
      </x:c>
      <x:c r="D169" s="42" t="str">
        <x:v>Minneapolis</x:v>
      </x:c>
      <x:c r="E169" s="42" t="str">
        <x:v>United States</x:v>
      </x:c>
      <x:c r="F169" s="42" t="str">
        <x:v>Owned by Allegiant Travel Company since May 2026</x:v>
      </x:c>
      <x:c r="G169" s="42" t="str">
        <x:v>Passenger airline; charter; Amazon cargo operations</x:v>
      </x:c>
      <x:c r="H169" s="42" t="str"/>
      <x:c r="I169" s="42" t="str"/>
      <x:c r="J169" s="42" t="str">
        <x:v>Operates 22 B737-800 cargo aircraft on behalf of Amazon; aircraft subleased directly from Amazon.</x:v>
      </x:c>
      <x:c r="K169" s="42" t="str">
        <x:v>Active</x:v>
      </x:c>
      <x:c r="L169" s="42" t="str">
        <x:v>SRC_0307</x:v>
      </x:c>
      <x:c r="M169" s="42" t="str">
        <x:v>2026-09-07</x:v>
      </x:c>
    </x:row>
    <x:row r="170">
      <x:c r="A170" s="42" t="str">
        <x:v>COMP_ALLEGIANT</x:v>
      </x:c>
      <x:c r="B170" s="42" t="str">
        <x:v>Allegiant Travel Company</x:v>
      </x:c>
      <x:c r="C170" s="42" t="str">
        <x:v>Listed airline / travel group</x:v>
      </x:c>
      <x:c r="D170" s="42" t="str">
        <x:v>Las Vegas</x:v>
      </x:c>
      <x:c r="E170" s="42" t="str">
        <x:v>United States</x:v>
      </x:c>
      <x:c r="F170" s="42" t="str">
        <x:v>Publicly listed</x:v>
      </x:c>
      <x:c r="G170" s="42" t="str">
        <x:v>Passenger airline; travel; Sun Country subsidiary</x:v>
      </x:c>
      <x:c r="H170" s="42" t="str"/>
      <x:c r="I170" s="42" t="str"/>
      <x:c r="J170" s="42" t="str">
        <x:v>Acquired Sun Country on 13 May 2026; Amazon cargo ATSA continues within Sun Country operation.</x:v>
      </x:c>
      <x:c r="K170" s="42" t="str">
        <x:v>Active</x:v>
      </x:c>
      <x:c r="L170" s="42" t="str">
        <x:v>SRC_0307</x:v>
      </x:c>
      <x:c r="M170" s="42" t="str">
        <x:v>2026-09-07</x:v>
      </x:c>
    </x:row>
    <x:row r="171">
      <x:c r="A171" s="42" t="str">
        <x:v>COMP_ADQ</x:v>
      </x:c>
      <x:c r="B171" s="42" t="str">
        <x:v>Abu Dhabi Developmental Holding Company PJSC (ADQ)</x:v>
      </x:c>
      <x:c r="C171" s="42" t="str">
        <x:v>Sovereign investment company</x:v>
      </x:c>
      <x:c r="D171" s="42" t="str">
        <x:v>Abu Dhabi</x:v>
      </x:c>
      <x:c r="E171" s="42" t="str">
        <x:v>United Arab Emirates</x:v>
      </x:c>
      <x:c r="F171" s="42" t="str">
        <x:v>Government of Abu Dhabi</x:v>
      </x:c>
      <x:c r="G171" s="42" t="str">
        <x:v>Infrastructure; transport &amp; logistics; energy; food; healthcare; finance</x:v>
      </x:c>
      <x:c r="H171" s="42" t="str"/>
      <x:c r="I171" s="42" t="str"/>
      <x:c r="J171" s="42" t="str">
        <x:v>Strategic Abu Dhabi investor focused on infrastructure and supply chains; controls Aramex and majority-owns AD Ports Group.</x:v>
      </x:c>
      <x:c r="K171" s="42" t="str">
        <x:v>Active</x:v>
      </x:c>
      <x:c r="L171" s="42" t="str">
        <x:v>SRC_0308</x:v>
      </x:c>
      <x:c r="M171" s="42" t="str">
        <x:v>2026-09-07</x:v>
      </x:c>
    </x:row>
    <x:row r="172">
      <x:c r="A172" s="42" t="str">
        <x:v>COMP_Q_LOGISTICS</x:v>
      </x:c>
      <x:c r="B172" s="42" t="str">
        <x:v>Q Logistics Holding LLC</x:v>
      </x:c>
      <x:c r="C172" s="42" t="str">
        <x:v>Acquisition / holding vehicle</x:v>
      </x:c>
      <x:c r="D172" s="42" t="str">
        <x:v>Abu Dhabi</x:v>
      </x:c>
      <x:c r="E172" s="42" t="str">
        <x:v>United Arab Emirates</x:v>
      </x:c>
      <x:c r="F172" s="42" t="str">
        <x:v>Wholly owned indirect subsidiary of ADQ</x:v>
      </x:c>
      <x:c r="G172" s="42" t="str">
        <x:v>Investment holding; acquisition vehicle</x:v>
      </x:c>
      <x:c r="H172" s="42" t="str"/>
      <x:c r="I172" s="42" t="str"/>
      <x:c r="J172" s="42" t="str">
        <x:v>Used by ADQ for the Aramex tender offer; keep separate from operating logistics companies.</x:v>
      </x:c>
      <x:c r="K172" s="42" t="str">
        <x:v>Active</x:v>
      </x:c>
      <x:c r="L172" s="42" t="str">
        <x:v>SRC_0308</x:v>
      </x:c>
      <x:c r="M172" s="42" t="str">
        <x:v>2026-09-07</x:v>
      </x:c>
    </x:row>
    <x:row r="173">
      <x:c r="A173" s="42" t="str">
        <x:v>COMP_ARAMEX</x:v>
      </x:c>
      <x:c r="B173" s="42" t="str">
        <x:v>Aramex PJSC</x:v>
      </x:c>
      <x:c r="C173" s="42" t="str">
        <x:v>Integrated logistics company</x:v>
      </x:c>
      <x:c r="D173" s="42" t="str">
        <x:v>Dubai</x:v>
      </x:c>
      <x:c r="E173" s="42" t="str">
        <x:v>United Arab Emirates</x:v>
      </x:c>
      <x:c r="F173" s="42" t="str">
        <x:v>ADQ-controlled; aggregate ADQ ownership 63.16% including AD Ports stake</x:v>
      </x:c>
      <x:c r="G173" s="42" t="str">
        <x:v>Express; freight forwarding; contract logistics; warehousing; e-commerce</x:v>
      </x:c>
      <x:c r="H173" s="42" t="str">
        <x:v>Amadou Diallo</x:v>
      </x:c>
      <x:c r="I173" s="42" t="str">
        <x:v>Group Chief Executive Officer</x:v>
      </x:c>
      <x:c r="J173" s="42" t="str">
        <x:v>&gt;65 countries; 60+ warehouse facilities in 29 countries; ~800,000 sqm managed warehouse space.</x:v>
      </x:c>
      <x:c r="K173" s="42" t="str">
        <x:v>Active</x:v>
      </x:c>
      <x:c r="L173" s="42" t="str">
        <x:v>SRC_0309</x:v>
      </x:c>
      <x:c r="M173" s="42" t="str">
        <x:v>2026-09-07</x:v>
      </x:c>
    </x:row>
    <x:row r="174">
      <x:c r="A174" s="102"/>
      <x:c r="B174" s="102"/>
      <x:c r="C174" s="102"/>
      <x:c r="D174" s="102"/>
      <x:c r="E174" s="102"/>
      <x:c r="F174" s="102"/>
      <x:c r="G174" s="102"/>
      <x:c r="H174" s="102"/>
      <x:c r="I174" s="102"/>
      <x:c r="J174" s="102"/>
      <x:c r="K174" s="102"/>
      <x:c r="L174" s="102"/>
      <x:c r="M174" s="102"/>
    </x:row>
  </x:sheetData>
  <x:pageMargins left="0.7" right="0.7" top="0.75" bottom="0.75" header="0.3" footer="0.3"/>
  <x:tableParts count="1">
    <x:tablePart xmlns:r="http://schemas.openxmlformats.org/officeDocument/2006/relationships" r:id="Rbcb856413b3d44a1"/>
  </x:tableParts>
</x:worksheet>
</file>

<file path=xl/worksheets/sheet5.xml><?xml version="1.0" encoding="utf-8"?>
<x:worksheet xmlns:x="http://schemas.openxmlformats.org/spreadsheetml/2006/main">
  <x:sheetFormatPr defaultRowHeight="15"/>
  <x:cols>
    <x:col min="1" max="1" width="18" hidden="0" customWidth="1"/>
    <x:col min="2" max="2" width="24" hidden="0" customWidth="1"/>
    <x:col min="3" max="3" width="18" hidden="0" customWidth="1"/>
    <x:col min="4" max="4" width="18" hidden="0" customWidth="1"/>
    <x:col min="5" max="5" width="18" hidden="0" customWidth="1"/>
    <x:col min="6" max="6" width="32" hidden="0" customWidth="1"/>
    <x:col min="7" max="7" width="18" hidden="0" customWidth="1"/>
  </x:cols>
  <x:sheetData>
    <x:row r="1">
      <x:c r="A1" s="36" t="str">
        <x:v>Person ID</x:v>
      </x:c>
      <x:c r="B1" s="36" t="str">
        <x:v>Name</x:v>
      </x:c>
      <x:c r="C1" s="36" t="str">
        <x:v>Nationality</x:v>
      </x:c>
      <x:c r="D1" s="36" t="str">
        <x:v>Location</x:v>
      </x:c>
      <x:c r="E1" s="36" t="str">
        <x:v>Status</x:v>
      </x:c>
      <x:c r="F1" s="36" t="str">
        <x:v>Source ID</x:v>
      </x:c>
      <x:c r="G1" s="36" t="str">
        <x:v>As Of</x:v>
      </x:c>
    </x:row>
    <x:row r="2">
      <x:c r="A2" s="42" t="str">
        <x:v>PERSON_0001</x:v>
      </x:c>
      <x:c r="B2" s="42" t="str">
        <x:v>Rodolphe Saadé</x:v>
      </x:c>
      <x:c r="C2" s="42" t="str"/>
      <x:c r="D2" s="42" t="str"/>
      <x:c r="E2" s="42" t="str">
        <x:v>Active</x:v>
      </x:c>
      <x:c r="F2" s="42" t="str">
        <x:v>SRC_0030</x:v>
      </x:c>
      <x:c r="G2" s="42" t="str">
        <x:v>2026-09-07</x:v>
      </x:c>
    </x:row>
    <x:row r="3">
      <x:c r="A3" s="42" t="str">
        <x:v>PERSON_0002</x:v>
      </x:c>
      <x:c r="B3" s="42" t="str">
        <x:v>Patrick Moebel</x:v>
      </x:c>
      <x:c r="C3" s="42" t="str"/>
      <x:c r="D3" s="42" t="str"/>
      <x:c r="E3" s="42" t="str">
        <x:v>Active</x:v>
      </x:c>
      <x:c r="F3" s="42" t="str">
        <x:v>SRC_0029</x:v>
      </x:c>
      <x:c r="G3" s="42" t="str">
        <x:v>2026-09-07</x:v>
      </x:c>
    </x:row>
    <x:row r="4">
      <x:c r="A4" s="42" t="str">
        <x:v>PERSON_0003</x:v>
      </x:c>
      <x:c r="B4" s="42" t="str">
        <x:v>Keith Svendsen</x:v>
      </x:c>
      <x:c r="C4" s="42" t="str"/>
      <x:c r="D4" s="42" t="str"/>
      <x:c r="E4" s="42" t="str">
        <x:v>Active</x:v>
      </x:c>
      <x:c r="F4" s="42" t="str">
        <x:v>SRC_0017</x:v>
      </x:c>
      <x:c r="G4" s="42" t="str">
        <x:v>2026-09-07</x:v>
      </x:c>
    </x:row>
    <x:row r="5">
      <x:c r="A5" s="42" t="str">
        <x:v>PERSON_0004</x:v>
      </x:c>
      <x:c r="B5" s="42" t="str">
        <x:v>Peter Wikström</x:v>
      </x:c>
      <x:c r="C5" s="42" t="str"/>
      <x:c r="D5" s="42" t="str"/>
      <x:c r="E5" s="42" t="str">
        <x:v>Active</x:v>
      </x:c>
      <x:c r="F5" s="42" t="str">
        <x:v>SRC_0001</x:v>
      </x:c>
      <x:c r="G5" s="42" t="str">
        <x:v>2026-09-07</x:v>
      </x:c>
    </x:row>
    <x:row r="6">
      <x:c r="A6" s="42" t="str">
        <x:v>PERSON_0005</x:v>
      </x:c>
      <x:c r="B6" s="42" t="str">
        <x:v>Yuvraj Narayan</x:v>
      </x:c>
      <x:c r="C6" s="42" t="str"/>
      <x:c r="D6" s="42" t="str"/>
      <x:c r="E6" s="42" t="str">
        <x:v>Active</x:v>
      </x:c>
      <x:c r="F6" s="42" t="str">
        <x:v>SRC_0033</x:v>
      </x:c>
      <x:c r="G6" s="42" t="str">
        <x:v>2026-09-07</x:v>
      </x:c>
    </x:row>
    <x:row r="7">
      <x:c r="A7" s="42" t="str">
        <x:v>PERSON_0006</x:v>
      </x:c>
      <x:c r="B7" s="42" t="str">
        <x:v>Ahmad Yousef Al-Hassan</x:v>
      </x:c>
      <x:c r="C7" s="42" t="str"/>
      <x:c r="D7" s="42" t="str"/>
      <x:c r="E7" s="42" t="str">
        <x:v>Active</x:v>
      </x:c>
      <x:c r="F7" s="42" t="str">
        <x:v>SRC_0032</x:v>
      </x:c>
      <x:c r="G7" s="42" t="str">
        <x:v>2026-09-07</x:v>
      </x:c>
    </x:row>
    <x:row r="8">
      <x:c r="A8" s="42" t="str">
        <x:v>PERSON_0007</x:v>
      </x:c>
      <x:c r="B8" s="42" t="str">
        <x:v>Captain Mohamed Juma Al Shamisi</x:v>
      </x:c>
      <x:c r="C8" s="42" t="str"/>
      <x:c r="D8" s="42" t="str"/>
      <x:c r="E8" s="42" t="str">
        <x:v>Active</x:v>
      </x:c>
      <x:c r="F8" s="42" t="str">
        <x:v>SRC_0013</x:v>
      </x:c>
      <x:c r="G8" s="42" t="str">
        <x:v>2026-09-07</x:v>
      </x:c>
    </x:row>
    <x:row r="9">
      <x:c r="A9" s="42" t="str">
        <x:v>PERSON_0008</x:v>
      </x:c>
      <x:c r="B9" s="42" t="str">
        <x:v>Jochen Thewes</x:v>
      </x:c>
      <x:c r="C9" s="42" t="str"/>
      <x:c r="D9" s="42" t="str"/>
      <x:c r="E9" s="42" t="str">
        <x:v>Active</x:v>
      </x:c>
      <x:c r="F9" s="42" t="str">
        <x:v>SRC_0014</x:v>
      </x:c>
      <x:c r="G9" s="42" t="str">
        <x:v>2026-09-07</x:v>
      </x:c>
    </x:row>
    <x:row r="10">
      <x:c r="A10" s="42" t="str">
        <x:v>PERSON_0009</x:v>
      </x:c>
      <x:c r="B10" s="42" t="str">
        <x:v>Farid Belbouab</x:v>
      </x:c>
      <x:c r="C10" s="42" t="str"/>
      <x:c r="D10" s="42" t="str"/>
      <x:c r="E10" s="42" t="str">
        <x:v>Active</x:v>
      </x:c>
      <x:c r="F10" s="42" t="str">
        <x:v>SRC_0039</x:v>
      </x:c>
      <x:c r="G10" s="42" t="str">
        <x:v>2026-09-07</x:v>
      </x:c>
    </x:row>
    <x:row r="11">
      <x:c r="A11" s="42" t="str">
        <x:v>PERSON_0010</x:v>
      </x:c>
      <x:c r="B11" s="42" t="str">
        <x:v>Simon Farhat</x:v>
      </x:c>
      <x:c r="C11" s="42" t="str"/>
      <x:c r="D11" s="42" t="str"/>
      <x:c r="E11" s="42" t="str">
        <x:v>Active</x:v>
      </x:c>
      <x:c r="F11" s="42" t="str">
        <x:v>SRC_0039</x:v>
      </x:c>
      <x:c r="G11" s="42" t="str">
        <x:v>2026-09-07</x:v>
      </x:c>
    </x:row>
    <x:row r="12">
      <x:c r="A12" s="42" t="str">
        <x:v>PERSON_0011</x:v>
      </x:c>
      <x:c r="B12" s="42" t="str">
        <x:v>Richard Forson</x:v>
      </x:c>
      <x:c r="C12" s="42" t="str"/>
      <x:c r="D12" s="42" t="str"/>
      <x:c r="E12" s="42" t="str">
        <x:v>Active</x:v>
      </x:c>
      <x:c r="F12" s="42" t="str">
        <x:v>SRC_0022</x:v>
      </x:c>
      <x:c r="G12" s="42" t="str">
        <x:v>2026-09-07</x:v>
      </x:c>
    </x:row>
    <x:row r="13">
      <x:c r="A13" s="42" t="str">
        <x:v>PERSON_0012</x:v>
      </x:c>
      <x:c r="B13" s="42" t="str">
        <x:v>Domenico Ceci</x:v>
      </x:c>
      <x:c r="C13" s="42" t="str"/>
      <x:c r="D13" s="42" t="str"/>
      <x:c r="E13" s="42" t="str">
        <x:v>Active</x:v>
      </x:c>
      <x:c r="F13" s="42" t="str">
        <x:v>SRC_0022</x:v>
      </x:c>
      <x:c r="G13" s="42" t="str">
        <x:v>2026-09-07</x:v>
      </x:c>
    </x:row>
    <x:row r="14">
      <x:c r="A14" s="42" t="str">
        <x:v>PERSON_0013</x:v>
      </x:c>
      <x:c r="B14" s="42" t="str">
        <x:v>Maxim Straus</x:v>
      </x:c>
      <x:c r="C14" s="42" t="str"/>
      <x:c r="D14" s="42" t="str"/>
      <x:c r="E14" s="42" t="str">
        <x:v>Active</x:v>
      </x:c>
      <x:c r="F14" s="42" t="str">
        <x:v>SRC_0022</x:v>
      </x:c>
      <x:c r="G14" s="42" t="str">
        <x:v>2026-09-07</x:v>
      </x:c>
    </x:row>
    <x:row r="15">
      <x:c r="A15" s="42" t="str">
        <x:v>PERSON_0014</x:v>
      </x:c>
      <x:c r="B15" s="42" t="str">
        <x:v>Pierroberto Folgiero</x:v>
      </x:c>
      <x:c r="C15" s="42" t="str"/>
      <x:c r="D15" s="42" t="str"/>
      <x:c r="E15" s="42" t="str">
        <x:v>Active</x:v>
      </x:c>
      <x:c r="F15" s="42" t="str">
        <x:v>SRC_0035</x:v>
      </x:c>
      <x:c r="G15" s="42" t="str">
        <x:v>2026-09-07</x:v>
      </x:c>
    </x:row>
    <x:row r="16">
      <x:c r="A16" s="42" t="str">
        <x:v>PERSON_0015</x:v>
      </x:c>
      <x:c r="B16" s="42" t="str">
        <x:v>Soren Toft</x:v>
      </x:c>
      <x:c r="C16" s="42" t="str"/>
      <x:c r="D16" s="42" t="str"/>
      <x:c r="E16" s="42" t="str">
        <x:v>Active</x:v>
      </x:c>
      <x:c r="F16" s="42" t="str">
        <x:v>SRC_0051</x:v>
      </x:c>
      <x:c r="G16" s="42" t="str">
        <x:v>2026-09-07</x:v>
      </x:c>
    </x:row>
    <x:row r="17">
      <x:c r="A17" t="str">
        <x:v>PERSON_0016</x:v>
      </x:c>
      <x:c r="B17" t="str">
        <x:v>H.E. Dr. Sultan Ahmed Al Jaber</x:v>
      </x:c>
      <x:c r="C17" t="str"/>
      <x:c r="D17" t="str"/>
      <x:c r="E17" t="str">
        <x:v>Active</x:v>
      </x:c>
      <x:c r="F17" t="str">
        <x:v>SRC_0067</x:v>
      </x:c>
      <x:c r="G17" t="str">
        <x:v>2026-09-07</x:v>
      </x:c>
    </x:row>
    <x:row r="18">
      <x:c r="A18" t="str">
        <x:v>PERSON_0017</x:v>
      </x:c>
      <x:c r="B18" t="str">
        <x:v>Captain Abdulkareem Al Masabi</x:v>
      </x:c>
      <x:c r="C18" t="str"/>
      <x:c r="D18" t="str"/>
      <x:c r="E18" t="str">
        <x:v>Active</x:v>
      </x:c>
      <x:c r="F18" t="str">
        <x:v>SRC_0067</x:v>
      </x:c>
      <x:c r="G18" t="str">
        <x:v>2026-09-07</x:v>
      </x:c>
    </x:row>
    <x:row r="19">
      <x:c r="A19" t="str">
        <x:v>PERSON_0018</x:v>
      </x:c>
      <x:c r="B19" t="str">
        <x:v>Eng. Ahmed Ali Alsubaey</x:v>
      </x:c>
      <x:c r="C19" t="str"/>
      <x:c r="D19" t="str"/>
      <x:c r="E19" t="str">
        <x:v>Active</x:v>
      </x:c>
      <x:c r="F19" t="str">
        <x:v>SRC_0075</x:v>
      </x:c>
      <x:c r="G19" t="str">
        <x:v>2026-09-07</x:v>
      </x:c>
    </x:row>
    <x:row r="20">
      <x:c r="A20" t="str">
        <x:v>PERSON_0019</x:v>
      </x:c>
      <x:c r="B20" t="str">
        <x:v>Hisham Al Nughaimish</x:v>
      </x:c>
      <x:c r="C20" t="str"/>
      <x:c r="D20" t="str"/>
      <x:c r="E20" t="str">
        <x:v>Active</x:v>
      </x:c>
      <x:c r="F20" t="str">
        <x:v>SRC_0075</x:v>
      </x:c>
      <x:c r="G20" t="str">
        <x:v>2026-09-07</x:v>
      </x:c>
    </x:row>
    <x:row r="21">
      <x:c r="A21" t="str">
        <x:v>PERSON_0020</x:v>
      </x:c>
      <x:c r="B21" t="str">
        <x:v>Faisal Al Husseini</x:v>
      </x:c>
      <x:c r="C21" t="str"/>
      <x:c r="D21" t="str"/>
      <x:c r="E21" t="str">
        <x:v>Active</x:v>
      </x:c>
      <x:c r="F21" t="str">
        <x:v>SRC_0075</x:v>
      </x:c>
      <x:c r="G21" t="str">
        <x:v>2026-09-07</x:v>
      </x:c>
    </x:row>
    <x:row r="22">
      <x:c r="A22" t="str">
        <x:v>PERSON_0021</x:v>
      </x:c>
      <x:c r="B22" t="str">
        <x:v>Khalid Alhammad</x:v>
      </x:c>
      <x:c r="C22" t="str"/>
      <x:c r="D22" t="str"/>
      <x:c r="E22" t="str">
        <x:v>Active</x:v>
      </x:c>
      <x:c r="F22" t="str">
        <x:v>SRC_0075</x:v>
      </x:c>
      <x:c r="G22" t="str">
        <x:v>2026-09-07</x:v>
      </x:c>
    </x:row>
    <x:row r="23">
      <x:c r="A23" t="str">
        <x:v>PERSON_0022</x:v>
      </x:c>
      <x:c r="B23" t="str">
        <x:v>Mohit Sibal</x:v>
      </x:c>
      <x:c r="C23" t="str"/>
      <x:c r="D23" t="str"/>
      <x:c r="E23" t="str">
        <x:v>Active</x:v>
      </x:c>
      <x:c r="F23" t="str">
        <x:v>SRC_0075</x:v>
      </x:c>
      <x:c r="G23" t="str">
        <x:v>2026-09-07</x:v>
      </x:c>
    </x:row>
    <x:row r="24">
      <x:c r="A24" t="str">
        <x:v>PERSON_0023</x:v>
      </x:c>
      <x:c r="B24" t="str">
        <x:v>Eng. Abdullah Al-Sulaiti</x:v>
      </x:c>
      <x:c r="C24" t="str"/>
      <x:c r="D24" t="str"/>
      <x:c r="E24" t="str">
        <x:v>Active</x:v>
      </x:c>
      <x:c r="F24" t="str">
        <x:v>SRC_0079</x:v>
      </x:c>
      <x:c r="G24" t="str">
        <x:v>2026-09-07</x:v>
      </x:c>
    </x:row>
    <x:row r="25">
      <x:c r="A25" t="str">
        <x:v>PERSON_0024</x:v>
      </x:c>
      <x:c r="B25" t="str">
        <x:v>Fahad Saad Al-Qahtani</x:v>
      </x:c>
      <x:c r="C25" t="str"/>
      <x:c r="D25" t="str"/>
      <x:c r="E25" t="str">
        <x:v>Active</x:v>
      </x:c>
      <x:c r="F25" t="str">
        <x:v>SRC_0082</x:v>
      </x:c>
      <x:c r="G25" t="str">
        <x:v>2026-09-07</x:v>
      </x:c>
    </x:row>
    <x:row r="26">
      <x:c r="A26" t="str">
        <x:v>PERSON_0025</x:v>
      </x:c>
      <x:c r="B26" t="str">
        <x:v>Kris Brusselmans</x:v>
      </x:c>
      <x:c r="C26" t="str"/>
      <x:c r="D26" t="str"/>
      <x:c r="E26" t="str">
        <x:v>Active</x:v>
      </x:c>
      <x:c r="F26" t="str">
        <x:v>SRC_0083</x:v>
      </x:c>
      <x:c r="G26" t="str">
        <x:v>2026-09-07</x:v>
      </x:c>
    </x:row>
    <x:row r="27">
      <x:c r="A27" t="str">
        <x:v>PERSON_0026</x:v>
      </x:c>
      <x:c r="B27" t="str">
        <x:v>Saad Sherida Al-Kaabi</x:v>
      </x:c>
      <x:c r="C27" t="str"/>
      <x:c r="D27" t="str"/>
      <x:c r="E27" t="str">
        <x:v>Active</x:v>
      </x:c>
      <x:c r="F27" t="str">
        <x:v>SRC_0087</x:v>
      </x:c>
      <x:c r="G27" t="str">
        <x:v>2026-09-07</x:v>
      </x:c>
    </x:row>
    <x:row r="28">
      <x:c r="A28" t="str">
        <x:v>PERSON_0027</x:v>
      </x:c>
      <x:c r="B28" t="str">
        <x:v>Wang Chuanfu</x:v>
      </x:c>
      <x:c r="C28" t="str"/>
      <x:c r="D28" t="str"/>
      <x:c r="E28" t="str">
        <x:v>Active</x:v>
      </x:c>
      <x:c r="F28" t="str">
        <x:v>SRC_0089</x:v>
      </x:c>
      <x:c r="G28" t="str">
        <x:v>2026-09-07</x:v>
      </x:c>
    </x:row>
    <x:row r="29">
      <x:c r="A29" t="str">
        <x:v>PERSON_0028</x:v>
      </x:c>
      <x:c r="B29" t="str">
        <x:v>Eli Glickman</x:v>
      </x:c>
      <x:c r="C29" t="str"/>
      <x:c r="D29" t="str"/>
      <x:c r="E29" t="str">
        <x:v>Active</x:v>
      </x:c>
      <x:c r="F29" t="str">
        <x:v>SRC_0098</x:v>
      </x:c>
      <x:c r="G29" t="str">
        <x:v>2026-09-07</x:v>
      </x:c>
    </x:row>
    <x:row r="30">
      <x:c r="A30" t="str">
        <x:v>PERSON_0029</x:v>
      </x:c>
      <x:c r="B30" t="str">
        <x:v>Tae-Soon Chung</x:v>
      </x:c>
      <x:c r="C30" t="str"/>
      <x:c r="D30" t="str"/>
      <x:c r="E30" t="str">
        <x:v>Active</x:v>
      </x:c>
      <x:c r="F30" t="str">
        <x:v>SRC_0101</x:v>
      </x:c>
      <x:c r="G30" t="str">
        <x:v>2026-09-07</x:v>
      </x:c>
    </x:row>
    <x:row r="31">
      <x:c r="A31" t="str">
        <x:v>PERSON_0030</x:v>
      </x:c>
      <x:c r="B31" t="str">
        <x:v>Chang-Won Kum</x:v>
      </x:c>
      <x:c r="C31" t="str"/>
      <x:c r="D31" t="str"/>
      <x:c r="E31" t="str">
        <x:v>Active</x:v>
      </x:c>
      <x:c r="F31" t="str">
        <x:v>SRC_0101</x:v>
      </x:c>
      <x:c r="G31" t="str">
        <x:v>2026-09-07</x:v>
      </x:c>
    </x:row>
    <x:row r="32">
      <x:c r="A32" t="str">
        <x:v>PERSON_0031</x:v>
      </x:c>
      <x:c r="B32" t="str">
        <x:v>Murray Auchincloss</x:v>
      </x:c>
      <x:c r="C32" t="str"/>
      <x:c r="D32" t="str"/>
      <x:c r="E32" t="str">
        <x:v>Active</x:v>
      </x:c>
      <x:c r="F32" t="str">
        <x:v>SRC_0104</x:v>
      </x:c>
      <x:c r="G32" t="str">
        <x:v>2026-09-07</x:v>
      </x:c>
    </x:row>
    <x:row r="33">
      <x:c r="A33" t="str">
        <x:v>PERSON_0032</x:v>
      </x:c>
      <x:c r="B33" t="str">
        <x:v>Mike Wirth</x:v>
      </x:c>
      <x:c r="C33" t="str"/>
      <x:c r="D33" t="str"/>
      <x:c r="E33" t="str">
        <x:v>Active</x:v>
      </x:c>
      <x:c r="F33" t="str">
        <x:v>SRC_0106</x:v>
      </x:c>
      <x:c r="G33" t="str">
        <x:v>2026-09-07</x:v>
      </x:c>
    </x:row>
    <x:row r="34">
      <x:c r="A34" t="str">
        <x:v>PERSON_0033</x:v>
      </x:c>
      <x:c r="B34" t="str">
        <x:v>Darren Woods</x:v>
      </x:c>
      <x:c r="C34" t="str"/>
      <x:c r="D34" t="str"/>
      <x:c r="E34" t="str">
        <x:v>Active</x:v>
      </x:c>
      <x:c r="F34" t="str">
        <x:v>SRC_0108</x:v>
      </x:c>
      <x:c r="G34" t="str">
        <x:v>2026-09-07</x:v>
      </x:c>
    </x:row>
    <x:row r="35">
      <x:c r="A35" s="42" t="str">
        <x:v>PERSON_0034</x:v>
      </x:c>
      <x:c r="B35" s="42" t="str">
        <x:v>Tobias Meyer</x:v>
      </x:c>
      <x:c r="C35" s="42" t="str">
        <x:v>German</x:v>
      </x:c>
      <x:c r="D35" s="42" t="str">
        <x:v>Bonn, Germany</x:v>
      </x:c>
      <x:c r="E35" s="42" t="str">
        <x:v>Active</x:v>
      </x:c>
      <x:c r="F35" s="42" t="str">
        <x:v>SRC_0312</x:v>
      </x:c>
      <x:c r="G35" s="42" t="str">
        <x:v>2026-09-07</x:v>
      </x:c>
    </x:row>
    <x:row r="36">
      <x:c r="A36" s="42" t="str">
        <x:v>PERSON_0035</x:v>
      </x:c>
      <x:c r="B36" s="42" t="str">
        <x:v>John Pearson</x:v>
      </x:c>
      <x:c r="C36" s="42" t="str"/>
      <x:c r="D36" s="42" t="str"/>
      <x:c r="E36" s="42" t="str">
        <x:v>Active</x:v>
      </x:c>
      <x:c r="F36" s="42" t="str">
        <x:v>SRC_0312</x:v>
      </x:c>
      <x:c r="G36" s="42" t="str">
        <x:v>2026-09-07</x:v>
      </x:c>
    </x:row>
    <x:row r="37">
      <x:c r="A37" s="42" t="str">
        <x:v>PERSON_0036</x:v>
      </x:c>
      <x:c r="B37" s="42" t="str">
        <x:v>Hendrik Venter</x:v>
      </x:c>
      <x:c r="C37" s="42" t="str"/>
      <x:c r="D37" s="42" t="str"/>
      <x:c r="E37" s="42" t="str">
        <x:v>Active</x:v>
      </x:c>
      <x:c r="F37" s="42" t="str">
        <x:v>SRC_0312</x:v>
      </x:c>
      <x:c r="G37" s="42" t="str">
        <x:v>2026-09-07</x:v>
      </x:c>
    </x:row>
    <x:row r="38">
      <x:c r="A38" s="42" t="str">
        <x:v>PERSON_0037</x:v>
      </x:c>
      <x:c r="B38" s="42" t="str">
        <x:v>Oscar de Bok</x:v>
      </x:c>
      <x:c r="C38" s="42" t="str"/>
      <x:c r="D38" s="42" t="str"/>
      <x:c r="E38" s="42" t="str">
        <x:v>Active</x:v>
      </x:c>
      <x:c r="F38" s="42" t="str">
        <x:v>SRC_0312</x:v>
      </x:c>
      <x:c r="G38" s="42" t="str">
        <x:v>2026-09-07</x:v>
      </x:c>
    </x:row>
    <x:row r="39">
      <x:c r="A39" s="42" t="str">
        <x:v>PERSON_0038</x:v>
      </x:c>
      <x:c r="B39" s="42" t="str">
        <x:v>Pablo Ciano</x:v>
      </x:c>
      <x:c r="C39" s="42" t="str"/>
      <x:c r="D39" s="42" t="str"/>
      <x:c r="E39" s="42" t="str">
        <x:v>Active</x:v>
      </x:c>
      <x:c r="F39" s="42" t="str">
        <x:v>SRC_0312</x:v>
      </x:c>
      <x:c r="G39" s="42" t="str">
        <x:v>2026-09-07</x:v>
      </x:c>
    </x:row>
    <x:row r="40">
      <x:c r="A40" s="42" t="str">
        <x:v>PERSON_0039</x:v>
      </x:c>
      <x:c r="B40" s="42" t="str">
        <x:v>Raj Subramaniam</x:v>
      </x:c>
      <x:c r="C40" s="42" t="str"/>
      <x:c r="D40" s="42" t="str">
        <x:v>Memphis, United States</x:v>
      </x:c>
      <x:c r="E40" s="42" t="str">
        <x:v>Active</x:v>
      </x:c>
      <x:c r="F40" s="42" t="str">
        <x:v>SRC_0314</x:v>
      </x:c>
      <x:c r="G40" s="42" t="str">
        <x:v>2026-09-07</x:v>
      </x:c>
    </x:row>
    <x:row r="41">
      <x:c r="A41" s="42" t="str">
        <x:v>PERSON_0040</x:v>
      </x:c>
      <x:c r="B41" s="42" t="str">
        <x:v>Andy Jassy</x:v>
      </x:c>
      <x:c r="C41" s="42" t="str"/>
      <x:c r="D41" s="42" t="str"/>
      <x:c r="E41" s="42" t="str">
        <x:v>Active</x:v>
      </x:c>
      <x:c r="F41" s="42" t="str">
        <x:v>SRC_0313</x:v>
      </x:c>
      <x:c r="G41" s="42" t="str">
        <x:v>2026-09-07</x:v>
      </x:c>
    </x:row>
    <x:row r="42">
      <x:c r="A42" s="42" t="str">
        <x:v>PERSON_0041</x:v>
      </x:c>
      <x:c r="B42" s="42" t="str">
        <x:v>Amadou Diallo</x:v>
      </x:c>
      <x:c r="C42" s="42" t="str"/>
      <x:c r="D42" s="42" t="str">
        <x:v>Dubai, United Arab Emirates</x:v>
      </x:c>
      <x:c r="E42" s="42" t="str">
        <x:v>Active</x:v>
      </x:c>
      <x:c r="F42" s="42" t="str">
        <x:v>SRC_0311</x:v>
      </x:c>
      <x:c r="G42" s="42" t="str">
        <x:v>2026-09-07</x:v>
      </x:c>
    </x:row>
  </x:sheetData>
  <x:pageMargins left="0.7" right="0.7" top="0.75" bottom="0.75" header="0.3" footer="0.3"/>
  <x:tableParts count="1">
    <x:tablePart xmlns:r="http://schemas.openxmlformats.org/officeDocument/2006/relationships" r:id="R5a7d36d90a0c42c0"/>
  </x:tableParts>
</x:worksheet>
</file>

<file path=xl/worksheets/sheet6.xml><?xml version="1.0" encoding="utf-8"?>
<x:worksheet xmlns:x="http://schemas.openxmlformats.org/spreadsheetml/2006/main">
  <x:sheetFormatPr defaultRowHeight="15"/>
  <x:cols>
    <x:col min="1" max="1" width="18" hidden="0" customWidth="1"/>
    <x:col min="2" max="2" width="18" hidden="0" customWidth="1"/>
    <x:col min="3" max="3" width="24" hidden="0" customWidth="1"/>
    <x:col min="4" max="4" width="24" hidden="0" customWidth="1"/>
    <x:col min="5" max="5" width="34" hidden="0" customWidth="1"/>
    <x:col min="6" max="6" width="18" hidden="0" customWidth="1"/>
    <x:col min="7" max="7" width="18" hidden="0" customWidth="1"/>
    <x:col min="8" max="8" width="18" hidden="0" customWidth="1"/>
    <x:col min="9" max="9" width="32" hidden="0" customWidth="1"/>
  </x:cols>
  <x:sheetData>
    <x:row r="1">
      <x:c r="A1" s="36" t="str">
        <x:v>Role ID</x:v>
      </x:c>
      <x:c r="B1" s="36" t="str">
        <x:v>Person ID</x:v>
      </x:c>
      <x:c r="C1" s="36" t="str">
        <x:v>Company ID</x:v>
      </x:c>
      <x:c r="D1" s="36" t="str">
        <x:v>Title</x:v>
      </x:c>
      <x:c r="E1" s="36" t="str">
        <x:v>Scope</x:v>
      </x:c>
      <x:c r="F1" s="36" t="str">
        <x:v>Status</x:v>
      </x:c>
      <x:c r="G1" s="36" t="str">
        <x:v>Effective From</x:v>
      </x:c>
      <x:c r="H1" s="36" t="str">
        <x:v>Effective To</x:v>
      </x:c>
      <x:c r="I1" s="36" t="str">
        <x:v>Source ID</x:v>
      </x:c>
    </x:row>
    <x:row r="2">
      <x:c r="A2" s="42" t="str">
        <x:v>ROLE_0001</x:v>
      </x:c>
      <x:c r="B2" s="42" t="str">
        <x:v>PERSON_0001</x:v>
      </x:c>
      <x:c r="C2" s="42" t="str">
        <x:v>COMP_CMA_CGM</x:v>
      </x:c>
      <x:c r="D2" s="42" t="str">
        <x:v>Chairman &amp; Chief Executive Officer</x:v>
      </x:c>
      <x:c r="E2" s="42" t="str">
        <x:v>Group</x:v>
      </x:c>
      <x:c r="F2" s="42" t="str">
        <x:v>Current</x:v>
      </x:c>
      <x:c r="G2" s="42" t="str"/>
      <x:c r="H2" s="42" t="str"/>
      <x:c r="I2" s="42" t="str">
        <x:v>SRC_0030</x:v>
      </x:c>
    </x:row>
    <x:row r="3">
      <x:c r="A3" s="42" t="str">
        <x:v>ROLE_0002</x:v>
      </x:c>
      <x:c r="B3" s="42" t="str">
        <x:v>PERSON_0002</x:v>
      </x:c>
      <x:c r="C3" s="42" t="str">
        <x:v>COMP_CEVA</x:v>
      </x:c>
      <x:c r="D3" s="42" t="str">
        <x:v>Chief Executive Officer</x:v>
      </x:c>
      <x:c r="E3" s="42" t="str">
        <x:v>Global</x:v>
      </x:c>
      <x:c r="F3" s="42" t="str">
        <x:v>Current</x:v>
      </x:c>
      <x:c r="G3" s="42" t="str">
        <x:v>2026-07-01</x:v>
      </x:c>
      <x:c r="H3" s="42" t="str"/>
      <x:c r="I3" s="42" t="str">
        <x:v>SRC_0029</x:v>
      </x:c>
    </x:row>
    <x:row r="4">
      <x:c r="A4" s="42" t="str">
        <x:v>ROLE_0003</x:v>
      </x:c>
      <x:c r="B4" s="42" t="str">
        <x:v>PERSON_0003</x:v>
      </x:c>
      <x:c r="C4" s="42" t="str">
        <x:v>COMP_APMT</x:v>
      </x:c>
      <x:c r="D4" s="42" t="str">
        <x:v>Chief Executive Officer</x:v>
      </x:c>
      <x:c r="E4" s="42" t="str">
        <x:v>Global</x:v>
      </x:c>
      <x:c r="F4" s="42" t="str">
        <x:v>Current</x:v>
      </x:c>
      <x:c r="G4" s="42" t="str">
        <x:v>2022-07-01</x:v>
      </x:c>
      <x:c r="H4" s="42" t="str"/>
      <x:c r="I4" s="42" t="str">
        <x:v>SRC_0017</x:v>
      </x:c>
    </x:row>
    <x:row r="5">
      <x:c r="A5" s="42" t="str">
        <x:v>ROLE_0004</x:v>
      </x:c>
      <x:c r="B5" s="42" t="str">
        <x:v>PERSON_0004</x:v>
      </x:c>
      <x:c r="C5" s="42" t="str">
        <x:v>COMP_APMT</x:v>
      </x:c>
      <x:c r="D5" s="42" t="str">
        <x:v>Chief Financial Officer</x:v>
      </x:c>
      <x:c r="E5" s="42" t="str">
        <x:v>Global</x:v>
      </x:c>
      <x:c r="F5" s="42" t="str">
        <x:v>Current</x:v>
      </x:c>
      <x:c r="G5" s="42" t="str">
        <x:v>2025-01-01</x:v>
      </x:c>
      <x:c r="H5" s="42" t="str"/>
      <x:c r="I5" s="42" t="str">
        <x:v>SRC_0001</x:v>
      </x:c>
    </x:row>
    <x:row r="6">
      <x:c r="A6" s="42" t="str">
        <x:v>ROLE_0005</x:v>
      </x:c>
      <x:c r="B6" s="42" t="str">
        <x:v>PERSON_0005</x:v>
      </x:c>
      <x:c r="C6" s="42" t="str">
        <x:v>COMP_DPW</x:v>
      </x:c>
      <x:c r="D6" s="42" t="str">
        <x:v>Group Chief Executive Officer</x:v>
      </x:c>
      <x:c r="E6" s="42" t="str">
        <x:v>Global</x:v>
      </x:c>
      <x:c r="F6" s="42" t="str">
        <x:v>Current</x:v>
      </x:c>
      <x:c r="G6" s="42" t="str">
        <x:v>2026-02-13</x:v>
      </x:c>
      <x:c r="H6" s="42" t="str"/>
      <x:c r="I6" s="42" t="str">
        <x:v>SRC_0033</x:v>
      </x:c>
    </x:row>
    <x:row r="7">
      <x:c r="A7" s="42" t="str">
        <x:v>ROLE_0006</x:v>
      </x:c>
      <x:c r="B7" s="42" t="str">
        <x:v>PERSON_0006</x:v>
      </x:c>
      <x:c r="C7" s="42" t="str">
        <x:v>COMP_DPW</x:v>
      </x:c>
      <x:c r="D7" s="42" t="str">
        <x:v>CEO &amp; Managing Director</x:v>
      </x:c>
      <x:c r="E7" s="42" t="str">
        <x:v>GCC</x:v>
      </x:c>
      <x:c r="F7" s="42" t="str">
        <x:v>Current</x:v>
      </x:c>
      <x:c r="G7" s="42" t="str">
        <x:v>2026-02-01</x:v>
      </x:c>
      <x:c r="H7" s="42" t="str"/>
      <x:c r="I7" s="42" t="str">
        <x:v>SRC_0032</x:v>
      </x:c>
    </x:row>
    <x:row r="8">
      <x:c r="A8" s="42" t="str">
        <x:v>ROLE_0007</x:v>
      </x:c>
      <x:c r="B8" s="42" t="str">
        <x:v>PERSON_0007</x:v>
      </x:c>
      <x:c r="C8" s="42" t="str">
        <x:v>COMP_ADPORTS</x:v>
      </x:c>
      <x:c r="D8" s="42" t="str">
        <x:v>Managing Director &amp; Group CEO</x:v>
      </x:c>
      <x:c r="E8" s="42" t="str">
        <x:v>Global</x:v>
      </x:c>
      <x:c r="F8" s="42" t="str">
        <x:v>Current</x:v>
      </x:c>
      <x:c r="G8" s="42" t="str"/>
      <x:c r="H8" s="42" t="str"/>
      <x:c r="I8" s="42" t="str">
        <x:v>SRC_0013</x:v>
      </x:c>
    </x:row>
    <x:row r="9">
      <x:c r="A9" s="42" t="str">
        <x:v>ROLE_0008</x:v>
      </x:c>
      <x:c r="B9" s="42" t="str">
        <x:v>PERSON_0008</x:v>
      </x:c>
      <x:c r="C9" s="42" t="str">
        <x:v>COMP_ADPORTS</x:v>
      </x:c>
      <x:c r="D9" s="42" t="str">
        <x:v>CEO</x:v>
      </x:c>
      <x:c r="E9" s="42" t="str">
        <x:v>Logistics Cluster</x:v>
      </x:c>
      <x:c r="F9" s="42" t="str">
        <x:v>Current</x:v>
      </x:c>
      <x:c r="G9" s="42" t="str">
        <x:v>2025-12-01</x:v>
      </x:c>
      <x:c r="H9" s="42" t="str"/>
      <x:c r="I9" s="42" t="str">
        <x:v>SRC_0014</x:v>
      </x:c>
    </x:row>
    <x:row r="10">
      <x:c r="A10" s="42" t="str">
        <x:v>ROLE_0009</x:v>
      </x:c>
      <x:c r="B10" s="42" t="str">
        <x:v>PERSON_0009</x:v>
      </x:c>
      <x:c r="C10" s="42" t="str">
        <x:v>COMP_GULFTAINER</x:v>
      </x:c>
      <x:c r="D10" s="42" t="str">
        <x:v>Group Chief Executive Officer</x:v>
      </x:c>
      <x:c r="E10" s="42" t="str">
        <x:v>Global</x:v>
      </x:c>
      <x:c r="F10" s="42" t="str">
        <x:v>Current</x:v>
      </x:c>
      <x:c r="G10" s="42" t="str"/>
      <x:c r="H10" s="42" t="str"/>
      <x:c r="I10" s="42" t="str">
        <x:v>SRC_0039</x:v>
      </x:c>
    </x:row>
    <x:row r="11">
      <x:c r="A11" s="42" t="str">
        <x:v>ROLE_0010</x:v>
      </x:c>
      <x:c r="B11" s="42" t="str">
        <x:v>PERSON_0010</x:v>
      </x:c>
      <x:c r="C11" s="42" t="str">
        <x:v>COMP_GULFTAINER</x:v>
      </x:c>
      <x:c r="D11" s="42" t="str">
        <x:v>Global Chief Operating Officer</x:v>
      </x:c>
      <x:c r="E11" s="42" t="str">
        <x:v>Ports &amp; Terminals</x:v>
      </x:c>
      <x:c r="F11" s="42" t="str">
        <x:v>Current</x:v>
      </x:c>
      <x:c r="G11" s="42" t="str"/>
      <x:c r="H11" s="42" t="str"/>
      <x:c r="I11" s="42" t="str">
        <x:v>SRC_0039</x:v>
      </x:c>
    </x:row>
    <x:row r="12">
      <x:c r="A12" s="42" t="str">
        <x:v>ROLE_0011</x:v>
      </x:c>
      <x:c r="B12" s="42" t="str">
        <x:v>PERSON_0011</x:v>
      </x:c>
      <x:c r="C12" s="42" t="str">
        <x:v>COMP_CARGOLUX</x:v>
      </x:c>
      <x:c r="D12" s="42" t="str">
        <x:v>President &amp; Chief Executive Officer</x:v>
      </x:c>
      <x:c r="E12" s="42" t="str">
        <x:v>Global</x:v>
      </x:c>
      <x:c r="F12" s="42" t="str">
        <x:v>Current</x:v>
      </x:c>
      <x:c r="G12" s="42" t="str"/>
      <x:c r="H12" s="42" t="str"/>
      <x:c r="I12" s="42" t="str">
        <x:v>SRC_0022</x:v>
      </x:c>
    </x:row>
    <x:row r="13">
      <x:c r="A13" s="42" t="str">
        <x:v>ROLE_0012</x:v>
      </x:c>
      <x:c r="B13" s="42" t="str">
        <x:v>PERSON_0012</x:v>
      </x:c>
      <x:c r="C13" s="42" t="str">
        <x:v>COMP_CARGOLUX</x:v>
      </x:c>
      <x:c r="D13" s="42" t="str">
        <x:v>Executive Vice President Sales &amp; Marketing</x:v>
      </x:c>
      <x:c r="E13" s="42" t="str">
        <x:v>Global</x:v>
      </x:c>
      <x:c r="F13" s="42" t="str">
        <x:v>Current</x:v>
      </x:c>
      <x:c r="G13" s="42" t="str"/>
      <x:c r="H13" s="42" t="str"/>
      <x:c r="I13" s="42" t="str">
        <x:v>SRC_0022</x:v>
      </x:c>
    </x:row>
    <x:row r="14">
      <x:c r="A14" s="42" t="str">
        <x:v>ROLE_0013</x:v>
      </x:c>
      <x:c r="B14" s="42" t="str">
        <x:v>PERSON_0013</x:v>
      </x:c>
      <x:c r="C14" s="42" t="str">
        <x:v>COMP_CARGOLUX</x:v>
      </x:c>
      <x:c r="D14" s="42" t="str">
        <x:v>Executive Vice President &amp; Chief Financial Officer</x:v>
      </x:c>
      <x:c r="E14" s="42" t="str">
        <x:v>Global</x:v>
      </x:c>
      <x:c r="F14" s="42" t="str">
        <x:v>Current</x:v>
      </x:c>
      <x:c r="G14" s="42" t="str"/>
      <x:c r="H14" s="42" t="str"/>
      <x:c r="I14" s="42" t="str">
        <x:v>SRC_0022</x:v>
      </x:c>
    </x:row>
    <x:row r="15">
      <x:c r="A15" s="42" t="str">
        <x:v>ROLE_0014</x:v>
      </x:c>
      <x:c r="B15" s="42" t="str">
        <x:v>PERSON_0014</x:v>
      </x:c>
      <x:c r="C15" s="42" t="str">
        <x:v>COMP_FINCANTIERI</x:v>
      </x:c>
      <x:c r="D15" s="42" t="str">
        <x:v>Chief Executive Officer &amp; Managing Director</x:v>
      </x:c>
      <x:c r="E15" s="42" t="str">
        <x:v>Global</x:v>
      </x:c>
      <x:c r="F15" s="42" t="str">
        <x:v>Current</x:v>
      </x:c>
      <x:c r="G15" s="42" t="str"/>
      <x:c r="H15" s="42" t="str"/>
      <x:c r="I15" s="42" t="str">
        <x:v>SRC_0035</x:v>
      </x:c>
    </x:row>
    <x:row r="16">
      <x:c r="A16" s="42" t="str">
        <x:v>ROLE_0015</x:v>
      </x:c>
      <x:c r="B16" s="42" t="str">
        <x:v>PERSON_0015</x:v>
      </x:c>
      <x:c r="C16" s="42" t="str">
        <x:v>COMP_MSC</x:v>
      </x:c>
      <x:c r="D16" s="42" t="str">
        <x:v>Chief Executive Officer</x:v>
      </x:c>
      <x:c r="E16" s="42" t="str">
        <x:v>Global cargo businesses</x:v>
      </x:c>
      <x:c r="F16" s="42" t="str">
        <x:v>Current</x:v>
      </x:c>
      <x:c r="G16" s="42" t="str">
        <x:v>2020-12-01</x:v>
      </x:c>
      <x:c r="H16" s="42" t="str"/>
      <x:c r="I16" s="42" t="str">
        <x:v>SRC_0051</x:v>
      </x:c>
    </x:row>
    <x:row r="17">
      <x:c r="A17" t="str">
        <x:v>ROLE_0016</x:v>
      </x:c>
      <x:c r="B17" t="str">
        <x:v>PERSON_0016</x:v>
      </x:c>
      <x:c r="C17" t="str">
        <x:v>COMP_ADNOC_LS</x:v>
      </x:c>
      <x:c r="D17" t="str">
        <x:v>Chairperson</x:v>
      </x:c>
      <x:c r="E17" t="str">
        <x:v>Board</x:v>
      </x:c>
      <x:c r="F17" t="str">
        <x:v>Current</x:v>
      </x:c>
      <x:c r="G17" t="str"/>
      <x:c r="H17" t="str"/>
      <x:c r="I17" t="str">
        <x:v>SRC_0067</x:v>
      </x:c>
    </x:row>
    <x:row r="18">
      <x:c r="A18" t="str">
        <x:v>ROLE_0017</x:v>
      </x:c>
      <x:c r="B18" t="str">
        <x:v>PERSON_0017</x:v>
      </x:c>
      <x:c r="C18" t="str">
        <x:v>COMP_ADNOC_LS</x:v>
      </x:c>
      <x:c r="D18" t="str">
        <x:v>Chief Executive Officer</x:v>
      </x:c>
      <x:c r="E18" t="str">
        <x:v>Global</x:v>
      </x:c>
      <x:c r="F18" t="str">
        <x:v>Current</x:v>
      </x:c>
      <x:c r="G18" t="str">
        <x:v>2018-04-01</x:v>
      </x:c>
      <x:c r="H18" t="str"/>
      <x:c r="I18" t="str">
        <x:v>SRC_0067</x:v>
      </x:c>
    </x:row>
    <x:row r="19">
      <x:c r="A19" t="str">
        <x:v>ROLE_0018</x:v>
      </x:c>
      <x:c r="B19" t="str">
        <x:v>PERSON_0018</x:v>
      </x:c>
      <x:c r="C19" t="str">
        <x:v>COMP_BAHRI</x:v>
      </x:c>
      <x:c r="D19" t="str">
        <x:v>CEO &amp; Board Member</x:v>
      </x:c>
      <x:c r="E19" t="str">
        <x:v>Global</x:v>
      </x:c>
      <x:c r="F19" t="str">
        <x:v>Current</x:v>
      </x:c>
      <x:c r="G19" t="str"/>
      <x:c r="H19" t="str"/>
      <x:c r="I19" t="str">
        <x:v>SRC_0075</x:v>
      </x:c>
    </x:row>
    <x:row r="20">
      <x:c r="A20" t="str">
        <x:v>ROLE_0019</x:v>
      </x:c>
      <x:c r="B20" t="str">
        <x:v>PERSON_0019</x:v>
      </x:c>
      <x:c r="C20" t="str">
        <x:v>COMP_BAHRI</x:v>
      </x:c>
      <x:c r="D20" t="str">
        <x:v>President, Bahri Oil</x:v>
      </x:c>
      <x:c r="E20" t="str">
        <x:v>Oil shipping</x:v>
      </x:c>
      <x:c r="F20" t="str">
        <x:v>Current</x:v>
      </x:c>
      <x:c r="G20" t="str"/>
      <x:c r="H20" t="str"/>
      <x:c r="I20" t="str">
        <x:v>SRC_0075</x:v>
      </x:c>
    </x:row>
    <x:row r="21">
      <x:c r="A21" t="str">
        <x:v>ROLE_0020</x:v>
      </x:c>
      <x:c r="B21" t="str">
        <x:v>PERSON_0020</x:v>
      </x:c>
      <x:c r="C21" t="str">
        <x:v>COMP_BAHRI</x:v>
      </x:c>
      <x:c r="D21" t="str">
        <x:v>President, Bahri Chemicals</x:v>
      </x:c>
      <x:c r="E21" t="str">
        <x:v>Chemicals / product tankers</x:v>
      </x:c>
      <x:c r="F21" t="str">
        <x:v>Current</x:v>
      </x:c>
      <x:c r="G21" t="str"/>
      <x:c r="H21" t="str"/>
      <x:c r="I21" t="str">
        <x:v>SRC_0075</x:v>
      </x:c>
    </x:row>
    <x:row r="22">
      <x:c r="A22" t="str">
        <x:v>ROLE_0021</x:v>
      </x:c>
      <x:c r="B22" t="str">
        <x:v>PERSON_0021</x:v>
      </x:c>
      <x:c r="C22" t="str">
        <x:v>COMP_BAHRI</x:v>
      </x:c>
      <x:c r="D22" t="str">
        <x:v>President, Bahri Ship Management</x:v>
      </x:c>
      <x:c r="E22" t="str">
        <x:v>Fleet / ship management</x:v>
      </x:c>
      <x:c r="F22" t="str">
        <x:v>Current</x:v>
      </x:c>
      <x:c r="G22" t="str"/>
      <x:c r="H22" t="str"/>
      <x:c r="I22" t="str">
        <x:v>SRC_0075</x:v>
      </x:c>
    </x:row>
    <x:row r="23">
      <x:c r="A23" t="str">
        <x:v>ROLE_0022</x:v>
      </x:c>
      <x:c r="B23" t="str">
        <x:v>PERSON_0022</x:v>
      </x:c>
      <x:c r="C23" t="str">
        <x:v>COMP_BAHRI</x:v>
      </x:c>
      <x:c r="D23" t="str">
        <x:v>President, Bahri Marine Services</x:v>
      </x:c>
      <x:c r="E23" t="str">
        <x:v>Marine services</x:v>
      </x:c>
      <x:c r="F23" t="str">
        <x:v>Current</x:v>
      </x:c>
      <x:c r="G23" t="str"/>
      <x:c r="H23" t="str"/>
      <x:c r="I23" t="str">
        <x:v>SRC_0075</x:v>
      </x:c>
    </x:row>
    <x:row r="24">
      <x:c r="A24" t="str">
        <x:v>ROLE_0023</x:v>
      </x:c>
      <x:c r="B24" t="str">
        <x:v>PERSON_0023</x:v>
      </x:c>
      <x:c r="C24" t="str">
        <x:v>COMP_NAKILAT</x:v>
      </x:c>
      <x:c r="D24" t="str">
        <x:v>Chief Executive Officer</x:v>
      </x:c>
      <x:c r="E24" t="str">
        <x:v>Global</x:v>
      </x:c>
      <x:c r="F24" t="str">
        <x:v>Current</x:v>
      </x:c>
      <x:c r="G24" t="str"/>
      <x:c r="H24" t="str"/>
      <x:c r="I24" t="str">
        <x:v>SRC_0079</x:v>
      </x:c>
    </x:row>
    <x:row r="25">
      <x:c r="A25" t="str">
        <x:v>ROLE_0024</x:v>
      </x:c>
      <x:c r="B25" t="str">
        <x:v>PERSON_0024</x:v>
      </x:c>
      <x:c r="C25" t="str">
        <x:v>COMP_MILAHA</x:v>
      </x:c>
      <x:c r="D25" t="str">
        <x:v>Group Chief Executive Officer</x:v>
      </x:c>
      <x:c r="E25" t="str">
        <x:v>Global</x:v>
      </x:c>
      <x:c r="F25" t="str">
        <x:v>Current</x:v>
      </x:c>
      <x:c r="G25" t="str"/>
      <x:c r="H25" t="str"/>
      <x:c r="I25" t="str">
        <x:v>SRC_0082</x:v>
      </x:c>
    </x:row>
    <x:row r="26">
      <x:c r="A26" t="str">
        <x:v>ROLE_0025</x:v>
      </x:c>
      <x:c r="B26" t="str">
        <x:v>PERSON_0025</x:v>
      </x:c>
      <x:c r="C26" t="str">
        <x:v>COMP_MILAHA</x:v>
      </x:c>
      <x:c r="D26" t="str">
        <x:v>Executive VP Maritime &amp; Logistics</x:v>
      </x:c>
      <x:c r="E26" t="str">
        <x:v>Maritime &amp; Logistics</x:v>
      </x:c>
      <x:c r="F26" t="str">
        <x:v>Current</x:v>
      </x:c>
      <x:c r="G26" t="str"/>
      <x:c r="H26" t="str"/>
      <x:c r="I26" t="str">
        <x:v>SRC_0083</x:v>
      </x:c>
    </x:row>
    <x:row r="27">
      <x:c r="A27" t="str">
        <x:v>ROLE_0026</x:v>
      </x:c>
      <x:c r="B27" t="str">
        <x:v>PERSON_0026</x:v>
      </x:c>
      <x:c r="C27" t="str">
        <x:v>COMP_QATARENERGY</x:v>
      </x:c>
      <x:c r="D27" t="str">
        <x:v>President &amp; Chief Executive Officer</x:v>
      </x:c>
      <x:c r="E27" t="str">
        <x:v>Global</x:v>
      </x:c>
      <x:c r="F27" t="str">
        <x:v>Current</x:v>
      </x:c>
      <x:c r="G27" t="str">
        <x:v>2014-01-01</x:v>
      </x:c>
      <x:c r="H27" t="str"/>
      <x:c r="I27" t="str">
        <x:v>SRC_0087</x:v>
      </x:c>
    </x:row>
    <x:row r="28">
      <x:c r="A28" t="str">
        <x:v>ROLE_0027</x:v>
      </x:c>
      <x:c r="B28" t="str">
        <x:v>PERSON_0027</x:v>
      </x:c>
      <x:c r="C28" t="str">
        <x:v>COMP_BYD</x:v>
      </x:c>
      <x:c r="D28" t="str">
        <x:v>Chairman</x:v>
      </x:c>
      <x:c r="E28" t="str">
        <x:v>Global</x:v>
      </x:c>
      <x:c r="F28" t="str">
        <x:v>Current</x:v>
      </x:c>
      <x:c r="G28" t="str"/>
      <x:c r="H28" t="str"/>
      <x:c r="I28" t="str">
        <x:v>SRC_0089</x:v>
      </x:c>
    </x:row>
    <x:row r="29">
      <x:c r="A29" t="str">
        <x:v>ROLE_0028</x:v>
      </x:c>
      <x:c r="B29" t="str">
        <x:v>PERSON_0028</x:v>
      </x:c>
      <x:c r="C29" t="str">
        <x:v>COMP_ZIM</x:v>
      </x:c>
      <x:c r="D29" t="str">
        <x:v>President &amp; Chief Executive Officer</x:v>
      </x:c>
      <x:c r="E29" t="str">
        <x:v>Global</x:v>
      </x:c>
      <x:c r="F29" t="str">
        <x:v>Departing / notice period</x:v>
      </x:c>
      <x:c r="G29" t="str"/>
      <x:c r="H29" t="str"/>
      <x:c r="I29" t="str">
        <x:v>SRC_0098</x:v>
      </x:c>
    </x:row>
    <x:row r="30">
      <x:c r="A30" t="str">
        <x:v>ROLE_0029</x:v>
      </x:c>
      <x:c r="B30" t="str">
        <x:v>PERSON_0029</x:v>
      </x:c>
      <x:c r="C30" t="str">
        <x:v>COMP_SINOKOR</x:v>
      </x:c>
      <x:c r="D30" t="str">
        <x:v>Representative Director</x:v>
      </x:c>
      <x:c r="E30" t="str">
        <x:v>Global</x:v>
      </x:c>
      <x:c r="F30" t="str">
        <x:v>Current</x:v>
      </x:c>
      <x:c r="G30" t="str"/>
      <x:c r="H30" t="str"/>
      <x:c r="I30" t="str">
        <x:v>SRC_0101</x:v>
      </x:c>
    </x:row>
    <x:row r="31">
      <x:c r="A31" t="str">
        <x:v>ROLE_0030</x:v>
      </x:c>
      <x:c r="B31" t="str">
        <x:v>PERSON_0030</x:v>
      </x:c>
      <x:c r="C31" t="str">
        <x:v>COMP_SINOKOR</x:v>
      </x:c>
      <x:c r="D31" t="str">
        <x:v>Representative Director</x:v>
      </x:c>
      <x:c r="E31" t="str">
        <x:v>Global</x:v>
      </x:c>
      <x:c r="F31" t="str">
        <x:v>Current</x:v>
      </x:c>
      <x:c r="G31" t="str"/>
      <x:c r="H31" t="str"/>
      <x:c r="I31" t="str">
        <x:v>SRC_0101</x:v>
      </x:c>
    </x:row>
    <x:row r="32">
      <x:c r="A32" t="str">
        <x:v>ROLE_0031</x:v>
      </x:c>
      <x:c r="B32" t="str">
        <x:v>PERSON_0031</x:v>
      </x:c>
      <x:c r="C32" t="str">
        <x:v>COMP_BP</x:v>
      </x:c>
      <x:c r="D32" t="str">
        <x:v>Chief Executive Officer</x:v>
      </x:c>
      <x:c r="E32" t="str">
        <x:v>Global</x:v>
      </x:c>
      <x:c r="F32" t="str">
        <x:v>Current</x:v>
      </x:c>
      <x:c r="G32" t="str">
        <x:v>2024-01-17</x:v>
      </x:c>
      <x:c r="H32" t="str"/>
      <x:c r="I32" t="str">
        <x:v>SRC_0104</x:v>
      </x:c>
    </x:row>
    <x:row r="33">
      <x:c r="A33" t="str">
        <x:v>ROLE_0032</x:v>
      </x:c>
      <x:c r="B33" t="str">
        <x:v>PERSON_0032</x:v>
      </x:c>
      <x:c r="C33" t="str">
        <x:v>COMP_CHEVRON</x:v>
      </x:c>
      <x:c r="D33" t="str">
        <x:v>Chairman of the Board &amp; Chief Executive Officer</x:v>
      </x:c>
      <x:c r="E33" t="str">
        <x:v>Global</x:v>
      </x:c>
      <x:c r="F33" t="str">
        <x:v>Current</x:v>
      </x:c>
      <x:c r="G33" t="str">
        <x:v>2018-01-01</x:v>
      </x:c>
      <x:c r="H33" t="str"/>
      <x:c r="I33" t="str">
        <x:v>SRC_0106</x:v>
      </x:c>
    </x:row>
    <x:row r="34">
      <x:c r="A34" t="str">
        <x:v>ROLE_0033</x:v>
      </x:c>
      <x:c r="B34" t="str">
        <x:v>PERSON_0033</x:v>
      </x:c>
      <x:c r="C34" t="str">
        <x:v>COMP_EXXON</x:v>
      </x:c>
      <x:c r="D34" t="str">
        <x:v>Chairman &amp; Chief Executive Officer</x:v>
      </x:c>
      <x:c r="E34" t="str">
        <x:v>Global</x:v>
      </x:c>
      <x:c r="F34" t="str">
        <x:v>Current</x:v>
      </x:c>
      <x:c r="G34" t="str"/>
      <x:c r="H34" t="str"/>
      <x:c r="I34" t="str">
        <x:v>SRC_0108</x:v>
      </x:c>
    </x:row>
    <x:row r="35">
      <x:c r="A35" s="42" t="str">
        <x:v>ROLE_0034</x:v>
      </x:c>
      <x:c r="B35" s="42" t="str">
        <x:v>PERSON_0034</x:v>
      </x:c>
      <x:c r="C35" s="42" t="str">
        <x:v>COMP_DHL_AG</x:v>
      </x:c>
      <x:c r="D35" s="42" t="str">
        <x:v>Chief Executive Officer</x:v>
      </x:c>
      <x:c r="E35" s="42" t="str">
        <x:v>Global</x:v>
      </x:c>
      <x:c r="F35" s="42" t="str">
        <x:v>Current</x:v>
      </x:c>
      <x:c r="G35" s="42" t="str">
        <x:v>2023-05-01</x:v>
      </x:c>
      <x:c r="H35" s="42" t="str"/>
      <x:c r="I35" s="42" t="str">
        <x:v>SRC_0312</x:v>
      </x:c>
    </x:row>
    <x:row r="36">
      <x:c r="A36" s="42" t="str">
        <x:v>ROLE_0035</x:v>
      </x:c>
      <x:c r="B36" s="42" t="str">
        <x:v>PERSON_0035</x:v>
      </x:c>
      <x:c r="C36" s="42" t="str">
        <x:v>COMP_DHL_EXPRESS</x:v>
      </x:c>
      <x:c r="D36" s="42" t="str">
        <x:v>CEO DHL Express</x:v>
      </x:c>
      <x:c r="E36" s="42" t="str">
        <x:v>Global</x:v>
      </x:c>
      <x:c r="F36" s="42" t="str">
        <x:v>Current</x:v>
      </x:c>
      <x:c r="G36" s="42" t="str"/>
      <x:c r="H36" s="42" t="str"/>
      <x:c r="I36" s="42" t="str">
        <x:v>SRC_0312</x:v>
      </x:c>
    </x:row>
    <x:row r="37">
      <x:c r="A37" s="42" t="str">
        <x:v>ROLE_0036</x:v>
      </x:c>
      <x:c r="B37" s="42" t="str">
        <x:v>PERSON_0036</x:v>
      </x:c>
      <x:c r="C37" s="42" t="str">
        <x:v>COMP_DHL_SUPPLY_CHAIN</x:v>
      </x:c>
      <x:c r="D37" s="42" t="str">
        <x:v>CEO DHL Supply Chain</x:v>
      </x:c>
      <x:c r="E37" s="42" t="str">
        <x:v>Global</x:v>
      </x:c>
      <x:c r="F37" s="42" t="str">
        <x:v>Current</x:v>
      </x:c>
      <x:c r="G37" s="42" t="str"/>
      <x:c r="H37" s="42" t="str"/>
      <x:c r="I37" s="42" t="str">
        <x:v>SRC_0312</x:v>
      </x:c>
    </x:row>
    <x:row r="38">
      <x:c r="A38" s="42" t="str">
        <x:v>ROLE_0037</x:v>
      </x:c>
      <x:c r="B38" s="42" t="str">
        <x:v>PERSON_0037</x:v>
      </x:c>
      <x:c r="C38" s="42" t="str">
        <x:v>COMP_DHL_GLOBAL_FORWARDING</x:v>
      </x:c>
      <x:c r="D38" s="42" t="str">
        <x:v>Board Member / Global Forwarding</x:v>
      </x:c>
      <x:c r="E38" s="42" t="str">
        <x:v>Global</x:v>
      </x:c>
      <x:c r="F38" s="42" t="str">
        <x:v>Current</x:v>
      </x:c>
      <x:c r="G38" s="42" t="str"/>
      <x:c r="H38" s="42" t="str"/>
      <x:c r="I38" s="42" t="str">
        <x:v>SRC_0312</x:v>
      </x:c>
    </x:row>
    <x:row r="39">
      <x:c r="A39" s="42" t="str">
        <x:v>ROLE_0038</x:v>
      </x:c>
      <x:c r="B39" s="42" t="str">
        <x:v>PERSON_0038</x:v>
      </x:c>
      <x:c r="C39" s="42" t="str">
        <x:v>COMP_DHL_ECOMMERCE</x:v>
      </x:c>
      <x:c r="D39" s="42" t="str">
        <x:v>Board Member / eCommerce</x:v>
      </x:c>
      <x:c r="E39" s="42" t="str">
        <x:v>Global</x:v>
      </x:c>
      <x:c r="F39" s="42" t="str">
        <x:v>Current</x:v>
      </x:c>
      <x:c r="G39" s="42" t="str"/>
      <x:c r="H39" s="42" t="str"/>
      <x:c r="I39" s="42" t="str">
        <x:v>SRC_0312</x:v>
      </x:c>
    </x:row>
    <x:row r="40">
      <x:c r="A40" s="42" t="str">
        <x:v>ROLE_0039</x:v>
      </x:c>
      <x:c r="B40" s="42" t="str">
        <x:v>PERSON_0039</x:v>
      </x:c>
      <x:c r="C40" s="42" t="str">
        <x:v>COMP_FEDEX_CORP</x:v>
      </x:c>
      <x:c r="D40" s="42" t="str">
        <x:v>President &amp; Chief Executive Officer</x:v>
      </x:c>
      <x:c r="E40" s="42" t="str">
        <x:v>Global</x:v>
      </x:c>
      <x:c r="F40" s="42" t="str">
        <x:v>Current</x:v>
      </x:c>
      <x:c r="G40" s="42" t="str">
        <x:v>2022-06-01</x:v>
      </x:c>
      <x:c r="H40" s="42" t="str"/>
      <x:c r="I40" s="42" t="str">
        <x:v>SRC_0314</x:v>
      </x:c>
    </x:row>
    <x:row r="41">
      <x:c r="A41" s="42" t="str">
        <x:v>ROLE_0040</x:v>
      </x:c>
      <x:c r="B41" s="42" t="str">
        <x:v>PERSON_0040</x:v>
      </x:c>
      <x:c r="C41" s="42" t="str">
        <x:v>COMP_AMAZON</x:v>
      </x:c>
      <x:c r="D41" s="42" t="str">
        <x:v>President &amp; Chief Executive Officer</x:v>
      </x:c>
      <x:c r="E41" s="42" t="str">
        <x:v>Global</x:v>
      </x:c>
      <x:c r="F41" s="42" t="str">
        <x:v>Current</x:v>
      </x:c>
      <x:c r="G41" s="42" t="str"/>
      <x:c r="H41" s="42" t="str"/>
      <x:c r="I41" s="42" t="str">
        <x:v>SRC_0313</x:v>
      </x:c>
    </x:row>
    <x:row r="42">
      <x:c r="A42" s="42" t="str">
        <x:v>ROLE_0041</x:v>
      </x:c>
      <x:c r="B42" s="42" t="str">
        <x:v>PERSON_0041</x:v>
      </x:c>
      <x:c r="C42" s="42" t="str">
        <x:v>COMP_ARAMEX</x:v>
      </x:c>
      <x:c r="D42" s="42" t="str">
        <x:v>Group Chief Executive Officer</x:v>
      </x:c>
      <x:c r="E42" s="42" t="str">
        <x:v>Global</x:v>
      </x:c>
      <x:c r="F42" s="42" t="str">
        <x:v>Current</x:v>
      </x:c>
      <x:c r="G42" s="42" t="str">
        <x:v>2026-05-01</x:v>
      </x:c>
      <x:c r="H42" s="42" t="str"/>
      <x:c r="I42" s="42" t="str">
        <x:v>SRC_0311</x:v>
      </x:c>
    </x:row>
  </x:sheetData>
  <x:pageMargins left="0.7" right="0.7" top="0.75" bottom="0.75" header="0.3" footer="0.3"/>
  <x:tableParts count="1">
    <x:tablePart xmlns:r="http://schemas.openxmlformats.org/officeDocument/2006/relationships" r:id="Rdbc63da177a44e5c"/>
  </x:tableParts>
</x:worksheet>
</file>

<file path=xl/worksheets/sheet7.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32" hidden="0" customWidth="1"/>
  </x:cols>
  <x:sheetData>
    <x:row r="1">
      <x:c r="A1" s="190" t="str">
        <x:v>Asset ID</x:v>
      </x:c>
      <x:c r="B1" s="190" t="str">
        <x:v>Company ID</x:v>
      </x:c>
      <x:c r="C1" s="190" t="str">
        <x:v>Asset</x:v>
      </x:c>
      <x:c r="D1" s="190" t="str">
        <x:v>Asset Type</x:v>
      </x:c>
      <x:c r="E1" s="190" t="str">
        <x:v>Location</x:v>
      </x:c>
      <x:c r="F1" s="190" t="str">
        <x:v>Country</x:v>
      </x:c>
      <x:c r="G1" s="190" t="str">
        <x:v>Role / Function</x:v>
      </x:c>
      <x:c r="H1" s="190" t="str">
        <x:v>Primary Mode</x:v>
      </x:c>
      <x:c r="I1" s="190" t="str">
        <x:v>Status</x:v>
      </x:c>
      <x:c r="J1" s="190" t="str">
        <x:v>Ownership / Operating Interest</x:v>
      </x:c>
      <x:c r="K1" s="190" t="str">
        <x:v>Source ID</x:v>
      </x:c>
    </x:row>
    <x:row r="2">
      <x:c r="A2" s="42" t="str">
        <x:v>ASSET001</x:v>
      </x:c>
      <x:c r="B2" s="42" t="str">
        <x:v>COMP_CMA_TERMINALS</x:v>
      </x:c>
      <x:c r="C2" s="42" t="str">
        <x:v>Santos Brasil / Tecon Santos</x:v>
      </x:c>
      <x:c r="D2" s="42" t="str">
        <x:v>Container terminal</x:v>
      </x:c>
      <x:c r="E2" s="42" t="str">
        <x:v>Santos</x:v>
      </x:c>
      <x:c r="F2" s="42" t="str">
        <x:v>Brazil</x:v>
      </x:c>
      <x:c r="G2" s="42" t="str">
        <x:v>Largest container terminal in South America; CMA CGM acquired 100%</x:v>
      </x:c>
      <x:c r="H2" s="42" t="str">
        <x:v>Container</x:v>
      </x:c>
      <x:c r="I2" s="42" t="str">
        <x:v>Operating</x:v>
      </x:c>
      <x:c r="J2" s="42" t="str">
        <x:v>100% control</x:v>
      </x:c>
      <x:c r="K2" s="42" t="str">
        <x:v>SRC_0031</x:v>
      </x:c>
    </x:row>
    <x:row r="3">
      <x:c r="A3" s="42" t="str">
        <x:v>ASSET002</x:v>
      </x:c>
      <x:c r="B3" s="42" t="str">
        <x:v>COMP_CMA_TERMINALS</x:v>
      </x:c>
      <x:c r="C3" s="42" t="str">
        <x:v>CMA Terminals Khalifa Port</x:v>
      </x:c>
      <x:c r="D3" s="42" t="str">
        <x:v>Container terminal</x:v>
      </x:c>
      <x:c r="E3" s="42" t="str">
        <x:v>Abu Dhabi</x:v>
      </x:c>
      <x:c r="F3" s="42" t="str">
        <x:v>United Arab Emirates</x:v>
      </x:c>
      <x:c r="G3" s="42" t="str">
        <x:v>Strategic Gulf hub</x:v>
      </x:c>
      <x:c r="H3" s="42" t="str">
        <x:v>Container</x:v>
      </x:c>
      <x:c r="I3" s="42" t="str">
        <x:v>Operating / expanding</x:v>
      </x:c>
      <x:c r="J3" s="42" t="str">
        <x:v>JV with AD Ports Group</x:v>
      </x:c>
      <x:c r="K3" s="42" t="str">
        <x:v>SRC_0031</x:v>
      </x:c>
    </x:row>
    <x:row r="4">
      <x:c r="A4" s="42" t="str">
        <x:v>ASSET003</x:v>
      </x:c>
      <x:c r="B4" s="42" t="str">
        <x:v>COMP_CMA_TERMINALS</x:v>
      </x:c>
      <x:c r="C4" s="42" t="str">
        <x:v>Terminal 4 Jeddah Islamic Port</x:v>
      </x:c>
      <x:c r="D4" s="42" t="str">
        <x:v>Container terminal</x:v>
      </x:c>
      <x:c r="E4" s="42" t="str">
        <x:v>Jeddah</x:v>
      </x:c>
      <x:c r="F4" s="42" t="str">
        <x:v>Saudi Arabia</x:v>
      </x:c>
      <x:c r="G4" s="42" t="str">
        <x:v>New Saudi container platform</x:v>
      </x:c>
      <x:c r="H4" s="42" t="str">
        <x:v>Container</x:v>
      </x:c>
      <x:c r="I4" s="42" t="str">
        <x:v>Development</x:v>
      </x:c>
      <x:c r="J4" s="42" t="str">
        <x:v>JV with RSGT</x:v>
      </x:c>
      <x:c r="K4" s="42" t="str">
        <x:v>SRC_0004</x:v>
      </x:c>
    </x:row>
    <x:row r="5">
      <x:c r="A5" s="42" t="str">
        <x:v>ASSET004</x:v>
      </x:c>
      <x:c r="B5" s="42" t="str">
        <x:v>COMP_CEVA</x:v>
      </x:c>
      <x:c r="C5" s="42" t="str">
        <x:v>Chicago Gateway</x:v>
      </x:c>
      <x:c r="D5" s="42" t="str">
        <x:v>Air freight / logistics gateway</x:v>
      </x:c>
      <x:c r="E5" s="42" t="str">
        <x:v>Chicago</x:v>
      </x:c>
      <x:c r="F5" s="42" t="str">
        <x:v>United States</x:v>
      </x:c>
      <x:c r="G5" s="42" t="str">
        <x:v>700,000 sq ft facility near ORD; freight, FTZ and cold storage</x:v>
      </x:c>
      <x:c r="H5" s="42" t="str">
        <x:v>Air cargo / logistics</x:v>
      </x:c>
      <x:c r="I5" s="42" t="str">
        <x:v>Operating</x:v>
      </x:c>
      <x:c r="J5" s="42"/>
      <x:c r="K5" s="42" t="str">
        <x:v>SRC_0025</x:v>
      </x:c>
    </x:row>
    <x:row r="6">
      <x:c r="A6" s="42" t="str">
        <x:v>ASSET005</x:v>
      </x:c>
      <x:c r="B6" s="42" t="str">
        <x:v>COMP_CEVA</x:v>
      </x:c>
      <x:c r="C6" s="42" t="str">
        <x:v>Lakes Road Logistics Hub</x:v>
      </x:c>
      <x:c r="D6" s="42" t="str">
        <x:v>Contract logistics hub</x:v>
      </x:c>
      <x:c r="E6" s="42" t="str">
        <x:v>Perth</x:v>
      </x:c>
      <x:c r="F6" s="42" t="str">
        <x:v>Australia</x:v>
      </x:c>
      <x:c r="G6" s="42" t="str">
        <x:v>37,000 sqm logistics centre</x:v>
      </x:c>
      <x:c r="H6" s="42" t="str">
        <x:v>Warehousing / logistics</x:v>
      </x:c>
      <x:c r="I6" s="42" t="str">
        <x:v>Operating</x:v>
      </x:c>
      <x:c r="J6" s="42"/>
      <x:c r="K6" s="42" t="str">
        <x:v>SRC_0026</x:v>
      </x:c>
    </x:row>
    <x:row r="7">
      <x:c r="A7" s="42" t="str">
        <x:v>ASSET006</x:v>
      </x:c>
      <x:c r="B7" s="42" t="str">
        <x:v>COMP_CEVA</x:v>
      </x:c>
      <x:c r="C7" s="42" t="str">
        <x:v>Dubai South eCommerce warehouse</x:v>
      </x:c>
      <x:c r="D7" s="42" t="str">
        <x:v>Contract logistics hub</x:v>
      </x:c>
      <x:c r="E7" s="42" t="str">
        <x:v>Dubai</x:v>
      </x:c>
      <x:c r="F7" s="42" t="str">
        <x:v>United Arab Emirates</x:v>
      </x:c>
      <x:c r="G7" s="42" t="str">
        <x:v>23,000 sqm multi-user eCommerce facility</x:v>
      </x:c>
      <x:c r="H7" s="42" t="str">
        <x:v>Warehousing / eCommerce</x:v>
      </x:c>
      <x:c r="I7" s="42" t="str">
        <x:v>Operating</x:v>
      </x:c>
      <x:c r="J7" s="42"/>
      <x:c r="K7" s="42" t="str">
        <x:v>SRC_0027</x:v>
      </x:c>
    </x:row>
    <x:row r="8">
      <x:c r="A8" s="42" t="str">
        <x:v>ASSET007</x:v>
      </x:c>
      <x:c r="B8" s="42" t="str">
        <x:v>COMP_CARGOLUX</x:v>
      </x:c>
      <x:c r="C8" s="42" t="str">
        <x:v>Luxembourg Airport hub</x:v>
      </x:c>
      <x:c r="D8" s="42" t="str">
        <x:v>Air cargo hub</x:v>
      </x:c>
      <x:c r="E8" s="42" t="str">
        <x:v>Luxembourg</x:v>
      </x:c>
      <x:c r="F8" s="42" t="str">
        <x:v>Luxembourg</x:v>
      </x:c>
      <x:c r="G8" s="42" t="str">
        <x:v>Primary home base and European cargo hub</x:v>
      </x:c>
      <x:c r="H8" s="42" t="str">
        <x:v>Air cargo</x:v>
      </x:c>
      <x:c r="I8" s="42" t="str">
        <x:v>Operating</x:v>
      </x:c>
      <x:c r="J8" s="42"/>
      <x:c r="K8" s="42" t="str">
        <x:v>SRC_0024</x:v>
      </x:c>
    </x:row>
    <x:row r="9">
      <x:c r="A9" s="42" t="str">
        <x:v>ASSET008</x:v>
      </x:c>
      <x:c r="B9" s="42" t="str">
        <x:v>COMP_CARGOLUX</x:v>
      </x:c>
      <x:c r="C9" s="42" t="str">
        <x:v>Boeing 747 freighter fleet</x:v>
      </x:c>
      <x:c r="D9" s="42" t="str">
        <x:v>Aircraft fleet</x:v>
      </x:c>
      <x:c r="E9" s="42" t="str">
        <x:v>Global</x:v>
      </x:c>
      <x:c r="F9" s="42" t="str">
        <x:v>Global</x:v>
      </x:c>
      <x:c r="G9" s="42" t="str">
        <x:v>30 Boeing 747-400 and 747-8 purpose-built freighters</x:v>
      </x:c>
      <x:c r="H9" s="42" t="str">
        <x:v>Air cargo fleet</x:v>
      </x:c>
      <x:c r="I9" s="42" t="str">
        <x:v>Operating</x:v>
      </x:c>
      <x:c r="J9" s="42"/>
      <x:c r="K9" s="42" t="str">
        <x:v>SRC_0023</x:v>
      </x:c>
    </x:row>
    <x:row r="10">
      <x:c r="A10" s="42" t="str">
        <x:v>ASSET009</x:v>
      </x:c>
      <x:c r="B10" s="42" t="str">
        <x:v>COMP_GULFTAINER</x:v>
      </x:c>
      <x:c r="C10" s="42" t="str">
        <x:v>Khorfakkan Commercial Terminal</x:v>
      </x:c>
      <x:c r="D10" s="42" t="str">
        <x:v>Container terminal</x:v>
      </x:c>
      <x:c r="E10" s="42" t="str">
        <x:v>Khorfakkan</x:v>
      </x:c>
      <x:c r="F10" s="42" t="str">
        <x:v>United Arab Emirates</x:v>
      </x:c>
      <x:c r="G10" s="42" t="str">
        <x:v>East Coast transshipment gateway; 10m+ TEU future capacity target</x:v>
      </x:c>
      <x:c r="H10" s="42" t="str">
        <x:v>Container</x:v>
      </x:c>
      <x:c r="I10" s="42" t="str">
        <x:v>Operating / planned expansion</x:v>
      </x:c>
      <x:c r="J10" s="42"/>
      <x:c r="K10" s="42" t="str">
        <x:v>SRC_0040</x:v>
      </x:c>
    </x:row>
    <x:row r="11">
      <x:c r="A11" s="42" t="str">
        <x:v>ASSET010</x:v>
      </x:c>
      <x:c r="B11" s="42" t="str">
        <x:v>COMP_GULFTAINER</x:v>
      </x:c>
      <x:c r="C11" s="42" t="str">
        <x:v>Al Dhaid Multi-Modal Trade Corridor</x:v>
      </x:c>
      <x:c r="D11" s="42" t="str">
        <x:v>Inland logistics hub</x:v>
      </x:c>
      <x:c r="E11" s="42" t="str">
        <x:v>Al Dhaid</x:v>
      </x:c>
      <x:c r="F11" s="42" t="str">
        <x:v>United Arab Emirates</x:v>
      </x:c>
      <x:c r="G11" s="42" t="str">
        <x:v>150 ha inland ecosystem; planned 1.5m TEU capacity</x:v>
      </x:c>
      <x:c r="H11" s="42" t="str">
        <x:v>Inland logistics</x:v>
      </x:c>
      <x:c r="I11" s="42" t="str">
        <x:v>Development</x:v>
      </x:c>
      <x:c r="J11" s="42"/>
      <x:c r="K11" s="42" t="str">
        <x:v>SRC_0041</x:v>
      </x:c>
    </x:row>
    <x:row r="12">
      <x:c r="A12" s="42" t="str">
        <x:v>ASSET011</x:v>
      </x:c>
      <x:c r="B12" s="42" t="str">
        <x:v>COMP_ADPORTS</x:v>
      </x:c>
      <x:c r="C12" s="42" t="str">
        <x:v>Khalifa Port</x:v>
      </x:c>
      <x:c r="D12" s="42" t="str">
        <x:v>Deep-water port</x:v>
      </x:c>
      <x:c r="E12" s="42" t="str">
        <x:v>Abu Dhabi</x:v>
      </x:c>
      <x:c r="F12" s="42" t="str">
        <x:v>United Arab Emirates</x:v>
      </x:c>
      <x:c r="G12" s="42" t="str">
        <x:v>Core UAE container / industrial gateway</x:v>
      </x:c>
      <x:c r="H12" s="42" t="str">
        <x:v>Port / container</x:v>
      </x:c>
      <x:c r="I12" s="42" t="str">
        <x:v>Operating / expanding</x:v>
      </x:c>
      <x:c r="J12" s="42" t="str">
        <x:v>AD Ports Group</x:v>
      </x:c>
      <x:c r="K12" s="42" t="str">
        <x:v>SRC_0011</x:v>
      </x:c>
    </x:row>
    <x:row r="13">
      <x:c r="A13" s="42" t="str">
        <x:v>ASSET012</x:v>
      </x:c>
      <x:c r="B13" s="42" t="str">
        <x:v>COMP_ADPORTS</x:v>
      </x:c>
      <x:c r="C13" s="42" t="str">
        <x:v>Fujairah Terminals</x:v>
      </x:c>
      <x:c r="D13" s="42" t="str">
        <x:v>Port terminal</x:v>
      </x:c>
      <x:c r="E13" s="42" t="str">
        <x:v>Fujairah</x:v>
      </x:c>
      <x:c r="F13" s="42" t="str">
        <x:v>United Arab Emirates</x:v>
      </x:c>
      <x:c r="G13" s="42" t="str">
        <x:v>East Coast industrial gateway linked to inland rail strategy</x:v>
      </x:c>
      <x:c r="H13" s="42" t="str">
        <x:v>Port / general cargo</x:v>
      </x:c>
      <x:c r="I13" s="42" t="str">
        <x:v>Operating</x:v>
      </x:c>
      <x:c r="J13" s="42" t="str">
        <x:v>AD Ports Group</x:v>
      </x:c>
      <x:c r="K13" s="42" t="str">
        <x:v>SRC_0016</x:v>
      </x:c>
    </x:row>
    <x:row r="14">
      <x:c r="A14" s="42" t="str">
        <x:v>ASSET013</x:v>
      </x:c>
      <x:c r="B14" s="42" t="str">
        <x:v>COMP_ADPORTS</x:v>
      </x:c>
      <x:c r="C14" s="42" t="str">
        <x:v>ICAD rail-linked inland logistics network</x:v>
      </x:c>
      <x:c r="D14" s="42" t="str">
        <x:v>Inland dry ports / cargo depots</x:v>
      </x:c>
      <x:c r="E14" s="42" t="str">
        <x:v>Abu Dhabi</x:v>
      </x:c>
      <x:c r="F14" s="42" t="str">
        <x:v>United Arab Emirates</x:v>
      </x:c>
      <x:c r="G14" s="42" t="str">
        <x:v>Rail-linked inland network for industrial cargo</x:v>
      </x:c>
      <x:c r="H14" s="42" t="str">
        <x:v>Inland logistics</x:v>
      </x:c>
      <x:c r="I14" s="42" t="str">
        <x:v>Development / integration</x:v>
      </x:c>
      <x:c r="J14" s="42" t="str">
        <x:v>AD Ports Group</x:v>
      </x:c>
      <x:c r="K14" s="42" t="str">
        <x:v>SRC_0016</x:v>
      </x:c>
    </x:row>
    <x:row r="15">
      <x:c r="A15" s="42" t="str">
        <x:v>ASSET014</x:v>
      </x:c>
      <x:c r="B15" s="42" t="str">
        <x:v>COMP_DPW</x:v>
      </x:c>
      <x:c r="C15" s="42" t="str">
        <x:v>Jebel Ali Port</x:v>
      </x:c>
      <x:c r="D15" s="42" t="str">
        <x:v>Port / container terminal</x:v>
      </x:c>
      <x:c r="E15" s="42" t="str">
        <x:v>Dubai</x:v>
      </x:c>
      <x:c r="F15" s="42" t="str">
        <x:v>United Arab Emirates</x:v>
      </x:c>
      <x:c r="G15" s="42" t="str">
        <x:v>Flagship global hub and JAFZA-linked gateway</x:v>
      </x:c>
      <x:c r="H15" s="42" t="str">
        <x:v>Container / logistics</x:v>
      </x:c>
      <x:c r="I15" s="42" t="str">
        <x:v>Operating</x:v>
      </x:c>
      <x:c r="J15" s="42" t="str">
        <x:v>DP World</x:v>
      </x:c>
      <x:c r="K15" s="42" t="str">
        <x:v>SRC_0034</x:v>
      </x:c>
    </x:row>
    <x:row r="16">
      <x:c r="A16" s="42" t="str">
        <x:v>ASSET015</x:v>
      </x:c>
      <x:c r="B16" s="42" t="str">
        <x:v>COMP_DPW</x:v>
      </x:c>
      <x:c r="C16" s="42" t="str">
        <x:v>London Gateway</x:v>
      </x:c>
      <x:c r="D16" s="42" t="str">
        <x:v>Port / logistics park</x:v>
      </x:c>
      <x:c r="E16" s="42" t="str">
        <x:v>London Gateway</x:v>
      </x:c>
      <x:c r="F16" s="42" t="str">
        <x:v>United Kingdom</x:v>
      </x:c>
      <x:c r="G16" s="42" t="str">
        <x:v>UK deep-sea container gateway and logistics park</x:v>
      </x:c>
      <x:c r="H16" s="42" t="str">
        <x:v>Container / logistics</x:v>
      </x:c>
      <x:c r="I16" s="42" t="str">
        <x:v>Operating / expanding</x:v>
      </x:c>
      <x:c r="J16" s="42" t="str">
        <x:v>DP World</x:v>
      </x:c>
      <x:c r="K16" s="42" t="str">
        <x:v>SRC_0034</x:v>
      </x:c>
    </x:row>
    <x:row r="17">
      <x:c r="A17" s="42" t="str">
        <x:v>ASSET016</x:v>
      </x:c>
      <x:c r="B17" s="42" t="str">
        <x:v>COMP_DPW</x:v>
      </x:c>
      <x:c r="C17" s="42" t="str">
        <x:v>Southampton Container Terminal</x:v>
      </x:c>
      <x:c r="D17" s="42" t="str">
        <x:v>Container terminal</x:v>
      </x:c>
      <x:c r="E17" s="42" t="str">
        <x:v>Southampton</x:v>
      </x:c>
      <x:c r="F17" s="42" t="str">
        <x:v>United Kingdom</x:v>
      </x:c>
      <x:c r="G17" s="42" t="str">
        <x:v>Major UK container gateway</x:v>
      </x:c>
      <x:c r="H17" s="42" t="str">
        <x:v>Container</x:v>
      </x:c>
      <x:c r="I17" s="42" t="str">
        <x:v>Operating</x:v>
      </x:c>
      <x:c r="J17" s="42" t="str">
        <x:v>DP World</x:v>
      </x:c>
      <x:c r="K17" s="42" t="str">
        <x:v>SRC_0034</x:v>
      </x:c>
    </x:row>
    <x:row r="18">
      <x:c r="A18" s="42" t="str">
        <x:v>ASSET017</x:v>
      </x:c>
      <x:c r="B18" s="42" t="str">
        <x:v>COMP_APMT</x:v>
      </x:c>
      <x:c r="C18" s="42" t="str">
        <x:v>Lázaro Cárdenas terminal</x:v>
      </x:c>
      <x:c r="D18" s="42" t="str">
        <x:v>Container terminal</x:v>
      </x:c>
      <x:c r="E18" s="42" t="str">
        <x:v>Lázaro Cárdenas</x:v>
      </x:c>
      <x:c r="F18" s="42" t="str">
        <x:v>Mexico</x:v>
      </x:c>
      <x:c r="G18" s="42" t="str">
        <x:v>Automated Pacific gateway; Phase II opened Mar 2026; Phase III under construction; canonical infrastructure in Port Terminals</x:v>
      </x:c>
      <x:c r="H18" s="42" t="str">
        <x:v>Container</x:v>
      </x:c>
      <x:c r="I18" s="42" t="str">
        <x:v>Operating / expanding</x:v>
      </x:c>
      <x:c r="J18" s="42" t="str">
        <x:v>APM Terminals</x:v>
      </x:c>
      <x:c r="K18" s="42" t="str">
        <x:v>SRC_0044</x:v>
      </x:c>
    </x:row>
    <x:row r="19">
      <x:c r="A19" s="42" t="str">
        <x:v>ASSET018</x:v>
      </x:c>
      <x:c r="B19" s="42" t="str">
        <x:v>COMP_APMT</x:v>
      </x:c>
      <x:c r="C19" s="42" t="str">
        <x:v>Suape terminal</x:v>
      </x:c>
      <x:c r="D19" s="42" t="str">
        <x:v>Container / general cargo terminal</x:v>
      </x:c>
      <x:c r="E19" s="42" t="str">
        <x:v>Suape</x:v>
      </x:c>
      <x:c r="F19" s="42" t="str">
        <x:v>Brazil</x:v>
      </x:c>
      <x:c r="G19" s="42" t="str">
        <x:v>Fully electric Suape terminal delivered Jun 2026; commissioning/operational ramp-up; canonical infrastructure in Port Terminals</x:v>
      </x:c>
      <x:c r="H19" s="42" t="str">
        <x:v>Container / general cargo</x:v>
      </x:c>
      <x:c r="I19" s="42" t="str">
        <x:v>Delivered / commissioning</x:v>
      </x:c>
      <x:c r="J19" s="42" t="str">
        <x:v>APM Terminals</x:v>
      </x:c>
      <x:c r="K19" s="42" t="str">
        <x:v>SRC_0018</x:v>
      </x:c>
    </x:row>
    <x:row r="20">
      <x:c r="A20" s="42" t="str">
        <x:v>ASSET019</x:v>
      </x:c>
      <x:c r="B20" s="42" t="str">
        <x:v>COMP_FINCANTIERI</x:v>
      </x:c>
      <x:c r="C20" s="42" t="str">
        <x:v>Muggiano Integrated Shipyard</x:v>
      </x:c>
      <x:c r="D20" s="42" t="str">
        <x:v>Naval shipyard</x:v>
      </x:c>
      <x:c r="E20" s="42" t="str">
        <x:v>La Spezia</x:v>
      </x:c>
      <x:c r="F20" s="42" t="str">
        <x:v>Italy</x:v>
      </x:c>
      <x:c r="G20" s="42" t="str">
        <x:v>U212 NFS submarine construction site</x:v>
      </x:c>
      <x:c r="H20" s="42" t="str">
        <x:v>Defence shipbuilding</x:v>
      </x:c>
      <x:c r="I20" s="42" t="str">
        <x:v>Operating</x:v>
      </x:c>
      <x:c r="J20" s="42" t="str">
        <x:v>Fincantieri</x:v>
      </x:c>
      <x:c r="K20" s="42" t="str">
        <x:v>SRC_0037</x:v>
      </x:c>
    </x:row>
    <x:row r="21">
      <x:c r="A21" s="42" t="str">
        <x:v>ASSET020</x:v>
      </x:c>
      <x:c r="B21" s="42" t="str">
        <x:v>COMP_APMT</x:v>
      </x:c>
      <x:c r="C21" s="42" t="str">
        <x:v>Bahrain</x:v>
      </x:c>
      <x:c r="D21" s="42" t="str">
        <x:v>Container terminal</x:v>
      </x:c>
      <x:c r="E21" s="42" t="str">
        <x:v>Bahrain</x:v>
      </x:c>
      <x:c r="F21" s="42" t="str">
        <x:v>Bahrain</x:v>
      </x:c>
      <x:c r="G21" s="42" t="str">
        <x:v>APM Terminals global network location</x:v>
      </x:c>
      <x:c r="H21" s="42" t="str">
        <x:v>Container</x:v>
      </x:c>
      <x:c r="I21" s="42" t="str">
        <x:v>Operating / network</x:v>
      </x:c>
      <x:c r="J21" s="42"/>
      <x:c r="K21" s="42" t="str">
        <x:v>SRC_0020</x:v>
      </x:c>
    </x:row>
    <x:row r="22">
      <x:c r="A22" s="42" t="str">
        <x:v>ASSET021</x:v>
      </x:c>
      <x:c r="B22" s="42" t="str">
        <x:v>COMP_APMT</x:v>
      </x:c>
      <x:c r="C22" s="42" t="str">
        <x:v>Pointe-Noire</x:v>
      </x:c>
      <x:c r="D22" s="42" t="str">
        <x:v>Container terminal</x:v>
      </x:c>
      <x:c r="E22" s="42" t="str">
        <x:v>Pointe-Noire</x:v>
      </x:c>
      <x:c r="F22" s="42" t="str">
        <x:v>Congo</x:v>
      </x:c>
      <x:c r="G22" s="42" t="str">
        <x:v>APM Terminals global network location</x:v>
      </x:c>
      <x:c r="H22" s="42" t="str">
        <x:v>Container</x:v>
      </x:c>
      <x:c r="I22" s="42" t="str">
        <x:v>Operating / network</x:v>
      </x:c>
      <x:c r="J22" s="42"/>
      <x:c r="K22" s="42" t="str">
        <x:v>SRC_0020</x:v>
      </x:c>
    </x:row>
    <x:row r="23">
      <x:c r="A23" s="42" t="str">
        <x:v>ASSET022</x:v>
      </x:c>
      <x:c r="B23" s="42" t="str">
        <x:v>COMP_APMT</x:v>
      </x:c>
      <x:c r="C23" s="42" t="str">
        <x:v>Abidjan Côte d’Ivoire Terminal (CIT)</x:v>
      </x:c>
      <x:c r="D23" s="42" t="str">
        <x:v>Container terminal</x:v>
      </x:c>
      <x:c r="E23" s="42" t="str">
        <x:v>Abidjan Côte d’Ivoire Terminal (CIT)</x:v>
      </x:c>
      <x:c r="F23" s="42" t="str">
        <x:v>Côte d'Ivoire</x:v>
      </x:c>
      <x:c r="G23" s="42" t="str">
        <x:v>APM Terminals global network location</x:v>
      </x:c>
      <x:c r="H23" s="42" t="str">
        <x:v>Container</x:v>
      </x:c>
      <x:c r="I23" s="42" t="str">
        <x:v>Operating / network</x:v>
      </x:c>
      <x:c r="J23" s="42"/>
      <x:c r="K23" s="42" t="str">
        <x:v>SRC_0020</x:v>
      </x:c>
    </x:row>
    <x:row r="24">
      <x:c r="A24" s="42" t="str">
        <x:v>ASSET023</x:v>
      </x:c>
      <x:c r="B24" s="42" t="str">
        <x:v>COMP_APMT</x:v>
      </x:c>
      <x:c r="C24" s="42" t="str">
        <x:v>San Pedro</x:v>
      </x:c>
      <x:c r="D24" s="42" t="str">
        <x:v>Container terminal</x:v>
      </x:c>
      <x:c r="E24" s="42" t="str">
        <x:v>San Pedro</x:v>
      </x:c>
      <x:c r="F24" s="42" t="str">
        <x:v>Côte d'Ivoire</x:v>
      </x:c>
      <x:c r="G24" s="42" t="str">
        <x:v>APM Terminals global network location</x:v>
      </x:c>
      <x:c r="H24" s="42" t="str">
        <x:v>Container</x:v>
      </x:c>
      <x:c r="I24" s="42" t="str">
        <x:v>Operating / network</x:v>
      </x:c>
      <x:c r="J24" s="42"/>
      <x:c r="K24" s="42" t="str">
        <x:v>SRC_0020</x:v>
      </x:c>
    </x:row>
    <x:row r="25">
      <x:c r="A25" s="42" t="str">
        <x:v>ASSET024</x:v>
      </x:c>
      <x:c r="B25" s="42" t="str">
        <x:v>COMP_APMT</x:v>
      </x:c>
      <x:c r="C25" s="42" t="str">
        <x:v>Suez Canal Container Terminal (SCCT)</x:v>
      </x:c>
      <x:c r="D25" s="42" t="str">
        <x:v>Container terminal</x:v>
      </x:c>
      <x:c r="E25" s="42" t="str">
        <x:v>Suez Canal Container Terminal (SCCT)</x:v>
      </x:c>
      <x:c r="F25" s="42" t="str">
        <x:v>Egypt</x:v>
      </x:c>
      <x:c r="G25" s="42" t="str">
        <x:v>APM Terminals global network location</x:v>
      </x:c>
      <x:c r="H25" s="42" t="str">
        <x:v>Container</x:v>
      </x:c>
      <x:c r="I25" s="42" t="str">
        <x:v>Operating / network</x:v>
      </x:c>
      <x:c r="J25" s="42"/>
      <x:c r="K25" s="42" t="str">
        <x:v>SRC_0020</x:v>
      </x:c>
    </x:row>
    <x:row r="26">
      <x:c r="A26" s="42" t="str">
        <x:v>ASSET025</x:v>
      </x:c>
      <x:c r="B26" s="42" t="str">
        <x:v>COMP_APMT</x:v>
      </x:c>
      <x:c r="C26" s="42" t="str">
        <x:v>Tema</x:v>
      </x:c>
      <x:c r="D26" s="42" t="str">
        <x:v>Container terminal</x:v>
      </x:c>
      <x:c r="E26" s="42" t="str">
        <x:v>Tema</x:v>
      </x:c>
      <x:c r="F26" s="42" t="str">
        <x:v>Ghana</x:v>
      </x:c>
      <x:c r="G26" s="42" t="str">
        <x:v>APM Terminals global network location</x:v>
      </x:c>
      <x:c r="H26" s="42" t="str">
        <x:v>Container</x:v>
      </x:c>
      <x:c r="I26" s="42" t="str">
        <x:v>Operating / network</x:v>
      </x:c>
      <x:c r="J26" s="42"/>
      <x:c r="K26" s="42" t="str">
        <x:v>SRC_0020</x:v>
      </x:c>
    </x:row>
    <x:row r="27">
      <x:c r="A27" s="42" t="str">
        <x:v>ASSET026</x:v>
      </x:c>
      <x:c r="B27" s="42" t="str">
        <x:v>COMP_APMT</x:v>
      </x:c>
      <x:c r="C27" s="42" t="str">
        <x:v>Aqaba</x:v>
      </x:c>
      <x:c r="D27" s="42" t="str">
        <x:v>Container terminal</x:v>
      </x:c>
      <x:c r="E27" s="42" t="str">
        <x:v>Aqaba</x:v>
      </x:c>
      <x:c r="F27" s="42" t="str">
        <x:v>Jordan</x:v>
      </x:c>
      <x:c r="G27" s="42" t="str">
        <x:v>APM Terminals global network location</x:v>
      </x:c>
      <x:c r="H27" s="42" t="str">
        <x:v>Container</x:v>
      </x:c>
      <x:c r="I27" s="42" t="str">
        <x:v>Operating / network</x:v>
      </x:c>
      <x:c r="J27" s="42"/>
      <x:c r="K27" s="42" t="str">
        <x:v>SRC_0020</x:v>
      </x:c>
    </x:row>
    <x:row r="28">
      <x:c r="A28" s="42" t="str">
        <x:v>ASSET027</x:v>
      </x:c>
      <x:c r="B28" s="42" t="str">
        <x:v>COMP_APMT</x:v>
      </x:c>
      <x:c r="C28" s="42" t="str">
        <x:v>Monrovia</x:v>
      </x:c>
      <x:c r="D28" s="42" t="str">
        <x:v>Container terminal</x:v>
      </x:c>
      <x:c r="E28" s="42" t="str">
        <x:v>Monrovia</x:v>
      </x:c>
      <x:c r="F28" s="42" t="str">
        <x:v>Liberia</x:v>
      </x:c>
      <x:c r="G28" s="42" t="str">
        <x:v>APM Terminals global network location</x:v>
      </x:c>
      <x:c r="H28" s="42" t="str">
        <x:v>Container</x:v>
      </x:c>
      <x:c r="I28" s="42" t="str">
        <x:v>Operating / network</x:v>
      </x:c>
      <x:c r="J28" s="42"/>
      <x:c r="K28" s="42" t="str">
        <x:v>SRC_0020</x:v>
      </x:c>
    </x:row>
    <x:row r="29">
      <x:c r="A29" s="42" t="str">
        <x:v>ASSET028</x:v>
      </x:c>
      <x:c r="B29" s="42" t="str">
        <x:v>COMP_APMT</x:v>
      </x:c>
      <x:c r="C29" s="42" t="str">
        <x:v>MedPort Tangier</x:v>
      </x:c>
      <x:c r="D29" s="42" t="str">
        <x:v>Container terminal</x:v>
      </x:c>
      <x:c r="E29" s="42" t="str">
        <x:v>MedPort Tangier</x:v>
      </x:c>
      <x:c r="F29" s="42" t="str">
        <x:v>Morocco</x:v>
      </x:c>
      <x:c r="G29" s="42" t="str">
        <x:v>APM Terminals global network location</x:v>
      </x:c>
      <x:c r="H29" s="42" t="str">
        <x:v>Container</x:v>
      </x:c>
      <x:c r="I29" s="42" t="str">
        <x:v>Operating / network</x:v>
      </x:c>
      <x:c r="J29" s="42"/>
      <x:c r="K29" s="42" t="str">
        <x:v>SRC_0020</x:v>
      </x:c>
    </x:row>
    <x:row r="30">
      <x:c r="A30" s="42" t="str">
        <x:v>ASSET029</x:v>
      </x:c>
      <x:c r="B30" s="42" t="str">
        <x:v>COMP_APMT</x:v>
      </x:c>
      <x:c r="C30" s="42" t="str">
        <x:v>Tangier</x:v>
      </x:c>
      <x:c r="D30" s="42" t="str">
        <x:v>Container terminal</x:v>
      </x:c>
      <x:c r="E30" s="42" t="str">
        <x:v>Tangier</x:v>
      </x:c>
      <x:c r="F30" s="42" t="str">
        <x:v>Morocco</x:v>
      </x:c>
      <x:c r="G30" s="42" t="str">
        <x:v>APM Terminals global network location</x:v>
      </x:c>
      <x:c r="H30" s="42" t="str">
        <x:v>Container</x:v>
      </x:c>
      <x:c r="I30" s="42" t="str">
        <x:v>Operating / network</x:v>
      </x:c>
      <x:c r="J30" s="42"/>
      <x:c r="K30" s="42" t="str">
        <x:v>SRC_0020</x:v>
      </x:c>
    </x:row>
    <x:row r="31">
      <x:c r="A31" s="42" t="str">
        <x:v>ASSET030</x:v>
      </x:c>
      <x:c r="B31" s="42" t="str">
        <x:v>COMP_APMT</x:v>
      </x:c>
      <x:c r="C31" s="42" t="str">
        <x:v>Apapa</x:v>
      </x:c>
      <x:c r="D31" s="42" t="str">
        <x:v>Container terminal</x:v>
      </x:c>
      <x:c r="E31" s="42" t="str">
        <x:v>Apapa</x:v>
      </x:c>
      <x:c r="F31" s="42" t="str">
        <x:v>Nigeria</x:v>
      </x:c>
      <x:c r="G31" s="42" t="str">
        <x:v>APM Terminals global network location</x:v>
      </x:c>
      <x:c r="H31" s="42" t="str">
        <x:v>Container</x:v>
      </x:c>
      <x:c r="I31" s="42" t="str">
        <x:v>Operating / network</x:v>
      </x:c>
      <x:c r="J31" s="42"/>
      <x:c r="K31" s="42" t="str">
        <x:v>SRC_0020</x:v>
      </x:c>
    </x:row>
    <x:row r="32">
      <x:c r="A32" s="42" t="str">
        <x:v>ASSET031</x:v>
      </x:c>
      <x:c r="B32" s="42" t="str">
        <x:v>COMP_APMT</x:v>
      </x:c>
      <x:c r="C32" s="42" t="str">
        <x:v>Onne</x:v>
      </x:c>
      <x:c r="D32" s="42" t="str">
        <x:v>Container terminal</x:v>
      </x:c>
      <x:c r="E32" s="42" t="str">
        <x:v>Onne</x:v>
      </x:c>
      <x:c r="F32" s="42" t="str">
        <x:v>Nigeria</x:v>
      </x:c>
      <x:c r="G32" s="42" t="str">
        <x:v>APM Terminals global network location</x:v>
      </x:c>
      <x:c r="H32" s="42" t="str">
        <x:v>Container</x:v>
      </x:c>
      <x:c r="I32" s="42" t="str">
        <x:v>Operating / network</x:v>
      </x:c>
      <x:c r="J32" s="42"/>
      <x:c r="K32" s="42" t="str">
        <x:v>SRC_0020</x:v>
      </x:c>
    </x:row>
    <x:row r="33">
      <x:c r="A33" s="42" t="str">
        <x:v>ASSET032</x:v>
      </x:c>
      <x:c r="B33" s="42" t="str">
        <x:v>COMP_APMT</x:v>
      </x:c>
      <x:c r="C33" s="42" t="str">
        <x:v>Salalah</x:v>
      </x:c>
      <x:c r="D33" s="42" t="str">
        <x:v>Container terminal</x:v>
      </x:c>
      <x:c r="E33" s="42" t="str">
        <x:v>Salalah</x:v>
      </x:c>
      <x:c r="F33" s="42" t="str">
        <x:v>Oman</x:v>
      </x:c>
      <x:c r="G33" s="42" t="str">
        <x:v>APM Terminals global network location</x:v>
      </x:c>
      <x:c r="H33" s="42" t="str">
        <x:v>Container</x:v>
      </x:c>
      <x:c r="I33" s="42" t="str">
        <x:v>Operating / network</x:v>
      </x:c>
      <x:c r="J33" s="42"/>
      <x:c r="K33" s="42" t="str">
        <x:v>SRC_0020</x:v>
      </x:c>
    </x:row>
    <x:row r="34">
      <x:c r="A34" s="42" t="str">
        <x:v>ASSET033</x:v>
      </x:c>
      <x:c r="B34" s="42" t="str">
        <x:v>COMP_APMT</x:v>
      </x:c>
      <x:c r="C34" s="42" t="str">
        <x:v>Guangzhou</x:v>
      </x:c>
      <x:c r="D34" s="42" t="str">
        <x:v>Container terminal</x:v>
      </x:c>
      <x:c r="E34" s="42" t="str">
        <x:v>Guangzhou</x:v>
      </x:c>
      <x:c r="F34" s="42" t="str">
        <x:v>China</x:v>
      </x:c>
      <x:c r="G34" s="42" t="str">
        <x:v>APM Terminals global network location</x:v>
      </x:c>
      <x:c r="H34" s="42" t="str">
        <x:v>Container</x:v>
      </x:c>
      <x:c r="I34" s="42" t="str">
        <x:v>Operating / network</x:v>
      </x:c>
      <x:c r="J34" s="42"/>
      <x:c r="K34" s="42" t="str">
        <x:v>SRC_0020</x:v>
      </x:c>
    </x:row>
    <x:row r="35">
      <x:c r="A35" s="42" t="str">
        <x:v>ASSET034</x:v>
      </x:c>
      <x:c r="B35" s="42" t="str">
        <x:v>COMP_APMT</x:v>
      </x:c>
      <x:c r="C35" s="42" t="str">
        <x:v>Qingdao</x:v>
      </x:c>
      <x:c r="D35" s="42" t="str">
        <x:v>Container terminal</x:v>
      </x:c>
      <x:c r="E35" s="42" t="str">
        <x:v>Qingdao</x:v>
      </x:c>
      <x:c r="F35" s="42" t="str">
        <x:v>China</x:v>
      </x:c>
      <x:c r="G35" s="42" t="str">
        <x:v>APM Terminals global network location</x:v>
      </x:c>
      <x:c r="H35" s="42" t="str">
        <x:v>Container</x:v>
      </x:c>
      <x:c r="I35" s="42" t="str">
        <x:v>Operating / network</x:v>
      </x:c>
      <x:c r="J35" s="42"/>
      <x:c r="K35" s="42" t="str">
        <x:v>SRC_0020</x:v>
      </x:c>
    </x:row>
    <x:row r="36">
      <x:c r="A36" s="42" t="str">
        <x:v>ASSET035</x:v>
      </x:c>
      <x:c r="B36" s="42" t="str">
        <x:v>COMP_APMT</x:v>
      </x:c>
      <x:c r="C36" s="42" t="str">
        <x:v>Shanghai</x:v>
      </x:c>
      <x:c r="D36" s="42" t="str">
        <x:v>Container terminal</x:v>
      </x:c>
      <x:c r="E36" s="42" t="str">
        <x:v>Shanghai</x:v>
      </x:c>
      <x:c r="F36" s="42" t="str">
        <x:v>China</x:v>
      </x:c>
      <x:c r="G36" s="42" t="str">
        <x:v>APM Terminals global network location</x:v>
      </x:c>
      <x:c r="H36" s="42" t="str">
        <x:v>Container</x:v>
      </x:c>
      <x:c r="I36" s="42" t="str">
        <x:v>Operating / network</x:v>
      </x:c>
      <x:c r="J36" s="42"/>
      <x:c r="K36" s="42" t="str">
        <x:v>SRC_0020</x:v>
      </x:c>
    </x:row>
    <x:row r="37">
      <x:c r="A37" s="42" t="str">
        <x:v>ASSET036</x:v>
      </x:c>
      <x:c r="B37" s="42" t="str">
        <x:v>COMP_APMT</x:v>
      </x:c>
      <x:c r="C37" s="42" t="str">
        <x:v>Tianjin</x:v>
      </x:c>
      <x:c r="D37" s="42" t="str">
        <x:v>Container terminal</x:v>
      </x:c>
      <x:c r="E37" s="42" t="str">
        <x:v>Tianjin</x:v>
      </x:c>
      <x:c r="F37" s="42" t="str">
        <x:v>China</x:v>
      </x:c>
      <x:c r="G37" s="42" t="str">
        <x:v>APM Terminals global network location</x:v>
      </x:c>
      <x:c r="H37" s="42" t="str">
        <x:v>Container</x:v>
      </x:c>
      <x:c r="I37" s="42" t="str">
        <x:v>Operating / network</x:v>
      </x:c>
      <x:c r="J37" s="42"/>
      <x:c r="K37" s="42" t="str">
        <x:v>SRC_0020</x:v>
      </x:c>
    </x:row>
    <x:row r="38">
      <x:c r="A38" s="42" t="str">
        <x:v>ASSET037</x:v>
      </x:c>
      <x:c r="B38" s="42" t="str">
        <x:v>COMP_APMT</x:v>
      </x:c>
      <x:c r="C38" s="42" t="str">
        <x:v>Xiamen</x:v>
      </x:c>
      <x:c r="D38" s="42" t="str">
        <x:v>Container terminal</x:v>
      </x:c>
      <x:c r="E38" s="42" t="str">
        <x:v>Xiamen</x:v>
      </x:c>
      <x:c r="F38" s="42" t="str">
        <x:v>China</x:v>
      </x:c>
      <x:c r="G38" s="42" t="str">
        <x:v>APM Terminals global network location</x:v>
      </x:c>
      <x:c r="H38" s="42" t="str">
        <x:v>Container</x:v>
      </x:c>
      <x:c r="I38" s="42" t="str">
        <x:v>Operating / network</x:v>
      </x:c>
      <x:c r="J38" s="42"/>
      <x:c r="K38" s="42" t="str">
        <x:v>SRC_0020</x:v>
      </x:c>
    </x:row>
    <x:row r="39">
      <x:c r="A39" s="42" t="str">
        <x:v>ASSET038</x:v>
      </x:c>
      <x:c r="B39" s="42" t="str">
        <x:v>COMP_APMT</x:v>
      </x:c>
      <x:c r="C39" s="42" t="str">
        <x:v>Mumbai</x:v>
      </x:c>
      <x:c r="D39" s="42" t="str">
        <x:v>Container terminal</x:v>
      </x:c>
      <x:c r="E39" s="42" t="str">
        <x:v>Mumbai</x:v>
      </x:c>
      <x:c r="F39" s="42" t="str">
        <x:v>India</x:v>
      </x:c>
      <x:c r="G39" s="42" t="str">
        <x:v>APM Terminals global network location</x:v>
      </x:c>
      <x:c r="H39" s="42" t="str">
        <x:v>Container</x:v>
      </x:c>
      <x:c r="I39" s="42" t="str">
        <x:v>Operating / network</x:v>
      </x:c>
      <x:c r="J39" s="42"/>
      <x:c r="K39" s="42" t="str">
        <x:v>SRC_0020</x:v>
      </x:c>
    </x:row>
    <x:row r="40">
      <x:c r="A40" s="42" t="str">
        <x:v>ASSET039</x:v>
      </x:c>
      <x:c r="B40" s="42" t="str">
        <x:v>COMP_APMT</x:v>
      </x:c>
      <x:c r="C40" s="42" t="str">
        <x:v>Pipavav</x:v>
      </x:c>
      <x:c r="D40" s="42" t="str">
        <x:v>Container terminal</x:v>
      </x:c>
      <x:c r="E40" s="42" t="str">
        <x:v>Pipavav</x:v>
      </x:c>
      <x:c r="F40" s="42" t="str">
        <x:v>India</x:v>
      </x:c>
      <x:c r="G40" s="42" t="str">
        <x:v>APM Terminals global network location</x:v>
      </x:c>
      <x:c r="H40" s="42" t="str">
        <x:v>Container</x:v>
      </x:c>
      <x:c r="I40" s="42" t="str">
        <x:v>Operating / network</x:v>
      </x:c>
      <x:c r="J40" s="42"/>
      <x:c r="K40" s="42" t="str">
        <x:v>SRC_0020</x:v>
      </x:c>
    </x:row>
    <x:row r="41">
      <x:c r="A41" s="42" t="str">
        <x:v>ASSET040</x:v>
      </x:c>
      <x:c r="B41" s="42" t="str">
        <x:v>COMP_APMT</x:v>
      </x:c>
      <x:c r="C41" s="42" t="str">
        <x:v>Yokohama</x:v>
      </x:c>
      <x:c r="D41" s="42" t="str">
        <x:v>Container terminal</x:v>
      </x:c>
      <x:c r="E41" s="42" t="str">
        <x:v>Yokohama</x:v>
      </x:c>
      <x:c r="F41" s="42" t="str">
        <x:v>Japan</x:v>
      </x:c>
      <x:c r="G41" s="42" t="str">
        <x:v>APM Terminals global network location</x:v>
      </x:c>
      <x:c r="H41" s="42" t="str">
        <x:v>Container</x:v>
      </x:c>
      <x:c r="I41" s="42" t="str">
        <x:v>Operating / network</x:v>
      </x:c>
      <x:c r="J41" s="42"/>
      <x:c r="K41" s="42" t="str">
        <x:v>SRC_0020</x:v>
      </x:c>
    </x:row>
    <x:row r="42">
      <x:c r="A42" s="42" t="str">
        <x:v>ASSET041</x:v>
      </x:c>
      <x:c r="B42" s="42" t="str">
        <x:v>COMP_APMT</x:v>
      </x:c>
      <x:c r="C42" s="42" t="str">
        <x:v>Tanjung Pelepas</x:v>
      </x:c>
      <x:c r="D42" s="42" t="str">
        <x:v>Container terminal</x:v>
      </x:c>
      <x:c r="E42" s="42" t="str">
        <x:v>Tanjung Pelepas</x:v>
      </x:c>
      <x:c r="F42" s="42" t="str">
        <x:v>Malaysia</x:v>
      </x:c>
      <x:c r="G42" s="42" t="str">
        <x:v>APM Terminals global network location</x:v>
      </x:c>
      <x:c r="H42" s="42" t="str">
        <x:v>Container</x:v>
      </x:c>
      <x:c r="I42" s="42" t="str">
        <x:v>Operating / network</x:v>
      </x:c>
      <x:c r="J42" s="42"/>
      <x:c r="K42" s="42" t="str">
        <x:v>SRC_0020</x:v>
      </x:c>
    </x:row>
    <x:row r="43">
      <x:c r="A43" s="42" t="str">
        <x:v>ASSET042</x:v>
      </x:c>
      <x:c r="B43" s="42" t="str">
        <x:v>COMP_APMT</x:v>
      </x:c>
      <x:c r="C43" s="42" t="str">
        <x:v>Colombo</x:v>
      </x:c>
      <x:c r="D43" s="42" t="str">
        <x:v>Container terminal</x:v>
      </x:c>
      <x:c r="E43" s="42" t="str">
        <x:v>Colombo</x:v>
      </x:c>
      <x:c r="F43" s="42" t="str">
        <x:v>Sri Lanka</x:v>
      </x:c>
      <x:c r="G43" s="42" t="str">
        <x:v>APM Terminals global network location</x:v>
      </x:c>
      <x:c r="H43" s="42" t="str">
        <x:v>Container</x:v>
      </x:c>
      <x:c r="I43" s="42" t="str">
        <x:v>Operating / network</x:v>
      </x:c>
      <x:c r="J43" s="42"/>
      <x:c r="K43" s="42" t="str">
        <x:v>SRC_0020</x:v>
      </x:c>
    </x:row>
    <x:row r="44">
      <x:c r="A44" s="42" t="str">
        <x:v>ASSET043</x:v>
      </x:c>
      <x:c r="B44" s="42" t="str">
        <x:v>COMP_APMT</x:v>
      </x:c>
      <x:c r="C44" s="42" t="str">
        <x:v>Laem Chabang</x:v>
      </x:c>
      <x:c r="D44" s="42" t="str">
        <x:v>Container terminal</x:v>
      </x:c>
      <x:c r="E44" s="42" t="str">
        <x:v>Laem Chabang</x:v>
      </x:c>
      <x:c r="F44" s="42" t="str">
        <x:v>Thailand</x:v>
      </x:c>
      <x:c r="G44" s="42" t="str">
        <x:v>APM Terminals global network location</x:v>
      </x:c>
      <x:c r="H44" s="42" t="str">
        <x:v>Container</x:v>
      </x:c>
      <x:c r="I44" s="42" t="str">
        <x:v>Operating / network</x:v>
      </x:c>
      <x:c r="J44" s="42"/>
      <x:c r="K44" s="42" t="str">
        <x:v>SRC_0020</x:v>
      </x:c>
    </x:row>
    <x:row r="45">
      <x:c r="A45" s="42" t="str">
        <x:v>ASSET044</x:v>
      </x:c>
      <x:c r="B45" s="42" t="str">
        <x:v>COMP_APMT</x:v>
      </x:c>
      <x:c r="C45" s="42" t="str">
        <x:v>Cai Mep</x:v>
      </x:c>
      <x:c r="D45" s="42" t="str">
        <x:v>Container terminal</x:v>
      </x:c>
      <x:c r="E45" s="42" t="str">
        <x:v>Cai Mep</x:v>
      </x:c>
      <x:c r="F45" s="42" t="str">
        <x:v>Vietnam</x:v>
      </x:c>
      <x:c r="G45" s="42" t="str">
        <x:v>APM Terminals global network location</x:v>
      </x:c>
      <x:c r="H45" s="42" t="str">
        <x:v>Container</x:v>
      </x:c>
      <x:c r="I45" s="42" t="str">
        <x:v>Operating / network</x:v>
      </x:c>
      <x:c r="J45" s="42"/>
      <x:c r="K45" s="42" t="str">
        <x:v>SRC_0020</x:v>
      </x:c>
    </x:row>
    <x:row r="46">
      <x:c r="A46" s="42" t="str">
        <x:v>ASSET045</x:v>
      </x:c>
      <x:c r="B46" s="42" t="str">
        <x:v>COMP_APMT</x:v>
      </x:c>
      <x:c r="C46" s="42" t="str">
        <x:v>Rijeka Gateway</x:v>
      </x:c>
      <x:c r="D46" s="42" t="str">
        <x:v>Container terminal</x:v>
      </x:c>
      <x:c r="E46" s="42" t="str">
        <x:v>Rijeka Gateway</x:v>
      </x:c>
      <x:c r="F46" s="42" t="str">
        <x:v>Croatia</x:v>
      </x:c>
      <x:c r="G46" s="42" t="str">
        <x:v>Rijeka Gateway Phase 1 operating since Sep 2025; Phase 2 planned; canonical infrastructure in Port Terminals</x:v>
      </x:c>
      <x:c r="H46" s="42" t="str">
        <x:v>Container</x:v>
      </x:c>
      <x:c r="I46" s="42" t="str">
        <x:v>Operating / expanding</x:v>
      </x:c>
      <x:c r="J46" s="42"/>
      <x:c r="K46" s="42" t="str">
        <x:v>SRC_0020</x:v>
      </x:c>
    </x:row>
    <x:row r="47">
      <x:c r="A47" s="42" t="str">
        <x:v>ASSET046</x:v>
      </x:c>
      <x:c r="B47" s="42" t="str">
        <x:v>COMP_APMT</x:v>
      </x:c>
      <x:c r="C47" s="42" t="str">
        <x:v>Aarhus</x:v>
      </x:c>
      <x:c r="D47" s="42" t="str">
        <x:v>Container terminal</x:v>
      </x:c>
      <x:c r="E47" s="42" t="str">
        <x:v>Aarhus</x:v>
      </x:c>
      <x:c r="F47" s="42" t="str">
        <x:v>Denmark</x:v>
      </x:c>
      <x:c r="G47" s="42" t="str">
        <x:v>APM Terminals global network location</x:v>
      </x:c>
      <x:c r="H47" s="42" t="str">
        <x:v>Container</x:v>
      </x:c>
      <x:c r="I47" s="42" t="str">
        <x:v>Operating / network</x:v>
      </x:c>
      <x:c r="J47" s="42"/>
      <x:c r="K47" s="42" t="str">
        <x:v>SRC_0020</x:v>
      </x:c>
    </x:row>
    <x:row r="48">
      <x:c r="A48" s="42" t="str">
        <x:v>ASSET047</x:v>
      </x:c>
      <x:c r="B48" s="42" t="str">
        <x:v>COMP_APMT</x:v>
      </x:c>
      <x:c r="C48" s="42" t="str">
        <x:v>Kalundborg</x:v>
      </x:c>
      <x:c r="D48" s="42" t="str">
        <x:v>Container terminal</x:v>
      </x:c>
      <x:c r="E48" s="42" t="str">
        <x:v>Kalundborg</x:v>
      </x:c>
      <x:c r="F48" s="42" t="str">
        <x:v>Denmark</x:v>
      </x:c>
      <x:c r="G48" s="42" t="str">
        <x:v>APM Terminals global network location</x:v>
      </x:c>
      <x:c r="H48" s="42" t="str">
        <x:v>Container</x:v>
      </x:c>
      <x:c r="I48" s="42" t="str">
        <x:v>Operating / network</x:v>
      </x:c>
      <x:c r="J48" s="42"/>
      <x:c r="K48" s="42" t="str">
        <x:v>SRC_0020</x:v>
      </x:c>
    </x:row>
    <x:row r="49">
      <x:c r="A49" s="42" t="str">
        <x:v>ASSET048</x:v>
      </x:c>
      <x:c r="B49" s="42" t="str">
        <x:v>COMP_APMT</x:v>
      </x:c>
      <x:c r="C49" s="42" t="str">
        <x:v>Marseille Fos</x:v>
      </x:c>
      <x:c r="D49" s="42" t="str">
        <x:v>Container terminal</x:v>
      </x:c>
      <x:c r="E49" s="42" t="str">
        <x:v>Marseille Fos</x:v>
      </x:c>
      <x:c r="F49" s="42" t="str">
        <x:v>France</x:v>
      </x:c>
      <x:c r="G49" s="42" t="str">
        <x:v>APM Terminals global network location</x:v>
      </x:c>
      <x:c r="H49" s="42" t="str">
        <x:v>Container</x:v>
      </x:c>
      <x:c r="I49" s="42" t="str">
        <x:v>Operating / network</x:v>
      </x:c>
      <x:c r="J49" s="42"/>
      <x:c r="K49" s="42" t="str">
        <x:v>SRC_0020</x:v>
      </x:c>
    </x:row>
    <x:row r="50">
      <x:c r="A50" s="42" t="str">
        <x:v>ASSET049</x:v>
      </x:c>
      <x:c r="B50" s="42" t="str">
        <x:v>COMP_APMT</x:v>
      </x:c>
      <x:c r="C50" s="42" t="str">
        <x:v>Poti</x:v>
      </x:c>
      <x:c r="D50" s="42" t="str">
        <x:v>Container terminal</x:v>
      </x:c>
      <x:c r="E50" s="42" t="str">
        <x:v>Poti</x:v>
      </x:c>
      <x:c r="F50" s="42" t="str">
        <x:v>Georgia</x:v>
      </x:c>
      <x:c r="G50" s="42" t="str">
        <x:v>APM Terminals global network location</x:v>
      </x:c>
      <x:c r="H50" s="42" t="str">
        <x:v>Container</x:v>
      </x:c>
      <x:c r="I50" s="42" t="str">
        <x:v>Operating / network</x:v>
      </x:c>
      <x:c r="J50" s="42"/>
      <x:c r="K50" s="42" t="str">
        <x:v>SRC_0020</x:v>
      </x:c>
    </x:row>
    <x:row r="51">
      <x:c r="A51" s="42" t="str">
        <x:v>ASSET050</x:v>
      </x:c>
      <x:c r="B51" s="42" t="str">
        <x:v>COMP_APMT</x:v>
      </x:c>
      <x:c r="C51" s="42" t="str">
        <x:v>Bremerhaven</x:v>
      </x:c>
      <x:c r="D51" s="42" t="str">
        <x:v>Container terminal</x:v>
      </x:c>
      <x:c r="E51" s="42" t="str">
        <x:v>Bremerhaven</x:v>
      </x:c>
      <x:c r="F51" s="42" t="str">
        <x:v>Germany</x:v>
      </x:c>
      <x:c r="G51" s="42" t="str">
        <x:v>APM Terminals global network location</x:v>
      </x:c>
      <x:c r="H51" s="42" t="str">
        <x:v>Container</x:v>
      </x:c>
      <x:c r="I51" s="42" t="str">
        <x:v>Operating / network</x:v>
      </x:c>
      <x:c r="J51" s="42"/>
      <x:c r="K51" s="42" t="str">
        <x:v>SRC_0020</x:v>
      </x:c>
    </x:row>
    <x:row r="52">
      <x:c r="A52" s="42" t="str">
        <x:v>ASSET051</x:v>
      </x:c>
      <x:c r="B52" s="42" t="str">
        <x:v>COMP_APMT</x:v>
      </x:c>
      <x:c r="C52" s="42" t="str">
        <x:v>Vado Ligure</x:v>
      </x:c>
      <x:c r="D52" s="42" t="str">
        <x:v>Container terminal</x:v>
      </x:c>
      <x:c r="E52" s="42" t="str">
        <x:v>Vado Ligure</x:v>
      </x:c>
      <x:c r="F52" s="42" t="str">
        <x:v>Italy</x:v>
      </x:c>
      <x:c r="G52" s="42" t="str">
        <x:v>APM Terminals global network location</x:v>
      </x:c>
      <x:c r="H52" s="42" t="str">
        <x:v>Container</x:v>
      </x:c>
      <x:c r="I52" s="42" t="str">
        <x:v>Operating / network</x:v>
      </x:c>
      <x:c r="J52" s="42"/>
      <x:c r="K52" s="42" t="str">
        <x:v>SRC_0020</x:v>
      </x:c>
    </x:row>
    <x:row r="53">
      <x:c r="A53" s="42" t="str">
        <x:v>ASSET052</x:v>
      </x:c>
      <x:c r="B53" s="42" t="str">
        <x:v>COMP_APMT</x:v>
      </x:c>
      <x:c r="C53" s="42" t="str">
        <x:v>Rotterdam Maasvlakte II</x:v>
      </x:c>
      <x:c r="D53" s="42" t="str">
        <x:v>Container terminal</x:v>
      </x:c>
      <x:c r="E53" s="42" t="str">
        <x:v>Rotterdam Maasvlakte II</x:v>
      </x:c>
      <x:c r="F53" s="42" t="str">
        <x:v>Netherlands</x:v>
      </x:c>
      <x:c r="G53" s="42" t="str">
        <x:v>APM Terminals global network location</x:v>
      </x:c>
      <x:c r="H53" s="42" t="str">
        <x:v>Container</x:v>
      </x:c>
      <x:c r="I53" s="42" t="str">
        <x:v>Operating / network</x:v>
      </x:c>
      <x:c r="J53" s="42"/>
      <x:c r="K53" s="42" t="str">
        <x:v>SRC_0020</x:v>
      </x:c>
    </x:row>
    <x:row r="54">
      <x:c r="A54" s="42" t="str">
        <x:v>ASSET053</x:v>
      </x:c>
      <x:c r="B54" s="42" t="str">
        <x:v>COMP_APMT</x:v>
      </x:c>
      <x:c r="C54" s="42" t="str">
        <x:v>Algeciras</x:v>
      </x:c>
      <x:c r="D54" s="42" t="str">
        <x:v>Container terminal</x:v>
      </x:c>
      <x:c r="E54" s="42" t="str">
        <x:v>Algeciras</x:v>
      </x:c>
      <x:c r="F54" s="42" t="str">
        <x:v>Spain</x:v>
      </x:c>
      <x:c r="G54" s="42" t="str">
        <x:v>APM Terminals global network location</x:v>
      </x:c>
      <x:c r="H54" s="42" t="str">
        <x:v>Container</x:v>
      </x:c>
      <x:c r="I54" s="42" t="str">
        <x:v>Operating / network</x:v>
      </x:c>
      <x:c r="J54" s="42"/>
      <x:c r="K54" s="42" t="str">
        <x:v>SRC_0020</x:v>
      </x:c>
    </x:row>
    <x:row r="55">
      <x:c r="A55" s="42" t="str">
        <x:v>ASSET054</x:v>
      </x:c>
      <x:c r="B55" s="42" t="str">
        <x:v>COMP_APMT</x:v>
      </x:c>
      <x:c r="C55" s="42" t="str">
        <x:v>Barcelona</x:v>
      </x:c>
      <x:c r="D55" s="42" t="str">
        <x:v>Container terminal</x:v>
      </x:c>
      <x:c r="E55" s="42" t="str">
        <x:v>Barcelona</x:v>
      </x:c>
      <x:c r="F55" s="42" t="str">
        <x:v>Spain</x:v>
      </x:c>
      <x:c r="G55" s="42" t="str">
        <x:v>APM Terminals global network location</x:v>
      </x:c>
      <x:c r="H55" s="42" t="str">
        <x:v>Container</x:v>
      </x:c>
      <x:c r="I55" s="42" t="str">
        <x:v>Operating / network</x:v>
      </x:c>
      <x:c r="J55" s="42"/>
      <x:c r="K55" s="42" t="str">
        <x:v>SRC_0020</x:v>
      </x:c>
    </x:row>
    <x:row r="56">
      <x:c r="A56" s="42" t="str">
        <x:v>ASSET055</x:v>
      </x:c>
      <x:c r="B56" s="42" t="str">
        <x:v>COMP_APMT</x:v>
      </x:c>
      <x:c r="C56" s="42" t="str">
        <x:v>Gijón</x:v>
      </x:c>
      <x:c r="D56" s="42" t="str">
        <x:v>Container terminal</x:v>
      </x:c>
      <x:c r="E56" s="42" t="str">
        <x:v>Gijón</x:v>
      </x:c>
      <x:c r="F56" s="42" t="str">
        <x:v>Spain</x:v>
      </x:c>
      <x:c r="G56" s="42" t="str">
        <x:v>APM Terminals global network location</x:v>
      </x:c>
      <x:c r="H56" s="42" t="str">
        <x:v>Container</x:v>
      </x:c>
      <x:c r="I56" s="42" t="str">
        <x:v>Operating / network</x:v>
      </x:c>
      <x:c r="J56" s="42"/>
      <x:c r="K56" s="42" t="str">
        <x:v>SRC_0020</x:v>
      </x:c>
    </x:row>
    <x:row r="57">
      <x:c r="A57" s="42" t="str">
        <x:v>ASSET056</x:v>
      </x:c>
      <x:c r="B57" s="42" t="str">
        <x:v>COMP_APMT</x:v>
      </x:c>
      <x:c r="C57" s="42" t="str">
        <x:v>Valencia</x:v>
      </x:c>
      <x:c r="D57" s="42" t="str">
        <x:v>Container terminal</x:v>
      </x:c>
      <x:c r="E57" s="42" t="str">
        <x:v>Valencia</x:v>
      </x:c>
      <x:c r="F57" s="42" t="str">
        <x:v>Spain</x:v>
      </x:c>
      <x:c r="G57" s="42" t="str">
        <x:v>APM Terminals global network location</x:v>
      </x:c>
      <x:c r="H57" s="42" t="str">
        <x:v>Container</x:v>
      </x:c>
      <x:c r="I57" s="42" t="str">
        <x:v>Operating / network</x:v>
      </x:c>
      <x:c r="J57" s="42"/>
      <x:c r="K57" s="42" t="str">
        <x:v>SRC_0020</x:v>
      </x:c>
    </x:row>
    <x:row r="58">
      <x:c r="A58" s="42" t="str">
        <x:v>ASSET057</x:v>
      </x:c>
      <x:c r="B58" s="42" t="str">
        <x:v>COMP_APMT</x:v>
      </x:c>
      <x:c r="C58" s="42" t="str">
        <x:v>Gothenburg</x:v>
      </x:c>
      <x:c r="D58" s="42" t="str">
        <x:v>Container terminal</x:v>
      </x:c>
      <x:c r="E58" s="42" t="str">
        <x:v>Gothenburg</x:v>
      </x:c>
      <x:c r="F58" s="42" t="str">
        <x:v>Sweden</x:v>
      </x:c>
      <x:c r="G58" s="42" t="str">
        <x:v>APM Terminals global network location</x:v>
      </x:c>
      <x:c r="H58" s="42" t="str">
        <x:v>Container</x:v>
      </x:c>
      <x:c r="I58" s="42" t="str">
        <x:v>Operating / network</x:v>
      </x:c>
      <x:c r="J58" s="42"/>
      <x:c r="K58" s="42" t="str">
        <x:v>SRC_0020</x:v>
      </x:c>
    </x:row>
    <x:row r="59">
      <x:c r="A59" s="42" t="str">
        <x:v>ASSET058</x:v>
      </x:c>
      <x:c r="B59" s="42" t="str">
        <x:v>COMP_APMT</x:v>
      </x:c>
      <x:c r="C59" s="42" t="str">
        <x:v>Izmir</x:v>
      </x:c>
      <x:c r="D59" s="42" t="str">
        <x:v>Container terminal</x:v>
      </x:c>
      <x:c r="E59" s="42" t="str">
        <x:v>Izmir</x:v>
      </x:c>
      <x:c r="F59" s="42" t="str">
        <x:v>Turkey</x:v>
      </x:c>
      <x:c r="G59" s="42" t="str">
        <x:v>APM Terminals global network location</x:v>
      </x:c>
      <x:c r="H59" s="42" t="str">
        <x:v>Container</x:v>
      </x:c>
      <x:c r="I59" s="42" t="str">
        <x:v>Operating / network</x:v>
      </x:c>
      <x:c r="J59" s="42"/>
      <x:c r="K59" s="42" t="str">
        <x:v>SRC_0020</x:v>
      </x:c>
    </x:row>
    <x:row r="60">
      <x:c r="A60" s="42" t="str">
        <x:v>ASSET059</x:v>
      </x:c>
      <x:c r="B60" s="42" t="str">
        <x:v>COMP_APMT</x:v>
      </x:c>
      <x:c r="C60" s="42" t="str">
        <x:v>Buenos Aires</x:v>
      </x:c>
      <x:c r="D60" s="42" t="str">
        <x:v>Container terminal</x:v>
      </x:c>
      <x:c r="E60" s="42" t="str">
        <x:v>Buenos Aires</x:v>
      </x:c>
      <x:c r="F60" s="42" t="str">
        <x:v>Argentina</x:v>
      </x:c>
      <x:c r="G60" s="42" t="str">
        <x:v>APM Terminals global network location</x:v>
      </x:c>
      <x:c r="H60" s="42" t="str">
        <x:v>Container</x:v>
      </x:c>
      <x:c r="I60" s="42" t="str">
        <x:v>Operating / network</x:v>
      </x:c>
      <x:c r="J60" s="42"/>
      <x:c r="K60" s="42" t="str">
        <x:v>SRC_0020</x:v>
      </x:c>
    </x:row>
    <x:row r="61">
      <x:c r="A61" s="42" t="str">
        <x:v>ASSET060</x:v>
      </x:c>
      <x:c r="B61" s="42" t="str">
        <x:v>COMP_APMT</x:v>
      </x:c>
      <x:c r="C61" s="42" t="str">
        <x:v>Itapoá</x:v>
      </x:c>
      <x:c r="D61" s="42" t="str">
        <x:v>Container terminal</x:v>
      </x:c>
      <x:c r="E61" s="42" t="str">
        <x:v>Itapoá</x:v>
      </x:c>
      <x:c r="F61" s="42" t="str">
        <x:v>Brazil</x:v>
      </x:c>
      <x:c r="G61" s="42" t="str">
        <x:v>APM Terminals global network location</x:v>
      </x:c>
      <x:c r="H61" s="42" t="str">
        <x:v>Container</x:v>
      </x:c>
      <x:c r="I61" s="42" t="str">
        <x:v>Operating / network</x:v>
      </x:c>
      <x:c r="J61" s="42"/>
      <x:c r="K61" s="42" t="str">
        <x:v>SRC_0020</x:v>
      </x:c>
    </x:row>
    <x:row r="62">
      <x:c r="A62" s="42" t="str">
        <x:v>ASSET061</x:v>
      </x:c>
      <x:c r="B62" s="42" t="str">
        <x:v>COMP_APMT</x:v>
      </x:c>
      <x:c r="C62" s="42" t="str">
        <x:v>Pecém</x:v>
      </x:c>
      <x:c r="D62" s="42" t="str">
        <x:v>Container terminal</x:v>
      </x:c>
      <x:c r="E62" s="42" t="str">
        <x:v>Pecém</x:v>
      </x:c>
      <x:c r="F62" s="42" t="str">
        <x:v>Brazil</x:v>
      </x:c>
      <x:c r="G62" s="42" t="str">
        <x:v>APM Terminals global network location</x:v>
      </x:c>
      <x:c r="H62" s="42" t="str">
        <x:v>Container</x:v>
      </x:c>
      <x:c r="I62" s="42" t="str">
        <x:v>Operating / network</x:v>
      </x:c>
      <x:c r="J62" s="42"/>
      <x:c r="K62" s="42" t="str">
        <x:v>SRC_0020</x:v>
      </x:c>
    </x:row>
    <x:row r="63">
      <x:c r="A63" s="42" t="str">
        <x:v>ASSET062</x:v>
      </x:c>
      <x:c r="B63" s="42" t="str">
        <x:v>COMP_APMT</x:v>
      </x:c>
      <x:c r="C63" s="42" t="str">
        <x:v>Santos</x:v>
      </x:c>
      <x:c r="D63" s="42" t="str">
        <x:v>Container terminal</x:v>
      </x:c>
      <x:c r="E63" s="42" t="str">
        <x:v>Santos</x:v>
      </x:c>
      <x:c r="F63" s="42" t="str">
        <x:v>Brazil</x:v>
      </x:c>
      <x:c r="G63" s="42" t="str">
        <x:v>APM Terminals global network location</x:v>
      </x:c>
      <x:c r="H63" s="42" t="str">
        <x:v>Container</x:v>
      </x:c>
      <x:c r="I63" s="42" t="str">
        <x:v>Operating / network</x:v>
      </x:c>
      <x:c r="J63" s="42"/>
      <x:c r="K63" s="42" t="str">
        <x:v>SRC_0020</x:v>
      </x:c>
    </x:row>
    <x:row r="64">
      <x:c r="A64" s="42" t="str">
        <x:v>ASSET063</x:v>
      </x:c>
      <x:c r="B64" s="42" t="str">
        <x:v>COMP_APMT</x:v>
      </x:c>
      <x:c r="C64" s="42" t="str">
        <x:v>Suape</x:v>
      </x:c>
      <x:c r="D64" s="42" t="str">
        <x:v>Container terminal</x:v>
      </x:c>
      <x:c r="E64" s="42" t="str">
        <x:v>Suape</x:v>
      </x:c>
      <x:c r="F64" s="42" t="str">
        <x:v>Brazil</x:v>
      </x:c>
      <x:c r="G64" s="42" t="str">
        <x:v>Legacy APM network seed for Suape; use ASSET018 / Port Terminals for canonical physical asset</x:v>
      </x:c>
      <x:c r="H64" s="42" t="str">
        <x:v>Container</x:v>
      </x:c>
      <x:c r="I64" s="42" t="str">
        <x:v>Legacy alias / do not count</x:v>
      </x:c>
      <x:c r="J64" s="42"/>
      <x:c r="K64" s="42" t="str">
        <x:v>SRC_0020</x:v>
      </x:c>
    </x:row>
    <x:row r="65">
      <x:c r="A65" s="42" t="str">
        <x:v>ASSET064</x:v>
      </x:c>
      <x:c r="B65" s="42" t="str">
        <x:v>COMP_APMT</x:v>
      </x:c>
      <x:c r="C65" s="42" t="str">
        <x:v>Buenaventura</x:v>
      </x:c>
      <x:c r="D65" s="42" t="str">
        <x:v>Container terminal</x:v>
      </x:c>
      <x:c r="E65" s="42" t="str">
        <x:v>Buenaventura</x:v>
      </x:c>
      <x:c r="F65" s="42" t="str">
        <x:v>Colombia</x:v>
      </x:c>
      <x:c r="G65" s="42" t="str">
        <x:v>APM Terminals global network location</x:v>
      </x:c>
      <x:c r="H65" s="42" t="str">
        <x:v>Container</x:v>
      </x:c>
      <x:c r="I65" s="42" t="str">
        <x:v>Operating / network</x:v>
      </x:c>
      <x:c r="J65" s="42"/>
      <x:c r="K65" s="42" t="str">
        <x:v>SRC_0020</x:v>
      </x:c>
    </x:row>
    <x:row r="66">
      <x:c r="A66" s="42" t="str">
        <x:v>ASSET065</x:v>
      </x:c>
      <x:c r="B66" s="42" t="str">
        <x:v>COMP_APMT</x:v>
      </x:c>
      <x:c r="C66" s="42" t="str">
        <x:v>Moín</x:v>
      </x:c>
      <x:c r="D66" s="42" t="str">
        <x:v>Container terminal</x:v>
      </x:c>
      <x:c r="E66" s="42" t="str">
        <x:v>Moín</x:v>
      </x:c>
      <x:c r="F66" s="42" t="str">
        <x:v>Costa Rica</x:v>
      </x:c>
      <x:c r="G66" s="42" t="str">
        <x:v>APM Terminals global network location</x:v>
      </x:c>
      <x:c r="H66" s="42" t="str">
        <x:v>Container</x:v>
      </x:c>
      <x:c r="I66" s="42" t="str">
        <x:v>Operating / network</x:v>
      </x:c>
      <x:c r="J66" s="42"/>
      <x:c r="K66" s="42" t="str">
        <x:v>SRC_0020</x:v>
      </x:c>
    </x:row>
    <x:row r="67">
      <x:c r="A67" s="42" t="str">
        <x:v>ASSET066</x:v>
      </x:c>
      <x:c r="B67" s="42" t="str">
        <x:v>COMP_APMT</x:v>
      </x:c>
      <x:c r="C67" s="42" t="str">
        <x:v>Puerto Quetzal</x:v>
      </x:c>
      <x:c r="D67" s="42" t="str">
        <x:v>Container terminal</x:v>
      </x:c>
      <x:c r="E67" s="42" t="str">
        <x:v>Puerto Quetzal</x:v>
      </x:c>
      <x:c r="F67" s="42" t="str">
        <x:v>Guatemala</x:v>
      </x:c>
      <x:c r="G67" s="42" t="str">
        <x:v>APM Terminals global network location</x:v>
      </x:c>
      <x:c r="H67" s="42" t="str">
        <x:v>Container</x:v>
      </x:c>
      <x:c r="I67" s="42" t="str">
        <x:v>Operating / network</x:v>
      </x:c>
      <x:c r="J67" s="42"/>
      <x:c r="K67" s="42" t="str">
        <x:v>SRC_0020</x:v>
      </x:c>
    </x:row>
    <x:row r="68">
      <x:c r="A68" s="42" t="str">
        <x:v>ASSET067</x:v>
      </x:c>
      <x:c r="B68" s="42" t="str">
        <x:v>COMP_APMT</x:v>
      </x:c>
      <x:c r="C68" s="42" t="str">
        <x:v>Lázaro Cárdenas</x:v>
      </x:c>
      <x:c r="D68" s="42" t="str">
        <x:v>Container terminal</x:v>
      </x:c>
      <x:c r="E68" s="42" t="str">
        <x:v>Lázaro Cárdenas</x:v>
      </x:c>
      <x:c r="F68" s="42" t="str">
        <x:v>Mexico</x:v>
      </x:c>
      <x:c r="G68" s="42" t="str">
        <x:v>Legacy APM network seed for Lázaro Cárdenas; use ASSET017 / Port Terminals for canonical physical asset</x:v>
      </x:c>
      <x:c r="H68" s="42" t="str">
        <x:v>Container</x:v>
      </x:c>
      <x:c r="I68" s="42" t="str">
        <x:v>Legacy alias / do not count</x:v>
      </x:c>
      <x:c r="J68" s="42"/>
      <x:c r="K68" s="42" t="str">
        <x:v>SRC_0020</x:v>
      </x:c>
    </x:row>
    <x:row r="69">
      <x:c r="A69" s="42" t="str">
        <x:v>ASSET068</x:v>
      </x:c>
      <x:c r="B69" s="42" t="str">
        <x:v>COMP_APMT</x:v>
      </x:c>
      <x:c r="C69" s="42" t="str">
        <x:v>Progreso</x:v>
      </x:c>
      <x:c r="D69" s="42" t="str">
        <x:v>Container terminal</x:v>
      </x:c>
      <x:c r="E69" s="42" t="str">
        <x:v>Progreso</x:v>
      </x:c>
      <x:c r="F69" s="42" t="str">
        <x:v>Mexico</x:v>
      </x:c>
      <x:c r="G69" s="42" t="str">
        <x:v>APM Terminals global network location</x:v>
      </x:c>
      <x:c r="H69" s="42" t="str">
        <x:v>Container</x:v>
      </x:c>
      <x:c r="I69" s="42" t="str">
        <x:v>Operating / network</x:v>
      </x:c>
      <x:c r="J69" s="42"/>
      <x:c r="K69" s="42" t="str">
        <x:v>SRC_0020</x:v>
      </x:c>
    </x:row>
    <x:row r="70">
      <x:c r="A70" s="42" t="str">
        <x:v>ASSET069</x:v>
      </x:c>
      <x:c r="B70" s="42" t="str">
        <x:v>COMP_APMT</x:v>
      </x:c>
      <x:c r="C70" s="42" t="str">
        <x:v>Callao</x:v>
      </x:c>
      <x:c r="D70" s="42" t="str">
        <x:v>Container terminal</x:v>
      </x:c>
      <x:c r="E70" s="42" t="str">
        <x:v>Callao</x:v>
      </x:c>
      <x:c r="F70" s="42" t="str">
        <x:v>Peru</x:v>
      </x:c>
      <x:c r="G70" s="42" t="str">
        <x:v>APM Terminals global network location</x:v>
      </x:c>
      <x:c r="H70" s="42" t="str">
        <x:v>Container</x:v>
      </x:c>
      <x:c r="I70" s="42" t="str">
        <x:v>Operating / network</x:v>
      </x:c>
      <x:c r="J70" s="42"/>
      <x:c r="K70" s="42" t="str">
        <x:v>SRC_0020</x:v>
      </x:c>
    </x:row>
    <x:row r="71">
      <x:c r="A71" s="42" t="str">
        <x:v>ASSET070</x:v>
      </x:c>
      <x:c r="B71" s="42" t="str">
        <x:v>COMP_APMT</x:v>
      </x:c>
      <x:c r="C71" s="42" t="str">
        <x:v>Los Angeles, CA</x:v>
      </x:c>
      <x:c r="D71" s="42" t="str">
        <x:v>Container terminal</x:v>
      </x:c>
      <x:c r="E71" s="42" t="str">
        <x:v>Los Angeles, CA</x:v>
      </x:c>
      <x:c r="F71" s="42" t="str">
        <x:v>United States</x:v>
      </x:c>
      <x:c r="G71" s="42" t="str">
        <x:v>APM Terminals global network location</x:v>
      </x:c>
      <x:c r="H71" s="42" t="str">
        <x:v>Container</x:v>
      </x:c>
      <x:c r="I71" s="42" t="str">
        <x:v>Operating / network</x:v>
      </x:c>
      <x:c r="J71" s="42"/>
      <x:c r="K71" s="42" t="str">
        <x:v>SRC_0020</x:v>
      </x:c>
    </x:row>
    <x:row r="72">
      <x:c r="A72" s="42" t="str">
        <x:v>ASSET071</x:v>
      </x:c>
      <x:c r="B72" s="42" t="str">
        <x:v>COMP_APMT</x:v>
      </x:c>
      <x:c r="C72" s="42" t="str">
        <x:v>Miami, FL</x:v>
      </x:c>
      <x:c r="D72" s="42" t="str">
        <x:v>Container terminal</x:v>
      </x:c>
      <x:c r="E72" s="42" t="str">
        <x:v>Miami, FL</x:v>
      </x:c>
      <x:c r="F72" s="42" t="str">
        <x:v>United States</x:v>
      </x:c>
      <x:c r="G72" s="42" t="str">
        <x:v>APM Terminals global network location</x:v>
      </x:c>
      <x:c r="H72" s="42" t="str">
        <x:v>Container</x:v>
      </x:c>
      <x:c r="I72" s="42" t="str">
        <x:v>Operating / network</x:v>
      </x:c>
      <x:c r="J72" s="42"/>
      <x:c r="K72" s="42" t="str">
        <x:v>SRC_0020</x:v>
      </x:c>
    </x:row>
    <x:row r="73">
      <x:c r="A73" s="42" t="str">
        <x:v>ASSET072</x:v>
      </x:c>
      <x:c r="B73" s="42" t="str">
        <x:v>COMP_APMT</x:v>
      </x:c>
      <x:c r="C73" s="42" t="str">
        <x:v>Mobile, AL</x:v>
      </x:c>
      <x:c r="D73" s="42" t="str">
        <x:v>Container terminal</x:v>
      </x:c>
      <x:c r="E73" s="42" t="str">
        <x:v>Mobile, AL</x:v>
      </x:c>
      <x:c r="F73" s="42" t="str">
        <x:v>United States</x:v>
      </x:c>
      <x:c r="G73" s="42" t="str">
        <x:v>APM Terminals global network location</x:v>
      </x:c>
      <x:c r="H73" s="42" t="str">
        <x:v>Container</x:v>
      </x:c>
      <x:c r="I73" s="42" t="str">
        <x:v>Operating / network</x:v>
      </x:c>
      <x:c r="J73" s="42"/>
      <x:c r="K73" s="42" t="str">
        <x:v>SRC_0020</x:v>
      </x:c>
    </x:row>
    <x:row r="74">
      <x:c r="A74" s="42" t="str">
        <x:v>ASSET073</x:v>
      </x:c>
      <x:c r="B74" s="42" t="str">
        <x:v>COMP_APMT</x:v>
      </x:c>
      <x:c r="C74" s="42" t="str">
        <x:v>Elizabeth, NJ</x:v>
      </x:c>
      <x:c r="D74" s="42" t="str">
        <x:v>Container terminal</x:v>
      </x:c>
      <x:c r="E74" s="42" t="str">
        <x:v>Elizabeth, NJ</x:v>
      </x:c>
      <x:c r="F74" s="42" t="str">
        <x:v>United States</x:v>
      </x:c>
      <x:c r="G74" s="42" t="str">
        <x:v>APM Terminals global network location</x:v>
      </x:c>
      <x:c r="H74" s="42" t="str">
        <x:v>Container</x:v>
      </x:c>
      <x:c r="I74" s="42" t="str">
        <x:v>Operating / network</x:v>
      </x:c>
      <x:c r="J74" s="42"/>
      <x:c r="K74" s="42" t="str">
        <x:v>SRC_0020</x:v>
      </x:c>
    </x:row>
    <x:row r="75">
      <x:c r="A75" s="102" t="str">
        <x:v>ASSET074</x:v>
      </x:c>
      <x:c r="B75" s="102" t="str">
        <x:v>COMP_UNITED_PORTS</x:v>
      </x:c>
      <x:c r="C75" s="102" t="str">
        <x:v>United Ports LLC terminal portfolio</x:v>
      </x:c>
      <x:c r="D75" s="102" t="str">
        <x:v>Port terminal portfolio</x:v>
      </x:c>
      <x:c r="E75" s="102" t="str">
        <x:v>United States / Brazil / Spain / Taiwan / Vietnam</x:v>
      </x:c>
      <x:c r="F75" s="102" t="str">
        <x:v>Global</x:v>
      </x:c>
      <x:c r="G75" s="102" t="str">
        <x:v>Investment vehicle holding 9 CMA CGM-operated terminals</x:v>
      </x:c>
      <x:c r="H75" s="102" t="str">
        <x:v>Maritime / Port</x:v>
      </x:c>
      <x:c r="I75" s="102" t="str">
        <x:v>Operating</x:v>
      </x:c>
      <x:c r="J75" s="102" t="str">
        <x:v>75% CMA CGM / 25% Stonepeak; CMA CGM operating control</x:v>
      </x:c>
      <x:c r="K75" s="102" t="str">
        <x:v>SRC_0256</x:v>
      </x:c>
    </x:row>
    <x:row r="76">
      <x:c r="A76" s="102" t="str">
        <x:v>ASSET075</x:v>
      </x:c>
      <x:c r="B76" s="102" t="str">
        <x:v>COMP_GEELONGPORT</x:v>
      </x:c>
      <x:c r="C76" s="102" t="str">
        <x:v>GeelongPort</x:v>
      </x:c>
      <x:c r="D76" s="102" t="str">
        <x:v>Landlord port</x:v>
      </x:c>
      <x:c r="E76" s="102" t="str">
        <x:v>Geelong, Victoria</x:v>
      </x:c>
      <x:c r="F76" s="102" t="str">
        <x:v>Australia</x:v>
      </x:c>
      <x:c r="G76" s="102" t="str">
        <x:v>Diversified landlord port; road/rail/air/channel-connected trade gateway</x:v>
      </x:c>
      <x:c r="H76" s="102" t="str">
        <x:v>Maritime / Port</x:v>
      </x:c>
      <x:c r="I76" s="102" t="str">
        <x:v>Operating</x:v>
      </x:c>
      <x:c r="J76" s="102" t="str">
        <x:v>70% Stonepeak / 30% CareSuper</x:v>
      </x:c>
      <x:c r="K76" s="102" t="str">
        <x:v>SRC_0257</x:v>
      </x:c>
    </x:row>
    <x:row r="77">
      <x:c r="A77" s="102" t="str">
        <x:v>ASSET076</x:v>
      </x:c>
      <x:c r="B77" s="102" t="str">
        <x:v>COMP_ITS</x:v>
      </x:c>
      <x:c r="C77" s="102" t="str">
        <x:v>International Transportation Service terminal portfolio</x:v>
      </x:c>
      <x:c r="D77" s="102" t="str">
        <x:v>Container terminal portfolio</x:v>
      </x:c>
      <x:c r="E77" s="102" t="str">
        <x:v>Long Beach, CA / Tacoma, WA</x:v>
      </x:c>
      <x:c r="F77" s="102" t="str">
        <x:v>United States</x:v>
      </x:c>
      <x:c r="G77" s="102" t="str">
        <x:v>West Coast container terminal portfolio</x:v>
      </x:c>
      <x:c r="H77" s="102" t="str">
        <x:v>Maritime / Port / Rail</x:v>
      </x:c>
      <x:c r="I77" s="102" t="str">
        <x:v>Operating / expanding</x:v>
      </x:c>
      <x:c r="J77" s="102" t="str">
        <x:v>Macquarie Asset Management portfolio company</x:v>
      </x:c>
      <x:c r="K77" s="102" t="str">
        <x:v>SRC_0260</x:v>
      </x:c>
    </x:row>
    <x:row r="78">
      <x:c r="A78" s="102" t="str">
        <x:v>ASSET077</x:v>
      </x:c>
      <x:c r="B78" s="102" t="str">
        <x:v>COMP_MIRASTAR</x:v>
      </x:c>
      <x:c r="C78" s="102" t="str">
        <x:v>KKR/Mirastar UK logistics portfolio - July 2026</x:v>
      </x:c>
      <x:c r="D78" s="102" t="str">
        <x:v>Logistics real estate portfolio</x:v>
      </x:c>
      <x:c r="E78" s="102" t="str">
        <x:v>Stafford / Crewe / Ellesmere Port / Wakefield</x:v>
      </x:c>
      <x:c r="F78" s="102" t="str">
        <x:v>United Kingdom</x:v>
      </x:c>
      <x:c r="G78" s="102" t="str">
        <x:v>Four fully-let prime logistics assets totaling 1.25m sq ft</x:v>
      </x:c>
      <x:c r="H78" s="102" t="str">
        <x:v>Road / Logistics</x:v>
      </x:c>
      <x:c r="I78" s="102" t="str">
        <x:v>Operating</x:v>
      </x:c>
      <x:c r="J78" s="102" t="str">
        <x:v>Acquired by KKR and Mirastar from PLP</x:v>
      </x:c>
      <x:c r="K78" s="102" t="str">
        <x:v>SRC_0263</x:v>
      </x:c>
    </x:row>
    <x:row r="79">
      <x:c r="A79" s="102" t="str">
        <x:v>ASSET078</x:v>
      </x:c>
      <x:c r="B79" s="102" t="str">
        <x:v>COMP_STONEPEAK</x:v>
      </x:c>
      <x:c r="C79" s="102" t="str">
        <x:v>Fort Worth rail-served logistics asset</x:v>
      </x:c>
      <x:c r="D79" s="102" t="str">
        <x:v>Logistics real estate / intermodal</x:v>
      </x:c>
      <x:c r="E79" s="102" t="str">
        <x:v>Alliance submarket, Fort Worth, Texas</x:v>
      </x:c>
      <x:c r="F79" s="102" t="str">
        <x:v>United States</x:v>
      </x:c>
      <x:c r="G79" s="102" t="str">
        <x:v>860,100 sq ft rail-served logistics facility near BNSF Alliance terminal and cargo airport</x:v>
      </x:c>
      <x:c r="H79" s="102" t="str">
        <x:v>Rail / Road / Air Cargo</x:v>
      </x:c>
      <x:c r="I79" s="102" t="str">
        <x:v>Operating</x:v>
      </x:c>
      <x:c r="J79" s="102" t="str">
        <x:v>Stonepeak-owned investment</x:v>
      </x:c>
      <x:c r="K79" s="102" t="str">
        <x:v>SRC_0285</x:v>
      </x:c>
    </x:row>
    <x:row r="80">
      <x:c r="A80" s="102" t="str">
        <x:v>ASSET079</x:v>
      </x:c>
      <x:c r="B80" s="102" t="str">
        <x:v>COMP_PROXITY</x:v>
      </x:c>
      <x:c r="C80" s="102" t="str">
        <x:v>Proxity pan-European logistics portfolio</x:v>
      </x:c>
      <x:c r="D80" s="102" t="str">
        <x:v>Logistics real estate platform</x:v>
      </x:c>
      <x:c r="E80" s="102" t="str">
        <x:v>Continental Europe / Nordics / Ireland</x:v>
      </x:c>
      <x:c r="F80" s="102" t="str">
        <x:v>Europe</x:v>
      </x:c>
      <x:c r="G80" s="102" t="str">
        <x:v>Approx. 500 logistics properties and developments, &gt;7m sqm lettable area</x:v>
      </x:c>
      <x:c r="H80" s="102" t="str">
        <x:v>Road / Logistics</x:v>
      </x:c>
      <x:c r="I80" s="102" t="str">
        <x:v>Operating / expanding</x:v>
      </x:c>
      <x:c r="J80" s="102" t="str">
        <x:v>Assets owned by Blackstone-managed real estate funds</x:v>
      </x:c>
      <x:c r="K80" s="102" t="str">
        <x:v>SRC_0264</x:v>
      </x:c>
    </x:row>
    <x:row r="81">
      <x:c r="A81" s="102" t="str">
        <x:v>ASSET080</x:v>
      </x:c>
      <x:c r="B81" s="102" t="str">
        <x:v>COMP_PLIVE</x:v>
      </x:c>
      <x:c r="C81" s="102" t="str">
        <x:v>PLIVE seed logistics portfolio</x:v>
      </x:c>
      <x:c r="D81" s="102" t="str">
        <x:v>Logistics real estate portfolio</x:v>
      </x:c>
      <x:c r="E81" s="102" t="str">
        <x:v>France / Germany / Netherlands / Sweden / United Kingdom</x:v>
      </x:c>
      <x:c r="F81" s="102" t="str">
        <x:v>Europe</x:v>
      </x:c>
      <x:c r="G81" s="102" t="str">
        <x:v>EUR1bn seed portfolio for pan-European logistics JV</x:v>
      </x:c>
      <x:c r="H81" s="102" t="str">
        <x:v>Road / Logistics</x:v>
      </x:c>
      <x:c r="I81" s="102" t="str">
        <x:v>Operating / expanding</x:v>
      </x:c>
      <x:c r="J81" s="102" t="str">
        <x:v>70% La Caisse / 30% Prologis</x:v>
      </x:c>
      <x:c r="K81" s="102" t="str">
        <x:v>SRC_0268</x:v>
      </x:c>
    </x:row>
    <x:row r="82">
      <x:c r="A82" s="102" t="str">
        <x:v>ASSET081</x:v>
      </x:c>
      <x:c r="B82" s="102" t="str">
        <x:v>COMP_TBILISI_DRY_PORT</x:v>
      </x:c>
      <x:c r="C82" s="102" t="str">
        <x:v>Tbilisi Intermodal Hub / Tbilisi Dry Port</x:v>
      </x:c>
      <x:c r="D82" s="102" t="str">
        <x:v>Dry port / inland intermodal hub</x:v>
      </x:c>
      <x:c r="E82" s="102" t="str">
        <x:v>Tbilisi</x:v>
      </x:c>
      <x:c r="F82" s="102" t="str">
        <x:v>Georgia</x:v>
      </x:c>
      <x:c r="G82" s="102" t="str">
        <x:v>Inland extension of Batumi/Poti; rail-road transfer, customs, warehousing and container yards</x:v>
      </x:c>
      <x:c r="H82" s="102" t="str">
        <x:v>Rail / Road</x:v>
      </x:c>
      <x:c r="I82" s="102" t="str">
        <x:v>Operating / expanding</x:v>
      </x:c>
      <x:c r="J82" s="102" t="str">
        <x:v>60% AD Ports Group; other JV partners Wilhelmsen Port Services Georgia and Inveco LLC</x:v>
      </x:c>
      <x:c r="K82" s="102" t="str">
        <x:v>SRC_0278</x:v>
      </x:c>
    </x:row>
    <x:row r="83">
      <x:c r="A83" s="102" t="str">
        <x:v>ASSET082</x:v>
      </x:c>
      <x:c r="B83" s="102" t="str">
        <x:v>COMP_ADPORTS</x:v>
      </x:c>
      <x:c r="C83" s="102" t="str">
        <x:v>Al Faya Dry Port</x:v>
      </x:c>
      <x:c r="D83" s="102" t="str">
        <x:v>Dry port / inland logistics terminal</x:v>
      </x:c>
      <x:c r="E83" s="102" t="str">
        <x:v>Al Faya / Dubai border area</x:v>
      </x:c>
      <x:c r="F83" s="102" t="str">
        <x:v>United Arab Emirates</x:v>
      </x:c>
      <x:c r="G83" s="102" t="str">
        <x:v>Bonded inland cargo transit terminal linking Khalifa Port to UAE inland destinations</x:v>
      </x:c>
      <x:c r="H83" s="102" t="str">
        <x:v>Road / Logistics</x:v>
      </x:c>
      <x:c r="I83" s="102" t="str">
        <x:v>Operating</x:v>
      </x:c>
      <x:c r="J83" s="102" t="str">
        <x:v>AD Ports Group ecosystem; anchored by CMA CGM; UN/LOCODE AEALF</x:v>
      </x:c>
      <x:c r="K83" s="102" t="str">
        <x:v>SRC_0280</x:v>
      </x:c>
    </x:row>
    <x:row r="84">
      <x:c r="A84" s="102" t="str">
        <x:v>ASSET083</x:v>
      </x:c>
      <x:c r="B84" s="102" t="str">
        <x:v>COMP_ETIHAD_RAIL</x:v>
      </x:c>
      <x:c r="C84" s="102" t="str">
        <x:v>Al Ghail Dry Port rail terminal</x:v>
      </x:c>
      <x:c r="D84" s="102" t="str">
        <x:v>Dry port / rail terminal</x:v>
      </x:c>
      <x:c r="E84" s="102" t="str">
        <x:v>Al Ghail, Ras Al Khaimah</x:v>
      </x:c>
      <x:c r="F84" s="102" t="str">
        <x:v>United Arab Emirates</x:v>
      </x:c>
      <x:c r="G84" s="102" t="str">
        <x:v>Rail terminal for aggregates and inland freight linking northern Emirates to Abu Dhabi/Dubai industrial zones</x:v>
      </x:c>
      <x:c r="H84" s="102" t="str">
        <x:v>Rail / Road</x:v>
      </x:c>
      <x:c r="I84" s="102" t="str">
        <x:v>Operating</x:v>
      </x:c>
      <x:c r="J84" s="102" t="str">
        <x:v>Etihad Rail Freight-operated terminal</x:v>
      </x:c>
      <x:c r="K84" s="102" t="str">
        <x:v>SRC_0272</x:v>
      </x:c>
    </x:row>
    <x:row r="85">
      <x:c r="A85" s="102" t="str">
        <x:v>ASSET084</x:v>
      </x:c>
      <x:c r="B85" s="102" t="str">
        <x:v>COMP_CENTREPORT</x:v>
      </x:c>
      <x:c r="C85" s="102" t="str">
        <x:v>CentrePort Canada</x:v>
      </x:c>
      <x:c r="D85" s="102" t="str">
        <x:v>Inland port / Foreign Trade Zone</x:v>
      </x:c>
      <x:c r="E85" s="102" t="str">
        <x:v>Winnipeg / Rosser, Manitoba</x:v>
      </x:c>
      <x:c r="F85" s="102" t="str">
        <x:v>Canada</x:v>
      </x:c>
      <x:c r="G85" s="102" t="str">
        <x:v>20,000-acre trimodal inland port combining rail, truck, air cargo and industrial land</x:v>
      </x:c>
      <x:c r="H85" s="102" t="str">
        <x:v>Rail / Road / Air Cargo</x:v>
      </x:c>
      <x:c r="I85" s="102" t="str">
        <x:v>Operating / expanding</x:v>
      </x:c>
      <x:c r="J85" s="102" t="str">
        <x:v>CentrePort Canada development ecosystem</x:v>
      </x:c>
      <x:c r="K85" s="102" t="str">
        <x:v>SRC_0271</x:v>
      </x:c>
    </x:row>
    <x:row r="86">
      <x:c r="A86" s="102" t="str">
        <x:v>ASSET085</x:v>
      </x:c>
      <x:c r="B86" s="102" t="str">
        <x:v>COMP_JAFZA</x:v>
      </x:c>
      <x:c r="C86" s="102" t="str">
        <x:v>Jebel Ali Free Zone (JAFZA)</x:v>
      </x:c>
      <x:c r="D86" s="102" t="str">
        <x:v>Free zone / industrial-logistics zone</x:v>
      </x:c>
      <x:c r="E86" s="102" t="str">
        <x:v>Jebel Ali, Dubai</x:v>
      </x:c>
      <x:c r="F86" s="102" t="str">
        <x:v>United Arab Emirates</x:v>
      </x:c>
      <x:c r="G86" s="102" t="str">
        <x:v>57 sq km customs-bonded industrial, logistics and trade hub adjacent to Jebel Ali Port</x:v>
      </x:c>
      <x:c r="H86" s="102" t="str">
        <x:v>Port / Road / Logistics</x:v>
      </x:c>
      <x:c r="I86" s="102" t="str">
        <x:v>Operating</x:v>
      </x:c>
      <x:c r="J86" s="102" t="str">
        <x:v>Part of DP World UAE</x:v>
      </x:c>
      <x:c r="K86" s="102" t="str">
        <x:v>SRC_0273</x:v>
      </x:c>
    </x:row>
    <x:row r="87">
      <x:c r="A87" s="102" t="str">
        <x:v>ASSET086</x:v>
      </x:c>
      <x:c r="B87" s="102" t="str">
        <x:v>COMP_JAFZA</x:v>
      </x:c>
      <x:c r="C87" s="102" t="str">
        <x:v>JAFZA Logistics Park</x:v>
      </x:c>
      <x:c r="D87" s="102" t="str">
        <x:v>Logistics real estate / warehousing park</x:v>
      </x:c>
      <x:c r="E87" s="102" t="str">
        <x:v>Jebel Ali Free Zone, Dubai</x:v>
      </x:c>
      <x:c r="F87" s="102" t="str">
        <x:v>United Arab Emirates</x:v>
      </x:c>
      <x:c r="G87" s="102" t="str">
        <x:v>Grade-A dry/pharma, temperature-controlled warehousing and offices</x:v>
      </x:c>
      <x:c r="H87" s="102" t="str">
        <x:v>Road / Port / Logistics</x:v>
      </x:c>
      <x:c r="I87" s="102" t="str">
        <x:v>Operating / expanding</x:v>
      </x:c>
      <x:c r="J87" s="102" t="str">
        <x:v>DP World / JAFZA logistics real estate</x:v>
      </x:c>
      <x:c r="K87" s="102" t="str">
        <x:v>SRC_0274</x:v>
      </x:c>
    </x:row>
    <x:row r="88">
      <x:c r="A88" s="102" t="str">
        <x:v>ASSET087</x:v>
      </x:c>
      <x:c r="B88" s="102" t="str">
        <x:v>COMP_KEZAD</x:v>
      </x:c>
      <x:c r="C88" s="102" t="str">
        <x:v>KEZAD economic-zones ecosystem</x:v>
      </x:c>
      <x:c r="D88" s="102" t="str">
        <x:v>Economic zones / industrial real estate</x:v>
      </x:c>
      <x:c r="E88" s="102" t="str">
        <x:v>Abu Dhabi</x:v>
      </x:c>
      <x:c r="F88" s="102" t="str">
        <x:v>United Arab Emirates</x:v>
      </x:c>
      <x:c r="G88" s="102" t="str">
        <x:v>Integrated economic cities, free-zone land, warehousing and industrial/logistics facilities</x:v>
      </x:c>
      <x:c r="H88" s="102" t="str">
        <x:v>Port / Rail / Road / Logistics</x:v>
      </x:c>
      <x:c r="I88" s="102" t="str">
        <x:v>Operating / expanding</x:v>
      </x:c>
      <x:c r="J88" s="102" t="str">
        <x:v>Part of AD Ports Group Economic Cities &amp; Free Zones</x:v>
      </x:c>
      <x:c r="K88" s="102" t="str">
        <x:v>SRC_0275</x:v>
      </x:c>
    </x:row>
    <x:row r="89">
      <x:c r="A89" s="102" t="str">
        <x:v>ASSET088</x:v>
      </x:c>
      <x:c r="B89" s="102" t="str">
        <x:v>COMP_KEZAD</x:v>
      </x:c>
      <x:c r="C89" s="102" t="str">
        <x:v>KEZAD East Port Said Economic Zone</x:v>
      </x:c>
      <x:c r="D89" s="102" t="str">
        <x:v>Economic zone / industrial-logistics park</x:v>
      </x:c>
      <x:c r="E89" s="102" t="str">
        <x:v>East Port Said</x:v>
      </x:c>
      <x:c r="F89" s="102" t="str">
        <x:v>Egypt</x:v>
      </x:c>
      <x:c r="G89" s="102" t="str">
        <x:v>20 km2 industrial and logistics park under 50-year renewable usufruct</x:v>
      </x:c>
      <x:c r="H89" s="102" t="str">
        <x:v>Port / Road / Logistics</x:v>
      </x:c>
      <x:c r="I89" s="102" t="str">
        <x:v>Development</x:v>
      </x:c>
      <x:c r="J89" s="102" t="str">
        <x:v>AD Ports Group / Suez Canal Economic Zone framework</x:v>
      </x:c>
      <x:c r="K89" s="102" t="str">
        <x:v>SRC_0281</x:v>
      </x:c>
    </x:row>
    <x:row r="90">
      <x:c r="A90" s="102" t="str">
        <x:v>ASSET089</x:v>
      </x:c>
      <x:c r="B90" s="102" t="str">
        <x:v>COMP_GULFTAINER</x:v>
      </x:c>
      <x:c r="C90" s="102" t="str">
        <x:v>Al Dhaid Multi-Modal Trade Corridor</x:v>
      </x:c>
      <x:c r="D90" s="102" t="str">
        <x:v>Inland logistics hub / dry-port-style corridor</x:v>
      </x:c>
      <x:c r="E90" s="102" t="str">
        <x:v>Al Dhaid, Sharjah</x:v>
      </x:c>
      <x:c r="F90" s="102" t="str">
        <x:v>United Arab Emirates</x:v>
      </x:c>
      <x:c r="G90" s="102" t="str">
        <x:v>150 ha planned multimodal inland cargo hub and corridor extension for Khorfakkan/GCC</x:v>
      </x:c>
      <x:c r="H90" s="102" t="str">
        <x:v>Road / Logistics</x:v>
      </x:c>
      <x:c r="I90" s="102" t="str">
        <x:v>Development</x:v>
      </x:c>
      <x:c r="J90" s="102" t="str">
        <x:v>Gulftainer-led development</x:v>
      </x:c>
      <x:c r="K90" s="102" t="str">
        <x:v>SRC_0041</x:v>
      </x:c>
    </x:row>
    <x:row r="91">
      <x:c r="A91" s="42" t="str">
        <x:v>ASSET090</x:v>
      </x:c>
      <x:c r="B91" s="42" t="str">
        <x:v>COMP_DHL_EXPRESS</x:v>
      </x:c>
      <x:c r="C91" s="42" t="str">
        <x:v>DHL Express Leipzig Global Hub</x:v>
      </x:c>
      <x:c r="D91" s="42" t="str">
        <x:v>Air cargo / express hub</x:v>
      </x:c>
      <x:c r="E91" s="42" t="str">
        <x:v>Leipzig/Halle Airport</x:v>
      </x:c>
      <x:c r="F91" s="42" t="str">
        <x:v>Germany</x:v>
      </x:c>
      <x:c r="G91" s="42" t="str">
        <x:v>Largest of DHL's three global hubs; &gt;50 destinations; ~75 aircraft per workday</x:v>
      </x:c>
      <x:c r="H91" s="42" t="str">
        <x:v>Air Cargo / Road</x:v>
      </x:c>
      <x:c r="I91" s="42" t="str">
        <x:v>Operating</x:v>
      </x:c>
      <x:c r="J91" s="42" t="str">
        <x:v>DHL Express hub operation</x:v>
      </x:c>
      <x:c r="K91" s="42" t="str">
        <x:v>SRC_0294</x:v>
      </x:c>
    </x:row>
    <x:row r="92">
      <x:c r="A92" s="42" t="str">
        <x:v>ASSET091</x:v>
      </x:c>
      <x:c r="B92" s="42" t="str">
        <x:v>COMP_DHL_EXPRESS</x:v>
      </x:c>
      <x:c r="C92" s="42" t="str">
        <x:v>DHL Express Hong Kong Central Asia Hub</x:v>
      </x:c>
      <x:c r="D92" s="42" t="str">
        <x:v>Air cargo / express hub</x:v>
      </x:c>
      <x:c r="E92" s="42" t="str">
        <x:v>Hong Kong International Airport</x:v>
      </x:c>
      <x:c r="F92" s="42" t="str">
        <x:v>Hong Kong, China</x:v>
      </x:c>
      <x:c r="G92" s="42" t="str">
        <x:v>One of DHL's three global hubs; Asia network gateway</x:v>
      </x:c>
      <x:c r="H92" s="42" t="str">
        <x:v>Air Cargo</x:v>
      </x:c>
      <x:c r="I92" s="42" t="str">
        <x:v>Operating</x:v>
      </x:c>
      <x:c r="J92" s="42" t="str">
        <x:v>DHL Express hub operation</x:v>
      </x:c>
      <x:c r="K92" s="42" t="str">
        <x:v>SRC_0295</x:v>
      </x:c>
    </x:row>
    <x:row r="93">
      <x:c r="A93" s="42" t="str">
        <x:v>ASSET092</x:v>
      </x:c>
      <x:c r="B93" s="42" t="str">
        <x:v>COMP_DHL_SUPPLY_CHAIN</x:v>
      </x:c>
      <x:c r="C93" s="42" t="str">
        <x:v>DHL Supply Chain Halle Logistics Center</x:v>
      </x:c>
      <x:c r="D93" s="42" t="str">
        <x:v>Warehouse / distribution center</x:v>
      </x:c>
      <x:c r="E93" s="42" t="str">
        <x:v>Halle / Leipzig region</x:v>
      </x:c>
      <x:c r="F93" s="42" t="str">
        <x:v>Germany</x:v>
      </x:c>
      <x:c r="G93" s="42" t="str">
        <x:v>34,000 sqm logistics center with 55,000 pallet spaces near LEJ</x:v>
      </x:c>
      <x:c r="H93" s="42" t="str">
        <x:v>Road / Air Cargo / Logistics</x:v>
      </x:c>
      <x:c r="I93" s="42" t="str">
        <x:v>Operating / expanding</x:v>
      </x:c>
      <x:c r="J93" s="42" t="str">
        <x:v>DHL Supply Chain operation</x:v>
      </x:c>
      <x:c r="K93" s="42" t="str">
        <x:v>SRC_0316</x:v>
      </x:c>
    </x:row>
    <x:row r="94">
      <x:c r="A94" s="42" t="str">
        <x:v>ASSET093</x:v>
      </x:c>
      <x:c r="B94" s="42" t="str">
        <x:v>COMP_DHL_SUPPLY_CHAIN</x:v>
      </x:c>
      <x:c r="C94" s="42" t="str">
        <x:v>DHL Supply Chain SILZ Regional Hub</x:v>
      </x:c>
      <x:c r="D94" s="42" t="str">
        <x:v>Warehouse / regional distribution hub</x:v>
      </x:c>
      <x:c r="E94" s="42" t="str">
        <x:v>Special Integrated Logistics Zone, Riyadh</x:v>
      </x:c>
      <x:c r="F94" s="42" t="str">
        <x:v>Saudi Arabia</x:v>
      </x:c>
      <x:c r="G94" s="42" t="str">
        <x:v>78,000 sqm site with 53,000 sqm multi-user warehouse; bonded-airport adjacency</x:v>
      </x:c>
      <x:c r="H94" s="42" t="str">
        <x:v>Road / Air Cargo / Logistics</x:v>
      </x:c>
      <x:c r="I94" s="42" t="str">
        <x:v>Development</x:v>
      </x:c>
      <x:c r="J94" s="42" t="str">
        <x:v>26-year land lease; DHL Supply Chain development</x:v>
      </x:c>
      <x:c r="K94" s="42" t="str">
        <x:v>SRC_0296</x:v>
      </x:c>
    </x:row>
    <x:row r="95">
      <x:c r="A95" s="42" t="str">
        <x:v>ASSET094</x:v>
      </x:c>
      <x:c r="B95" s="42" t="str">
        <x:v>COMP_FEDERAL_EXPRESS</x:v>
      </x:c>
      <x:c r="C95" s="42" t="str">
        <x:v>FedEx Memphis World Hub</x:v>
      </x:c>
      <x:c r="D95" s="42" t="str">
        <x:v>Air cargo / express sorting hub</x:v>
      </x:c>
      <x:c r="E95" s="42" t="str">
        <x:v>Memphis International Airport, Tennessee</x:v>
      </x:c>
      <x:c r="F95" s="42" t="str">
        <x:v>United States</x:v>
      </x:c>
      <x:c r="G95" s="42" t="str">
        <x:v>Primary/worldwide FedEx hub and major sorting facility</x:v>
      </x:c>
      <x:c r="H95" s="42" t="str">
        <x:v>Air Cargo / Road</x:v>
      </x:c>
      <x:c r="I95" s="42" t="str">
        <x:v>Operating</x:v>
      </x:c>
      <x:c r="J95" s="42" t="str">
        <x:v>FedEx hub operation; airport leasehold</x:v>
      </x:c>
      <x:c r="K95" s="42" t="str">
        <x:v>SRC_0297</x:v>
      </x:c>
    </x:row>
    <x:row r="96">
      <x:c r="A96" s="42" t="str">
        <x:v>ASSET095</x:v>
      </x:c>
      <x:c r="B96" s="42" t="str">
        <x:v>COMP_FEDERAL_EXPRESS</x:v>
      </x:c>
      <x:c r="C96" s="42" t="str">
        <x:v>FedEx Indianapolis National Hub</x:v>
      </x:c>
      <x:c r="D96" s="42" t="str">
        <x:v>Air cargo / express sorting hub</x:v>
      </x:c>
      <x:c r="E96" s="42" t="str">
        <x:v>Indianapolis International Airport, Indiana</x:v>
      </x:c>
      <x:c r="F96" s="42" t="str">
        <x:v>United States</x:v>
      </x:c>
      <x:c r="G96" s="42" t="str">
        <x:v>National air hub and sorting facility</x:v>
      </x:c>
      <x:c r="H96" s="42" t="str">
        <x:v>Air Cargo / Road</x:v>
      </x:c>
      <x:c r="I96" s="42" t="str">
        <x:v>Operating</x:v>
      </x:c>
      <x:c r="J96" s="42" t="str">
        <x:v>FedEx hub operation; airport facility</x:v>
      </x:c>
      <x:c r="K96" s="42" t="str">
        <x:v>SRC_0297</x:v>
      </x:c>
    </x:row>
    <x:row r="97">
      <x:c r="A97" s="42" t="str">
        <x:v>ASSET096</x:v>
      </x:c>
      <x:c r="B97" s="42" t="str">
        <x:v>COMP_FEDERAL_EXPRESS</x:v>
      </x:c>
      <x:c r="C97" s="42" t="str">
        <x:v>FedEx Delhi Integrated Air Cargo Hub</x:v>
      </x:c>
      <x:c r="D97" s="42" t="str">
        <x:v>Integrated air cargo hub</x:v>
      </x:c>
      <x:c r="E97" s="42" t="str">
        <x:v>GMR Cargo City, Delhi IGI Airport</x:v>
      </x:c>
      <x:c r="F97" s="42" t="str">
        <x:v>India</x:v>
      </x:c>
      <x:c r="G97" s="42" t="str">
        <x:v>230,000 sq ft automated gateway plus pickup-and-delivery operation</x:v>
      </x:c>
      <x:c r="H97" s="42" t="str">
        <x:v>Air Cargo / Road</x:v>
      </x:c>
      <x:c r="I97" s="42" t="str">
        <x:v>Development</x:v>
      </x:c>
      <x:c r="J97" s="42" t="str">
        <x:v>FedEx planned investment / operating hub</x:v>
      </x:c>
      <x:c r="K97" s="42" t="str">
        <x:v>SRC_0300</x:v>
      </x:c>
    </x:row>
    <x:row r="98">
      <x:c r="A98" s="42" t="str">
        <x:v>ASSET097</x:v>
      </x:c>
      <x:c r="B98" s="42" t="str">
        <x:v>COMP_AMAZON_AIR</x:v>
      </x:c>
      <x:c r="C98" s="42" t="str">
        <x:v>Amazon Air CVG Hub</x:v>
      </x:c>
      <x:c r="D98" s="42" t="str">
        <x:v>Air cargo / sortation hub</x:v>
      </x:c>
      <x:c r="E98" s="42" t="str">
        <x:v>Cincinnati/Northern Kentucky International Airport</x:v>
      </x:c>
      <x:c r="F98" s="42" t="str">
        <x:v>United States</x:v>
      </x:c>
      <x:c r="G98" s="42" t="str">
        <x:v>600-acre flagship Amazon Air hub; 800,000 sq ft facility; &gt;3 dozen daily flights</x:v>
      </x:c>
      <x:c r="H98" s="42" t="str">
        <x:v>Air Cargo / Road</x:v>
      </x:c>
      <x:c r="I98" s="42" t="str">
        <x:v>Operating</x:v>
      </x:c>
      <x:c r="J98" s="42" t="str">
        <x:v>Amazon Air hub operation</x:v>
      </x:c>
      <x:c r="K98" s="42" t="str">
        <x:v>SRC_0305</x:v>
      </x:c>
    </x:row>
    <x:row r="99">
      <x:c r="A99" s="42" t="str">
        <x:v>ASSET098</x:v>
      </x:c>
      <x:c r="B99" s="42" t="str">
        <x:v>COMP_ARAMEX</x:v>
      </x:c>
      <x:c r="C99" s="42" t="str">
        <x:v>Aramex Healthcare Warehouse - Dubai Logistics City</x:v>
      </x:c>
      <x:c r="D99" s="42" t="str">
        <x:v>Healthcare warehouse / cold-chain facility</x:v>
      </x:c>
      <x:c r="E99" s="42" t="str">
        <x:v>Dubai Logistics City / DWC Free Zone</x:v>
      </x:c>
      <x:c r="F99" s="42" t="str">
        <x:v>United Arab Emirates</x:v>
      </x:c>
      <x:c r="G99" s="42" t="str">
        <x:v>~5,500 sqm ambient + ~100 sqm cold-chain; 6,750 ambient pallet positions + 140 cold-chain pallets</x:v>
      </x:c>
      <x:c r="H99" s="42" t="str">
        <x:v>Road / Air Cargo / Logistics</x:v>
      </x:c>
      <x:c r="I99" s="42" t="str">
        <x:v>Operating</x:v>
      </x:c>
      <x:c r="J99" s="42" t="str">
        <x:v>Aramex-operated warehouse in DWC Free Zone</x:v>
      </x:c>
      <x:c r="K99" s="42" t="str">
        <x:v>SRC_0315</x:v>
      </x:c>
    </x:row>
  </x:sheetData>
  <x:pageMargins left="0.7" right="0.7" top="0.75" bottom="0.75" header="0.3" footer="0.3"/>
  <x:tableParts count="1">
    <x:tablePart xmlns:r="http://schemas.openxmlformats.org/officeDocument/2006/relationships" r:id="Rb96215b9a2e24314"/>
  </x:tableParts>
</x:worksheet>
</file>

<file path=xl/worksheets/sheet8.xml><?xml version="1.0" encoding="utf-8"?>
<x:worksheet xmlns:x="http://schemas.openxmlformats.org/spreadsheetml/2006/main">
  <x:sheetFormatPr defaultRowHeight="15"/>
  <x:cols>
    <x:col min="1" max="1" width="15" hidden="0" customWidth="1"/>
    <x:col min="2" max="2" width="32" hidden="0" customWidth="1"/>
    <x:col min="3" max="3" width="18" hidden="0" customWidth="1"/>
    <x:col min="4" max="4" width="12" hidden="0" customWidth="1"/>
    <x:col min="5" max="5" width="12" hidden="0" customWidth="1"/>
    <x:col min="6" max="6" width="20" hidden="0" customWidth="1"/>
    <x:col min="7" max="7" width="25" hidden="0" customWidth="1"/>
    <x:col min="8" max="8" width="22" hidden="0" customWidth="1"/>
    <x:col min="9" max="9" width="35" hidden="0" customWidth="1"/>
    <x:col min="10" max="10" width="38" hidden="0" customWidth="1"/>
    <x:col min="11" max="11" width="15" hidden="0" customWidth="1"/>
  </x:cols>
  <x:sheetData>
    <x:row r="1">
      <x:c r="A1" s="223" t="str">
        <x:v>Port ID</x:v>
      </x:c>
      <x:c r="B1" s="223" t="str">
        <x:v>Port / Facility</x:v>
      </x:c>
      <x:c r="C1" s="223" t="str">
        <x:v>Country</x:v>
      </x:c>
      <x:c r="D1" s="223" t="str">
        <x:v>Latitude</x:v>
      </x:c>
      <x:c r="E1" s="223" t="str">
        <x:v>Longitude</x:v>
      </x:c>
      <x:c r="F1" s="223" t="str">
        <x:v>Operator Company ID</x:v>
      </x:c>
      <x:c r="G1" s="223" t="str">
        <x:v>Operator</x:v>
      </x:c>
      <x:c r="H1" s="223" t="str">
        <x:v>Facility Type</x:v>
      </x:c>
      <x:c r="I1" s="223" t="str">
        <x:v>Key Role</x:v>
      </x:c>
      <x:c r="J1" s="223" t="str">
        <x:v>Coverage Note</x:v>
      </x:c>
      <x:c r="K1" s="223" t="str">
        <x:v>Source ID</x:v>
      </x:c>
    </x:row>
    <x:row r="2">
      <x:c r="A2" s="42" t="str">
        <x:v>UKP001</x:v>
      </x:c>
      <x:c r="B2" s="42" t="str">
        <x:v>Ayr</x:v>
      </x:c>
      <x:c r="C2" s="42" t="str">
        <x:v>United Kingdom</x:v>
      </x:c>
      <x:c r="D2" s="42"/>
      <x:c r="E2" s="42"/>
      <x:c r="F2" s="42" t="str">
        <x:v>COMP_ABP</x:v>
      </x:c>
      <x:c r="G2" s="42" t="str">
        <x:v>Associated British Ports</x:v>
      </x:c>
      <x:c r="H2" s="42" t="str">
        <x:v>Port / terminal</x:v>
      </x:c>
      <x:c r="I2" s="42" t="str">
        <x:v>Major commercial port or terminal</x:v>
      </x:c>
      <x:c r="J2" s="42" t="str">
        <x:v>Phase 1 operator mapping</x:v>
      </x:c>
      <x:c r="K2" s="42" t="str">
        <x:v>SRC_0009</x:v>
      </x:c>
    </x:row>
    <x:row r="3">
      <x:c r="A3" s="42" t="str">
        <x:v>UKP002</x:v>
      </x:c>
      <x:c r="B3" s="42" t="str">
        <x:v>Barrow</x:v>
      </x:c>
      <x:c r="C3" s="42" t="str">
        <x:v>United Kingdom</x:v>
      </x:c>
      <x:c r="D3" s="42"/>
      <x:c r="E3" s="42"/>
      <x:c r="F3" s="42" t="str">
        <x:v>COMP_ABP</x:v>
      </x:c>
      <x:c r="G3" s="42" t="str">
        <x:v>Associated British Ports</x:v>
      </x:c>
      <x:c r="H3" s="42" t="str">
        <x:v>Port / terminal</x:v>
      </x:c>
      <x:c r="I3" s="42" t="str">
        <x:v>Major commercial port or terminal</x:v>
      </x:c>
      <x:c r="J3" s="42" t="str">
        <x:v>Phase 1 operator mapping</x:v>
      </x:c>
      <x:c r="K3" s="42" t="str">
        <x:v>SRC_0009</x:v>
      </x:c>
    </x:row>
    <x:row r="4">
      <x:c r="A4" s="42" t="str">
        <x:v>UKP003</x:v>
      </x:c>
      <x:c r="B4" s="42" t="str">
        <x:v>Barry</x:v>
      </x:c>
      <x:c r="C4" s="42" t="str">
        <x:v>United Kingdom</x:v>
      </x:c>
      <x:c r="D4" s="42"/>
      <x:c r="E4" s="42"/>
      <x:c r="F4" s="42" t="str">
        <x:v>COMP_ABP</x:v>
      </x:c>
      <x:c r="G4" s="42" t="str">
        <x:v>Associated British Ports</x:v>
      </x:c>
      <x:c r="H4" s="42" t="str">
        <x:v>Port / terminal</x:v>
      </x:c>
      <x:c r="I4" s="42" t="str">
        <x:v>Major commercial port or terminal</x:v>
      </x:c>
      <x:c r="J4" s="42" t="str">
        <x:v>Phase 1 operator mapping</x:v>
      </x:c>
      <x:c r="K4" s="42" t="str">
        <x:v>SRC_0009</x:v>
      </x:c>
    </x:row>
    <x:row r="5">
      <x:c r="A5" s="42" t="str">
        <x:v>UKP004</x:v>
      </x:c>
      <x:c r="B5" s="42" t="str">
        <x:v>Cardiff</x:v>
      </x:c>
      <x:c r="C5" s="42" t="str">
        <x:v>United Kingdom</x:v>
      </x:c>
      <x:c r="D5" s="42"/>
      <x:c r="E5" s="42"/>
      <x:c r="F5" s="42" t="str">
        <x:v>COMP_ABP</x:v>
      </x:c>
      <x:c r="G5" s="42" t="str">
        <x:v>Associated British Ports</x:v>
      </x:c>
      <x:c r="H5" s="42" t="str">
        <x:v>Port / terminal</x:v>
      </x:c>
      <x:c r="I5" s="42" t="str">
        <x:v>Major commercial port or terminal</x:v>
      </x:c>
      <x:c r="J5" s="42" t="str">
        <x:v>Phase 1 operator mapping</x:v>
      </x:c>
      <x:c r="K5" s="42" t="str">
        <x:v>SRC_0009</x:v>
      </x:c>
    </x:row>
    <x:row r="6">
      <x:c r="A6" s="42" t="str">
        <x:v>UKP005</x:v>
      </x:c>
      <x:c r="B6" s="42" t="str">
        <x:v>Fleetwood</x:v>
      </x:c>
      <x:c r="C6" s="42" t="str">
        <x:v>United Kingdom</x:v>
      </x:c>
      <x:c r="D6" s="42"/>
      <x:c r="E6" s="42"/>
      <x:c r="F6" s="42" t="str">
        <x:v>COMP_ABP</x:v>
      </x:c>
      <x:c r="G6" s="42" t="str">
        <x:v>Associated British Ports</x:v>
      </x:c>
      <x:c r="H6" s="42" t="str">
        <x:v>Port / terminal</x:v>
      </x:c>
      <x:c r="I6" s="42" t="str">
        <x:v>Major commercial port or terminal</x:v>
      </x:c>
      <x:c r="J6" s="42" t="str">
        <x:v>Phase 1 operator mapping</x:v>
      </x:c>
      <x:c r="K6" s="42" t="str">
        <x:v>SRC_0009</x:v>
      </x:c>
    </x:row>
    <x:row r="7">
      <x:c r="A7" s="42" t="str">
        <x:v>UKP006</x:v>
      </x:c>
      <x:c r="B7" s="42" t="str">
        <x:v>Garston</x:v>
      </x:c>
      <x:c r="C7" s="42" t="str">
        <x:v>United Kingdom</x:v>
      </x:c>
      <x:c r="D7" s="42"/>
      <x:c r="E7" s="42"/>
      <x:c r="F7" s="42" t="str">
        <x:v>COMP_ABP</x:v>
      </x:c>
      <x:c r="G7" s="42" t="str">
        <x:v>Associated British Ports</x:v>
      </x:c>
      <x:c r="H7" s="42" t="str">
        <x:v>Port / terminal</x:v>
      </x:c>
      <x:c r="I7" s="42" t="str">
        <x:v>Major commercial port or terminal</x:v>
      </x:c>
      <x:c r="J7" s="42" t="str">
        <x:v>Phase 1 operator mapping</x:v>
      </x:c>
      <x:c r="K7" s="42" t="str">
        <x:v>SRC_0009</x:v>
      </x:c>
    </x:row>
    <x:row r="8">
      <x:c r="A8" s="42" t="str">
        <x:v>UKP007</x:v>
      </x:c>
      <x:c r="B8" s="42" t="str">
        <x:v>Goole</x:v>
      </x:c>
      <x:c r="C8" s="42" t="str">
        <x:v>United Kingdom</x:v>
      </x:c>
      <x:c r="D8" s="42"/>
      <x:c r="E8" s="42"/>
      <x:c r="F8" s="42" t="str">
        <x:v>COMP_ABP</x:v>
      </x:c>
      <x:c r="G8" s="42" t="str">
        <x:v>Associated British Ports</x:v>
      </x:c>
      <x:c r="H8" s="42" t="str">
        <x:v>Port / terminal</x:v>
      </x:c>
      <x:c r="I8" s="42" t="str">
        <x:v>Major commercial port or terminal</x:v>
      </x:c>
      <x:c r="J8" s="42" t="str">
        <x:v>Phase 1 operator mapping</x:v>
      </x:c>
      <x:c r="K8" s="42" t="str">
        <x:v>SRC_0009</x:v>
      </x:c>
    </x:row>
    <x:row r="9">
      <x:c r="A9" s="42" t="str">
        <x:v>UKP008</x:v>
      </x:c>
      <x:c r="B9" s="42" t="str">
        <x:v>Grimsby</x:v>
      </x:c>
      <x:c r="C9" s="42" t="str">
        <x:v>United Kingdom</x:v>
      </x:c>
      <x:c r="D9" s="42"/>
      <x:c r="E9" s="42"/>
      <x:c r="F9" s="42" t="str">
        <x:v>COMP_ABP</x:v>
      </x:c>
      <x:c r="G9" s="42" t="str">
        <x:v>Associated British Ports</x:v>
      </x:c>
      <x:c r="H9" s="42" t="str">
        <x:v>Port / terminal</x:v>
      </x:c>
      <x:c r="I9" s="42" t="str">
        <x:v>Major commercial port or terminal</x:v>
      </x:c>
      <x:c r="J9" s="42" t="str">
        <x:v>Phase 1 operator mapping</x:v>
      </x:c>
      <x:c r="K9" s="42" t="str">
        <x:v>SRC_0009</x:v>
      </x:c>
    </x:row>
    <x:row r="10">
      <x:c r="A10" s="42" t="str">
        <x:v>UKP009</x:v>
      </x:c>
      <x:c r="B10" s="42" t="str">
        <x:v>Hams Hall Terminal</x:v>
      </x:c>
      <x:c r="C10" s="42" t="str">
        <x:v>United Kingdom</x:v>
      </x:c>
      <x:c r="D10" s="42"/>
      <x:c r="E10" s="42"/>
      <x:c r="F10" s="42" t="str">
        <x:v>COMP_ABP</x:v>
      </x:c>
      <x:c r="G10" s="42" t="str">
        <x:v>Associated British Ports</x:v>
      </x:c>
      <x:c r="H10" s="42" t="str">
        <x:v>Port / terminal</x:v>
      </x:c>
      <x:c r="I10" s="42" t="str">
        <x:v>Major commercial port or terminal</x:v>
      </x:c>
      <x:c r="J10" s="42" t="str">
        <x:v>Phase 1 operator mapping</x:v>
      </x:c>
      <x:c r="K10" s="42" t="str">
        <x:v>SRC_0009</x:v>
      </x:c>
    </x:row>
    <x:row r="11">
      <x:c r="A11" s="42" t="str">
        <x:v>UKP010</x:v>
      </x:c>
      <x:c r="B11" s="42" t="str">
        <x:v>Hull</x:v>
      </x:c>
      <x:c r="C11" s="42" t="str">
        <x:v>United Kingdom</x:v>
      </x:c>
      <x:c r="D11" s="42"/>
      <x:c r="E11" s="42"/>
      <x:c r="F11" s="42" t="str">
        <x:v>COMP_ABP</x:v>
      </x:c>
      <x:c r="G11" s="42" t="str">
        <x:v>Associated British Ports</x:v>
      </x:c>
      <x:c r="H11" s="42" t="str">
        <x:v>Port / terminal</x:v>
      </x:c>
      <x:c r="I11" s="42" t="str">
        <x:v>Major commercial port or terminal</x:v>
      </x:c>
      <x:c r="J11" s="42" t="str">
        <x:v>Phase 1 operator mapping</x:v>
      </x:c>
      <x:c r="K11" s="42" t="str">
        <x:v>SRC_0009</x:v>
      </x:c>
    </x:row>
    <x:row r="12">
      <x:c r="A12" s="42" t="str">
        <x:v>UKP011</x:v>
      </x:c>
      <x:c r="B12" s="42" t="str">
        <x:v>Immingham</x:v>
      </x:c>
      <x:c r="C12" s="42" t="str">
        <x:v>United Kingdom</x:v>
      </x:c>
      <x:c r="D12" s="42"/>
      <x:c r="E12" s="42"/>
      <x:c r="F12" s="42" t="str">
        <x:v>COMP_ABP</x:v>
      </x:c>
      <x:c r="G12" s="42" t="str">
        <x:v>Associated British Ports</x:v>
      </x:c>
      <x:c r="H12" s="42" t="str">
        <x:v>Port / terminal</x:v>
      </x:c>
      <x:c r="I12" s="42" t="str">
        <x:v>Major commercial port or terminal</x:v>
      </x:c>
      <x:c r="J12" s="42" t="str">
        <x:v>Phase 1 operator mapping</x:v>
      </x:c>
      <x:c r="K12" s="42" t="str">
        <x:v>SRC_0009</x:v>
      </x:c>
    </x:row>
    <x:row r="13">
      <x:c r="A13" s="42" t="str">
        <x:v>UKP012</x:v>
      </x:c>
      <x:c r="B13" s="42" t="str">
        <x:v>Ipswich</x:v>
      </x:c>
      <x:c r="C13" s="42" t="str">
        <x:v>United Kingdom</x:v>
      </x:c>
      <x:c r="D13" s="42"/>
      <x:c r="E13" s="42"/>
      <x:c r="F13" s="42" t="str">
        <x:v>COMP_ABP</x:v>
      </x:c>
      <x:c r="G13" s="42" t="str">
        <x:v>Associated British Ports</x:v>
      </x:c>
      <x:c r="H13" s="42" t="str">
        <x:v>Port / terminal</x:v>
      </x:c>
      <x:c r="I13" s="42" t="str">
        <x:v>Major commercial port or terminal</x:v>
      </x:c>
      <x:c r="J13" s="42" t="str">
        <x:v>Phase 1 operator mapping</x:v>
      </x:c>
      <x:c r="K13" s="42" t="str">
        <x:v>SRC_0009</x:v>
      </x:c>
    </x:row>
    <x:row r="14">
      <x:c r="A14" s="42" t="str">
        <x:v>UKP013</x:v>
      </x:c>
      <x:c r="B14" s="42" t="str">
        <x:v>King's Lynn</x:v>
      </x:c>
      <x:c r="C14" s="42" t="str">
        <x:v>United Kingdom</x:v>
      </x:c>
      <x:c r="D14" s="42"/>
      <x:c r="E14" s="42"/>
      <x:c r="F14" s="42" t="str">
        <x:v>COMP_ABP</x:v>
      </x:c>
      <x:c r="G14" s="42" t="str">
        <x:v>Associated British Ports</x:v>
      </x:c>
      <x:c r="H14" s="42" t="str">
        <x:v>Port / terminal</x:v>
      </x:c>
      <x:c r="I14" s="42" t="str">
        <x:v>Major commercial port or terminal</x:v>
      </x:c>
      <x:c r="J14" s="42" t="str">
        <x:v>Phase 1 operator mapping</x:v>
      </x:c>
      <x:c r="K14" s="42" t="str">
        <x:v>SRC_0009</x:v>
      </x:c>
    </x:row>
    <x:row r="15">
      <x:c r="A15" s="42" t="str">
        <x:v>UKP014</x:v>
      </x:c>
      <x:c r="B15" s="42" t="str">
        <x:v>Lowestoft</x:v>
      </x:c>
      <x:c r="C15" s="42" t="str">
        <x:v>United Kingdom</x:v>
      </x:c>
      <x:c r="D15" s="42"/>
      <x:c r="E15" s="42"/>
      <x:c r="F15" s="42" t="str">
        <x:v>COMP_ABP</x:v>
      </x:c>
      <x:c r="G15" s="42" t="str">
        <x:v>Associated British Ports</x:v>
      </x:c>
      <x:c r="H15" s="42" t="str">
        <x:v>Port / terminal</x:v>
      </x:c>
      <x:c r="I15" s="42" t="str">
        <x:v>Major commercial port or terminal</x:v>
      </x:c>
      <x:c r="J15" s="42" t="str">
        <x:v>Phase 1 operator mapping</x:v>
      </x:c>
      <x:c r="K15" s="42" t="str">
        <x:v>SRC_0009</x:v>
      </x:c>
    </x:row>
    <x:row r="16">
      <x:c r="A16" s="42" t="str">
        <x:v>UKP015</x:v>
      </x:c>
      <x:c r="B16" s="42" t="str">
        <x:v>Newport</x:v>
      </x:c>
      <x:c r="C16" s="42" t="str">
        <x:v>United Kingdom</x:v>
      </x:c>
      <x:c r="D16" s="42"/>
      <x:c r="E16" s="42"/>
      <x:c r="F16" s="42" t="str">
        <x:v>COMP_ABP</x:v>
      </x:c>
      <x:c r="G16" s="42" t="str">
        <x:v>Associated British Ports</x:v>
      </x:c>
      <x:c r="H16" s="42" t="str">
        <x:v>Port / terminal</x:v>
      </x:c>
      <x:c r="I16" s="42" t="str">
        <x:v>Major commercial port or terminal</x:v>
      </x:c>
      <x:c r="J16" s="42" t="str">
        <x:v>Phase 1 operator mapping</x:v>
      </x:c>
      <x:c r="K16" s="42" t="str">
        <x:v>SRC_0009</x:v>
      </x:c>
    </x:row>
    <x:row r="17">
      <x:c r="A17" s="42" t="str">
        <x:v>UKP016</x:v>
      </x:c>
      <x:c r="B17" s="42" t="str">
        <x:v>Plymouth</x:v>
      </x:c>
      <x:c r="C17" s="42" t="str">
        <x:v>United Kingdom</x:v>
      </x:c>
      <x:c r="D17" s="42"/>
      <x:c r="E17" s="42"/>
      <x:c r="F17" s="42" t="str">
        <x:v>COMP_ABP</x:v>
      </x:c>
      <x:c r="G17" s="42" t="str">
        <x:v>Associated British Ports</x:v>
      </x:c>
      <x:c r="H17" s="42" t="str">
        <x:v>Port / terminal</x:v>
      </x:c>
      <x:c r="I17" s="42" t="str">
        <x:v>Major commercial port or terminal</x:v>
      </x:c>
      <x:c r="J17" s="42" t="str">
        <x:v>Phase 1 operator mapping</x:v>
      </x:c>
      <x:c r="K17" s="42" t="str">
        <x:v>SRC_0009</x:v>
      </x:c>
    </x:row>
    <x:row r="18">
      <x:c r="A18" s="42" t="str">
        <x:v>UKP017</x:v>
      </x:c>
      <x:c r="B18" s="42" t="str">
        <x:v>Port Talbot</x:v>
      </x:c>
      <x:c r="C18" s="42" t="str">
        <x:v>United Kingdom</x:v>
      </x:c>
      <x:c r="D18" s="42"/>
      <x:c r="E18" s="42"/>
      <x:c r="F18" s="42" t="str">
        <x:v>COMP_ABP</x:v>
      </x:c>
      <x:c r="G18" s="42" t="str">
        <x:v>Associated British Ports</x:v>
      </x:c>
      <x:c r="H18" s="42" t="str">
        <x:v>Port / terminal</x:v>
      </x:c>
      <x:c r="I18" s="42" t="str">
        <x:v>Major commercial port or terminal</x:v>
      </x:c>
      <x:c r="J18" s="42" t="str">
        <x:v>Phase 1 operator mapping</x:v>
      </x:c>
      <x:c r="K18" s="42" t="str">
        <x:v>SRC_0009</x:v>
      </x:c>
    </x:row>
    <x:row r="19">
      <x:c r="A19" s="42" t="str">
        <x:v>UKP018</x:v>
      </x:c>
      <x:c r="B19" s="42" t="str">
        <x:v>Silloth</x:v>
      </x:c>
      <x:c r="C19" s="42" t="str">
        <x:v>United Kingdom</x:v>
      </x:c>
      <x:c r="D19" s="42"/>
      <x:c r="E19" s="42"/>
      <x:c r="F19" s="42" t="str">
        <x:v>COMP_ABP</x:v>
      </x:c>
      <x:c r="G19" s="42" t="str">
        <x:v>Associated British Ports</x:v>
      </x:c>
      <x:c r="H19" s="42" t="str">
        <x:v>Port / terminal</x:v>
      </x:c>
      <x:c r="I19" s="42" t="str">
        <x:v>Major commercial port or terminal</x:v>
      </x:c>
      <x:c r="J19" s="42" t="str">
        <x:v>Phase 1 operator mapping</x:v>
      </x:c>
      <x:c r="K19" s="42" t="str">
        <x:v>SRC_0009</x:v>
      </x:c>
    </x:row>
    <x:row r="20">
      <x:c r="A20" s="42" t="str">
        <x:v>UKP019</x:v>
      </x:c>
      <x:c r="B20" s="42" t="str">
        <x:v>Southampton</x:v>
      </x:c>
      <x:c r="C20" s="42" t="str">
        <x:v>United Kingdom</x:v>
      </x:c>
      <x:c r="D20" s="42"/>
      <x:c r="E20" s="42"/>
      <x:c r="F20" s="42" t="str">
        <x:v>COMP_ABP</x:v>
      </x:c>
      <x:c r="G20" s="42" t="str">
        <x:v>Associated British Ports</x:v>
      </x:c>
      <x:c r="H20" s="42" t="str">
        <x:v>Port / terminal</x:v>
      </x:c>
      <x:c r="I20" s="42" t="str">
        <x:v>Major commercial port or terminal</x:v>
      </x:c>
      <x:c r="J20" s="42" t="str">
        <x:v>Phase 1 operator mapping</x:v>
      </x:c>
      <x:c r="K20" s="42" t="str">
        <x:v>SRC_0009</x:v>
      </x:c>
    </x:row>
    <x:row r="21">
      <x:c r="A21" s="42" t="str">
        <x:v>UKP020</x:v>
      </x:c>
      <x:c r="B21" s="42" t="str">
        <x:v>Swansea</x:v>
      </x:c>
      <x:c r="C21" s="42" t="str">
        <x:v>United Kingdom</x:v>
      </x:c>
      <x:c r="D21" s="42"/>
      <x:c r="E21" s="42"/>
      <x:c r="F21" s="42" t="str">
        <x:v>COMP_ABP</x:v>
      </x:c>
      <x:c r="G21" s="42" t="str">
        <x:v>Associated British Ports</x:v>
      </x:c>
      <x:c r="H21" s="42" t="str">
        <x:v>Port / terminal</x:v>
      </x:c>
      <x:c r="I21" s="42" t="str">
        <x:v>Major commercial port or terminal</x:v>
      </x:c>
      <x:c r="J21" s="42" t="str">
        <x:v>Phase 1 operator mapping</x:v>
      </x:c>
      <x:c r="K21" s="42" t="str">
        <x:v>SRC_0009</x:v>
      </x:c>
    </x:row>
    <x:row r="22">
      <x:c r="A22" s="42" t="str">
        <x:v>UKP021</x:v>
      </x:c>
      <x:c r="B22" s="42" t="str">
        <x:v>Teignmouth</x:v>
      </x:c>
      <x:c r="C22" s="42" t="str">
        <x:v>United Kingdom</x:v>
      </x:c>
      <x:c r="D22" s="42"/>
      <x:c r="E22" s="42"/>
      <x:c r="F22" s="42" t="str">
        <x:v>COMP_ABP</x:v>
      </x:c>
      <x:c r="G22" s="42" t="str">
        <x:v>Associated British Ports</x:v>
      </x:c>
      <x:c r="H22" s="42" t="str">
        <x:v>Port / terminal</x:v>
      </x:c>
      <x:c r="I22" s="42" t="str">
        <x:v>Major commercial port or terminal</x:v>
      </x:c>
      <x:c r="J22" s="42" t="str">
        <x:v>Phase 1 operator mapping</x:v>
      </x:c>
      <x:c r="K22" s="42" t="str">
        <x:v>SRC_0009</x:v>
      </x:c>
    </x:row>
    <x:row r="23">
      <x:c r="A23" s="42" t="str">
        <x:v>UKP022</x:v>
      </x:c>
      <x:c r="B23" s="42" t="str">
        <x:v>Troon</x:v>
      </x:c>
      <x:c r="C23" s="42" t="str">
        <x:v>United Kingdom</x:v>
      </x:c>
      <x:c r="D23" s="42"/>
      <x:c r="E23" s="42"/>
      <x:c r="F23" s="42" t="str">
        <x:v>COMP_ABP</x:v>
      </x:c>
      <x:c r="G23" s="42" t="str">
        <x:v>Associated British Ports</x:v>
      </x:c>
      <x:c r="H23" s="42" t="str">
        <x:v>Port / terminal</x:v>
      </x:c>
      <x:c r="I23" s="42" t="str">
        <x:v>Major commercial port or terminal</x:v>
      </x:c>
      <x:c r="J23" s="42" t="str">
        <x:v>Phase 1 operator mapping</x:v>
      </x:c>
      <x:c r="K23" s="42" t="str">
        <x:v>SRC_0009</x:v>
      </x:c>
    </x:row>
    <x:row r="24">
      <x:c r="A24" s="42" t="str">
        <x:v>UKP023</x:v>
      </x:c>
      <x:c r="B24" s="42" t="str">
        <x:v>Port of Liverpool</x:v>
      </x:c>
      <x:c r="C24" s="42" t="str">
        <x:v>United Kingdom</x:v>
      </x:c>
      <x:c r="D24" s="42"/>
      <x:c r="E24" s="42"/>
      <x:c r="F24" s="42" t="str">
        <x:v>COMP_PEEL</x:v>
      </x:c>
      <x:c r="G24" s="42" t="str">
        <x:v>Peel Ports Group</x:v>
      </x:c>
      <x:c r="H24" s="42" t="str">
        <x:v>Port / terminal</x:v>
      </x:c>
      <x:c r="I24" s="42" t="str">
        <x:v>Major commercial port or terminal</x:v>
      </x:c>
      <x:c r="J24" s="42" t="str">
        <x:v>Phase 1 operator mapping</x:v>
      </x:c>
      <x:c r="K24" s="42" t="str">
        <x:v>SRC_0043</x:v>
      </x:c>
    </x:row>
    <x:row r="25">
      <x:c r="A25" s="42" t="str">
        <x:v>UKP024</x:v>
      </x:c>
      <x:c r="B25" s="42" t="str">
        <x:v>London Medway / Sheerness</x:v>
      </x:c>
      <x:c r="C25" s="42" t="str">
        <x:v>United Kingdom</x:v>
      </x:c>
      <x:c r="D25" s="42"/>
      <x:c r="E25" s="42"/>
      <x:c r="F25" s="42" t="str">
        <x:v>COMP_PEEL</x:v>
      </x:c>
      <x:c r="G25" s="42" t="str">
        <x:v>Peel Ports Group</x:v>
      </x:c>
      <x:c r="H25" s="42" t="str">
        <x:v>Port / terminal</x:v>
      </x:c>
      <x:c r="I25" s="42" t="str">
        <x:v>Major commercial port or terminal</x:v>
      </x:c>
      <x:c r="J25" s="42" t="str">
        <x:v>Phase 1 operator mapping</x:v>
      </x:c>
      <x:c r="K25" s="42" t="str">
        <x:v>SRC_0043</x:v>
      </x:c>
    </x:row>
    <x:row r="26">
      <x:c r="A26" s="42" t="str">
        <x:v>UKP025</x:v>
      </x:c>
      <x:c r="B26" s="42" t="str">
        <x:v>London Medway / Chatham</x:v>
      </x:c>
      <x:c r="C26" s="42" t="str">
        <x:v>United Kingdom</x:v>
      </x:c>
      <x:c r="D26" s="42"/>
      <x:c r="E26" s="42"/>
      <x:c r="F26" s="42" t="str">
        <x:v>COMP_PEEL</x:v>
      </x:c>
      <x:c r="G26" s="42" t="str">
        <x:v>Peel Ports Group</x:v>
      </x:c>
      <x:c r="H26" s="42" t="str">
        <x:v>Port / terminal</x:v>
      </x:c>
      <x:c r="I26" s="42" t="str">
        <x:v>Major commercial port or terminal</x:v>
      </x:c>
      <x:c r="J26" s="42" t="str">
        <x:v>Phase 1 operator mapping</x:v>
      </x:c>
      <x:c r="K26" s="42" t="str">
        <x:v>SRC_0043</x:v>
      </x:c>
    </x:row>
    <x:row r="27">
      <x:c r="A27" s="42" t="str">
        <x:v>UKP026</x:v>
      </x:c>
      <x:c r="B27" s="42" t="str">
        <x:v>Heysham</x:v>
      </x:c>
      <x:c r="C27" s="42" t="str">
        <x:v>United Kingdom</x:v>
      </x:c>
      <x:c r="D27" s="42"/>
      <x:c r="E27" s="42"/>
      <x:c r="F27" s="42" t="str">
        <x:v>COMP_PEEL</x:v>
      </x:c>
      <x:c r="G27" s="42" t="str">
        <x:v>Peel Ports Group</x:v>
      </x:c>
      <x:c r="H27" s="42" t="str">
        <x:v>Port / terminal</x:v>
      </x:c>
      <x:c r="I27" s="42" t="str">
        <x:v>Major commercial port or terminal</x:v>
      </x:c>
      <x:c r="J27" s="42" t="str">
        <x:v>Phase 1 operator mapping</x:v>
      </x:c>
      <x:c r="K27" s="42" t="str">
        <x:v>SRC_0043</x:v>
      </x:c>
    </x:row>
    <x:row r="28">
      <x:c r="A28" s="42" t="str">
        <x:v>UKP027</x:v>
      </x:c>
      <x:c r="B28" s="42" t="str">
        <x:v>Great Yarmouth / Port of East Anglia</x:v>
      </x:c>
      <x:c r="C28" s="42" t="str">
        <x:v>United Kingdom</x:v>
      </x:c>
      <x:c r="D28" s="42"/>
      <x:c r="E28" s="42"/>
      <x:c r="F28" s="42" t="str">
        <x:v>COMP_PEEL</x:v>
      </x:c>
      <x:c r="G28" s="42" t="str">
        <x:v>Peel Ports Group</x:v>
      </x:c>
      <x:c r="H28" s="42" t="str">
        <x:v>Port / terminal</x:v>
      </x:c>
      <x:c r="I28" s="42" t="str">
        <x:v>Major commercial port or terminal</x:v>
      </x:c>
      <x:c r="J28" s="42" t="str">
        <x:v>Phase 1 operator mapping</x:v>
      </x:c>
      <x:c r="K28" s="42" t="str">
        <x:v>SRC_0043</x:v>
      </x:c>
    </x:row>
    <x:row r="29">
      <x:c r="A29" s="42" t="str">
        <x:v>UKP028</x:v>
      </x:c>
      <x:c r="B29" s="42" t="str">
        <x:v>Clydeport</x:v>
      </x:c>
      <x:c r="C29" s="42" t="str">
        <x:v>United Kingdom</x:v>
      </x:c>
      <x:c r="D29" s="42"/>
      <x:c r="E29" s="42"/>
      <x:c r="F29" s="42" t="str">
        <x:v>COMP_PEEL</x:v>
      </x:c>
      <x:c r="G29" s="42" t="str">
        <x:v>Peel Ports Group</x:v>
      </x:c>
      <x:c r="H29" s="42" t="str">
        <x:v>Port / terminal</x:v>
      </x:c>
      <x:c r="I29" s="42" t="str">
        <x:v>Major commercial port or terminal</x:v>
      </x:c>
      <x:c r="J29" s="42" t="str">
        <x:v>Phase 1 operator mapping</x:v>
      </x:c>
      <x:c r="K29" s="42" t="str">
        <x:v>SRC_0043</x:v>
      </x:c>
    </x:row>
    <x:row r="30">
      <x:c r="A30" s="42" t="str">
        <x:v>UKP029</x:v>
      </x:c>
      <x:c r="B30" s="42" t="str">
        <x:v>Manchester Ship Canal</x:v>
      </x:c>
      <x:c r="C30" s="42" t="str">
        <x:v>United Kingdom</x:v>
      </x:c>
      <x:c r="D30" s="42"/>
      <x:c r="E30" s="42"/>
      <x:c r="F30" s="42" t="str">
        <x:v>COMP_PEEL</x:v>
      </x:c>
      <x:c r="G30" s="42" t="str">
        <x:v>Peel Ports Group</x:v>
      </x:c>
      <x:c r="H30" s="42" t="str">
        <x:v>Port / terminal</x:v>
      </x:c>
      <x:c r="I30" s="42" t="str">
        <x:v>Major commercial port or terminal</x:v>
      </x:c>
      <x:c r="J30" s="42" t="str">
        <x:v>Phase 1 operator mapping</x:v>
      </x:c>
      <x:c r="K30" s="42" t="str">
        <x:v>SRC_0043</x:v>
      </x:c>
    </x:row>
    <x:row r="31">
      <x:c r="A31" s="42" t="str">
        <x:v>UKP030</x:v>
      </x:c>
      <x:c r="B31" s="42" t="str">
        <x:v>Humber Bulk Terminal</x:v>
      </x:c>
      <x:c r="C31" s="42" t="str">
        <x:v>United Kingdom</x:v>
      </x:c>
      <x:c r="D31" s="42"/>
      <x:c r="E31" s="42"/>
      <x:c r="F31" s="42" t="str">
        <x:v>COMP_PEEL</x:v>
      </x:c>
      <x:c r="G31" s="42" t="str">
        <x:v>Peel Ports Group</x:v>
      </x:c>
      <x:c r="H31" s="42" t="str">
        <x:v>Port / terminal</x:v>
      </x:c>
      <x:c r="I31" s="42" t="str">
        <x:v>Major commercial port or terminal</x:v>
      </x:c>
      <x:c r="J31" s="42" t="str">
        <x:v>Phase 1 operator mapping</x:v>
      </x:c>
      <x:c r="K31" s="42" t="str">
        <x:v>SRC_0043</x:v>
      </x:c>
    </x:row>
    <x:row r="32">
      <x:c r="A32" s="42" t="str">
        <x:v>UKP031</x:v>
      </x:c>
      <x:c r="B32" s="42" t="str">
        <x:v>Tilbury</x:v>
      </x:c>
      <x:c r="C32" s="42" t="str">
        <x:v>United Kingdom</x:v>
      </x:c>
      <x:c r="D32" s="42"/>
      <x:c r="E32" s="42"/>
      <x:c r="F32" s="42" t="str">
        <x:v>COMP_FORTH</x:v>
      </x:c>
      <x:c r="G32" s="42" t="str">
        <x:v>Forth Ports</x:v>
      </x:c>
      <x:c r="H32" s="42" t="str">
        <x:v>Port / terminal</x:v>
      </x:c>
      <x:c r="I32" s="42" t="str">
        <x:v>Major commercial port or terminal</x:v>
      </x:c>
      <x:c r="J32" s="42" t="str">
        <x:v>Phase 1 operator mapping</x:v>
      </x:c>
      <x:c r="K32" s="42" t="str">
        <x:v>SRC_0006</x:v>
      </x:c>
    </x:row>
    <x:row r="33">
      <x:c r="A33" s="42" t="str">
        <x:v>UKP032</x:v>
      </x:c>
      <x:c r="B33" s="42" t="str">
        <x:v>Grangemouth</x:v>
      </x:c>
      <x:c r="C33" s="42" t="str">
        <x:v>United Kingdom</x:v>
      </x:c>
      <x:c r="D33" s="42"/>
      <x:c r="E33" s="42"/>
      <x:c r="F33" s="42" t="str">
        <x:v>COMP_FORTH</x:v>
      </x:c>
      <x:c r="G33" s="42" t="str">
        <x:v>Forth Ports</x:v>
      </x:c>
      <x:c r="H33" s="42" t="str">
        <x:v>Port / terminal</x:v>
      </x:c>
      <x:c r="I33" s="42" t="str">
        <x:v>Major commercial port or terminal</x:v>
      </x:c>
      <x:c r="J33" s="42" t="str">
        <x:v>Phase 1 operator mapping</x:v>
      </x:c>
      <x:c r="K33" s="42" t="str">
        <x:v>SRC_0006</x:v>
      </x:c>
    </x:row>
    <x:row r="34">
      <x:c r="A34" s="42" t="str">
        <x:v>UKP033</x:v>
      </x:c>
      <x:c r="B34" s="42" t="str">
        <x:v>Dundee</x:v>
      </x:c>
      <x:c r="C34" s="42" t="str">
        <x:v>United Kingdom</x:v>
      </x:c>
      <x:c r="D34" s="42"/>
      <x:c r="E34" s="42"/>
      <x:c r="F34" s="42" t="str">
        <x:v>COMP_FORTH</x:v>
      </x:c>
      <x:c r="G34" s="42" t="str">
        <x:v>Forth Ports</x:v>
      </x:c>
      <x:c r="H34" s="42" t="str">
        <x:v>Port / terminal</x:v>
      </x:c>
      <x:c r="I34" s="42" t="str">
        <x:v>Major commercial port or terminal</x:v>
      </x:c>
      <x:c r="J34" s="42" t="str">
        <x:v>Phase 1 operator mapping</x:v>
      </x:c>
      <x:c r="K34" s="42" t="str">
        <x:v>SRC_0006</x:v>
      </x:c>
    </x:row>
    <x:row r="35">
      <x:c r="A35" s="42" t="str">
        <x:v>UKP034</x:v>
      </x:c>
      <x:c r="B35" s="42" t="str">
        <x:v>Leith</x:v>
      </x:c>
      <x:c r="C35" s="42" t="str">
        <x:v>United Kingdom</x:v>
      </x:c>
      <x:c r="D35" s="42"/>
      <x:c r="E35" s="42"/>
      <x:c r="F35" s="42" t="str">
        <x:v>COMP_FORTH</x:v>
      </x:c>
      <x:c r="G35" s="42" t="str">
        <x:v>Forth Ports</x:v>
      </x:c>
      <x:c r="H35" s="42" t="str">
        <x:v>Port / terminal</x:v>
      </x:c>
      <x:c r="I35" s="42" t="str">
        <x:v>Major commercial port or terminal</x:v>
      </x:c>
      <x:c r="J35" s="42" t="str">
        <x:v>Phase 1 operator mapping</x:v>
      </x:c>
      <x:c r="K35" s="42" t="str">
        <x:v>SRC_0006</x:v>
      </x:c>
    </x:row>
    <x:row r="36">
      <x:c r="A36" s="42" t="str">
        <x:v>UKP035</x:v>
      </x:c>
      <x:c r="B36" s="42" t="str">
        <x:v>Rosyth</x:v>
      </x:c>
      <x:c r="C36" s="42" t="str">
        <x:v>United Kingdom</x:v>
      </x:c>
      <x:c r="D36" s="42"/>
      <x:c r="E36" s="42"/>
      <x:c r="F36" s="42" t="str">
        <x:v>COMP_FORTH</x:v>
      </x:c>
      <x:c r="G36" s="42" t="str">
        <x:v>Forth Ports</x:v>
      </x:c>
      <x:c r="H36" s="42" t="str">
        <x:v>Port / terminal</x:v>
      </x:c>
      <x:c r="I36" s="42" t="str">
        <x:v>Major commercial port or terminal</x:v>
      </x:c>
      <x:c r="J36" s="42" t="str">
        <x:v>Phase 1 operator mapping</x:v>
      </x:c>
      <x:c r="K36" s="42" t="str">
        <x:v>SRC_0006</x:v>
      </x:c>
    </x:row>
    <x:row r="37">
      <x:c r="A37" s="42" t="str">
        <x:v>UKP036</x:v>
      </x:c>
      <x:c r="B37" s="42" t="str">
        <x:v>Methil</x:v>
      </x:c>
      <x:c r="C37" s="42" t="str">
        <x:v>United Kingdom</x:v>
      </x:c>
      <x:c r="D37" s="42"/>
      <x:c r="E37" s="42"/>
      <x:c r="F37" s="42" t="str">
        <x:v>COMP_FORTH</x:v>
      </x:c>
      <x:c r="G37" s="42" t="str">
        <x:v>Forth Ports</x:v>
      </x:c>
      <x:c r="H37" s="42" t="str">
        <x:v>Port / terminal</x:v>
      </x:c>
      <x:c r="I37" s="42" t="str">
        <x:v>Major commercial port or terminal</x:v>
      </x:c>
      <x:c r="J37" s="42" t="str">
        <x:v>Phase 1 operator mapping</x:v>
      </x:c>
      <x:c r="K37" s="42" t="str">
        <x:v>SRC_0006</x:v>
      </x:c>
    </x:row>
    <x:row r="38">
      <x:c r="A38" s="42" t="str">
        <x:v>UKP037</x:v>
      </x:c>
      <x:c r="B38" s="42" t="str">
        <x:v>Burntisland</x:v>
      </x:c>
      <x:c r="C38" s="42" t="str">
        <x:v>United Kingdom</x:v>
      </x:c>
      <x:c r="D38" s="42"/>
      <x:c r="E38" s="42"/>
      <x:c r="F38" s="42" t="str">
        <x:v>COMP_FORTH</x:v>
      </x:c>
      <x:c r="G38" s="42" t="str">
        <x:v>Forth Ports</x:v>
      </x:c>
      <x:c r="H38" s="42" t="str">
        <x:v>Port / terminal</x:v>
      </x:c>
      <x:c r="I38" s="42" t="str">
        <x:v>Major commercial port or terminal</x:v>
      </x:c>
      <x:c r="J38" s="42" t="str">
        <x:v>Phase 1 operator mapping</x:v>
      </x:c>
      <x:c r="K38" s="42" t="str">
        <x:v>SRC_0006</x:v>
      </x:c>
    </x:row>
    <x:row r="39">
      <x:c r="A39" s="42" t="str">
        <x:v>UKP038</x:v>
      </x:c>
      <x:c r="B39" s="42" t="str">
        <x:v>Kirkcaldy</x:v>
      </x:c>
      <x:c r="C39" s="42" t="str">
        <x:v>United Kingdom</x:v>
      </x:c>
      <x:c r="D39" s="42"/>
      <x:c r="E39" s="42"/>
      <x:c r="F39" s="42" t="str">
        <x:v>COMP_FORTH</x:v>
      </x:c>
      <x:c r="G39" s="42" t="str">
        <x:v>Forth Ports</x:v>
      </x:c>
      <x:c r="H39" s="42" t="str">
        <x:v>Port / terminal</x:v>
      </x:c>
      <x:c r="I39" s="42" t="str">
        <x:v>Major commercial port or terminal</x:v>
      </x:c>
      <x:c r="J39" s="42" t="str">
        <x:v>Phase 1 operator mapping</x:v>
      </x:c>
      <x:c r="K39" s="42" t="str">
        <x:v>SRC_0006</x:v>
      </x:c>
    </x:row>
    <x:row r="40">
      <x:c r="A40" s="42" t="str">
        <x:v>UKP039</x:v>
      </x:c>
      <x:c r="B40" s="42" t="str">
        <x:v>Teesport</x:v>
      </x:c>
      <x:c r="C40" s="42" t="str">
        <x:v>United Kingdom</x:v>
      </x:c>
      <x:c r="D40" s="42"/>
      <x:c r="E40" s="42"/>
      <x:c r="F40" s="42" t="str">
        <x:v>COMP_PDPORTS</x:v>
      </x:c>
      <x:c r="G40" s="42" t="str">
        <x:v>PD Ports</x:v>
      </x:c>
      <x:c r="H40" s="42" t="str">
        <x:v>Port / terminal</x:v>
      </x:c>
      <x:c r="I40" s="42" t="str">
        <x:v>Major commercial port or terminal</x:v>
      </x:c>
      <x:c r="J40" s="42" t="str">
        <x:v>Phase 1 operator mapping</x:v>
      </x:c>
      <x:c r="K40" s="42" t="str">
        <x:v>SRC_0042</x:v>
      </x:c>
    </x:row>
    <x:row r="41">
      <x:c r="A41" s="42" t="str">
        <x:v>UKP040</x:v>
      </x:c>
      <x:c r="B41" s="42" t="str">
        <x:v>Hartlepool</x:v>
      </x:c>
      <x:c r="C41" s="42" t="str">
        <x:v>United Kingdom</x:v>
      </x:c>
      <x:c r="D41" s="42"/>
      <x:c r="E41" s="42"/>
      <x:c r="F41" s="42" t="str">
        <x:v>COMP_PDPORTS</x:v>
      </x:c>
      <x:c r="G41" s="42" t="str">
        <x:v>PD Ports</x:v>
      </x:c>
      <x:c r="H41" s="42" t="str">
        <x:v>Port / terminal</x:v>
      </x:c>
      <x:c r="I41" s="42" t="str">
        <x:v>Major commercial port or terminal</x:v>
      </x:c>
      <x:c r="J41" s="42" t="str">
        <x:v>Phase 1 operator mapping</x:v>
      </x:c>
      <x:c r="K41" s="42" t="str">
        <x:v>SRC_0042</x:v>
      </x:c>
    </x:row>
    <x:row r="42">
      <x:c r="A42" s="42" t="str">
        <x:v>UKP041</x:v>
      </x:c>
      <x:c r="B42" s="42" t="str">
        <x:v>Billingham</x:v>
      </x:c>
      <x:c r="C42" s="42" t="str">
        <x:v>United Kingdom</x:v>
      </x:c>
      <x:c r="D42" s="42"/>
      <x:c r="E42" s="42"/>
      <x:c r="F42" s="42" t="str">
        <x:v>COMP_PDPORTS</x:v>
      </x:c>
      <x:c r="G42" s="42" t="str">
        <x:v>PD Ports</x:v>
      </x:c>
      <x:c r="H42" s="42" t="str">
        <x:v>Port / terminal</x:v>
      </x:c>
      <x:c r="I42" s="42" t="str">
        <x:v>Major commercial port or terminal</x:v>
      </x:c>
      <x:c r="J42" s="42" t="str">
        <x:v>Phase 1 operator mapping</x:v>
      </x:c>
      <x:c r="K42" s="42" t="str">
        <x:v>SRC_0042</x:v>
      </x:c>
    </x:row>
    <x:row r="43">
      <x:c r="A43" s="42" t="str">
        <x:v>UKP042</x:v>
      </x:c>
      <x:c r="B43" s="42" t="str">
        <x:v>Teesport Commerce Park</x:v>
      </x:c>
      <x:c r="C43" s="42" t="str">
        <x:v>United Kingdom</x:v>
      </x:c>
      <x:c r="D43" s="42"/>
      <x:c r="E43" s="42"/>
      <x:c r="F43" s="42" t="str">
        <x:v>COMP_PDPORTS</x:v>
      </x:c>
      <x:c r="G43" s="42" t="str">
        <x:v>PD Ports</x:v>
      </x:c>
      <x:c r="H43" s="42" t="str">
        <x:v>Port / terminal</x:v>
      </x:c>
      <x:c r="I43" s="42" t="str">
        <x:v>Major commercial port or terminal</x:v>
      </x:c>
      <x:c r="J43" s="42" t="str">
        <x:v>Phase 1 operator mapping</x:v>
      </x:c>
      <x:c r="K43" s="42" t="str">
        <x:v>SRC_0042</x:v>
      </x:c>
    </x:row>
    <x:row r="44">
      <x:c r="A44" s="42" t="str">
        <x:v>UKP043</x:v>
      </x:c>
      <x:c r="B44" s="42" t="str">
        <x:v>Keadby</x:v>
      </x:c>
      <x:c r="C44" s="42" t="str">
        <x:v>United Kingdom</x:v>
      </x:c>
      <x:c r="D44" s="42"/>
      <x:c r="E44" s="42"/>
      <x:c r="F44" s="42" t="str">
        <x:v>COMP_PDPORTS</x:v>
      </x:c>
      <x:c r="G44" s="42" t="str">
        <x:v>PD Ports</x:v>
      </x:c>
      <x:c r="H44" s="42" t="str">
        <x:v>Port / terminal</x:v>
      </x:c>
      <x:c r="I44" s="42" t="str">
        <x:v>Major commercial port or terminal</x:v>
      </x:c>
      <x:c r="J44" s="42" t="str">
        <x:v>Phase 1 operator mapping</x:v>
      </x:c>
      <x:c r="K44" s="42" t="str">
        <x:v>SRC_0042</x:v>
      </x:c>
    </x:row>
    <x:row r="45">
      <x:c r="A45" s="42" t="str">
        <x:v>UKP044</x:v>
      </x:c>
      <x:c r="B45" s="42" t="str">
        <x:v>Immingham</x:v>
      </x:c>
      <x:c r="C45" s="42" t="str">
        <x:v>United Kingdom</x:v>
      </x:c>
      <x:c r="D45" s="42"/>
      <x:c r="E45" s="42"/>
      <x:c r="F45" s="42" t="str">
        <x:v>COMP_PDPORTS</x:v>
      </x:c>
      <x:c r="G45" s="42" t="str">
        <x:v>PD Ports</x:v>
      </x:c>
      <x:c r="H45" s="42" t="str">
        <x:v>Port / terminal</x:v>
      </x:c>
      <x:c r="I45" s="42" t="str">
        <x:v>Major commercial port or terminal</x:v>
      </x:c>
      <x:c r="J45" s="42" t="str">
        <x:v>Phase 1 operator mapping</x:v>
      </x:c>
      <x:c r="K45" s="42" t="str">
        <x:v>SRC_0042</x:v>
      </x:c>
    </x:row>
    <x:row r="46">
      <x:c r="A46" s="42" t="str">
        <x:v>UKP045</x:v>
      </x:c>
      <x:c r="B46" s="42" t="str">
        <x:v>Howden</x:v>
      </x:c>
      <x:c r="C46" s="42" t="str">
        <x:v>United Kingdom</x:v>
      </x:c>
      <x:c r="D46" s="42"/>
      <x:c r="E46" s="42"/>
      <x:c r="F46" s="42" t="str">
        <x:v>COMP_PDPORTS</x:v>
      </x:c>
      <x:c r="G46" s="42" t="str">
        <x:v>PD Ports</x:v>
      </x:c>
      <x:c r="H46" s="42" t="str">
        <x:v>Port / terminal</x:v>
      </x:c>
      <x:c r="I46" s="42" t="str">
        <x:v>Major commercial port or terminal</x:v>
      </x:c>
      <x:c r="J46" s="42" t="str">
        <x:v>Phase 1 operator mapping</x:v>
      </x:c>
      <x:c r="K46" s="42" t="str">
        <x:v>SRC_0042</x:v>
      </x:c>
    </x:row>
    <x:row r="47">
      <x:c r="A47" s="42" t="str">
        <x:v>UKP046</x:v>
      </x:c>
      <x:c r="B47" s="42" t="str">
        <x:v>Groveport</x:v>
      </x:c>
      <x:c r="C47" s="42" t="str">
        <x:v>United Kingdom</x:v>
      </x:c>
      <x:c r="D47" s="42"/>
      <x:c r="E47" s="42"/>
      <x:c r="F47" s="42" t="str">
        <x:v>COMP_PDPORTS</x:v>
      </x:c>
      <x:c r="G47" s="42" t="str">
        <x:v>PD Ports</x:v>
      </x:c>
      <x:c r="H47" s="42" t="str">
        <x:v>Port / terminal</x:v>
      </x:c>
      <x:c r="I47" s="42" t="str">
        <x:v>Major commercial port or terminal</x:v>
      </x:c>
      <x:c r="J47" s="42" t="str">
        <x:v>Phase 1 operator mapping</x:v>
      </x:c>
      <x:c r="K47" s="42" t="str">
        <x:v>SRC_0042</x:v>
      </x:c>
    </x:row>
    <x:row r="48">
      <x:c r="A48" s="42" t="str">
        <x:v>UKP047</x:v>
      </x:c>
      <x:c r="B48" s="42" t="str">
        <x:v>Thames</x:v>
      </x:c>
      <x:c r="C48" s="42" t="str">
        <x:v>United Kingdom</x:v>
      </x:c>
      <x:c r="D48" s="42"/>
      <x:c r="E48" s="42"/>
      <x:c r="F48" s="42" t="str">
        <x:v>COMP_PDPORTS</x:v>
      </x:c>
      <x:c r="G48" s="42" t="str">
        <x:v>PD Ports</x:v>
      </x:c>
      <x:c r="H48" s="42" t="str">
        <x:v>Port / terminal</x:v>
      </x:c>
      <x:c r="I48" s="42" t="str">
        <x:v>Major commercial port or terminal</x:v>
      </x:c>
      <x:c r="J48" s="42" t="str">
        <x:v>Phase 1 operator mapping</x:v>
      </x:c>
      <x:c r="K48" s="42" t="str">
        <x:v>SRC_0042</x:v>
      </x:c>
    </x:row>
    <x:row r="49">
      <x:c r="A49" s="42" t="str">
        <x:v>UKP048</x:v>
      </x:c>
      <x:c r="B49" s="42" t="str">
        <x:v>Isle of Wight</x:v>
      </x:c>
      <x:c r="C49" s="42" t="str">
        <x:v>United Kingdom</x:v>
      </x:c>
      <x:c r="D49" s="42"/>
      <x:c r="E49" s="42"/>
      <x:c r="F49" s="42" t="str">
        <x:v>COMP_PDPORTS</x:v>
      </x:c>
      <x:c r="G49" s="42" t="str">
        <x:v>PD Ports</x:v>
      </x:c>
      <x:c r="H49" s="42" t="str">
        <x:v>Port / terminal</x:v>
      </x:c>
      <x:c r="I49" s="42" t="str">
        <x:v>Major commercial port or terminal</x:v>
      </x:c>
      <x:c r="J49" s="42" t="str">
        <x:v>Phase 1 operator mapping</x:v>
      </x:c>
      <x:c r="K49" s="42" t="str">
        <x:v>SRC_0042</x:v>
      </x:c>
    </x:row>
    <x:row r="50">
      <x:c r="A50" s="42" t="str">
        <x:v>UKP049</x:v>
      </x:c>
      <x:c r="B50" s="42" t="str">
        <x:v>Felixstowe</x:v>
      </x:c>
      <x:c r="C50" s="42" t="str">
        <x:v>United Kingdom</x:v>
      </x:c>
      <x:c r="D50" s="42"/>
      <x:c r="E50" s="42"/>
      <x:c r="F50" s="42" t="str">
        <x:v>COMP_PDPORTS</x:v>
      </x:c>
      <x:c r="G50" s="42" t="str">
        <x:v>PD Ports</x:v>
      </x:c>
      <x:c r="H50" s="42" t="str">
        <x:v>Port / terminal</x:v>
      </x:c>
      <x:c r="I50" s="42" t="str">
        <x:v>Major commercial port or terminal</x:v>
      </x:c>
      <x:c r="J50" s="42" t="str">
        <x:v>Phase 1 operator mapping</x:v>
      </x:c>
      <x:c r="K50" s="42" t="str">
        <x:v>SRC_0042</x:v>
      </x:c>
    </x:row>
    <x:row r="51">
      <x:c r="A51" s="42" t="str">
        <x:v>UKP050</x:v>
      </x:c>
      <x:c r="B51" s="42" t="str">
        <x:v>Port of Felixstowe</x:v>
      </x:c>
      <x:c r="C51" s="42" t="str">
        <x:v>United Kingdom</x:v>
      </x:c>
      <x:c r="D51" s="42"/>
      <x:c r="E51" s="42"/>
      <x:c r="F51" s="42" t="str">
        <x:v>COMP_HUTCHISON</x:v>
      </x:c>
      <x:c r="G51" s="42" t="str">
        <x:v>Hutchison Ports</x:v>
      </x:c>
      <x:c r="H51" s="42" t="str">
        <x:v>Port / terminal</x:v>
      </x:c>
      <x:c r="I51" s="42" t="str">
        <x:v>Major commercial port or terminal</x:v>
      </x:c>
      <x:c r="J51" s="42" t="str">
        <x:v>Phase 1 operator mapping</x:v>
      </x:c>
      <x:c r="K51" s="42" t="str">
        <x:v>SRC_0008</x:v>
      </x:c>
    </x:row>
    <x:row r="52">
      <x:c r="A52" s="42" t="str">
        <x:v>UKP051</x:v>
      </x:c>
      <x:c r="B52" s="42" t="str">
        <x:v>Harwich International</x:v>
      </x:c>
      <x:c r="C52" s="42" t="str">
        <x:v>United Kingdom</x:v>
      </x:c>
      <x:c r="D52" s="42"/>
      <x:c r="E52" s="42"/>
      <x:c r="F52" s="42" t="str">
        <x:v>COMP_HUTCHISON</x:v>
      </x:c>
      <x:c r="G52" s="42" t="str">
        <x:v>Hutchison Ports</x:v>
      </x:c>
      <x:c r="H52" s="42" t="str">
        <x:v>Port / terminal</x:v>
      </x:c>
      <x:c r="I52" s="42" t="str">
        <x:v>Major commercial port or terminal</x:v>
      </x:c>
      <x:c r="J52" s="42" t="str">
        <x:v>Phase 1 operator mapping</x:v>
      </x:c>
      <x:c r="K52" s="42" t="str">
        <x:v>SRC_0008</x:v>
      </x:c>
    </x:row>
    <x:row r="53">
      <x:c r="A53" s="42" t="str">
        <x:v>UKP052</x:v>
      </x:c>
      <x:c r="B53" s="42" t="str">
        <x:v>London Thamesport</x:v>
      </x:c>
      <x:c r="C53" s="42" t="str">
        <x:v>United Kingdom</x:v>
      </x:c>
      <x:c r="D53" s="42"/>
      <x:c r="E53" s="42"/>
      <x:c r="F53" s="42" t="str">
        <x:v>COMP_HUTCHISON</x:v>
      </x:c>
      <x:c r="G53" s="42" t="str">
        <x:v>Hutchison Ports</x:v>
      </x:c>
      <x:c r="H53" s="42" t="str">
        <x:v>Port / terminal</x:v>
      </x:c>
      <x:c r="I53" s="42" t="str">
        <x:v>Major commercial port or terminal</x:v>
      </x:c>
      <x:c r="J53" s="42" t="str">
        <x:v>Phase 1 operator mapping</x:v>
      </x:c>
      <x:c r="K53" s="42" t="str">
        <x:v>SRC_0008</x:v>
      </x:c>
    </x:row>
    <x:row r="54">
      <x:c r="A54" s="42" t="str">
        <x:v>UKP053</x:v>
      </x:c>
      <x:c r="B54" s="42" t="str">
        <x:v>London Gateway</x:v>
      </x:c>
      <x:c r="C54" s="42" t="str">
        <x:v>United Kingdom</x:v>
      </x:c>
      <x:c r="D54" s="42"/>
      <x:c r="E54" s="42"/>
      <x:c r="F54" s="42" t="str">
        <x:v>COMP_DPW</x:v>
      </x:c>
      <x:c r="G54" s="42" t="str">
        <x:v>DP World</x:v>
      </x:c>
      <x:c r="H54" s="42" t="str">
        <x:v>Port / terminal</x:v>
      </x:c>
      <x:c r="I54" s="42" t="str">
        <x:v>Major commercial port or terminal</x:v>
      </x:c>
      <x:c r="J54" s="42" t="str">
        <x:v>Phase 1 operator mapping</x:v>
      </x:c>
      <x:c r="K54" s="42" t="str">
        <x:v>SRC_0034</x:v>
      </x:c>
    </x:row>
    <x:row r="55">
      <x:c r="A55" s="42" t="str">
        <x:v>UKP054</x:v>
      </x:c>
      <x:c r="B55" s="42" t="str">
        <x:v>Southampton Container Terminal</x:v>
      </x:c>
      <x:c r="C55" s="42" t="str">
        <x:v>United Kingdom</x:v>
      </x:c>
      <x:c r="D55" s="42"/>
      <x:c r="E55" s="42"/>
      <x:c r="F55" s="42" t="str">
        <x:v>COMP_DPW</x:v>
      </x:c>
      <x:c r="G55" s="42" t="str">
        <x:v>DP World</x:v>
      </x:c>
      <x:c r="H55" s="42" t="str">
        <x:v>Port / terminal</x:v>
      </x:c>
      <x:c r="I55" s="42" t="str">
        <x:v>Major commercial port or terminal</x:v>
      </x:c>
      <x:c r="J55" s="42" t="str">
        <x:v>Phase 1 operator mapping</x:v>
      </x:c>
      <x:c r="K55" s="42" t="str">
        <x:v>SRC_0034</x:v>
      </x:c>
    </x:row>
    <x:row r="56">
      <x:c r="A56" s="42" t="str">
        <x:v>UKP055</x:v>
      </x:c>
      <x:c r="B56" s="42" t="str">
        <x:v>Avonmouth Dock</x:v>
      </x:c>
      <x:c r="C56" s="42" t="str">
        <x:v>United Kingdom</x:v>
      </x:c>
      <x:c r="D56" s="42"/>
      <x:c r="E56" s="42"/>
      <x:c r="F56" s="42" t="str">
        <x:v>COMP_BRISTOL</x:v>
      </x:c>
      <x:c r="G56" s="42" t="str">
        <x:v>The Bristol Port Company</x:v>
      </x:c>
      <x:c r="H56" s="42" t="str">
        <x:v>Port / terminal</x:v>
      </x:c>
      <x:c r="I56" s="42" t="str">
        <x:v>Major commercial port or terminal</x:v>
      </x:c>
      <x:c r="J56" s="42" t="str">
        <x:v>Phase 1 operator mapping</x:v>
      </x:c>
      <x:c r="K56" s="42" t="str">
        <x:v>SRC_0021</x:v>
      </x:c>
    </x:row>
    <x:row r="57">
      <x:c r="A57" s="42" t="str">
        <x:v>UKP056</x:v>
      </x:c>
      <x:c r="B57" s="42" t="str">
        <x:v>Royal Portbury Dock</x:v>
      </x:c>
      <x:c r="C57" s="42" t="str">
        <x:v>United Kingdom</x:v>
      </x:c>
      <x:c r="D57" s="42"/>
      <x:c r="E57" s="42"/>
      <x:c r="F57" s="42" t="str">
        <x:v>COMP_BRISTOL</x:v>
      </x:c>
      <x:c r="G57" s="42" t="str">
        <x:v>The Bristol Port Company</x:v>
      </x:c>
      <x:c r="H57" s="42" t="str">
        <x:v>Port / terminal</x:v>
      </x:c>
      <x:c r="I57" s="42" t="str">
        <x:v>Major commercial port or terminal</x:v>
      </x:c>
      <x:c r="J57" s="42" t="str">
        <x:v>Phase 1 operator mapping</x:v>
      </x:c>
      <x:c r="K57" s="42" t="str">
        <x:v>SRC_0021</x:v>
      </x:c>
    </x:row>
    <x:row r="58">
      <x:c r="A58" s="102" t="str">
        <x:v>PORTG0001</x:v>
      </x:c>
      <x:c r="B58" s="102" t="str">
        <x:v>Sydney</x:v>
      </x:c>
      <x:c r="C58" s="102" t="str">
        <x:v>Australia</x:v>
      </x:c>
      <x:c r="D58" s="102"/>
      <x:c r="E58" s="102"/>
      <x:c r="F58" s="102"/>
      <x:c r="G58" s="102"/>
      <x:c r="H58" s="102" t="str">
        <x:v>Port / harbour</x:v>
      </x:c>
      <x:c r="I58" s="102" t="str">
        <x:v>Parent port for canonical terminal model</x:v>
      </x:c>
      <x:c r="J58" s="102" t="str">
        <x:v>v1.13 global terminal expansion</x:v>
      </x:c>
      <x:c r="K58" s="102" t="str"/>
    </x:row>
    <x:row r="59">
      <x:c r="A59" s="102" t="str">
        <x:v>PORTG0002</x:v>
      </x:c>
      <x:c r="B59" s="102" t="str">
        <x:v>Brisbane</x:v>
      </x:c>
      <x:c r="C59" s="102" t="str">
        <x:v>Australia</x:v>
      </x:c>
      <x:c r="D59" s="102"/>
      <x:c r="E59" s="102"/>
      <x:c r="F59" s="102"/>
      <x:c r="G59" s="102"/>
      <x:c r="H59" s="102" t="str">
        <x:v>Port / harbour</x:v>
      </x:c>
      <x:c r="I59" s="102" t="str">
        <x:v>Parent port for canonical terminal model</x:v>
      </x:c>
      <x:c r="J59" s="102" t="str">
        <x:v>v1.13 global terminal expansion</x:v>
      </x:c>
      <x:c r="K59" s="102" t="str"/>
    </x:row>
    <x:row r="60">
      <x:c r="A60" s="102" t="str">
        <x:v>PORTG0003</x:v>
      </x:c>
      <x:c r="B60" s="102" t="str">
        <x:v>Melbourne</x:v>
      </x:c>
      <x:c r="C60" s="102" t="str">
        <x:v>Australia</x:v>
      </x:c>
      <x:c r="D60" s="102"/>
      <x:c r="E60" s="102"/>
      <x:c r="F60" s="102"/>
      <x:c r="G60" s="102"/>
      <x:c r="H60" s="102" t="str">
        <x:v>Port / harbour</x:v>
      </x:c>
      <x:c r="I60" s="102" t="str">
        <x:v>Parent port for canonical terminal model</x:v>
      </x:c>
      <x:c r="J60" s="102" t="str">
        <x:v>v1.13 global terminal expansion</x:v>
      </x:c>
      <x:c r="K60" s="102" t="str"/>
    </x:row>
    <x:row r="61">
      <x:c r="A61" s="102" t="str">
        <x:v>PORTG0004</x:v>
      </x:c>
      <x:c r="B61" s="102" t="str">
        <x:v>Fremantle</x:v>
      </x:c>
      <x:c r="C61" s="102" t="str">
        <x:v>Australia</x:v>
      </x:c>
      <x:c r="D61" s="102"/>
      <x:c r="E61" s="102"/>
      <x:c r="F61" s="102"/>
      <x:c r="G61" s="102"/>
      <x:c r="H61" s="102" t="str">
        <x:v>Port / harbour</x:v>
      </x:c>
      <x:c r="I61" s="102" t="str">
        <x:v>Parent port for canonical terminal model</x:v>
      </x:c>
      <x:c r="J61" s="102" t="str">
        <x:v>v1.13 global terminal expansion</x:v>
      </x:c>
      <x:c r="K61" s="102" t="str"/>
    </x:row>
    <x:row r="62">
      <x:c r="A62" s="102" t="str">
        <x:v>PORTG0005</x:v>
      </x:c>
      <x:c r="B62" s="102" t="str">
        <x:v>Qingdao</x:v>
      </x:c>
      <x:c r="C62" s="102" t="str">
        <x:v>China</x:v>
      </x:c>
      <x:c r="D62" s="102"/>
      <x:c r="E62" s="102"/>
      <x:c r="F62" s="102"/>
      <x:c r="G62" s="102"/>
      <x:c r="H62" s="102" t="str">
        <x:v>Port / harbour</x:v>
      </x:c>
      <x:c r="I62" s="102" t="str">
        <x:v>Parent port for canonical terminal model</x:v>
      </x:c>
      <x:c r="J62" s="102" t="str">
        <x:v>v1.13 global terminal expansion</x:v>
      </x:c>
      <x:c r="K62" s="102" t="str"/>
    </x:row>
    <x:row r="63">
      <x:c r="A63" s="102" t="str">
        <x:v>PORTG0006</x:v>
      </x:c>
      <x:c r="B63" s="102" t="str">
        <x:v>Yantai</x:v>
      </x:c>
      <x:c r="C63" s="102" t="str">
        <x:v>China</x:v>
      </x:c>
      <x:c r="D63" s="102"/>
      <x:c r="E63" s="102"/>
      <x:c r="F63" s="102"/>
      <x:c r="G63" s="102"/>
      <x:c r="H63" s="102" t="str">
        <x:v>Port / harbour</x:v>
      </x:c>
      <x:c r="I63" s="102" t="str">
        <x:v>Parent port for canonical terminal model</x:v>
      </x:c>
      <x:c r="J63" s="102" t="str">
        <x:v>v1.13 global terminal expansion</x:v>
      </x:c>
      <x:c r="K63" s="102" t="str"/>
    </x:row>
    <x:row r="64">
      <x:c r="A64" s="102" t="str">
        <x:v>PORTG0007</x:v>
      </x:c>
      <x:c r="B64" s="102" t="str">
        <x:v>Hong Kong</x:v>
      </x:c>
      <x:c r="C64" s="102" t="str">
        <x:v>China</x:v>
      </x:c>
      <x:c r="D64" s="102"/>
      <x:c r="E64" s="102"/>
      <x:c r="F64" s="102"/>
      <x:c r="G64" s="102"/>
      <x:c r="H64" s="102" t="str">
        <x:v>Port / harbour</x:v>
      </x:c>
      <x:c r="I64" s="102" t="str">
        <x:v>Parent port for canonical terminal model</x:v>
      </x:c>
      <x:c r="J64" s="102" t="str">
        <x:v>v1.13 global terminal expansion</x:v>
      </x:c>
      <x:c r="K64" s="102" t="str"/>
    </x:row>
    <x:row r="65">
      <x:c r="A65" s="102" t="str">
        <x:v>PORTG0008</x:v>
      </x:c>
      <x:c r="B65" s="102" t="str">
        <x:v>Yiwu Port</x:v>
      </x:c>
      <x:c r="C65" s="102" t="str">
        <x:v>China</x:v>
      </x:c>
      <x:c r="D65" s="102"/>
      <x:c r="E65" s="102"/>
      <x:c r="F65" s="102"/>
      <x:c r="G65" s="102"/>
      <x:c r="H65" s="102" t="str">
        <x:v>Port / harbour</x:v>
      </x:c>
      <x:c r="I65" s="102" t="str">
        <x:v>Parent port for canonical terminal model</x:v>
      </x:c>
      <x:c r="J65" s="102" t="str">
        <x:v>v1.13 global terminal expansion</x:v>
      </x:c>
      <x:c r="K65" s="102" t="str"/>
    </x:row>
    <x:row r="66">
      <x:c r="A66" s="102" t="str">
        <x:v>PORTG0009</x:v>
      </x:c>
      <x:c r="B66" s="102" t="str">
        <x:v>Belawan</x:v>
      </x:c>
      <x:c r="C66" s="102" t="str">
        <x:v>Indonesia</x:v>
      </x:c>
      <x:c r="D66" s="102"/>
      <x:c r="E66" s="102"/>
      <x:c r="F66" s="102"/>
      <x:c r="G66" s="102"/>
      <x:c r="H66" s="102" t="str">
        <x:v>Port / harbour</x:v>
      </x:c>
      <x:c r="I66" s="102" t="str">
        <x:v>Parent port for canonical terminal model</x:v>
      </x:c>
      <x:c r="J66" s="102" t="str">
        <x:v>v1.13 global terminal expansion</x:v>
      </x:c>
      <x:c r="K66" s="102" t="str"/>
    </x:row>
    <x:row r="67">
      <x:c r="A67" s="102" t="str">
        <x:v>PORTG0010</x:v>
      </x:c>
      <x:c r="B67" s="102" t="str">
        <x:v>East Java / Gresik</x:v>
      </x:c>
      <x:c r="C67" s="102" t="str">
        <x:v>Indonesia</x:v>
      </x:c>
      <x:c r="D67" s="102"/>
      <x:c r="E67" s="102"/>
      <x:c r="F67" s="102"/>
      <x:c r="G67" s="102"/>
      <x:c r="H67" s="102" t="str">
        <x:v>Port / harbour</x:v>
      </x:c>
      <x:c r="I67" s="102" t="str">
        <x:v>Parent port for canonical terminal model</x:v>
      </x:c>
      <x:c r="J67" s="102" t="str">
        <x:v>v1.13 global terminal expansion</x:v>
      </x:c>
      <x:c r="K67" s="102" t="str"/>
    </x:row>
    <x:row r="68">
      <x:c r="A68" s="102" t="str">
        <x:v>PORTG0011</x:v>
      </x:c>
      <x:c r="B68" s="102" t="str">
        <x:v>Sapangar Bay</x:v>
      </x:c>
      <x:c r="C68" s="102" t="str">
        <x:v>Malaysia</x:v>
      </x:c>
      <x:c r="D68" s="102"/>
      <x:c r="E68" s="102"/>
      <x:c r="F68" s="102"/>
      <x:c r="G68" s="102"/>
      <x:c r="H68" s="102" t="str">
        <x:v>Port / harbour</x:v>
      </x:c>
      <x:c r="I68" s="102" t="str">
        <x:v>Parent port for canonical terminal model</x:v>
      </x:c>
      <x:c r="J68" s="102" t="str">
        <x:v>v1.13 global terminal expansion</x:v>
      </x:c>
      <x:c r="K68" s="102" t="str"/>
    </x:row>
    <x:row r="69">
      <x:c r="A69" s="102" t="str">
        <x:v>PORTG0012</x:v>
      </x:c>
      <x:c r="B69" s="102" t="str">
        <x:v>Manila</x:v>
      </x:c>
      <x:c r="C69" s="102" t="str">
        <x:v>Philippines</x:v>
      </x:c>
      <x:c r="D69" s="102"/>
      <x:c r="E69" s="102"/>
      <x:c r="F69" s="102"/>
      <x:c r="G69" s="102"/>
      <x:c r="H69" s="102" t="str">
        <x:v>Port / harbour</x:v>
      </x:c>
      <x:c r="I69" s="102" t="str">
        <x:v>Parent port for canonical terminal model</x:v>
      </x:c>
      <x:c r="J69" s="102" t="str">
        <x:v>v1.13 global terminal expansion</x:v>
      </x:c>
      <x:c r="K69" s="102" t="str"/>
    </x:row>
    <x:row r="70">
      <x:c r="A70" s="102" t="str">
        <x:v>PORTG0013</x:v>
      </x:c>
      <x:c r="B70" s="102" t="str">
        <x:v>Batangas</x:v>
      </x:c>
      <x:c r="C70" s="102" t="str">
        <x:v>Philippines</x:v>
      </x:c>
      <x:c r="D70" s="102"/>
      <x:c r="E70" s="102"/>
      <x:c r="F70" s="102"/>
      <x:c r="G70" s="102"/>
      <x:c r="H70" s="102" t="str">
        <x:v>Port / harbour</x:v>
      </x:c>
      <x:c r="I70" s="102" t="str">
        <x:v>Parent port for canonical terminal model</x:v>
      </x:c>
      <x:c r="J70" s="102" t="str">
        <x:v>v1.13 global terminal expansion</x:v>
      </x:c>
      <x:c r="K70" s="102" t="str"/>
    </x:row>
    <x:row r="71">
      <x:c r="A71" s="102" t="str">
        <x:v>PORTG0014</x:v>
      </x:c>
      <x:c r="B71" s="102" t="str">
        <x:v>Cavite / Tanza</x:v>
      </x:c>
      <x:c r="C71" s="102" t="str">
        <x:v>Philippines</x:v>
      </x:c>
      <x:c r="D71" s="102"/>
      <x:c r="E71" s="102"/>
      <x:c r="F71" s="102"/>
      <x:c r="G71" s="102"/>
      <x:c r="H71" s="102" t="str">
        <x:v>Port / harbour</x:v>
      </x:c>
      <x:c r="I71" s="102" t="str">
        <x:v>Parent port for canonical terminal model</x:v>
      </x:c>
      <x:c r="J71" s="102" t="str">
        <x:v>v1.13 global terminal expansion</x:v>
      </x:c>
      <x:c r="K71" s="102" t="str"/>
    </x:row>
    <x:row r="72">
      <x:c r="A72" s="102" t="str">
        <x:v>PORTG0015</x:v>
      </x:c>
      <x:c r="B72" s="102" t="str">
        <x:v>Busan</x:v>
      </x:c>
      <x:c r="C72" s="102" t="str">
        <x:v>South Korea</x:v>
      </x:c>
      <x:c r="D72" s="102"/>
      <x:c r="E72" s="102"/>
      <x:c r="F72" s="102"/>
      <x:c r="G72" s="102"/>
      <x:c r="H72" s="102" t="str">
        <x:v>Port / harbour</x:v>
      </x:c>
      <x:c r="I72" s="102" t="str">
        <x:v>Parent port for canonical terminal model</x:v>
      </x:c>
      <x:c r="J72" s="102" t="str">
        <x:v>v1.13 global terminal expansion</x:v>
      </x:c>
      <x:c r="K72" s="102" t="str"/>
    </x:row>
    <x:row r="73">
      <x:c r="A73" s="102" t="str">
        <x:v>PORTG0016</x:v>
      </x:c>
      <x:c r="B73" s="102" t="str">
        <x:v>Laem Chabang</x:v>
      </x:c>
      <x:c r="C73" s="102" t="str">
        <x:v>Thailand</x:v>
      </x:c>
      <x:c r="D73" s="102"/>
      <x:c r="E73" s="102"/>
      <x:c r="F73" s="102"/>
      <x:c r="G73" s="102"/>
      <x:c r="H73" s="102" t="str">
        <x:v>Port / harbour</x:v>
      </x:c>
      <x:c r="I73" s="102" t="str">
        <x:v>Parent port for canonical terminal model</x:v>
      </x:c>
      <x:c r="J73" s="102" t="str">
        <x:v>v1.13 global terminal expansion</x:v>
      </x:c>
      <x:c r="K73" s="102" t="str"/>
    </x:row>
    <x:row r="74">
      <x:c r="A74" s="102" t="str">
        <x:v>PORTG0017</x:v>
      </x:c>
      <x:c r="B74" s="102" t="str">
        <x:v>Ho Chi Minh City</x:v>
      </x:c>
      <x:c r="C74" s="102" t="str">
        <x:v>Vietnam</x:v>
      </x:c>
      <x:c r="D74" s="102"/>
      <x:c r="E74" s="102"/>
      <x:c r="F74" s="102"/>
      <x:c r="G74" s="102"/>
      <x:c r="H74" s="102" t="str">
        <x:v>Port / harbour</x:v>
      </x:c>
      <x:c r="I74" s="102" t="str">
        <x:v>Parent port for canonical terminal model</x:v>
      </x:c>
      <x:c r="J74" s="102" t="str">
        <x:v>v1.13 global terminal expansion</x:v>
      </x:c>
      <x:c r="K74" s="102" t="str"/>
    </x:row>
    <x:row r="75">
      <x:c r="A75" s="102" t="str">
        <x:v>PORTG0018</x:v>
      </x:c>
      <x:c r="B75" s="102" t="str">
        <x:v>Port of Antwerp-Bruges</x:v>
      </x:c>
      <x:c r="C75" s="102" t="str">
        <x:v>Belgium</x:v>
      </x:c>
      <x:c r="D75" s="102"/>
      <x:c r="E75" s="102"/>
      <x:c r="F75" s="102"/>
      <x:c r="G75" s="102"/>
      <x:c r="H75" s="102" t="str">
        <x:v>Port / harbour</x:v>
      </x:c>
      <x:c r="I75" s="102" t="str">
        <x:v>Parent port for canonical terminal model</x:v>
      </x:c>
      <x:c r="J75" s="102" t="str">
        <x:v>v1.13 global terminal expansion</x:v>
      </x:c>
      <x:c r="K75" s="102" t="str"/>
    </x:row>
    <x:row r="76">
      <x:c r="A76" s="102" t="str">
        <x:v>PORTG0019</x:v>
      </x:c>
      <x:c r="B76" s="102" t="str">
        <x:v>Limassol</x:v>
      </x:c>
      <x:c r="C76" s="102" t="str">
        <x:v>Cyprus</x:v>
      </x:c>
      <x:c r="D76" s="102"/>
      <x:c r="E76" s="102"/>
      <x:c r="F76" s="102"/>
      <x:c r="G76" s="102"/>
      <x:c r="H76" s="102" t="str">
        <x:v>Port / harbour</x:v>
      </x:c>
      <x:c r="I76" s="102" t="str">
        <x:v>Parent port for canonical terminal model</x:v>
      </x:c>
      <x:c r="J76" s="102" t="str">
        <x:v>v1.13 global terminal expansion</x:v>
      </x:c>
      <x:c r="K76" s="102" t="str"/>
    </x:row>
    <x:row r="77">
      <x:c r="A77" s="102" t="str">
        <x:v>PORTG0020</x:v>
      </x:c>
      <x:c r="B77" s="102" t="str">
        <x:v>Rotterdam</x:v>
      </x:c>
      <x:c r="C77" s="102" t="str">
        <x:v>Netherlands</x:v>
      </x:c>
      <x:c r="D77" s="102"/>
      <x:c r="E77" s="102"/>
      <x:c r="F77" s="102"/>
      <x:c r="G77" s="102"/>
      <x:c r="H77" s="102" t="str">
        <x:v>Port / harbour</x:v>
      </x:c>
      <x:c r="I77" s="102" t="str">
        <x:v>Parent port for canonical terminal model</x:v>
      </x:c>
      <x:c r="J77" s="102" t="str">
        <x:v>v1.13 global terminal expansion</x:v>
      </x:c>
      <x:c r="K77" s="102" t="str"/>
    </x:row>
    <x:row r="78">
      <x:c r="A78" s="102" t="str">
        <x:v>PORTG0021</x:v>
      </x:c>
      <x:c r="B78" s="102" t="str">
        <x:v>Constanța</x:v>
      </x:c>
      <x:c r="C78" s="102" t="str">
        <x:v>Romania</x:v>
      </x:c>
      <x:c r="D78" s="102"/>
      <x:c r="E78" s="102"/>
      <x:c r="F78" s="102"/>
      <x:c r="G78" s="102"/>
      <x:c r="H78" s="102" t="str">
        <x:v>Port / harbour</x:v>
      </x:c>
      <x:c r="I78" s="102" t="str">
        <x:v>Parent port for canonical terminal model</x:v>
      </x:c>
      <x:c r="J78" s="102" t="str">
        <x:v>v1.13 global terminal expansion</x:v>
      </x:c>
      <x:c r="K78" s="102" t="str"/>
    </x:row>
    <x:row r="79">
      <x:c r="A79" s="102" t="str">
        <x:v>PORTG0022</x:v>
      </x:c>
      <x:c r="B79" s="102" t="str">
        <x:v>Novi Sad</x:v>
      </x:c>
      <x:c r="C79" s="102" t="str">
        <x:v>Serbia</x:v>
      </x:c>
      <x:c r="D79" s="102"/>
      <x:c r="E79" s="102"/>
      <x:c r="F79" s="102"/>
      <x:c r="G79" s="102"/>
      <x:c r="H79" s="102" t="str">
        <x:v>Port / harbour</x:v>
      </x:c>
      <x:c r="I79" s="102" t="str">
        <x:v>Parent port for canonical terminal model</x:v>
      </x:c>
      <x:c r="J79" s="102" t="str">
        <x:v>v1.13 global terminal expansion</x:v>
      </x:c>
      <x:c r="K79" s="102" t="str"/>
    </x:row>
    <x:row r="80">
      <x:c r="A80" s="102" t="str">
        <x:v>PORTG0023</x:v>
      </x:c>
      <x:c r="B80" s="102" t="str">
        <x:v>Yarımca</x:v>
      </x:c>
      <x:c r="C80" s="102" t="str">
        <x:v>Türkiye</x:v>
      </x:c>
      <x:c r="D80" s="102"/>
      <x:c r="E80" s="102"/>
      <x:c r="F80" s="102"/>
      <x:c r="G80" s="102"/>
      <x:c r="H80" s="102" t="str">
        <x:v>Port / harbour</x:v>
      </x:c>
      <x:c r="I80" s="102" t="str">
        <x:v>Parent port for canonical terminal model</x:v>
      </x:c>
      <x:c r="J80" s="102" t="str">
        <x:v>v1.13 global terminal expansion</x:v>
      </x:c>
      <x:c r="K80" s="102" t="str"/>
    </x:row>
    <x:row r="81">
      <x:c r="A81" s="102" t="str">
        <x:v>PORTG0024</x:v>
      </x:c>
      <x:c r="B81" s="102" t="str">
        <x:v>Körfez</x:v>
      </x:c>
      <x:c r="C81" s="102" t="str">
        <x:v>Türkiye</x:v>
      </x:c>
      <x:c r="D81" s="102"/>
      <x:c r="E81" s="102"/>
      <x:c r="F81" s="102"/>
      <x:c r="G81" s="102"/>
      <x:c r="H81" s="102" t="str">
        <x:v>Port / harbour</x:v>
      </x:c>
      <x:c r="I81" s="102" t="str">
        <x:v>Parent port for canonical terminal model</x:v>
      </x:c>
      <x:c r="J81" s="102" t="str">
        <x:v>v1.13 global terminal expansion</x:v>
      </x:c>
      <x:c r="K81" s="102" t="str"/>
    </x:row>
    <x:row r="82">
      <x:c r="A82" s="102" t="str">
        <x:v>PORTG0025</x:v>
      </x:c>
      <x:c r="B82" s="102" t="str">
        <x:v>Pivdennyi</x:v>
      </x:c>
      <x:c r="C82" s="102" t="str">
        <x:v>Ukraine</x:v>
      </x:c>
      <x:c r="D82" s="102"/>
      <x:c r="E82" s="102"/>
      <x:c r="F82" s="102"/>
      <x:c r="G82" s="102"/>
      <x:c r="H82" s="102" t="str">
        <x:v>Port / harbour</x:v>
      </x:c>
      <x:c r="I82" s="102" t="str">
        <x:v>Parent port for canonical terminal model</x:v>
      </x:c>
      <x:c r="J82" s="102" t="str">
        <x:v>v1.13 global terminal expansion</x:v>
      </x:c>
      <x:c r="K82" s="102" t="str"/>
    </x:row>
    <x:row r="83">
      <x:c r="A83" s="102" t="str">
        <x:v>PORTG0026</x:v>
      </x:c>
      <x:c r="B83" s="102" t="str">
        <x:v>Luanda</x:v>
      </x:c>
      <x:c r="C83" s="102" t="str">
        <x:v>Angola</x:v>
      </x:c>
      <x:c r="D83" s="102"/>
      <x:c r="E83" s="102"/>
      <x:c r="F83" s="102"/>
      <x:c r="G83" s="102"/>
      <x:c r="H83" s="102" t="str">
        <x:v>Port / harbour</x:v>
      </x:c>
      <x:c r="I83" s="102" t="str">
        <x:v>Parent port for canonical terminal model</x:v>
      </x:c>
      <x:c r="J83" s="102" t="str">
        <x:v>v1.13 global terminal expansion</x:v>
      </x:c>
      <x:c r="K83" s="102" t="str"/>
    </x:row>
    <x:row r="84">
      <x:c r="A84" s="102" t="str">
        <x:v>PORTG0027</x:v>
      </x:c>
      <x:c r="B84" s="102" t="str">
        <x:v>Algiers</x:v>
      </x:c>
      <x:c r="C84" s="102" t="str">
        <x:v>Algeria</x:v>
      </x:c>
      <x:c r="D84" s="102"/>
      <x:c r="E84" s="102"/>
      <x:c r="F84" s="102"/>
      <x:c r="G84" s="102"/>
      <x:c r="H84" s="102" t="str">
        <x:v>Port / harbour</x:v>
      </x:c>
      <x:c r="I84" s="102" t="str">
        <x:v>Parent port for canonical terminal model</x:v>
      </x:c>
      <x:c r="J84" s="102" t="str">
        <x:v>v1.13 global terminal expansion</x:v>
      </x:c>
      <x:c r="K84" s="102" t="str"/>
    </x:row>
    <x:row r="85">
      <x:c r="A85" s="102" t="str">
        <x:v>PORTG0028</x:v>
      </x:c>
      <x:c r="B85" s="102" t="str">
        <x:v>Djen Djen</x:v>
      </x:c>
      <x:c r="C85" s="102" t="str">
        <x:v>Algeria</x:v>
      </x:c>
      <x:c r="D85" s="102"/>
      <x:c r="E85" s="102"/>
      <x:c r="F85" s="102"/>
      <x:c r="G85" s="102"/>
      <x:c r="H85" s="102" t="str">
        <x:v>Port / harbour</x:v>
      </x:c>
      <x:c r="I85" s="102" t="str">
        <x:v>Parent port for canonical terminal model</x:v>
      </x:c>
      <x:c r="J85" s="102" t="str">
        <x:v>v1.13 global terminal expansion</x:v>
      </x:c>
      <x:c r="K85" s="102" t="str"/>
    </x:row>
    <x:row r="86">
      <x:c r="A86" s="102" t="str">
        <x:v>PORTG0029</x:v>
      </x:c>
      <x:c r="B86" s="102" t="str">
        <x:v>Sokhna</x:v>
      </x:c>
      <x:c r="C86" s="102" t="str">
        <x:v>Egypt</x:v>
      </x:c>
      <x:c r="D86" s="102"/>
      <x:c r="E86" s="102"/>
      <x:c r="F86" s="102"/>
      <x:c r="G86" s="102"/>
      <x:c r="H86" s="102" t="str">
        <x:v>Port / harbour</x:v>
      </x:c>
      <x:c r="I86" s="102" t="str">
        <x:v>Parent port for canonical terminal model</x:v>
      </x:c>
      <x:c r="J86" s="102" t="str">
        <x:v>v1.13 global terminal expansion</x:v>
      </x:c>
      <x:c r="K86" s="102" t="str"/>
    </x:row>
    <x:row r="87">
      <x:c r="A87" s="102" t="str">
        <x:v>PORTG0030</x:v>
      </x:c>
      <x:c r="B87" s="102" t="str">
        <x:v>Nhava Sheva</x:v>
      </x:c>
      <x:c r="C87" s="102" t="str">
        <x:v>India</x:v>
      </x:c>
      <x:c r="D87" s="102"/>
      <x:c r="E87" s="102"/>
      <x:c r="F87" s="102"/>
      <x:c r="G87" s="102"/>
      <x:c r="H87" s="102" t="str">
        <x:v>Port / harbour</x:v>
      </x:c>
      <x:c r="I87" s="102" t="str">
        <x:v>Parent port for canonical terminal model</x:v>
      </x:c>
      <x:c r="J87" s="102" t="str">
        <x:v>v1.13 global terminal expansion</x:v>
      </x:c>
      <x:c r="K87" s="102" t="str"/>
    </x:row>
    <x:row r="88">
      <x:c r="A88" s="102" t="str">
        <x:v>PORTG0031</x:v>
      </x:c>
      <x:c r="B88" s="102" t="str">
        <x:v>Mundra</x:v>
      </x:c>
      <x:c r="C88" s="102" t="str">
        <x:v>India</x:v>
      </x:c>
      <x:c r="D88" s="102"/>
      <x:c r="E88" s="102"/>
      <x:c r="F88" s="102"/>
      <x:c r="G88" s="102"/>
      <x:c r="H88" s="102" t="str">
        <x:v>Port / harbour</x:v>
      </x:c>
      <x:c r="I88" s="102" t="str">
        <x:v>Parent port for canonical terminal model</x:v>
      </x:c>
      <x:c r="J88" s="102" t="str">
        <x:v>v1.13 global terminal expansion</x:v>
      </x:c>
      <x:c r="K88" s="102" t="str"/>
    </x:row>
    <x:row r="89">
      <x:c r="A89" s="102" t="str">
        <x:v>PORTG0032</x:v>
      </x:c>
      <x:c r="B89" s="102" t="str">
        <x:v>Chennai</x:v>
      </x:c>
      <x:c r="C89" s="102" t="str">
        <x:v>India</x:v>
      </x:c>
      <x:c r="D89" s="102"/>
      <x:c r="E89" s="102"/>
      <x:c r="F89" s="102"/>
      <x:c r="G89" s="102"/>
      <x:c r="H89" s="102" t="str">
        <x:v>Port / harbour</x:v>
      </x:c>
      <x:c r="I89" s="102" t="str">
        <x:v>Parent port for canonical terminal model</x:v>
      </x:c>
      <x:c r="J89" s="102" t="str">
        <x:v>v1.13 global terminal expansion</x:v>
      </x:c>
      <x:c r="K89" s="102" t="str"/>
    </x:row>
    <x:row r="90">
      <x:c r="A90" s="102" t="str">
        <x:v>PORTG0033</x:v>
      </x:c>
      <x:c r="B90" s="102" t="str">
        <x:v>Cochin</x:v>
      </x:c>
      <x:c r="C90" s="102" t="str">
        <x:v>India</x:v>
      </x:c>
      <x:c r="D90" s="102"/>
      <x:c r="E90" s="102"/>
      <x:c r="F90" s="102"/>
      <x:c r="G90" s="102"/>
      <x:c r="H90" s="102" t="str">
        <x:v>Port / harbour</x:v>
      </x:c>
      <x:c r="I90" s="102" t="str">
        <x:v>Parent port for canonical terminal model</x:v>
      </x:c>
      <x:c r="J90" s="102" t="str">
        <x:v>v1.13 global terminal expansion</x:v>
      </x:c>
      <x:c r="K90" s="102" t="str"/>
    </x:row>
    <x:row r="91">
      <x:c r="A91" s="102" t="str">
        <x:v>PORTG0034</x:v>
      </x:c>
      <x:c r="B91" s="102" t="str">
        <x:v>Tuna Tekra</x:v>
      </x:c>
      <x:c r="C91" s="102" t="str">
        <x:v>India</x:v>
      </x:c>
      <x:c r="D91" s="102"/>
      <x:c r="E91" s="102"/>
      <x:c r="F91" s="102"/>
      <x:c r="G91" s="102"/>
      <x:c r="H91" s="102" t="str">
        <x:v>Port / harbour</x:v>
      </x:c>
      <x:c r="I91" s="102" t="str">
        <x:v>Parent port for canonical terminal model</x:v>
      </x:c>
      <x:c r="J91" s="102" t="str">
        <x:v>v1.13 global terminal expansion</x:v>
      </x:c>
      <x:c r="K91" s="102" t="str"/>
    </x:row>
    <x:row r="92">
      <x:c r="A92" s="102" t="str">
        <x:v>PORTG0035</x:v>
      </x:c>
      <x:c r="B92" s="102" t="str">
        <x:v>Maputo</x:v>
      </x:c>
      <x:c r="C92" s="102" t="str">
        <x:v>Mozambique</x:v>
      </x:c>
      <x:c r="D92" s="102"/>
      <x:c r="E92" s="102"/>
      <x:c r="F92" s="102"/>
      <x:c r="G92" s="102"/>
      <x:c r="H92" s="102" t="str">
        <x:v>Port / harbour</x:v>
      </x:c>
      <x:c r="I92" s="102" t="str">
        <x:v>Parent port for canonical terminal model</x:v>
      </x:c>
      <x:c r="J92" s="102" t="str">
        <x:v>v1.13 global terminal expansion</x:v>
      </x:c>
      <x:c r="K92" s="102" t="str"/>
    </x:row>
    <x:row r="93">
      <x:c r="A93" s="102" t="str">
        <x:v>PORTG0036</x:v>
      </x:c>
      <x:c r="B93" s="102" t="str">
        <x:v>Port Qasim</x:v>
      </x:c>
      <x:c r="C93" s="102" t="str">
        <x:v>Pakistan</x:v>
      </x:c>
      <x:c r="D93" s="102"/>
      <x:c r="E93" s="102"/>
      <x:c r="F93" s="102"/>
      <x:c r="G93" s="102"/>
      <x:c r="H93" s="102" t="str">
        <x:v>Port / harbour</x:v>
      </x:c>
      <x:c r="I93" s="102" t="str">
        <x:v>Parent port for canonical terminal model</x:v>
      </x:c>
      <x:c r="J93" s="102" t="str">
        <x:v>v1.13 global terminal expansion</x:v>
      </x:c>
      <x:c r="K93" s="102" t="str"/>
    </x:row>
    <x:row r="94">
      <x:c r="A94" s="102" t="str">
        <x:v>PORTG0037</x:v>
      </x:c>
      <x:c r="B94" s="102" t="str">
        <x:v>Jeddah Islamic Port</x:v>
      </x:c>
      <x:c r="C94" s="102" t="str">
        <x:v>Saudi Arabia</x:v>
      </x:c>
      <x:c r="D94" s="102"/>
      <x:c r="E94" s="102"/>
      <x:c r="F94" s="102"/>
      <x:c r="G94" s="102"/>
      <x:c r="H94" s="102" t="str">
        <x:v>Port / harbour</x:v>
      </x:c>
      <x:c r="I94" s="102" t="str">
        <x:v>Parent port for canonical terminal model</x:v>
      </x:c>
      <x:c r="J94" s="102" t="str">
        <x:v>v1.13 global terminal expansion</x:v>
      </x:c>
      <x:c r="K94" s="102" t="str"/>
    </x:row>
    <x:row r="95">
      <x:c r="A95" s="102" t="str">
        <x:v>PORTG0038</x:v>
      </x:c>
      <x:c r="B95" s="102" t="str">
        <x:v>Dakar</x:v>
      </x:c>
      <x:c r="C95" s="102" t="str">
        <x:v>Senegal</x:v>
      </x:c>
      <x:c r="D95" s="102"/>
      <x:c r="E95" s="102"/>
      <x:c r="F95" s="102"/>
      <x:c r="G95" s="102"/>
      <x:c r="H95" s="102" t="str">
        <x:v>Port / harbour</x:v>
      </x:c>
      <x:c r="I95" s="102" t="str">
        <x:v>Parent port for canonical terminal model</x:v>
      </x:c>
      <x:c r="J95" s="102" t="str">
        <x:v>v1.13 global terminal expansion</x:v>
      </x:c>
      <x:c r="K95" s="102" t="str"/>
    </x:row>
    <x:row r="96">
      <x:c r="A96" s="102" t="str">
        <x:v>PORTG0039</x:v>
      </x:c>
      <x:c r="B96" s="102" t="str">
        <x:v>Ndayane</x:v>
      </x:c>
      <x:c r="C96" s="102" t="str">
        <x:v>Senegal</x:v>
      </x:c>
      <x:c r="D96" s="102"/>
      <x:c r="E96" s="102"/>
      <x:c r="F96" s="102"/>
      <x:c r="G96" s="102"/>
      <x:c r="H96" s="102" t="str">
        <x:v>Port / harbour</x:v>
      </x:c>
      <x:c r="I96" s="102" t="str">
        <x:v>Parent port for canonical terminal model</x:v>
      </x:c>
      <x:c r="J96" s="102" t="str">
        <x:v>v1.13 global terminal expansion</x:v>
      </x:c>
      <x:c r="K96" s="102" t="str"/>
    </x:row>
    <x:row r="97">
      <x:c r="A97" s="102" t="str">
        <x:v>PORTG0040</x:v>
      </x:c>
      <x:c r="B97" s="102" t="str">
        <x:v>Berbera</x:v>
      </x:c>
      <x:c r="C97" s="102" t="str">
        <x:v>Somaliland</x:v>
      </x:c>
      <x:c r="D97" s="102"/>
      <x:c r="E97" s="102"/>
      <x:c r="F97" s="102"/>
      <x:c r="G97" s="102"/>
      <x:c r="H97" s="102" t="str">
        <x:v>Port / harbour</x:v>
      </x:c>
      <x:c r="I97" s="102" t="str">
        <x:v>Parent port for canonical terminal model</x:v>
      </x:c>
      <x:c r="J97" s="102" t="str">
        <x:v>v1.13 global terminal expansion</x:v>
      </x:c>
      <x:c r="K97" s="102" t="str"/>
    </x:row>
    <x:row r="98">
      <x:c r="A98" s="102" t="str">
        <x:v>PORTG0041</x:v>
      </x:c>
      <x:c r="B98" s="102" t="str">
        <x:v>Dar es Salaam</x:v>
      </x:c>
      <x:c r="C98" s="102" t="str">
        <x:v>Tanzania</x:v>
      </x:c>
      <x:c r="D98" s="102"/>
      <x:c r="E98" s="102"/>
      <x:c r="F98" s="102"/>
      <x:c r="G98" s="102"/>
      <x:c r="H98" s="102" t="str">
        <x:v>Port / harbour</x:v>
      </x:c>
      <x:c r="I98" s="102" t="str">
        <x:v>Parent port for canonical terminal model</x:v>
      </x:c>
      <x:c r="J98" s="102" t="str">
        <x:v>v1.13 global terminal expansion</x:v>
      </x:c>
      <x:c r="K98" s="102" t="str"/>
    </x:row>
    <x:row r="99">
      <x:c r="A99" s="102" t="str">
        <x:v>PORTG0042</x:v>
      </x:c>
      <x:c r="B99" s="102" t="str">
        <x:v>Jebel Ali</x:v>
      </x:c>
      <x:c r="C99" s="102" t="str">
        <x:v>United Arab Emirates</x:v>
      </x:c>
      <x:c r="D99" s="102"/>
      <x:c r="E99" s="102"/>
      <x:c r="F99" s="102"/>
      <x:c r="G99" s="102"/>
      <x:c r="H99" s="102" t="str">
        <x:v>Port / harbour</x:v>
      </x:c>
      <x:c r="I99" s="102" t="str">
        <x:v>Parent port for canonical terminal model</x:v>
      </x:c>
      <x:c r="J99" s="102" t="str">
        <x:v>v1.13 global terminal expansion</x:v>
      </x:c>
      <x:c r="K99" s="102" t="str"/>
    </x:row>
    <x:row r="100">
      <x:c r="A100" s="102" t="str">
        <x:v>PORTG0043</x:v>
      </x:c>
      <x:c r="B100" s="102" t="str">
        <x:v>Mina Al Hamriya</x:v>
      </x:c>
      <x:c r="C100" s="102" t="str">
        <x:v>United Arab Emirates</x:v>
      </x:c>
      <x:c r="D100" s="102"/>
      <x:c r="E100" s="102"/>
      <x:c r="F100" s="102"/>
      <x:c r="G100" s="102"/>
      <x:c r="H100" s="102" t="str">
        <x:v>Port / harbour</x:v>
      </x:c>
      <x:c r="I100" s="102" t="str">
        <x:v>Parent port for canonical terminal model</x:v>
      </x:c>
      <x:c r="J100" s="102" t="str">
        <x:v>v1.13 global terminal expansion</x:v>
      </x:c>
      <x:c r="K100" s="102" t="str"/>
    </x:row>
    <x:row r="101">
      <x:c r="A101" s="102" t="str">
        <x:v>PORTG0044</x:v>
      </x:c>
      <x:c r="B101" s="102" t="str">
        <x:v>Dubai Creek / Deira</x:v>
      </x:c>
      <x:c r="C101" s="102" t="str">
        <x:v>United Arab Emirates</x:v>
      </x:c>
      <x:c r="D101" s="102"/>
      <x:c r="E101" s="102"/>
      <x:c r="F101" s="102"/>
      <x:c r="G101" s="102"/>
      <x:c r="H101" s="102" t="str">
        <x:v>Port / harbour</x:v>
      </x:c>
      <x:c r="I101" s="102" t="str">
        <x:v>Parent port for canonical terminal model</x:v>
      </x:c>
      <x:c r="J101" s="102" t="str">
        <x:v>v1.13 global terminal expansion</x:v>
      </x:c>
      <x:c r="K101" s="102" t="str"/>
    </x:row>
    <x:row r="102">
      <x:c r="A102" s="102" t="str">
        <x:v>PORTG0045</x:v>
      </x:c>
      <x:c r="B102" s="102" t="str">
        <x:v>Mina Rashid</x:v>
      </x:c>
      <x:c r="C102" s="102" t="str">
        <x:v>United Arab Emirates</x:v>
      </x:c>
      <x:c r="D102" s="102"/>
      <x:c r="E102" s="102"/>
      <x:c r="F102" s="102"/>
      <x:c r="G102" s="102"/>
      <x:c r="H102" s="102" t="str">
        <x:v>Port / harbour</x:v>
      </x:c>
      <x:c r="I102" s="102" t="str">
        <x:v>Parent port for canonical terminal model</x:v>
      </x:c>
      <x:c r="J102" s="102" t="str">
        <x:v>v1.13 global terminal expansion</x:v>
      </x:c>
      <x:c r="K102" s="102" t="str"/>
    </x:row>
    <x:row r="103">
      <x:c r="A103" s="102" t="str">
        <x:v>PORTG0046</x:v>
      </x:c>
      <x:c r="B103" s="102" t="str">
        <x:v>Fujairah</x:v>
      </x:c>
      <x:c r="C103" s="102" t="str">
        <x:v>United Arab Emirates</x:v>
      </x:c>
      <x:c r="D103" s="102"/>
      <x:c r="E103" s="102"/>
      <x:c r="F103" s="102"/>
      <x:c r="G103" s="102"/>
      <x:c r="H103" s="102" t="str">
        <x:v>Port / harbour</x:v>
      </x:c>
      <x:c r="I103" s="102" t="str">
        <x:v>Parent port for canonical terminal model</x:v>
      </x:c>
      <x:c r="J103" s="102" t="str">
        <x:v>v1.13 global terminal expansion</x:v>
      </x:c>
      <x:c r="K103" s="102" t="str"/>
    </x:row>
    <x:row r="104">
      <x:c r="A104" s="102" t="str">
        <x:v>PORTG0047</x:v>
      </x:c>
      <x:c r="B104" s="102" t="str">
        <x:v>Banana</x:v>
      </x:c>
      <x:c r="C104" s="102" t="str">
        <x:v>Democratic Republic of the Congo</x:v>
      </x:c>
      <x:c r="D104" s="102"/>
      <x:c r="E104" s="102"/>
      <x:c r="F104" s="102"/>
      <x:c r="G104" s="102"/>
      <x:c r="H104" s="102" t="str">
        <x:v>Port / harbour</x:v>
      </x:c>
      <x:c r="I104" s="102" t="str">
        <x:v>Parent port for canonical terminal model</x:v>
      </x:c>
      <x:c r="J104" s="102" t="str">
        <x:v>v1.13 global terminal expansion</x:v>
      </x:c>
      <x:c r="K104" s="102" t="str"/>
    </x:row>
    <x:row r="105">
      <x:c r="A105" s="102" t="str">
        <x:v>PORTG0048</x:v>
      </x:c>
      <x:c r="B105" s="102" t="str">
        <x:v>Buenos Aires</x:v>
      </x:c>
      <x:c r="C105" s="102" t="str">
        <x:v>Argentina</x:v>
      </x:c>
      <x:c r="D105" s="102"/>
      <x:c r="E105" s="102"/>
      <x:c r="F105" s="102"/>
      <x:c r="G105" s="102"/>
      <x:c r="H105" s="102" t="str">
        <x:v>Port / harbour</x:v>
      </x:c>
      <x:c r="I105" s="102" t="str">
        <x:v>Parent port for canonical terminal model</x:v>
      </x:c>
      <x:c r="J105" s="102" t="str">
        <x:v>v1.13 global terminal expansion</x:v>
      </x:c>
      <x:c r="K105" s="102" t="str"/>
    </x:row>
    <x:row r="106">
      <x:c r="A106" s="102" t="str">
        <x:v>PORTG0049</x:v>
      </x:c>
      <x:c r="B106" s="102" t="str">
        <x:v>Santos</x:v>
      </x:c>
      <x:c r="C106" s="102" t="str">
        <x:v>Brazil</x:v>
      </x:c>
      <x:c r="D106" s="102"/>
      <x:c r="E106" s="102"/>
      <x:c r="F106" s="102"/>
      <x:c r="G106" s="102"/>
      <x:c r="H106" s="102" t="str">
        <x:v>Port / harbour</x:v>
      </x:c>
      <x:c r="I106" s="102" t="str">
        <x:v>Parent port for canonical terminal model</x:v>
      </x:c>
      <x:c r="J106" s="102" t="str">
        <x:v>v1.13 global terminal expansion</x:v>
      </x:c>
      <x:c r="K106" s="102" t="str"/>
    </x:row>
    <x:row r="107">
      <x:c r="A107" s="102" t="str">
        <x:v>PORTG0050</x:v>
      </x:c>
      <x:c r="B107" s="102" t="str">
        <x:v>San Antonio</x:v>
      </x:c>
      <x:c r="C107" s="102" t="str">
        <x:v>Chile</x:v>
      </x:c>
      <x:c r="D107" s="102"/>
      <x:c r="E107" s="102"/>
      <x:c r="F107" s="102"/>
      <x:c r="G107" s="102"/>
      <x:c r="H107" s="102" t="str">
        <x:v>Port / harbour</x:v>
      </x:c>
      <x:c r="I107" s="102" t="str">
        <x:v>Parent port for canonical terminal model</x:v>
      </x:c>
      <x:c r="J107" s="102" t="str">
        <x:v>v1.13 global terminal expansion</x:v>
      </x:c>
      <x:c r="K107" s="102" t="str"/>
    </x:row>
    <x:row r="108">
      <x:c r="A108" s="102" t="str">
        <x:v>PORTG0051</x:v>
      </x:c>
      <x:c r="B108" s="102" t="str">
        <x:v>Lirquén</x:v>
      </x:c>
      <x:c r="C108" s="102" t="str">
        <x:v>Chile</x:v>
      </x:c>
      <x:c r="D108" s="102"/>
      <x:c r="E108" s="102"/>
      <x:c r="F108" s="102"/>
      <x:c r="G108" s="102"/>
      <x:c r="H108" s="102" t="str">
        <x:v>Port / harbour</x:v>
      </x:c>
      <x:c r="I108" s="102" t="str">
        <x:v>Parent port for canonical terminal model</x:v>
      </x:c>
      <x:c r="J108" s="102" t="str">
        <x:v>v1.13 global terminal expansion</x:v>
      </x:c>
      <x:c r="K108" s="102" t="str"/>
    </x:row>
    <x:row r="109">
      <x:c r="A109" s="102" t="str">
        <x:v>PORTG0052</x:v>
      </x:c>
      <x:c r="B109" s="102" t="str">
        <x:v>Caucedo</x:v>
      </x:c>
      <x:c r="C109" s="102" t="str">
        <x:v>Dominican Republic</x:v>
      </x:c>
      <x:c r="D109" s="102"/>
      <x:c r="E109" s="102"/>
      <x:c r="F109" s="102"/>
      <x:c r="G109" s="102"/>
      <x:c r="H109" s="102" t="str">
        <x:v>Port / harbour</x:v>
      </x:c>
      <x:c r="I109" s="102" t="str">
        <x:v>Parent port for canonical terminal model</x:v>
      </x:c>
      <x:c r="J109" s="102" t="str">
        <x:v>v1.13 global terminal expansion</x:v>
      </x:c>
      <x:c r="K109" s="102" t="str"/>
    </x:row>
    <x:row r="110">
      <x:c r="A110" s="102" t="str">
        <x:v>PORTG0053</x:v>
      </x:c>
      <x:c r="B110" s="102" t="str">
        <x:v>Posorja</x:v>
      </x:c>
      <x:c r="C110" s="102" t="str">
        <x:v>Ecuador</x:v>
      </x:c>
      <x:c r="D110" s="102"/>
      <x:c r="E110" s="102"/>
      <x:c r="F110" s="102"/>
      <x:c r="G110" s="102"/>
      <x:c r="H110" s="102" t="str">
        <x:v>Port / harbour</x:v>
      </x:c>
      <x:c r="I110" s="102" t="str">
        <x:v>Parent port for canonical terminal model</x:v>
      </x:c>
      <x:c r="J110" s="102" t="str">
        <x:v>v1.13 global terminal expansion</x:v>
      </x:c>
      <x:c r="K110" s="102" t="str"/>
    </x:row>
    <x:row r="111">
      <x:c r="A111" s="102" t="str">
        <x:v>PORTG0054</x:v>
      </x:c>
      <x:c r="B111" s="102" t="str">
        <x:v>Callao</x:v>
      </x:c>
      <x:c r="C111" s="102" t="str">
        <x:v>Peru</x:v>
      </x:c>
      <x:c r="D111" s="102"/>
      <x:c r="E111" s="102"/>
      <x:c r="F111" s="102"/>
      <x:c r="G111" s="102"/>
      <x:c r="H111" s="102" t="str">
        <x:v>Port / harbour</x:v>
      </x:c>
      <x:c r="I111" s="102" t="str">
        <x:v>Parent port for canonical terminal model</x:v>
      </x:c>
      <x:c r="J111" s="102" t="str">
        <x:v>v1.13 global terminal expansion</x:v>
      </x:c>
      <x:c r="K111" s="102" t="str"/>
    </x:row>
    <x:row r="112">
      <x:c r="A112" s="102" t="str">
        <x:v>PORTG0055</x:v>
      </x:c>
      <x:c r="B112" s="102" t="str">
        <x:v>Paita</x:v>
      </x:c>
      <x:c r="C112" s="102" t="str">
        <x:v>Peru</x:v>
      </x:c>
      <x:c r="D112" s="102"/>
      <x:c r="E112" s="102"/>
      <x:c r="F112" s="102"/>
      <x:c r="G112" s="102"/>
      <x:c r="H112" s="102" t="str">
        <x:v>Port / harbour</x:v>
      </x:c>
      <x:c r="I112" s="102" t="str">
        <x:v>Parent port for canonical terminal model</x:v>
      </x:c>
      <x:c r="J112" s="102" t="str">
        <x:v>v1.13 global terminal expansion</x:v>
      </x:c>
      <x:c r="K112" s="102" t="str"/>
    </x:row>
    <x:row r="113">
      <x:c r="A113" s="102" t="str">
        <x:v>PORTG0056</x:v>
      </x:c>
      <x:c r="B113" s="102" t="str">
        <x:v>Paramaribo</x:v>
      </x:c>
      <x:c r="C113" s="102" t="str">
        <x:v>Suriname</x:v>
      </x:c>
      <x:c r="D113" s="102"/>
      <x:c r="E113" s="102"/>
      <x:c r="F113" s="102"/>
      <x:c r="G113" s="102"/>
      <x:c r="H113" s="102" t="str">
        <x:v>Port / harbour</x:v>
      </x:c>
      <x:c r="I113" s="102" t="str">
        <x:v>Parent port for canonical terminal model</x:v>
      </x:c>
      <x:c r="J113" s="102" t="str">
        <x:v>v1.13 global terminal expansion</x:v>
      </x:c>
      <x:c r="K113" s="102" t="str"/>
    </x:row>
    <x:row r="114">
      <x:c r="A114" s="102" t="str">
        <x:v>PORTG0057</x:v>
      </x:c>
      <x:c r="B114" s="102" t="str">
        <x:v>La Vigilantia</x:v>
      </x:c>
      <x:c r="C114" s="102" t="str">
        <x:v>Suriname</x:v>
      </x:c>
      <x:c r="D114" s="102"/>
      <x:c r="E114" s="102"/>
      <x:c r="F114" s="102"/>
      <x:c r="G114" s="102"/>
      <x:c r="H114" s="102" t="str">
        <x:v>Port / harbour</x:v>
      </x:c>
      <x:c r="I114" s="102" t="str">
        <x:v>Parent port for canonical terminal model</x:v>
      </x:c>
      <x:c r="J114" s="102" t="str">
        <x:v>v1.13 global terminal expansion</x:v>
      </x:c>
      <x:c r="K114" s="102" t="str"/>
    </x:row>
    <x:row r="115">
      <x:c r="A115" s="102" t="str">
        <x:v>PORTG0058</x:v>
      </x:c>
      <x:c r="B115" s="102" t="str">
        <x:v>Vancouver</x:v>
      </x:c>
      <x:c r="C115" s="102" t="str">
        <x:v>Canada</x:v>
      </x:c>
      <x:c r="D115" s="102"/>
      <x:c r="E115" s="102"/>
      <x:c r="F115" s="102"/>
      <x:c r="G115" s="102"/>
      <x:c r="H115" s="102" t="str">
        <x:v>Port / harbour</x:v>
      </x:c>
      <x:c r="I115" s="102" t="str">
        <x:v>Parent port for canonical terminal model</x:v>
      </x:c>
      <x:c r="J115" s="102" t="str">
        <x:v>v1.13 global terminal expansion</x:v>
      </x:c>
      <x:c r="K115" s="102" t="str"/>
    </x:row>
    <x:row r="116">
      <x:c r="A116" s="102" t="str">
        <x:v>PORTG0059</x:v>
      </x:c>
      <x:c r="B116" s="102" t="str">
        <x:v>Fraser Surrey</x:v>
      </x:c>
      <x:c r="C116" s="102" t="str">
        <x:v>Canada</x:v>
      </x:c>
      <x:c r="D116" s="102"/>
      <x:c r="E116" s="102"/>
      <x:c r="F116" s="102"/>
      <x:c r="G116" s="102"/>
      <x:c r="H116" s="102" t="str">
        <x:v>Port / harbour</x:v>
      </x:c>
      <x:c r="I116" s="102" t="str">
        <x:v>Parent port for canonical terminal model</x:v>
      </x:c>
      <x:c r="J116" s="102" t="str">
        <x:v>v1.13 global terminal expansion</x:v>
      </x:c>
      <x:c r="K116" s="102" t="str"/>
    </x:row>
    <x:row r="117">
      <x:c r="A117" s="102" t="str">
        <x:v>PORTG0060</x:v>
      </x:c>
      <x:c r="B117" s="102" t="str">
        <x:v>Nanaimo</x:v>
      </x:c>
      <x:c r="C117" s="102" t="str">
        <x:v>Canada</x:v>
      </x:c>
      <x:c r="D117" s="102"/>
      <x:c r="E117" s="102"/>
      <x:c r="F117" s="102"/>
      <x:c r="G117" s="102"/>
      <x:c r="H117" s="102" t="str">
        <x:v>Port / harbour</x:v>
      </x:c>
      <x:c r="I117" s="102" t="str">
        <x:v>Parent port for canonical terminal model</x:v>
      </x:c>
      <x:c r="J117" s="102" t="str">
        <x:v>v1.13 global terminal expansion</x:v>
      </x:c>
      <x:c r="K117" s="102" t="str"/>
    </x:row>
    <x:row r="118">
      <x:c r="A118" s="102" t="str">
        <x:v>PORTG0061</x:v>
      </x:c>
      <x:c r="B118" s="102" t="str">
        <x:v>Prince Rupert</x:v>
      </x:c>
      <x:c r="C118" s="102" t="str">
        <x:v>Canada</x:v>
      </x:c>
      <x:c r="D118" s="102"/>
      <x:c r="E118" s="102"/>
      <x:c r="F118" s="102"/>
      <x:c r="G118" s="102"/>
      <x:c r="H118" s="102" t="str">
        <x:v>Port / harbour</x:v>
      </x:c>
      <x:c r="I118" s="102" t="str">
        <x:v>Parent port for canonical terminal model</x:v>
      </x:c>
      <x:c r="J118" s="102" t="str">
        <x:v>v1.13 global terminal expansion</x:v>
      </x:c>
      <x:c r="K118" s="102" t="str"/>
    </x:row>
    <x:row r="119">
      <x:c r="A119" s="102" t="str">
        <x:v>PORTG0062</x:v>
      </x:c>
      <x:c r="B119" s="102" t="str">
        <x:v>Saint John</x:v>
      </x:c>
      <x:c r="C119" s="102" t="str">
        <x:v>Canada</x:v>
      </x:c>
      <x:c r="D119" s="102"/>
      <x:c r="E119" s="102"/>
      <x:c r="F119" s="102"/>
      <x:c r="G119" s="102"/>
      <x:c r="H119" s="102" t="str">
        <x:v>Port / harbour</x:v>
      </x:c>
      <x:c r="I119" s="102" t="str">
        <x:v>Parent port for canonical terminal model</x:v>
      </x:c>
      <x:c r="J119" s="102" t="str">
        <x:v>v1.13 global terminal expansion</x:v>
      </x:c>
      <x:c r="K119" s="102" t="str"/>
    </x:row>
    <x:row r="120">
      <x:c r="A120" s="102" t="str">
        <x:v>PORTG0063</x:v>
      </x:c>
      <x:c r="B120" s="102" t="str">
        <x:v>Montréal / Contrecœur</x:v>
      </x:c>
      <x:c r="C120" s="102" t="str">
        <x:v>Canada</x:v>
      </x:c>
      <x:c r="D120" s="102"/>
      <x:c r="E120" s="102"/>
      <x:c r="F120" s="102"/>
      <x:c r="G120" s="102"/>
      <x:c r="H120" s="102" t="str">
        <x:v>Port / harbour</x:v>
      </x:c>
      <x:c r="I120" s="102" t="str">
        <x:v>Parent port for canonical terminal model</x:v>
      </x:c>
      <x:c r="J120" s="102" t="str">
        <x:v>v1.13 global terminal expansion</x:v>
      </x:c>
      <x:c r="K120" s="102" t="str"/>
    </x:row>
    <x:row r="121">
      <x:c r="A121" s="102" t="str">
        <x:v>PORTG0064</x:v>
      </x:c>
      <x:c r="B121" s="102" t="str">
        <x:v>Corpus Christi</x:v>
      </x:c>
      <x:c r="C121" s="102" t="str">
        <x:v>United States</x:v>
      </x:c>
      <x:c r="D121" s="102"/>
      <x:c r="E121" s="102"/>
      <x:c r="F121" s="102"/>
      <x:c r="G121" s="102"/>
      <x:c r="H121" s="102" t="str">
        <x:v>Port / harbour</x:v>
      </x:c>
      <x:c r="I121" s="102" t="str">
        <x:v>Parent port for canonical terminal model</x:v>
      </x:c>
      <x:c r="J121" s="102" t="str">
        <x:v>v1.13 global terminal expansion</x:v>
      </x:c>
      <x:c r="K121" s="102" t="str"/>
    </x:row>
    <x:row r="122">
      <x:c r="A122" s="102" t="str">
        <x:v>PORTG0065</x:v>
      </x:c>
      <x:c r="B122" s="102" t="str">
        <x:v>Khalifa Port</x:v>
      </x:c>
      <x:c r="C122" s="102" t="str">
        <x:v>United Arab Emirates</x:v>
      </x:c>
      <x:c r="D122" s="102"/>
      <x:c r="E122" s="102"/>
      <x:c r="F122" s="102"/>
      <x:c r="G122" s="102"/>
      <x:c r="H122" s="102" t="str">
        <x:v>Port / harbour</x:v>
      </x:c>
      <x:c r="I122" s="102" t="str">
        <x:v>Parent port for canonical terminal model</x:v>
      </x:c>
      <x:c r="J122" s="102" t="str">
        <x:v>v1.13 global terminal expansion</x:v>
      </x:c>
      <x:c r="K122" s="102" t="str"/>
    </x:row>
    <x:row r="123">
      <x:c r="A123" s="102" t="str">
        <x:v>PORTG0066</x:v>
      </x:c>
      <x:c r="B123" s="102" t="str">
        <x:v>Zayed Port</x:v>
      </x:c>
      <x:c r="C123" s="102" t="str">
        <x:v>United Arab Emirates</x:v>
      </x:c>
      <x:c r="D123" s="102"/>
      <x:c r="E123" s="102"/>
      <x:c r="F123" s="102"/>
      <x:c r="G123" s="102"/>
      <x:c r="H123" s="102" t="str">
        <x:v>Port / harbour</x:v>
      </x:c>
      <x:c r="I123" s="102" t="str">
        <x:v>Parent port for canonical terminal model</x:v>
      </x:c>
      <x:c r="J123" s="102" t="str">
        <x:v>v1.13 global terminal expansion</x:v>
      </x:c>
      <x:c r="K123" s="102" t="str"/>
    </x:row>
    <x:row r="124">
      <x:c r="A124" s="102" t="str">
        <x:v>PORTG0067</x:v>
      </x:c>
      <x:c r="B124" s="102" t="str">
        <x:v>Free Port (Old &amp; New)</x:v>
      </x:c>
      <x:c r="C124" s="102" t="str">
        <x:v>United Arab Emirates</x:v>
      </x:c>
      <x:c r="D124" s="102"/>
      <x:c r="E124" s="102"/>
      <x:c r="F124" s="102"/>
      <x:c r="G124" s="102"/>
      <x:c r="H124" s="102" t="str">
        <x:v>Port / harbour</x:v>
      </x:c>
      <x:c r="I124" s="102" t="str">
        <x:v>Parent port for canonical terminal model</x:v>
      </x:c>
      <x:c r="J124" s="102" t="str">
        <x:v>v1.13 global terminal expansion</x:v>
      </x:c>
      <x:c r="K124" s="102" t="str"/>
    </x:row>
    <x:row r="125">
      <x:c r="A125" s="102" t="str">
        <x:v>PORTG0068</x:v>
      </x:c>
      <x:c r="B125" s="102" t="str">
        <x:v>Musaffah Port</x:v>
      </x:c>
      <x:c r="C125" s="102" t="str">
        <x:v>United Arab Emirates</x:v>
      </x:c>
      <x:c r="D125" s="102"/>
      <x:c r="E125" s="102"/>
      <x:c r="F125" s="102"/>
      <x:c r="G125" s="102"/>
      <x:c r="H125" s="102" t="str">
        <x:v>Port / harbour</x:v>
      </x:c>
      <x:c r="I125" s="102" t="str">
        <x:v>Parent port for canonical terminal model</x:v>
      </x:c>
      <x:c r="J125" s="102" t="str">
        <x:v>v1.13 global terminal expansion</x:v>
      </x:c>
      <x:c r="K125" s="102" t="str"/>
    </x:row>
    <x:row r="126">
      <x:c r="A126" s="102" t="str">
        <x:v>PORTG0069</x:v>
      </x:c>
      <x:c r="B126" s="102" t="str">
        <x:v>Mugharraq Port</x:v>
      </x:c>
      <x:c r="C126" s="102" t="str">
        <x:v>United Arab Emirates</x:v>
      </x:c>
      <x:c r="D126" s="102"/>
      <x:c r="E126" s="102"/>
      <x:c r="F126" s="102"/>
      <x:c r="G126" s="102"/>
      <x:c r="H126" s="102" t="str">
        <x:v>Port / harbour</x:v>
      </x:c>
      <x:c r="I126" s="102" t="str">
        <x:v>Parent port for canonical terminal model</x:v>
      </x:c>
      <x:c r="J126" s="102" t="str">
        <x:v>v1.13 global terminal expansion</x:v>
      </x:c>
      <x:c r="K126" s="102" t="str"/>
    </x:row>
    <x:row r="127">
      <x:c r="A127" s="102" t="str">
        <x:v>PORTG0070</x:v>
      </x:c>
      <x:c r="B127" s="102" t="str">
        <x:v>Al Sila Port</x:v>
      </x:c>
      <x:c r="C127" s="102" t="str">
        <x:v>United Arab Emirates</x:v>
      </x:c>
      <x:c r="D127" s="102"/>
      <x:c r="E127" s="102"/>
      <x:c r="F127" s="102"/>
      <x:c r="G127" s="102"/>
      <x:c r="H127" s="102" t="str">
        <x:v>Port / harbour</x:v>
      </x:c>
      <x:c r="I127" s="102" t="str">
        <x:v>Parent port for canonical terminal model</x:v>
      </x:c>
      <x:c r="J127" s="102" t="str">
        <x:v>v1.13 global terminal expansion</x:v>
      </x:c>
      <x:c r="K127" s="102" t="str"/>
    </x:row>
    <x:row r="128">
      <x:c r="A128" s="102" t="str">
        <x:v>PORTG0071</x:v>
      </x:c>
      <x:c r="B128" s="102" t="str">
        <x:v>Fujairah Port / Fujairah Terminals</x:v>
      </x:c>
      <x:c r="C128" s="102" t="str">
        <x:v>United Arab Emirates</x:v>
      </x:c>
      <x:c r="D128" s="102"/>
      <x:c r="E128" s="102"/>
      <x:c r="F128" s="102"/>
      <x:c r="G128" s="102"/>
      <x:c r="H128" s="102" t="str">
        <x:v>Port / harbour</x:v>
      </x:c>
      <x:c r="I128" s="102" t="str">
        <x:v>Parent port for canonical terminal model</x:v>
      </x:c>
      <x:c r="J128" s="102" t="str">
        <x:v>v1.13 global terminal expansion</x:v>
      </x:c>
      <x:c r="K128" s="102" t="str"/>
    </x:row>
    <x:row r="129">
      <x:c r="A129" s="102" t="str">
        <x:v>PORTG0072</x:v>
      </x:c>
      <x:c r="B129" s="102" t="str">
        <x:v>Delma Port</x:v>
      </x:c>
      <x:c r="C129" s="102" t="str">
        <x:v>United Arab Emirates</x:v>
      </x:c>
      <x:c r="D129" s="102"/>
      <x:c r="E129" s="102"/>
      <x:c r="F129" s="102"/>
      <x:c r="G129" s="102"/>
      <x:c r="H129" s="102" t="str">
        <x:v>Port / harbour</x:v>
      </x:c>
      <x:c r="I129" s="102" t="str">
        <x:v>Parent port for canonical terminal model</x:v>
      </x:c>
      <x:c r="J129" s="102" t="str">
        <x:v>v1.13 global terminal expansion</x:v>
      </x:c>
      <x:c r="K129" s="102" t="str"/>
    </x:row>
    <x:row r="130">
      <x:c r="A130" s="102" t="str">
        <x:v>PORTG0073</x:v>
      </x:c>
      <x:c r="B130" s="102" t="str">
        <x:v>Mirfa Port</x:v>
      </x:c>
      <x:c r="C130" s="102" t="str">
        <x:v>United Arab Emirates</x:v>
      </x:c>
      <x:c r="D130" s="102"/>
      <x:c r="E130" s="102"/>
      <x:c r="F130" s="102"/>
      <x:c r="G130" s="102"/>
      <x:c r="H130" s="102" t="str">
        <x:v>Port / harbour</x:v>
      </x:c>
      <x:c r="I130" s="102" t="str">
        <x:v>Parent port for canonical terminal model</x:v>
      </x:c>
      <x:c r="J130" s="102" t="str">
        <x:v>v1.13 global terminal expansion</x:v>
      </x:c>
      <x:c r="K130" s="102" t="str"/>
    </x:row>
    <x:row r="131">
      <x:c r="A131" s="102" t="str">
        <x:v>PORTG0074</x:v>
      </x:c>
      <x:c r="B131" s="102" t="str">
        <x:v>Shahama Port</x:v>
      </x:c>
      <x:c r="C131" s="102" t="str">
        <x:v>United Arab Emirates</x:v>
      </x:c>
      <x:c r="D131" s="102"/>
      <x:c r="E131" s="102"/>
      <x:c r="F131" s="102"/>
      <x:c r="G131" s="102"/>
      <x:c r="H131" s="102" t="str">
        <x:v>Port / harbour</x:v>
      </x:c>
      <x:c r="I131" s="102" t="str">
        <x:v>Parent port for canonical terminal model</x:v>
      </x:c>
      <x:c r="J131" s="102" t="str">
        <x:v>v1.13 global terminal expansion</x:v>
      </x:c>
      <x:c r="K131" s="102" t="str"/>
    </x:row>
    <x:row r="132">
      <x:c r="A132" s="102" t="str">
        <x:v>PORTG0075</x:v>
      </x:c>
      <x:c r="B132" s="102" t="str">
        <x:v>Sir Bani Yas Cruise Beach</x:v>
      </x:c>
      <x:c r="C132" s="102" t="str">
        <x:v>United Arab Emirates</x:v>
      </x:c>
      <x:c r="D132" s="102"/>
      <x:c r="E132" s="102"/>
      <x:c r="F132" s="102"/>
      <x:c r="G132" s="102"/>
      <x:c r="H132" s="102" t="str">
        <x:v>Port / harbour</x:v>
      </x:c>
      <x:c r="I132" s="102" t="str">
        <x:v>Parent port for canonical terminal model</x:v>
      </x:c>
      <x:c r="J132" s="102" t="str">
        <x:v>v1.13 global terminal expansion</x:v>
      </x:c>
      <x:c r="K132" s="102" t="str"/>
    </x:row>
    <x:row r="133">
      <x:c r="A133" s="102" t="str">
        <x:v>PORTG0076</x:v>
      </x:c>
      <x:c r="B133" s="102" t="str">
        <x:v>Port of Aqaba</x:v>
      </x:c>
      <x:c r="C133" s="102" t="str">
        <x:v>Jordan</x:v>
      </x:c>
      <x:c r="D133" s="102"/>
      <x:c r="E133" s="102"/>
      <x:c r="F133" s="102"/>
      <x:c r="G133" s="102"/>
      <x:c r="H133" s="102" t="str">
        <x:v>Port / harbour</x:v>
      </x:c>
      <x:c r="I133" s="102" t="str">
        <x:v>Parent port for canonical terminal model</x:v>
      </x:c>
      <x:c r="J133" s="102" t="str">
        <x:v>v1.13 global terminal expansion</x:v>
      </x:c>
      <x:c r="K133" s="102" t="str"/>
    </x:row>
    <x:row r="134">
      <x:c r="A134" s="102" t="str">
        <x:v>PORTG0077</x:v>
      </x:c>
      <x:c r="B134" s="102" t="str">
        <x:v>Port of Sharm El Sheikh</x:v>
      </x:c>
      <x:c r="C134" s="102" t="str">
        <x:v>Egypt</x:v>
      </x:c>
      <x:c r="D134" s="102"/>
      <x:c r="E134" s="102"/>
      <x:c r="F134" s="102"/>
      <x:c r="G134" s="102"/>
      <x:c r="H134" s="102" t="str">
        <x:v>Port / harbour</x:v>
      </x:c>
      <x:c r="I134" s="102" t="str">
        <x:v>Parent port for canonical terminal model</x:v>
      </x:c>
      <x:c r="J134" s="102" t="str">
        <x:v>v1.13 global terminal expansion</x:v>
      </x:c>
      <x:c r="K134" s="102" t="str"/>
    </x:row>
    <x:row r="135">
      <x:c r="A135" s="102" t="str">
        <x:v>PORTG0078</x:v>
      </x:c>
      <x:c r="B135" s="102" t="str">
        <x:v>Port of Hurghada</x:v>
      </x:c>
      <x:c r="C135" s="102" t="str">
        <x:v>Egypt</x:v>
      </x:c>
      <x:c r="D135" s="102"/>
      <x:c r="E135" s="102"/>
      <x:c r="F135" s="102"/>
      <x:c r="G135" s="102"/>
      <x:c r="H135" s="102" t="str">
        <x:v>Port / harbour</x:v>
      </x:c>
      <x:c r="I135" s="102" t="str">
        <x:v>Parent port for canonical terminal model</x:v>
      </x:c>
      <x:c r="J135" s="102" t="str">
        <x:v>v1.13 global terminal expansion</x:v>
      </x:c>
      <x:c r="K135" s="102" t="str"/>
    </x:row>
    <x:row r="136">
      <x:c r="A136" s="102" t="str">
        <x:v>PORTG0079</x:v>
      </x:c>
      <x:c r="B136" s="102" t="str">
        <x:v>Port Safaga</x:v>
      </x:c>
      <x:c r="C136" s="102" t="str">
        <x:v>Egypt</x:v>
      </x:c>
      <x:c r="D136" s="102"/>
      <x:c r="E136" s="102"/>
      <x:c r="F136" s="102"/>
      <x:c r="G136" s="102"/>
      <x:c r="H136" s="102" t="str">
        <x:v>Port / harbour</x:v>
      </x:c>
      <x:c r="I136" s="102" t="str">
        <x:v>Parent port for canonical terminal model</x:v>
      </x:c>
      <x:c r="J136" s="102" t="str">
        <x:v>v1.13 global terminal expansion</x:v>
      </x:c>
      <x:c r="K136" s="102" t="str"/>
    </x:row>
    <x:row r="137">
      <x:c r="A137" s="102" t="str">
        <x:v>PORTG0080</x:v>
      </x:c>
      <x:c r="B137" s="102" t="str">
        <x:v>Port of Adabiya</x:v>
      </x:c>
      <x:c r="C137" s="102" t="str">
        <x:v>Egypt</x:v>
      </x:c>
      <x:c r="D137" s="102"/>
      <x:c r="E137" s="102"/>
      <x:c r="F137" s="102"/>
      <x:c r="G137" s="102"/>
      <x:c r="H137" s="102" t="str">
        <x:v>Port / harbour</x:v>
      </x:c>
      <x:c r="I137" s="102" t="str">
        <x:v>Parent port for canonical terminal model</x:v>
      </x:c>
      <x:c r="J137" s="102" t="str">
        <x:v>v1.13 global terminal expansion</x:v>
      </x:c>
      <x:c r="K137" s="102" t="str"/>
    </x:row>
    <x:row r="138">
      <x:c r="A138" s="102" t="str">
        <x:v>PORTG0081</x:v>
      </x:c>
      <x:c r="B138" s="102" t="str">
        <x:v>Karachi Port East Wharf</x:v>
      </x:c>
      <x:c r="C138" s="102" t="str">
        <x:v>Pakistan</x:v>
      </x:c>
      <x:c r="D138" s="102"/>
      <x:c r="E138" s="102"/>
      <x:c r="F138" s="102"/>
      <x:c r="G138" s="102"/>
      <x:c r="H138" s="102" t="str">
        <x:v>Port / harbour</x:v>
      </x:c>
      <x:c r="I138" s="102" t="str">
        <x:v>Parent port for canonical terminal model</x:v>
      </x:c>
      <x:c r="J138" s="102" t="str">
        <x:v>v1.13 global terminal expansion</x:v>
      </x:c>
      <x:c r="K138" s="102" t="str"/>
    </x:row>
    <x:row r="139">
      <x:c r="A139" s="102" t="str">
        <x:v>PORTG0082</x:v>
      </x:c>
      <x:c r="B139" s="102" t="str">
        <x:v>Port of Pointe-Noire</x:v>
      </x:c>
      <x:c r="C139" s="102" t="str">
        <x:v>Republic of the Congo</x:v>
      </x:c>
      <x:c r="D139" s="102"/>
      <x:c r="E139" s="102"/>
      <x:c r="F139" s="102"/>
      <x:c r="G139" s="102"/>
      <x:c r="H139" s="102" t="str">
        <x:v>Port / harbour</x:v>
      </x:c>
      <x:c r="I139" s="102" t="str">
        <x:v>Parent port for canonical terminal model</x:v>
      </x:c>
      <x:c r="J139" s="102" t="str">
        <x:v>v1.13 global terminal expansion</x:v>
      </x:c>
      <x:c r="K139" s="102" t="str"/>
    </x:row>
    <x:row r="140">
      <x:c r="A140" s="102" t="str">
        <x:v>PORTG0083</x:v>
      </x:c>
      <x:c r="B140" s="102" t="str">
        <x:v>Tbilisi Intermodal Hub / Tbilisi Dry Port</x:v>
      </x:c>
      <x:c r="C140" s="102" t="str">
        <x:v>Georgia</x:v>
      </x:c>
      <x:c r="D140" s="102"/>
      <x:c r="E140" s="102"/>
      <x:c r="F140" s="102"/>
      <x:c r="G140" s="102"/>
      <x:c r="H140" s="102" t="str">
        <x:v>Port / harbour</x:v>
      </x:c>
      <x:c r="I140" s="102" t="str">
        <x:v>Parent port for canonical terminal model</x:v>
      </x:c>
      <x:c r="J140" s="102" t="str">
        <x:v>v1.13 global terminal expansion</x:v>
      </x:c>
      <x:c r="K140" s="102" t="str"/>
    </x:row>
    <x:row r="141">
      <x:c r="A141" s="102" t="str">
        <x:v>PORTG0084</x:v>
      </x:c>
      <x:c r="B141" s="102" t="str">
        <x:v>Kuryk Port</x:v>
      </x:c>
      <x:c r="C141" s="102" t="str">
        <x:v>Kazakhstan</x:v>
      </x:c>
      <x:c r="D141" s="102"/>
      <x:c r="E141" s="102"/>
      <x:c r="F141" s="102"/>
      <x:c r="G141" s="102"/>
      <x:c r="H141" s="102" t="str">
        <x:v>Port / harbour</x:v>
      </x:c>
      <x:c r="I141" s="102" t="str">
        <x:v>Parent port for canonical terminal model</x:v>
      </x:c>
      <x:c r="J141" s="102" t="str">
        <x:v>v1.13 global terminal expansion</x:v>
      </x:c>
      <x:c r="K141" s="102" t="str"/>
    </x:row>
    <x:row r="142">
      <x:c r="A142" s="102" t="str">
        <x:v>PORTG0085</x:v>
      </x:c>
      <x:c r="B142" s="102" t="str">
        <x:v>Port of Douala</x:v>
      </x:c>
      <x:c r="C142" s="102" t="str">
        <x:v>Cameroon</x:v>
      </x:c>
      <x:c r="D142" s="102"/>
      <x:c r="E142" s="102"/>
      <x:c r="F142" s="102"/>
      <x:c r="G142" s="102"/>
      <x:c r="H142" s="102" t="str">
        <x:v>Port / harbour</x:v>
      </x:c>
      <x:c r="I142" s="102" t="str">
        <x:v>Parent port for canonical terminal model</x:v>
      </x:c>
      <x:c r="J142" s="102" t="str">
        <x:v>v1.13 global terminal expansion</x:v>
      </x:c>
      <x:c r="K142" s="102" t="str"/>
    </x:row>
    <x:row r="143">
      <x:c r="A143" s="102" t="str">
        <x:v>PORTG0086</x:v>
      </x:c>
      <x:c r="B143" s="102" t="str">
        <x:v>Port of Tarragona</x:v>
      </x:c>
      <x:c r="C143" s="102" t="str">
        <x:v>Spain</x:v>
      </x:c>
      <x:c r="D143" s="102"/>
      <x:c r="E143" s="102"/>
      <x:c r="F143" s="102"/>
      <x:c r="G143" s="102"/>
      <x:c r="H143" s="102" t="str">
        <x:v>Port / harbour</x:v>
      </x:c>
      <x:c r="I143" s="102" t="str">
        <x:v>Parent port for canonical terminal model</x:v>
      </x:c>
      <x:c r="J143" s="102" t="str">
        <x:v>v1.13 global terminal expansion</x:v>
      </x:c>
      <x:c r="K143" s="102" t="str"/>
    </x:row>
    <x:row r="144">
      <x:c r="A144" s="102" t="str">
        <x:v>PORTG0087</x:v>
      </x:c>
      <x:c r="B144" s="102" t="str">
        <x:v>Port of Castellón</x:v>
      </x:c>
      <x:c r="C144" s="102" t="str">
        <x:v>Spain</x:v>
      </x:c>
      <x:c r="D144" s="102"/>
      <x:c r="E144" s="102"/>
      <x:c r="F144" s="102"/>
      <x:c r="G144" s="102"/>
      <x:c r="H144" s="102" t="str">
        <x:v>Port / harbour</x:v>
      </x:c>
      <x:c r="I144" s="102" t="str">
        <x:v>Parent port for canonical terminal model</x:v>
      </x:c>
      <x:c r="J144" s="102" t="str">
        <x:v>v1.13 global terminal expansion</x:v>
      </x:c>
      <x:c r="K144" s="102" t="str"/>
    </x:row>
    <x:row r="145">
      <x:c r="A145" s="102" t="str">
        <x:v>PORTG0088</x:v>
      </x:c>
      <x:c r="B145" s="102" t="str">
        <x:v>Port of Sagunto</x:v>
      </x:c>
      <x:c r="C145" s="102" t="str">
        <x:v>Spain</x:v>
      </x:c>
      <x:c r="D145" s="102"/>
      <x:c r="E145" s="102"/>
      <x:c r="F145" s="102"/>
      <x:c r="G145" s="102"/>
      <x:c r="H145" s="102" t="str">
        <x:v>Port / harbour</x:v>
      </x:c>
      <x:c r="I145" s="102" t="str">
        <x:v>Parent port for canonical terminal model</x:v>
      </x:c>
      <x:c r="J145" s="102" t="str">
        <x:v>v1.13 global terminal expansion</x:v>
      </x:c>
      <x:c r="K145" s="102" t="str"/>
    </x:row>
    <x:row r="146">
      <x:c r="A146" s="102" t="str">
        <x:v>PORTG0089</x:v>
      </x:c>
      <x:c r="B146" s="102" t="str">
        <x:v>Port of Cartagena</x:v>
      </x:c>
      <x:c r="C146" s="102" t="str">
        <x:v>Spain</x:v>
      </x:c>
      <x:c r="D146" s="102"/>
      <x:c r="E146" s="102"/>
      <x:c r="F146" s="102"/>
      <x:c r="G146" s="102"/>
      <x:c r="H146" s="102" t="str">
        <x:v>Port / harbour</x:v>
      </x:c>
      <x:c r="I146" s="102" t="str">
        <x:v>Parent port for canonical terminal model</x:v>
      </x:c>
      <x:c r="J146" s="102" t="str">
        <x:v>v1.13 global terminal expansion</x:v>
      </x:c>
      <x:c r="K146" s="102" t="str"/>
    </x:row>
    <x:row r="147">
      <x:c r="A147" s="102" t="str">
        <x:v>PORTG0090</x:v>
      </x:c>
      <x:c r="B147" s="102" t="str">
        <x:v>Port of Málaga</x:v>
      </x:c>
      <x:c r="C147" s="102" t="str">
        <x:v>Spain</x:v>
      </x:c>
      <x:c r="D147" s="102"/>
      <x:c r="E147" s="102"/>
      <x:c r="F147" s="102"/>
      <x:c r="G147" s="102"/>
      <x:c r="H147" s="102" t="str">
        <x:v>Port / harbour</x:v>
      </x:c>
      <x:c r="I147" s="102" t="str">
        <x:v>Parent port for canonical terminal model</x:v>
      </x:c>
      <x:c r="J147" s="102" t="str">
        <x:v>v1.13 global terminal expansion</x:v>
      </x:c>
      <x:c r="K147" s="102" t="str"/>
    </x:row>
    <x:row r="148">
      <x:c r="A148" s="102" t="str">
        <x:v>PORTG0091</x:v>
      </x:c>
      <x:c r="B148" s="102" t="str">
        <x:v>Port of A Coruña</x:v>
      </x:c>
      <x:c r="C148" s="102" t="str">
        <x:v>Spain</x:v>
      </x:c>
      <x:c r="D148" s="102"/>
      <x:c r="E148" s="102"/>
      <x:c r="F148" s="102"/>
      <x:c r="G148" s="102"/>
      <x:c r="H148" s="102" t="str">
        <x:v>Port / harbour</x:v>
      </x:c>
      <x:c r="I148" s="102" t="str">
        <x:v>Parent port for canonical terminal model</x:v>
      </x:c>
      <x:c r="J148" s="102" t="str">
        <x:v>v1.13 global terminal expansion</x:v>
      </x:c>
      <x:c r="K148" s="102" t="str"/>
    </x:row>
    <x:row r="149">
      <x:c r="A149" s="102" t="str">
        <x:v>PORTG0092</x:v>
      </x:c>
      <x:c r="B149" s="102" t="str">
        <x:v>Port of Ferrol</x:v>
      </x:c>
      <x:c r="C149" s="102" t="str">
        <x:v>Spain</x:v>
      </x:c>
      <x:c r="D149" s="102"/>
      <x:c r="E149" s="102"/>
      <x:c r="F149" s="102"/>
      <x:c r="G149" s="102"/>
      <x:c r="H149" s="102" t="str">
        <x:v>Port / harbour</x:v>
      </x:c>
      <x:c r="I149" s="102" t="str">
        <x:v>Parent port for canonical terminal model</x:v>
      </x:c>
      <x:c r="J149" s="102" t="str">
        <x:v>v1.13 global terminal expansion</x:v>
      </x:c>
      <x:c r="K149" s="102" t="str"/>
    </x:row>
    <x:row r="150">
      <x:c r="A150" s="102" t="str">
        <x:v>PORTG0093</x:v>
      </x:c>
      <x:c r="B150" s="102" t="str">
        <x:v>Port of Santander</x:v>
      </x:c>
      <x:c r="C150" s="102" t="str">
        <x:v>Spain</x:v>
      </x:c>
      <x:c r="D150" s="102"/>
      <x:c r="E150" s="102"/>
      <x:c r="F150" s="102"/>
      <x:c r="G150" s="102"/>
      <x:c r="H150" s="102" t="str">
        <x:v>Port / harbour</x:v>
      </x:c>
      <x:c r="I150" s="102" t="str">
        <x:v>Parent port for canonical terminal model</x:v>
      </x:c>
      <x:c r="J150" s="102" t="str">
        <x:v>v1.13 global terminal expansion</x:v>
      </x:c>
      <x:c r="K150" s="102" t="str"/>
    </x:row>
    <x:row r="151">
      <x:c r="A151" s="102" t="str">
        <x:v>PORTG0094</x:v>
      </x:c>
      <x:c r="B151" s="102" t="str">
        <x:v>Port of Bilbao</x:v>
      </x:c>
      <x:c r="C151" s="102" t="str">
        <x:v>Spain</x:v>
      </x:c>
      <x:c r="D151" s="102"/>
      <x:c r="E151" s="102"/>
      <x:c r="F151" s="102"/>
      <x:c r="G151" s="102"/>
      <x:c r="H151" s="102" t="str">
        <x:v>Port / harbour</x:v>
      </x:c>
      <x:c r="I151" s="102" t="str">
        <x:v>Parent port for canonical terminal model</x:v>
      </x:c>
      <x:c r="J151" s="102" t="str">
        <x:v>v1.13 global terminal expansion</x:v>
      </x:c>
      <x:c r="K151" s="102" t="str"/>
    </x:row>
    <x:row r="152">
      <x:c r="A152" s="102" t="str">
        <x:v>PORTG0095</x:v>
      </x:c>
      <x:c r="B152" s="102" t="str">
        <x:v>Port of Vigo</x:v>
      </x:c>
      <x:c r="C152" s="102" t="str">
        <x:v>Spain</x:v>
      </x:c>
      <x:c r="D152" s="102"/>
      <x:c r="E152" s="102"/>
      <x:c r="F152" s="102"/>
      <x:c r="G152" s="102"/>
      <x:c r="H152" s="102" t="str">
        <x:v>Port / harbour</x:v>
      </x:c>
      <x:c r="I152" s="102" t="str">
        <x:v>Parent port for canonical terminal model</x:v>
      </x:c>
      <x:c r="J152" s="102" t="str">
        <x:v>v1.13 global terminal expansion</x:v>
      </x:c>
      <x:c r="K152" s="102" t="str"/>
    </x:row>
    <x:row r="153">
      <x:c r="A153" s="102" t="str">
        <x:v>PORTG0096</x:v>
      </x:c>
      <x:c r="B153" s="102" t="str">
        <x:v>Port of Barcelona</x:v>
      </x:c>
      <x:c r="C153" s="102" t="str">
        <x:v>Spain</x:v>
      </x:c>
      <x:c r="D153" s="102"/>
      <x:c r="E153" s="102"/>
      <x:c r="F153" s="102"/>
      <x:c r="G153" s="102"/>
      <x:c r="H153" s="102" t="str">
        <x:v>Port / harbour</x:v>
      </x:c>
      <x:c r="I153" s="102" t="str">
        <x:v>Parent port for canonical terminal model</x:v>
      </x:c>
      <x:c r="J153" s="102" t="str">
        <x:v>v1.13 global terminal expansion</x:v>
      </x:c>
      <x:c r="K153" s="102" t="str"/>
    </x:row>
    <x:row r="154">
      <x:c r="A154" s="102" t="str">
        <x:v>PORTG0097</x:v>
      </x:c>
      <x:c r="B154" s="102" t="str">
        <x:v>Port of Pasaia / Pasajes</x:v>
      </x:c>
      <x:c r="C154" s="102" t="str">
        <x:v>Spain</x:v>
      </x:c>
      <x:c r="D154" s="102"/>
      <x:c r="E154" s="102"/>
      <x:c r="F154" s="102"/>
      <x:c r="G154" s="102"/>
      <x:c r="H154" s="102" t="str">
        <x:v>Port / harbour</x:v>
      </x:c>
      <x:c r="I154" s="102" t="str">
        <x:v>Parent port for canonical terminal model</x:v>
      </x:c>
      <x:c r="J154" s="102" t="str">
        <x:v>v1.13 global terminal expansion</x:v>
      </x:c>
      <x:c r="K154" s="102" t="str"/>
    </x:row>
    <x:row r="155">
      <x:c r="A155" s="102" t="str">
        <x:v>PORTG0098</x:v>
      </x:c>
      <x:c r="B155" s="102" t="str">
        <x:v>Port of Los Angeles</x:v>
      </x:c>
      <x:c r="C155" s="102" t="str">
        <x:v>United States</x:v>
      </x:c>
      <x:c r="D155" s="102"/>
      <x:c r="E155" s="102"/>
      <x:c r="F155" s="102"/>
      <x:c r="G155" s="102"/>
      <x:c r="H155" s="102" t="str">
        <x:v>Port / harbour</x:v>
      </x:c>
      <x:c r="I155" s="102" t="str">
        <x:v>Parent port for canonical terminal model</x:v>
      </x:c>
      <x:c r="J155" s="102" t="str">
        <x:v>v1.13 global terminal expansion</x:v>
      </x:c>
      <x:c r="K155" s="102" t="str"/>
    </x:row>
    <x:row r="156">
      <x:c r="A156" s="102" t="str">
        <x:v>PORTG0099</x:v>
      </x:c>
      <x:c r="B156" s="102" t="str">
        <x:v>Port of New York &amp; New Jersey</x:v>
      </x:c>
      <x:c r="C156" s="102" t="str">
        <x:v>United States</x:v>
      </x:c>
      <x:c r="D156" s="102"/>
      <x:c r="E156" s="102"/>
      <x:c r="F156" s="102"/>
      <x:c r="G156" s="102"/>
      <x:c r="H156" s="102" t="str">
        <x:v>Port / harbour</x:v>
      </x:c>
      <x:c r="I156" s="102" t="str">
        <x:v>Parent port for canonical terminal model</x:v>
      </x:c>
      <x:c r="J156" s="102" t="str">
        <x:v>v1.13 global terminal expansion</x:v>
      </x:c>
      <x:c r="K156" s="102" t="str"/>
    </x:row>
    <x:row r="157">
      <x:c r="A157" s="102" t="str">
        <x:v>PORTG0100</x:v>
      </x:c>
      <x:c r="B157" s="102" t="str">
        <x:v>Port of Vila do Conde</x:v>
      </x:c>
      <x:c r="C157" s="102" t="str">
        <x:v>Brazil</x:v>
      </x:c>
      <x:c r="D157" s="102"/>
      <x:c r="E157" s="102"/>
      <x:c r="F157" s="102"/>
      <x:c r="G157" s="102"/>
      <x:c r="H157" s="102" t="str">
        <x:v>Port / harbour</x:v>
      </x:c>
      <x:c r="I157" s="102" t="str">
        <x:v>Parent port for canonical terminal model</x:v>
      </x:c>
      <x:c r="J157" s="102" t="str">
        <x:v>v1.13 global terminal expansion</x:v>
      </x:c>
      <x:c r="K157" s="102" t="str"/>
    </x:row>
    <x:row r="158">
      <x:c r="A158" s="102" t="str">
        <x:v>PORTG0101</x:v>
      </x:c>
      <x:c r="B158" s="102" t="str">
        <x:v>Port of Imbituba</x:v>
      </x:c>
      <x:c r="C158" s="102" t="str">
        <x:v>Brazil</x:v>
      </x:c>
      <x:c r="D158" s="102"/>
      <x:c r="E158" s="102"/>
      <x:c r="F158" s="102"/>
      <x:c r="G158" s="102"/>
      <x:c r="H158" s="102" t="str">
        <x:v>Port / harbour</x:v>
      </x:c>
      <x:c r="I158" s="102" t="str">
        <x:v>Parent port for canonical terminal model</x:v>
      </x:c>
      <x:c r="J158" s="102" t="str">
        <x:v>v1.13 global terminal expansion</x:v>
      </x:c>
      <x:c r="K158" s="102" t="str"/>
    </x:row>
    <x:row r="159">
      <x:c r="A159" s="102" t="str">
        <x:v>PORTG0102</x:v>
      </x:c>
      <x:c r="B159" s="102" t="str">
        <x:v>Port of Valencia</x:v>
      </x:c>
      <x:c r="C159" s="102" t="str">
        <x:v>Spain</x:v>
      </x:c>
      <x:c r="D159" s="102"/>
      <x:c r="E159" s="102"/>
      <x:c r="F159" s="102"/>
      <x:c r="G159" s="102"/>
      <x:c r="H159" s="102" t="str">
        <x:v>Port / harbour</x:v>
      </x:c>
      <x:c r="I159" s="102" t="str">
        <x:v>Parent port for canonical terminal model</x:v>
      </x:c>
      <x:c r="J159" s="102" t="str">
        <x:v>v1.13 global terminal expansion</x:v>
      </x:c>
      <x:c r="K159" s="102" t="str"/>
    </x:row>
    <x:row r="160">
      <x:c r="A160" s="102" t="str">
        <x:v>PORTG0103</x:v>
      </x:c>
      <x:c r="B160" s="102" t="str">
        <x:v>Port of Algeciras</x:v>
      </x:c>
      <x:c r="C160" s="102" t="str">
        <x:v>Spain</x:v>
      </x:c>
      <x:c r="D160" s="102"/>
      <x:c r="E160" s="102"/>
      <x:c r="F160" s="102"/>
      <x:c r="G160" s="102"/>
      <x:c r="H160" s="102" t="str">
        <x:v>Port / harbour</x:v>
      </x:c>
      <x:c r="I160" s="102" t="str">
        <x:v>Parent port for canonical terminal model</x:v>
      </x:c>
      <x:c r="J160" s="102" t="str">
        <x:v>v1.13 global terminal expansion</x:v>
      </x:c>
      <x:c r="K160" s="102" t="str"/>
    </x:row>
    <x:row r="161">
      <x:c r="A161" s="102" t="str">
        <x:v>PORTG0104</x:v>
      </x:c>
      <x:c r="B161" s="102" t="str">
        <x:v>Port of Kaohsiung</x:v>
      </x:c>
      <x:c r="C161" s="102" t="str">
        <x:v>Taiwan</x:v>
      </x:c>
      <x:c r="D161" s="102"/>
      <x:c r="E161" s="102"/>
      <x:c r="F161" s="102"/>
      <x:c r="G161" s="102"/>
      <x:c r="H161" s="102" t="str">
        <x:v>Port / harbour</x:v>
      </x:c>
      <x:c r="I161" s="102" t="str">
        <x:v>Parent port for canonical terminal model</x:v>
      </x:c>
      <x:c r="J161" s="102" t="str">
        <x:v>v1.13 global terminal expansion</x:v>
      </x:c>
      <x:c r="K161" s="102" t="str"/>
    </x:row>
    <x:row r="162">
      <x:c r="A162" s="102" t="str">
        <x:v>PORTG0105</x:v>
      </x:c>
      <x:c r="B162" s="102" t="str">
        <x:v>Cai Mep-Thi Vai</x:v>
      </x:c>
      <x:c r="C162" s="102" t="str">
        <x:v>Vietnam</x:v>
      </x:c>
      <x:c r="D162" s="102"/>
      <x:c r="E162" s="102"/>
      <x:c r="F162" s="102"/>
      <x:c r="G162" s="102"/>
      <x:c r="H162" s="102" t="str">
        <x:v>Port / harbour</x:v>
      </x:c>
      <x:c r="I162" s="102" t="str">
        <x:v>Parent port for canonical terminal model</x:v>
      </x:c>
      <x:c r="J162" s="102" t="str">
        <x:v>v1.13 global terminal expansion</x:v>
      </x:c>
      <x:c r="K162" s="102" t="str"/>
    </x:row>
    <x:row r="163">
      <x:c r="A163" s="102" t="str">
        <x:v>PORTG0106</x:v>
      </x:c>
      <x:c r="B163" s="102" t="str">
        <x:v>Jawaharlal Nehru Port</x:v>
      </x:c>
      <x:c r="C163" s="102" t="str">
        <x:v>India</x:v>
      </x:c>
      <x:c r="D163" s="102"/>
      <x:c r="E163" s="102"/>
      <x:c r="F163" s="102"/>
      <x:c r="G163" s="102"/>
      <x:c r="H163" s="102" t="str">
        <x:v>Port / harbour</x:v>
      </x:c>
      <x:c r="I163" s="102" t="str">
        <x:v>Parent port for canonical terminal model</x:v>
      </x:c>
      <x:c r="J163" s="102" t="str">
        <x:v>v1.13 global terminal expansion</x:v>
      </x:c>
      <x:c r="K163" s="102" t="str"/>
    </x:row>
    <x:row r="164">
      <x:c r="A164" s="102" t="str">
        <x:v>PORTG0107</x:v>
      </x:c>
      <x:c r="B164" s="102" t="str">
        <x:v>Lekki Deep Sea Port</x:v>
      </x:c>
      <x:c r="C164" s="102" t="str">
        <x:v>Nigeria</x:v>
      </x:c>
      <x:c r="D164" s="102"/>
      <x:c r="E164" s="102"/>
      <x:c r="F164" s="102"/>
      <x:c r="G164" s="102"/>
      <x:c r="H164" s="102" t="str">
        <x:v>Port / harbour</x:v>
      </x:c>
      <x:c r="I164" s="102" t="str">
        <x:v>Parent port for canonical terminal model</x:v>
      </x:c>
      <x:c r="J164" s="102" t="str">
        <x:v>v1.13 global terminal expansion</x:v>
      </x:c>
      <x:c r="K164" s="102" t="str"/>
    </x:row>
    <x:row r="165">
      <x:c r="A165" s="102" t="str">
        <x:v>PORTG0108</x:v>
      </x:c>
      <x:c r="B165" s="102" t="str">
        <x:v>Port of Alexandria</x:v>
      </x:c>
      <x:c r="C165" s="102" t="str">
        <x:v>Egypt</x:v>
      </x:c>
      <x:c r="D165" s="102"/>
      <x:c r="E165" s="102"/>
      <x:c r="F165" s="102"/>
      <x:c r="G165" s="102"/>
      <x:c r="H165" s="102" t="str">
        <x:v>Port / harbour</x:v>
      </x:c>
      <x:c r="I165" s="102" t="str">
        <x:v>Parent port for canonical terminal model</x:v>
      </x:c>
      <x:c r="J165" s="102" t="str">
        <x:v>v1.13 global terminal expansion</x:v>
      </x:c>
      <x:c r="K165" s="102" t="str"/>
    </x:row>
    <x:row r="166">
      <x:c r="A166" s="102" t="str">
        <x:v>PORTG0109</x:v>
      </x:c>
      <x:c r="B166" s="102" t="str">
        <x:v>Nador West Med</x:v>
      </x:c>
      <x:c r="C166" s="102" t="str">
        <x:v>Morocco</x:v>
      </x:c>
      <x:c r="D166" s="102"/>
      <x:c r="E166" s="102"/>
      <x:c r="F166" s="102"/>
      <x:c r="G166" s="102"/>
      <x:c r="H166" s="102" t="str">
        <x:v>Port / harbour</x:v>
      </x:c>
      <x:c r="I166" s="102" t="str">
        <x:v>Parent port for canonical terminal model</x:v>
      </x:c>
      <x:c r="J166" s="102" t="str">
        <x:v>v1.13 global terminal expansion</x:v>
      </x:c>
      <x:c r="K166" s="102" t="str"/>
    </x:row>
    <x:row r="167">
      <x:c r="A167" s="102" t="str">
        <x:v>PORTG0110</x:v>
      </x:c>
      <x:c r="B167" s="102" t="str">
        <x:v>Port of Haiphong / Lach Huyen</x:v>
      </x:c>
      <x:c r="C167" s="102" t="str">
        <x:v>Vietnam</x:v>
      </x:c>
      <x:c r="D167" s="102"/>
      <x:c r="E167" s="102"/>
      <x:c r="F167" s="102"/>
      <x:c r="G167" s="102"/>
      <x:c r="H167" s="102" t="str">
        <x:v>Port / harbour</x:v>
      </x:c>
      <x:c r="I167" s="102" t="str">
        <x:v>Parent port for canonical terminal model</x:v>
      </x:c>
      <x:c r="J167" s="102" t="str">
        <x:v>v1.13 global terminal expansion</x:v>
      </x:c>
      <x:c r="K167" s="102" t="str"/>
    </x:row>
    <x:row r="168">
      <x:c r="A168" s="102" t="str">
        <x:v>PORTG0111</x:v>
      </x:c>
      <x:c r="B168" s="102" t="str">
        <x:v>Port of Hamburg</x:v>
      </x:c>
      <x:c r="C168" s="102" t="str">
        <x:v>Germany</x:v>
      </x:c>
      <x:c r="D168" s="102"/>
      <x:c r="E168" s="102"/>
      <x:c r="F168" s="102"/>
      <x:c r="G168" s="102"/>
      <x:c r="H168" s="102" t="str">
        <x:v>Port / harbour</x:v>
      </x:c>
      <x:c r="I168" s="102" t="str">
        <x:v>Parent port for canonical terminal model</x:v>
      </x:c>
      <x:c r="J168" s="102" t="str">
        <x:v>v1.13 global terminal expansion</x:v>
      </x:c>
      <x:c r="K168" s="102" t="str"/>
    </x:row>
    <x:row r="169">
      <x:c r="A169" s="102" t="str">
        <x:v>PORTG0112</x:v>
      </x:c>
      <x:c r="B169" s="102" t="str">
        <x:v>Port of Mombasa</x:v>
      </x:c>
      <x:c r="C169" s="102" t="str">
        <x:v>Kenya</x:v>
      </x:c>
      <x:c r="D169" s="102"/>
      <x:c r="E169" s="102"/>
      <x:c r="F169" s="102"/>
      <x:c r="G169" s="102"/>
      <x:c r="H169" s="102" t="str">
        <x:v>Port / harbour</x:v>
      </x:c>
      <x:c r="I169" s="102" t="str">
        <x:v>Parent port for canonical terminal model</x:v>
      </x:c>
      <x:c r="J169" s="102" t="str">
        <x:v>v1.13 global terminal expansion</x:v>
      </x:c>
      <x:c r="K169" s="102" t="str"/>
    </x:row>
    <x:row r="170">
      <x:c r="A170" s="102" t="str">
        <x:v>PORTG0113</x:v>
      </x:c>
      <x:c r="B170" s="102" t="str">
        <x:v>6th of October City</x:v>
      </x:c>
      <x:c r="C170" s="102" t="str">
        <x:v>Egypt</x:v>
      </x:c>
      <x:c r="D170" s="102"/>
      <x:c r="E170" s="102"/>
      <x:c r="F170" s="102"/>
      <x:c r="G170" s="102"/>
      <x:c r="H170" s="102" t="str">
        <x:v>Port / harbour</x:v>
      </x:c>
      <x:c r="I170" s="102" t="str">
        <x:v>Parent port for canonical terminal model</x:v>
      </x:c>
      <x:c r="J170" s="102" t="str">
        <x:v>v1.13 global terminal expansion</x:v>
      </x:c>
      <x:c r="K170" s="102" t="str"/>
    </x:row>
    <x:row r="171">
      <x:c r="A171" s="102" t="str">
        <x:v>PORTG0114</x:v>
      </x:c>
      <x:c r="B171" s="102" t="str">
        <x:v>Port Édouard Herriot</x:v>
      </x:c>
      <x:c r="C171" s="102" t="str">
        <x:v>France</x:v>
      </x:c>
      <x:c r="D171" s="102"/>
      <x:c r="E171" s="102"/>
      <x:c r="F171" s="102"/>
      <x:c r="G171" s="102"/>
      <x:c r="H171" s="102" t="str">
        <x:v>Port / harbour</x:v>
      </x:c>
      <x:c r="I171" s="102" t="str">
        <x:v>Parent port for canonical terminal model</x:v>
      </x:c>
      <x:c r="J171" s="102" t="str">
        <x:v>v1.13 global terminal expansion</x:v>
      </x:c>
      <x:c r="K171" s="102" t="str"/>
    </x:row>
    <x:row r="172">
      <x:c r="A172" s="102" t="str">
        <x:v>PORTG0115</x:v>
      </x:c>
      <x:c r="B172" s="102" t="str">
        <x:v>Port Réunion</x:v>
      </x:c>
      <x:c r="C172" s="102" t="str">
        <x:v>France (Réunion)</x:v>
      </x:c>
      <x:c r="D172" s="102"/>
      <x:c r="E172" s="102"/>
      <x:c r="F172" s="102"/>
      <x:c r="G172" s="102"/>
      <x:c r="H172" s="102" t="str">
        <x:v>Port / harbour</x:v>
      </x:c>
      <x:c r="I172" s="102" t="str">
        <x:v>Parent port for canonical terminal model</x:v>
      </x:c>
      <x:c r="J172" s="102" t="str">
        <x:v>v1.13 global terminal expansion</x:v>
      </x:c>
      <x:c r="K172" s="102" t="str"/>
    </x:row>
    <x:row r="173">
      <x:c r="A173" s="102" t="str">
        <x:v>PORTG0116</x:v>
      </x:c>
      <x:c r="B173" s="102" t="str">
        <x:v>Port of Kribi</x:v>
      </x:c>
      <x:c r="C173" s="102" t="str">
        <x:v>Cameroon</x:v>
      </x:c>
      <x:c r="D173" s="102"/>
      <x:c r="E173" s="102"/>
      <x:c r="F173" s="102"/>
      <x:c r="G173" s="102"/>
      <x:c r="H173" s="102" t="str">
        <x:v>Port / harbour</x:v>
      </x:c>
      <x:c r="I173" s="102" t="str">
        <x:v>Parent port for canonical terminal model</x:v>
      </x:c>
      <x:c r="J173" s="102" t="str">
        <x:v>v1.13 global terminal expansion</x:v>
      </x:c>
      <x:c r="K173" s="102" t="str"/>
    </x:row>
    <x:row r="174">
      <x:c r="A174" s="102" t="str">
        <x:v>PORTG0117</x:v>
      </x:c>
      <x:c r="B174" s="102" t="str">
        <x:v>Port of Dunkirk</x:v>
      </x:c>
      <x:c r="C174" s="102" t="str">
        <x:v>France</x:v>
      </x:c>
      <x:c r="D174" s="102"/>
      <x:c r="E174" s="102"/>
      <x:c r="F174" s="102"/>
      <x:c r="G174" s="102"/>
      <x:c r="H174" s="102" t="str">
        <x:v>Port / harbour</x:v>
      </x:c>
      <x:c r="I174" s="102" t="str">
        <x:v>Parent port for canonical terminal model</x:v>
      </x:c>
      <x:c r="J174" s="102" t="str">
        <x:v>v1.13 global terminal expansion</x:v>
      </x:c>
      <x:c r="K174" s="102" t="str"/>
    </x:row>
    <x:row r="175">
      <x:c r="A175" s="102" t="str">
        <x:v>PORTG0118</x:v>
      </x:c>
      <x:c r="B175" s="102" t="str">
        <x:v>Port of Le Havre</x:v>
      </x:c>
      <x:c r="C175" s="102" t="str">
        <x:v>France</x:v>
      </x:c>
      <x:c r="D175" s="102"/>
      <x:c r="E175" s="102"/>
      <x:c r="F175" s="102"/>
      <x:c r="G175" s="102"/>
      <x:c r="H175" s="102" t="str">
        <x:v>Port / harbour</x:v>
      </x:c>
      <x:c r="I175" s="102" t="str">
        <x:v>Parent port for canonical terminal model</x:v>
      </x:c>
      <x:c r="J175" s="102" t="str">
        <x:v>v1.13 global terminal expansion</x:v>
      </x:c>
      <x:c r="K175" s="102" t="str"/>
    </x:row>
    <x:row r="176">
      <x:c r="A176" s="102" t="str">
        <x:v>PORTG0119</x:v>
      </x:c>
      <x:c r="B176" s="102" t="str">
        <x:v>Nantes Saint-Nazaire Port</x:v>
      </x:c>
      <x:c r="C176" s="102" t="str">
        <x:v>France</x:v>
      </x:c>
      <x:c r="D176" s="102"/>
      <x:c r="E176" s="102"/>
      <x:c r="F176" s="102"/>
      <x:c r="G176" s="102"/>
      <x:c r="H176" s="102" t="str">
        <x:v>Port / harbour</x:v>
      </x:c>
      <x:c r="I176" s="102" t="str">
        <x:v>Parent port for canonical terminal model</x:v>
      </x:c>
      <x:c r="J176" s="102" t="str">
        <x:v>v1.13 global terminal expansion</x:v>
      </x:c>
      <x:c r="K176" s="102" t="str"/>
    </x:row>
    <x:row r="177">
      <x:c r="A177" s="102" t="str">
        <x:v>PORTG0120</x:v>
      </x:c>
      <x:c r="B177" s="102" t="str">
        <x:v>Port of Marseille-Fos</x:v>
      </x:c>
      <x:c r="C177" s="102" t="str">
        <x:v>France</x:v>
      </x:c>
      <x:c r="D177" s="102"/>
      <x:c r="E177" s="102"/>
      <x:c r="F177" s="102"/>
      <x:c r="G177" s="102"/>
      <x:c r="H177" s="102" t="str">
        <x:v>Port / harbour</x:v>
      </x:c>
      <x:c r="I177" s="102" t="str">
        <x:v>Parent port for canonical terminal model</x:v>
      </x:c>
      <x:c r="J177" s="102" t="str">
        <x:v>v1.13 global terminal expansion</x:v>
      </x:c>
      <x:c r="K177" s="102" t="str"/>
    </x:row>
    <x:row r="178">
      <x:c r="A178" s="102" t="str">
        <x:v>PORTG0121</x:v>
      </x:c>
      <x:c r="B178" s="102" t="str">
        <x:v>Malta Freeport</x:v>
      </x:c>
      <x:c r="C178" s="102" t="str">
        <x:v>Malta</x:v>
      </x:c>
      <x:c r="D178" s="102"/>
      <x:c r="E178" s="102"/>
      <x:c r="F178" s="102"/>
      <x:c r="G178" s="102"/>
      <x:c r="H178" s="102" t="str">
        <x:v>Port / harbour</x:v>
      </x:c>
      <x:c r="I178" s="102" t="str">
        <x:v>Parent port for canonical terminal model</x:v>
      </x:c>
      <x:c r="J178" s="102" t="str">
        <x:v>v1.13 global terminal expansion</x:v>
      </x:c>
      <x:c r="K178" s="102" t="str"/>
    </x:row>
    <x:row r="179">
      <x:c r="A179" s="102" t="str">
        <x:v>PORTG0122</x:v>
      </x:c>
      <x:c r="B179" s="102" t="str">
        <x:v>Port of Thessaloniki</x:v>
      </x:c>
      <x:c r="C179" s="102" t="str">
        <x:v>Greece</x:v>
      </x:c>
      <x:c r="D179" s="102"/>
      <x:c r="E179" s="102"/>
      <x:c r="F179" s="102"/>
      <x:c r="G179" s="102"/>
      <x:c r="H179" s="102" t="str">
        <x:v>Port / harbour</x:v>
      </x:c>
      <x:c r="I179" s="102" t="str">
        <x:v>Parent port for canonical terminal model</x:v>
      </x:c>
      <x:c r="J179" s="102" t="str">
        <x:v>v1.13 global terminal expansion</x:v>
      </x:c>
      <x:c r="K179" s="102" t="str"/>
    </x:row>
    <x:row r="180">
      <x:c r="A180" s="102" t="str">
        <x:v>PORTG0123</x:v>
      </x:c>
      <x:c r="B180" s="102" t="str">
        <x:v>Port of Odesa</x:v>
      </x:c>
      <x:c r="C180" s="102" t="str">
        <x:v>Ukraine</x:v>
      </x:c>
      <x:c r="D180" s="102"/>
      <x:c r="E180" s="102"/>
      <x:c r="F180" s="102"/>
      <x:c r="G180" s="102"/>
      <x:c r="H180" s="102" t="str">
        <x:v>Port / harbour</x:v>
      </x:c>
      <x:c r="I180" s="102" t="str">
        <x:v>Parent port for canonical terminal model</x:v>
      </x:c>
      <x:c r="J180" s="102" t="str">
        <x:v>v1.13 global terminal expansion</x:v>
      </x:c>
      <x:c r="K180" s="102" t="str"/>
    </x:row>
    <x:row r="181">
      <x:c r="A181" s="102" t="str">
        <x:v>PORTG0124</x:v>
      </x:c>
      <x:c r="B181" s="102" t="str">
        <x:v>Tanger Med</x:v>
      </x:c>
      <x:c r="C181" s="102" t="str">
        <x:v>Morocco</x:v>
      </x:c>
      <x:c r="D181" s="102"/>
      <x:c r="E181" s="102"/>
      <x:c r="F181" s="102"/>
      <x:c r="G181" s="102"/>
      <x:c r="H181" s="102" t="str">
        <x:v>Port / harbour</x:v>
      </x:c>
      <x:c r="I181" s="102" t="str">
        <x:v>Parent port for canonical terminal model</x:v>
      </x:c>
      <x:c r="J181" s="102" t="str">
        <x:v>v1.13 global terminal expansion</x:v>
      </x:c>
      <x:c r="K181" s="102" t="str"/>
    </x:row>
    <x:row r="182">
      <x:c r="A182" s="102" t="str">
        <x:v>PORTG0125</x:v>
      </x:c>
      <x:c r="B182" s="102" t="str">
        <x:v>Port of Casablanca</x:v>
      </x:c>
      <x:c r="C182" s="102" t="str">
        <x:v>Morocco</x:v>
      </x:c>
      <x:c r="D182" s="102"/>
      <x:c r="E182" s="102"/>
      <x:c r="F182" s="102"/>
      <x:c r="G182" s="102"/>
      <x:c r="H182" s="102" t="str">
        <x:v>Port / harbour</x:v>
      </x:c>
      <x:c r="I182" s="102" t="str">
        <x:v>Parent port for canonical terminal model</x:v>
      </x:c>
      <x:c r="J182" s="102" t="str">
        <x:v>v1.13 global terminal expansion</x:v>
      </x:c>
      <x:c r="K182" s="102" t="str"/>
    </x:row>
    <x:row r="183">
      <x:c r="A183" s="102" t="str">
        <x:v>PORTG0126</x:v>
      </x:c>
      <x:c r="B183" s="102" t="str">
        <x:v>Port of Abidjan</x:v>
      </x:c>
      <x:c r="C183" s="102" t="str">
        <x:v>Côte d’Ivoire</x:v>
      </x:c>
      <x:c r="D183" s="102"/>
      <x:c r="E183" s="102"/>
      <x:c r="F183" s="102"/>
      <x:c r="G183" s="102"/>
      <x:c r="H183" s="102" t="str">
        <x:v>Port / harbour</x:v>
      </x:c>
      <x:c r="I183" s="102" t="str">
        <x:v>Parent port for canonical terminal model</x:v>
      </x:c>
      <x:c r="J183" s="102" t="str">
        <x:v>v1.13 global terminal expansion</x:v>
      </x:c>
      <x:c r="K183" s="102" t="str"/>
    </x:row>
    <x:row r="184">
      <x:c r="A184" s="102" t="str">
        <x:v>PORTG0127</x:v>
      </x:c>
      <x:c r="B184" s="102" t="str">
        <x:v>Port of Umm Qasr</x:v>
      </x:c>
      <x:c r="C184" s="102" t="str">
        <x:v>Iraq</x:v>
      </x:c>
      <x:c r="D184" s="102"/>
      <x:c r="E184" s="102"/>
      <x:c r="F184" s="102"/>
      <x:c r="G184" s="102"/>
      <x:c r="H184" s="102" t="str">
        <x:v>Port / harbour</x:v>
      </x:c>
      <x:c r="I184" s="102" t="str">
        <x:v>Parent port for canonical terminal model</x:v>
      </x:c>
      <x:c r="J184" s="102" t="str">
        <x:v>v1.13 global terminal expansion</x:v>
      </x:c>
      <x:c r="K184" s="102" t="str"/>
    </x:row>
    <x:row r="185">
      <x:c r="A185" s="102" t="str">
        <x:v>PORTG0128</x:v>
      </x:c>
      <x:c r="B185" s="102" t="str">
        <x:v>Port of Singapore</x:v>
      </x:c>
      <x:c r="C185" s="102" t="str">
        <x:v>Singapore</x:v>
      </x:c>
      <x:c r="D185" s="102"/>
      <x:c r="E185" s="102"/>
      <x:c r="F185" s="102"/>
      <x:c r="G185" s="102"/>
      <x:c r="H185" s="102" t="str">
        <x:v>Port / harbour</x:v>
      </x:c>
      <x:c r="I185" s="102" t="str">
        <x:v>Parent port for canonical terminal model</x:v>
      </x:c>
      <x:c r="J185" s="102" t="str">
        <x:v>v1.13 global terminal expansion</x:v>
      </x:c>
      <x:c r="K185" s="102" t="str"/>
    </x:row>
    <x:row r="186">
      <x:c r="A186" s="102" t="str">
        <x:v>PORTG0129</x:v>
      </x:c>
      <x:c r="B186" s="102" t="str">
        <x:v>PortMiami</x:v>
      </x:c>
      <x:c r="C186" s="102" t="str">
        <x:v>United States</x:v>
      </x:c>
      <x:c r="D186" s="102"/>
      <x:c r="E186" s="102"/>
      <x:c r="F186" s="102"/>
      <x:c r="G186" s="102"/>
      <x:c r="H186" s="102" t="str">
        <x:v>Port / harbour</x:v>
      </x:c>
      <x:c r="I186" s="102" t="str">
        <x:v>Parent port for canonical terminal model</x:v>
      </x:c>
      <x:c r="J186" s="102" t="str">
        <x:v>v1.13 global terminal expansion</x:v>
      </x:c>
      <x:c r="K186" s="102" t="str"/>
    </x:row>
    <x:row r="187">
      <x:c r="A187" s="102" t="str">
        <x:v>PORTG0130</x:v>
      </x:c>
      <x:c r="B187" s="102" t="str">
        <x:v>Port Houston</x:v>
      </x:c>
      <x:c r="C187" s="102" t="str">
        <x:v>United States</x:v>
      </x:c>
      <x:c r="D187" s="102"/>
      <x:c r="E187" s="102"/>
      <x:c r="F187" s="102"/>
      <x:c r="G187" s="102"/>
      <x:c r="H187" s="102" t="str">
        <x:v>Port / harbour</x:v>
      </x:c>
      <x:c r="I187" s="102" t="str">
        <x:v>Parent port for canonical terminal model</x:v>
      </x:c>
      <x:c r="J187" s="102" t="str">
        <x:v>v1.13 global terminal expansion</x:v>
      </x:c>
      <x:c r="K187" s="102" t="str"/>
    </x:row>
    <x:row r="188">
      <x:c r="A188" s="102" t="str">
        <x:v>PORTG0131</x:v>
      </x:c>
      <x:c r="B188" s="102" t="str">
        <x:v>Port of Kingston</x:v>
      </x:c>
      <x:c r="C188" s="102" t="str">
        <x:v>Jamaica</x:v>
      </x:c>
      <x:c r="D188" s="102"/>
      <x:c r="E188" s="102"/>
      <x:c r="F188" s="102"/>
      <x:c r="G188" s="102"/>
      <x:c r="H188" s="102" t="str">
        <x:v>Port / harbour</x:v>
      </x:c>
      <x:c r="I188" s="102" t="str">
        <x:v>Parent port for canonical terminal model</x:v>
      </x:c>
      <x:c r="J188" s="102" t="str">
        <x:v>v1.13 global terminal expansion</x:v>
      </x:c>
      <x:c r="K188" s="102" t="str"/>
    </x:row>
    <x:row r="189">
      <x:c r="A189" s="102" t="str">
        <x:v>PORTG0132</x:v>
      </x:c>
      <x:c r="B189" s="102" t="str">
        <x:v>Port of Long Beach</x:v>
      </x:c>
      <x:c r="C189" s="102" t="str">
        <x:v>United States</x:v>
      </x:c>
      <x:c r="D189" s="102"/>
      <x:c r="E189" s="102"/>
      <x:c r="F189" s="102"/>
      <x:c r="G189" s="102"/>
      <x:c r="H189" s="102" t="str">
        <x:v>Port / harbour</x:v>
      </x:c>
      <x:c r="I189" s="102" t="str">
        <x:v>Parent port for canonical terminal model</x:v>
      </x:c>
      <x:c r="J189" s="102" t="str">
        <x:v>v1.13 global terminal expansion</x:v>
      </x:c>
      <x:c r="K189" s="102" t="str"/>
    </x:row>
    <x:row r="190">
      <x:c r="A190" s="102" t="str">
        <x:v>PORTG0133</x:v>
      </x:c>
      <x:c r="B190" s="102" t="str">
        <x:v>King Abdullah Port</x:v>
      </x:c>
      <x:c r="C190" s="102" t="str">
        <x:v>Saudi Arabia</x:v>
      </x:c>
      <x:c r="D190" s="102"/>
      <x:c r="E190" s="102"/>
      <x:c r="F190" s="102"/>
      <x:c r="G190" s="102"/>
      <x:c r="H190" s="102" t="str">
        <x:v>Port / harbour</x:v>
      </x:c>
      <x:c r="I190" s="102" t="str">
        <x:v>Parent port for canonical terminal model</x:v>
      </x:c>
      <x:c r="J190" s="102" t="str">
        <x:v>v1.13 global terminal expansion</x:v>
      </x:c>
      <x:c r="K190" s="102" t="str"/>
    </x:row>
    <x:row r="191">
      <x:c r="A191" s="102" t="str">
        <x:v>PORTG0134</x:v>
      </x:c>
      <x:c r="B191" s="102" t="str">
        <x:v>Port of Navegantes</x:v>
      </x:c>
      <x:c r="C191" s="102" t="str">
        <x:v>Brazil</x:v>
      </x:c>
      <x:c r="D191" s="102"/>
      <x:c r="E191" s="102"/>
      <x:c r="F191" s="102"/>
      <x:c r="G191" s="102"/>
      <x:c r="H191" s="102" t="str">
        <x:v>Port / harbour</x:v>
      </x:c>
      <x:c r="I191" s="102" t="str">
        <x:v>Parent port for canonical terminal model</x:v>
      </x:c>
      <x:c r="J191" s="102" t="str">
        <x:v>v1.13 global terminal expansion</x:v>
      </x:c>
      <x:c r="K191" s="102" t="str"/>
    </x:row>
    <x:row r="192">
      <x:c r="A192" s="102" t="str">
        <x:v>PORTG0135</x:v>
      </x:c>
      <x:c r="B192" s="102" t="str">
        <x:v>Port of Lomé</x:v>
      </x:c>
      <x:c r="C192" s="102" t="str">
        <x:v>Togo</x:v>
      </x:c>
      <x:c r="D192" s="102"/>
      <x:c r="E192" s="102"/>
      <x:c r="F192" s="102"/>
      <x:c r="G192" s="102"/>
      <x:c r="H192" s="102" t="str">
        <x:v>Port / harbour</x:v>
      </x:c>
      <x:c r="I192" s="102" t="str">
        <x:v>Parent port for canonical terminal model</x:v>
      </x:c>
      <x:c r="J192" s="102" t="str">
        <x:v>v1.13 global terminal expansion</x:v>
      </x:c>
      <x:c r="K192" s="102" t="str"/>
    </x:row>
    <x:row r="193">
      <x:c r="A193" s="102" t="str">
        <x:v>PORTG0136</x:v>
      </x:c>
      <x:c r="B193" s="102" t="str">
        <x:v>Port Everglades</x:v>
      </x:c>
      <x:c r="C193" s="102" t="str">
        <x:v>United States</x:v>
      </x:c>
      <x:c r="D193" s="102"/>
      <x:c r="E193" s="102"/>
      <x:c r="F193" s="102"/>
      <x:c r="G193" s="102"/>
      <x:c r="H193" s="102" t="str">
        <x:v>Port / harbour</x:v>
      </x:c>
      <x:c r="I193" s="102" t="str">
        <x:v>Parent port for canonical terminal model</x:v>
      </x:c>
      <x:c r="J193" s="102" t="str">
        <x:v>v1.13 global terminal expansion</x:v>
      </x:c>
      <x:c r="K193" s="102" t="str"/>
    </x:row>
    <x:row r="194">
      <x:c r="A194" s="102" t="str">
        <x:v>PORTG0137</x:v>
      </x:c>
      <x:c r="B194" s="102" t="str">
        <x:v>Port of New Orleans</x:v>
      </x:c>
      <x:c r="C194" s="102" t="str">
        <x:v>United States</x:v>
      </x:c>
      <x:c r="D194" s="102"/>
      <x:c r="E194" s="102"/>
      <x:c r="F194" s="102"/>
      <x:c r="G194" s="102"/>
      <x:c r="H194" s="102" t="str">
        <x:v>Port / harbour</x:v>
      </x:c>
      <x:c r="I194" s="102" t="str">
        <x:v>Parent port for canonical terminal model</x:v>
      </x:c>
      <x:c r="J194" s="102" t="str">
        <x:v>v1.13 global terminal expansion</x:v>
      </x:c>
      <x:c r="K194" s="102" t="str"/>
    </x:row>
    <x:row r="195">
      <x:c r="A195" s="102" t="str">
        <x:v>PORTG0138</x:v>
      </x:c>
      <x:c r="B195" s="102" t="str">
        <x:v>Port of Seattle</x:v>
      </x:c>
      <x:c r="C195" s="102" t="str">
        <x:v>United States</x:v>
      </x:c>
      <x:c r="D195" s="102"/>
      <x:c r="E195" s="102"/>
      <x:c r="F195" s="102"/>
      <x:c r="G195" s="102"/>
      <x:c r="H195" s="102" t="str">
        <x:v>Port / harbour</x:v>
      </x:c>
      <x:c r="I195" s="102" t="str">
        <x:v>Parent port for canonical terminal model</x:v>
      </x:c>
      <x:c r="J195" s="102" t="str">
        <x:v>v1.13 global terminal expansion</x:v>
      </x:c>
      <x:c r="K195" s="102" t="str"/>
    </x:row>
    <x:row r="196">
      <x:c r="A196" s="102" t="str">
        <x:v>PORTG0139</x:v>
      </x:c>
      <x:c r="B196" s="102" t="str">
        <x:v>Sparrows Point / Baltimore</x:v>
      </x:c>
      <x:c r="C196" s="102" t="str">
        <x:v>United States</x:v>
      </x:c>
      <x:c r="D196" s="102"/>
      <x:c r="E196" s="102"/>
      <x:c r="F196" s="102"/>
      <x:c r="G196" s="102"/>
      <x:c r="H196" s="102" t="str">
        <x:v>Port / harbour</x:v>
      </x:c>
      <x:c r="I196" s="102" t="str">
        <x:v>Parent port for canonical terminal model</x:v>
      </x:c>
      <x:c r="J196" s="102" t="str">
        <x:v>v1.13 global terminal expansion</x:v>
      </x:c>
      <x:c r="K196" s="102" t="str"/>
    </x:row>
    <x:row r="197">
      <x:c r="A197" s="102" t="str">
        <x:v>PORTG0140</x:v>
      </x:c>
      <x:c r="B197" s="102" t="str">
        <x:v>Kamarajar / Ennore Port</x:v>
      </x:c>
      <x:c r="C197" s="102" t="str">
        <x:v>India</x:v>
      </x:c>
      <x:c r="D197" s="102"/>
      <x:c r="E197" s="102"/>
      <x:c r="F197" s="102"/>
      <x:c r="G197" s="102"/>
      <x:c r="H197" s="102" t="str">
        <x:v>Port / harbour</x:v>
      </x:c>
      <x:c r="I197" s="102" t="str">
        <x:v>Parent port for canonical terminal model</x:v>
      </x:c>
      <x:c r="J197" s="102" t="str">
        <x:v>v1.13 global terminal expansion</x:v>
      </x:c>
      <x:c r="K197" s="102" t="str"/>
    </x:row>
    <x:row r="198">
      <x:c r="A198" s="102" t="str">
        <x:v>PORTG0141</x:v>
      </x:c>
      <x:c r="B198" s="102" t="str">
        <x:v>Vizhinjam Port</x:v>
      </x:c>
      <x:c r="C198" s="102" t="str">
        <x:v>India</x:v>
      </x:c>
      <x:c r="D198" s="102"/>
      <x:c r="E198" s="102"/>
      <x:c r="F198" s="102"/>
      <x:c r="G198" s="102"/>
      <x:c r="H198" s="102" t="str">
        <x:v>Port / harbour</x:v>
      </x:c>
      <x:c r="I198" s="102" t="str">
        <x:v>Parent port for canonical terminal model</x:v>
      </x:c>
      <x:c r="J198" s="102" t="str">
        <x:v>v1.13 global terminal expansion</x:v>
      </x:c>
      <x:c r="K198" s="102" t="str"/>
    </x:row>
    <x:row r="199">
      <x:c r="A199" s="102" t="str">
        <x:v>PORTG0142</x:v>
      </x:c>
      <x:c r="B199" s="102" t="str">
        <x:v>Misurata Free Zone Port</x:v>
      </x:c>
      <x:c r="C199" s="102" t="str">
        <x:v>Libya</x:v>
      </x:c>
      <x:c r="D199" s="102"/>
      <x:c r="E199" s="102"/>
      <x:c r="F199" s="102"/>
      <x:c r="G199" s="102"/>
      <x:c r="H199" s="102" t="str">
        <x:v>Port / harbour</x:v>
      </x:c>
      <x:c r="I199" s="102" t="str">
        <x:v>Parent port for canonical terminal model</x:v>
      </x:c>
      <x:c r="J199" s="102" t="str">
        <x:v>v1.13 global terminal expansion</x:v>
      </x:c>
      <x:c r="K199" s="102" t="str"/>
    </x:row>
    <x:row r="200">
      <x:c r="A200" s="102" t="str">
        <x:v>PORTG0143</x:v>
      </x:c>
      <x:c r="B200" s="102" t="str">
        <x:v>Port of Gioia Tauro</x:v>
      </x:c>
      <x:c r="C200" s="102" t="str">
        <x:v>Italy</x:v>
      </x:c>
      <x:c r="D200" s="102"/>
      <x:c r="E200" s="102"/>
      <x:c r="F200" s="102"/>
      <x:c r="G200" s="102"/>
      <x:c r="H200" s="102" t="str">
        <x:v>Port / harbour</x:v>
      </x:c>
      <x:c r="I200" s="102" t="str">
        <x:v>Parent port for canonical terminal model</x:v>
      </x:c>
      <x:c r="J200" s="102" t="str">
        <x:v>v1.13 global terminal expansion</x:v>
      </x:c>
      <x:c r="K200" s="102" t="str"/>
    </x:row>
    <x:row r="201">
      <x:c r="A201" s="102" t="str">
        <x:v>PORTG0144</x:v>
      </x:c>
      <x:c r="B201" s="102" t="str">
        <x:v>Port of Trieste</x:v>
      </x:c>
      <x:c r="C201" s="102" t="str">
        <x:v>Italy</x:v>
      </x:c>
      <x:c r="D201" s="102"/>
      <x:c r="E201" s="102"/>
      <x:c r="F201" s="102"/>
      <x:c r="G201" s="102"/>
      <x:c r="H201" s="102" t="str">
        <x:v>Port / harbour</x:v>
      </x:c>
      <x:c r="I201" s="102" t="str">
        <x:v>Parent port for canonical terminal model</x:v>
      </x:c>
      <x:c r="J201" s="102" t="str">
        <x:v>v1.13 global terminal expansion</x:v>
      </x:c>
      <x:c r="K201" s="102" t="str"/>
    </x:row>
    <x:row r="202">
      <x:c r="A202" s="102" t="str">
        <x:v>PORTG0145</x:v>
      </x:c>
      <x:c r="B202" s="102" t="str">
        <x:v>Port of Sines</x:v>
      </x:c>
      <x:c r="C202" s="102" t="str">
        <x:v>Portugal</x:v>
      </x:c>
      <x:c r="D202" s="102"/>
      <x:c r="E202" s="102"/>
      <x:c r="F202" s="102"/>
      <x:c r="G202" s="102"/>
      <x:c r="H202" s="102" t="str">
        <x:v>Port / harbour</x:v>
      </x:c>
      <x:c r="I202" s="102" t="str">
        <x:v>Parent port for canonical terminal model</x:v>
      </x:c>
      <x:c r="J202" s="102" t="str">
        <x:v>v1.13 global terminal expansion</x:v>
      </x:c>
      <x:c r="K202" s="102" t="str"/>
    </x:row>
    <x:row r="203">
      <x:c r="A203" s="102" t="str">
        <x:v>PORTG0146</x:v>
      </x:c>
      <x:c r="B203" s="102" t="str">
        <x:v>Port of Tekirdağ</x:v>
      </x:c>
      <x:c r="C203" s="102" t="str">
        <x:v>Türkiye</x:v>
      </x:c>
      <x:c r="D203" s="102"/>
      <x:c r="E203" s="102"/>
      <x:c r="F203" s="102"/>
      <x:c r="G203" s="102"/>
      <x:c r="H203" s="102" t="str">
        <x:v>Port / harbour</x:v>
      </x:c>
      <x:c r="I203" s="102" t="str">
        <x:v>Parent port for canonical terminal model</x:v>
      </x:c>
      <x:c r="J203" s="102" t="str">
        <x:v>v1.13 global terminal expansion</x:v>
      </x:c>
      <x:c r="K203" s="102" t="str"/>
    </x:row>
    <x:row r="204">
      <x:c r="A204" s="102" t="str">
        <x:v>PORTG0147</x:v>
      </x:c>
      <x:c r="B204" s="102" t="str">
        <x:v>Port of San Pedro</x:v>
      </x:c>
      <x:c r="C204" s="102" t="str">
        <x:v>Côte d’Ivoire</x:v>
      </x:c>
      <x:c r="D204" s="102"/>
      <x:c r="E204" s="102"/>
      <x:c r="F204" s="102"/>
      <x:c r="G204" s="102"/>
      <x:c r="H204" s="102" t="str">
        <x:v>Port / harbour</x:v>
      </x:c>
      <x:c r="I204" s="102" t="str">
        <x:v>Parent port for canonical terminal model</x:v>
      </x:c>
      <x:c r="J204" s="102" t="str">
        <x:v>v1.13 global terminal expansion</x:v>
      </x:c>
      <x:c r="K204" s="102" t="str"/>
    </x:row>
    <x:row r="205">
      <x:c r="A205" s="102" t="str">
        <x:v>PORTG0148</x:v>
      </x:c>
      <x:c r="B205" s="102" t="str">
        <x:v>Colón</x:v>
      </x:c>
      <x:c r="C205" s="102" t="str">
        <x:v>Panama</x:v>
      </x:c>
      <x:c r="D205" s="102"/>
      <x:c r="E205" s="102"/>
      <x:c r="F205" s="102"/>
      <x:c r="G205" s="102"/>
      <x:c r="H205" s="102" t="str">
        <x:v>Port / harbour</x:v>
      </x:c>
      <x:c r="I205" s="102" t="str">
        <x:v>Parent port for canonical terminal model</x:v>
      </x:c>
      <x:c r="J205" s="102" t="str">
        <x:v>v1.13 global terminal expansion</x:v>
      </x:c>
      <x:c r="K205" s="102" t="str"/>
    </x:row>
    <x:row r="206">
      <x:c r="A206" s="102" t="str">
        <x:v>PORTG0149</x:v>
      </x:c>
      <x:c r="B206" s="102" t="str">
        <x:v>Port of Buenos Aires / Dock Sud</x:v>
      </x:c>
      <x:c r="C206" s="102" t="str">
        <x:v>Argentina</x:v>
      </x:c>
      <x:c r="D206" s="102"/>
      <x:c r="E206" s="102"/>
      <x:c r="F206" s="102"/>
      <x:c r="G206" s="102"/>
      <x:c r="H206" s="102" t="str">
        <x:v>Port / harbour</x:v>
      </x:c>
      <x:c r="I206" s="102" t="str">
        <x:v>Parent port for canonical terminal model</x:v>
      </x:c>
      <x:c r="J206" s="102" t="str">
        <x:v>v1.13 global terminal expansion</x:v>
      </x:c>
      <x:c r="K206" s="102" t="str"/>
    </x:row>
    <x:row r="207">
      <x:c r="A207" s="102" t="str">
        <x:v>PORTG0150</x:v>
      </x:c>
      <x:c r="B207" s="102" t="str">
        <x:v>Port of Ningbo-Zhoushan</x:v>
      </x:c>
      <x:c r="C207" s="102" t="str">
        <x:v>China</x:v>
      </x:c>
      <x:c r="D207" s="102"/>
      <x:c r="E207" s="102"/>
      <x:c r="F207" s="102"/>
      <x:c r="G207" s="102"/>
      <x:c r="H207" s="102" t="str">
        <x:v>Port / harbour</x:v>
      </x:c>
      <x:c r="I207" s="102" t="str">
        <x:v>Parent port for canonical terminal model</x:v>
      </x:c>
      <x:c r="J207" s="102" t="str">
        <x:v>v1.13 global terminal expansion</x:v>
      </x:c>
      <x:c r="K207" s="102" t="str"/>
    </x:row>
    <x:row r="208">
      <x:c r="A208" s="102" t="str">
        <x:v>PORTG0151</x:v>
      </x:c>
      <x:c r="B208" s="102" t="str">
        <x:v>Port of Lázaro Cárdenas</x:v>
      </x:c>
      <x:c r="C208" s="102" t="str">
        <x:v>Mexico</x:v>
      </x:c>
      <x:c r="D208" s="102"/>
      <x:c r="E208" s="102"/>
      <x:c r="F208" s="102"/>
      <x:c r="G208" s="102"/>
      <x:c r="H208" s="102" t="str">
        <x:v>Port / harbour</x:v>
      </x:c>
      <x:c r="I208" s="102" t="str">
        <x:v>Parent port for canonical terminal model</x:v>
      </x:c>
      <x:c r="J208" s="102" t="str">
        <x:v>v1.13 global terminal expansion</x:v>
      </x:c>
      <x:c r="K208" s="102" t="str"/>
    </x:row>
    <x:row r="209">
      <x:c r="A209" s="102" t="str">
        <x:v>PORTG0152</x:v>
      </x:c>
      <x:c r="B209" s="102" t="str">
        <x:v>Port of Suape</x:v>
      </x:c>
      <x:c r="C209" s="102" t="str">
        <x:v>Brazil</x:v>
      </x:c>
      <x:c r="D209" s="102"/>
      <x:c r="E209" s="102"/>
      <x:c r="F209" s="102"/>
      <x:c r="G209" s="102"/>
      <x:c r="H209" s="102" t="str">
        <x:v>Port / harbour</x:v>
      </x:c>
      <x:c r="I209" s="102" t="str">
        <x:v>Parent port for canonical terminal model</x:v>
      </x:c>
      <x:c r="J209" s="102" t="str">
        <x:v>v1.13 global terminal expansion</x:v>
      </x:c>
      <x:c r="K209" s="102" t="str"/>
    </x:row>
    <x:row r="210">
      <x:c r="A210" s="102" t="str">
        <x:v>PORTG0153</x:v>
      </x:c>
      <x:c r="B210" s="102" t="str">
        <x:v>Khalifa Bin Salman Port</x:v>
      </x:c>
      <x:c r="C210" s="102" t="str">
        <x:v>Bahrain</x:v>
      </x:c>
      <x:c r="D210" s="102"/>
      <x:c r="E210" s="102"/>
      <x:c r="F210" s="102"/>
      <x:c r="G210" s="102"/>
      <x:c r="H210" s="102" t="str">
        <x:v>Port / harbour</x:v>
      </x:c>
      <x:c r="I210" s="102" t="str">
        <x:v>Parent port for canonical terminal model</x:v>
      </x:c>
      <x:c r="J210" s="102" t="str">
        <x:v>v1.13 global terminal expansion</x:v>
      </x:c>
      <x:c r="K210" s="102" t="str"/>
    </x:row>
    <x:row r="211">
      <x:c r="A211" s="102" t="str">
        <x:v>PORTG0154</x:v>
      </x:c>
      <x:c r="B211" s="102" t="str">
        <x:v>Port of Pointe-Noire</x:v>
      </x:c>
      <x:c r="C211" s="102" t="str">
        <x:v>Congo</x:v>
      </x:c>
      <x:c r="D211" s="102"/>
      <x:c r="E211" s="102"/>
      <x:c r="F211" s="102"/>
      <x:c r="G211" s="102"/>
      <x:c r="H211" s="102" t="str">
        <x:v>Port / harbour</x:v>
      </x:c>
      <x:c r="I211" s="102" t="str">
        <x:v>Parent port for canonical terminal model</x:v>
      </x:c>
      <x:c r="J211" s="102" t="str">
        <x:v>v1.13 global terminal expansion</x:v>
      </x:c>
      <x:c r="K211" s="102" t="str"/>
    </x:row>
    <x:row r="212">
      <x:c r="A212" s="102" t="str">
        <x:v>PORTG0155</x:v>
      </x:c>
      <x:c r="B212" s="102" t="str">
        <x:v>Port of Abidjan</x:v>
      </x:c>
      <x:c r="C212" s="102" t="str">
        <x:v>Côte d'Ivoire</x:v>
      </x:c>
      <x:c r="D212" s="102"/>
      <x:c r="E212" s="102"/>
      <x:c r="F212" s="102"/>
      <x:c r="G212" s="102"/>
      <x:c r="H212" s="102" t="str">
        <x:v>Port / harbour</x:v>
      </x:c>
      <x:c r="I212" s="102" t="str">
        <x:v>Parent port for canonical terminal model</x:v>
      </x:c>
      <x:c r="J212" s="102" t="str">
        <x:v>v1.13 global terminal expansion</x:v>
      </x:c>
      <x:c r="K212" s="102" t="str"/>
    </x:row>
    <x:row r="213">
      <x:c r="A213" s="102" t="str">
        <x:v>PORTG0156</x:v>
      </x:c>
      <x:c r="B213" s="102" t="str">
        <x:v>Port of San Pedro</x:v>
      </x:c>
      <x:c r="C213" s="102" t="str">
        <x:v>Côte d'Ivoire</x:v>
      </x:c>
      <x:c r="D213" s="102"/>
      <x:c r="E213" s="102"/>
      <x:c r="F213" s="102"/>
      <x:c r="G213" s="102"/>
      <x:c r="H213" s="102" t="str">
        <x:v>Port / harbour</x:v>
      </x:c>
      <x:c r="I213" s="102" t="str">
        <x:v>Parent port for canonical terminal model</x:v>
      </x:c>
      <x:c r="J213" s="102" t="str">
        <x:v>v1.13 global terminal expansion</x:v>
      </x:c>
      <x:c r="K213" s="102" t="str"/>
    </x:row>
    <x:row r="214">
      <x:c r="A214" s="102" t="str">
        <x:v>PORTG0157</x:v>
      </x:c>
      <x:c r="B214" s="102" t="str">
        <x:v>Port Said East Port</x:v>
      </x:c>
      <x:c r="C214" s="102" t="str">
        <x:v>Egypt</x:v>
      </x:c>
      <x:c r="D214" s="102"/>
      <x:c r="E214" s="102"/>
      <x:c r="F214" s="102"/>
      <x:c r="G214" s="102"/>
      <x:c r="H214" s="102" t="str">
        <x:v>Port / harbour</x:v>
      </x:c>
      <x:c r="I214" s="102" t="str">
        <x:v>Parent port for canonical terminal model</x:v>
      </x:c>
      <x:c r="J214" s="102" t="str">
        <x:v>v1.13 global terminal expansion</x:v>
      </x:c>
      <x:c r="K214" s="102" t="str"/>
    </x:row>
    <x:row r="215">
      <x:c r="A215" s="102" t="str">
        <x:v>PORTG0158</x:v>
      </x:c>
      <x:c r="B215" s="102" t="str">
        <x:v>Port of Tema</x:v>
      </x:c>
      <x:c r="C215" s="102" t="str">
        <x:v>Ghana</x:v>
      </x:c>
      <x:c r="D215" s="102"/>
      <x:c r="E215" s="102"/>
      <x:c r="F215" s="102"/>
      <x:c r="G215" s="102"/>
      <x:c r="H215" s="102" t="str">
        <x:v>Port / harbour</x:v>
      </x:c>
      <x:c r="I215" s="102" t="str">
        <x:v>Parent port for canonical terminal model</x:v>
      </x:c>
      <x:c r="J215" s="102" t="str">
        <x:v>v1.13 global terminal expansion</x:v>
      </x:c>
      <x:c r="K215" s="102" t="str"/>
    </x:row>
    <x:row r="216">
      <x:c r="A216" s="102" t="str">
        <x:v>PORTG0159</x:v>
      </x:c>
      <x:c r="B216" s="102" t="str">
        <x:v>Freeport of Monrovia</x:v>
      </x:c>
      <x:c r="C216" s="102" t="str">
        <x:v>Liberia</x:v>
      </x:c>
      <x:c r="D216" s="102"/>
      <x:c r="E216" s="102"/>
      <x:c r="F216" s="102"/>
      <x:c r="G216" s="102"/>
      <x:c r="H216" s="102" t="str">
        <x:v>Port / harbour</x:v>
      </x:c>
      <x:c r="I216" s="102" t="str">
        <x:v>Parent port for canonical terminal model</x:v>
      </x:c>
      <x:c r="J216" s="102" t="str">
        <x:v>v1.13 global terminal expansion</x:v>
      </x:c>
      <x:c r="K216" s="102" t="str"/>
    </x:row>
    <x:row r="217">
      <x:c r="A217" s="102" t="str">
        <x:v>PORTG0160</x:v>
      </x:c>
      <x:c r="B217" s="102" t="str">
        <x:v>Lagos Port Complex / Apapa</x:v>
      </x:c>
      <x:c r="C217" s="102" t="str">
        <x:v>Nigeria</x:v>
      </x:c>
      <x:c r="D217" s="102"/>
      <x:c r="E217" s="102"/>
      <x:c r="F217" s="102"/>
      <x:c r="G217" s="102"/>
      <x:c r="H217" s="102" t="str">
        <x:v>Port / harbour</x:v>
      </x:c>
      <x:c r="I217" s="102" t="str">
        <x:v>Parent port for canonical terminal model</x:v>
      </x:c>
      <x:c r="J217" s="102" t="str">
        <x:v>v1.13 global terminal expansion</x:v>
      </x:c>
      <x:c r="K217" s="102" t="str"/>
    </x:row>
    <x:row r="218">
      <x:c r="A218" s="102" t="str">
        <x:v>PORTG0161</x:v>
      </x:c>
      <x:c r="B218" s="102" t="str">
        <x:v>Onne Port</x:v>
      </x:c>
      <x:c r="C218" s="102" t="str">
        <x:v>Nigeria</x:v>
      </x:c>
      <x:c r="D218" s="102"/>
      <x:c r="E218" s="102"/>
      <x:c r="F218" s="102"/>
      <x:c r="G218" s="102"/>
      <x:c r="H218" s="102" t="str">
        <x:v>Port / harbour</x:v>
      </x:c>
      <x:c r="I218" s="102" t="str">
        <x:v>Parent port for canonical terminal model</x:v>
      </x:c>
      <x:c r="J218" s="102" t="str">
        <x:v>v1.13 global terminal expansion</x:v>
      </x:c>
      <x:c r="K218" s="102" t="str"/>
    </x:row>
    <x:row r="219">
      <x:c r="A219" s="102" t="str">
        <x:v>PORTG0162</x:v>
      </x:c>
      <x:c r="B219" s="102" t="str">
        <x:v>Port of Salalah</x:v>
      </x:c>
      <x:c r="C219" s="102" t="str">
        <x:v>Oman</x:v>
      </x:c>
      <x:c r="D219" s="102"/>
      <x:c r="E219" s="102"/>
      <x:c r="F219" s="102"/>
      <x:c r="G219" s="102"/>
      <x:c r="H219" s="102" t="str">
        <x:v>Port / harbour</x:v>
      </x:c>
      <x:c r="I219" s="102" t="str">
        <x:v>Parent port for canonical terminal model</x:v>
      </x:c>
      <x:c r="J219" s="102" t="str">
        <x:v>v1.13 global terminal expansion</x:v>
      </x:c>
      <x:c r="K219" s="102" t="str"/>
    </x:row>
    <x:row r="220">
      <x:c r="A220" s="102" t="str">
        <x:v>PORTG0163</x:v>
      </x:c>
      <x:c r="B220" s="102" t="str">
        <x:v>Port of Guangzhou</x:v>
      </x:c>
      <x:c r="C220" s="102" t="str">
        <x:v>China</x:v>
      </x:c>
      <x:c r="D220" s="102"/>
      <x:c r="E220" s="102"/>
      <x:c r="F220" s="102"/>
      <x:c r="G220" s="102"/>
      <x:c r="H220" s="102" t="str">
        <x:v>Port / harbour</x:v>
      </x:c>
      <x:c r="I220" s="102" t="str">
        <x:v>Parent port for canonical terminal model</x:v>
      </x:c>
      <x:c r="J220" s="102" t="str">
        <x:v>v1.13 global terminal expansion</x:v>
      </x:c>
      <x:c r="K220" s="102" t="str"/>
    </x:row>
    <x:row r="221">
      <x:c r="A221" s="102" t="str">
        <x:v>PORTG0164</x:v>
      </x:c>
      <x:c r="B221" s="102" t="str">
        <x:v>Port of Shanghai</x:v>
      </x:c>
      <x:c r="C221" s="102" t="str">
        <x:v>China</x:v>
      </x:c>
      <x:c r="D221" s="102"/>
      <x:c r="E221" s="102"/>
      <x:c r="F221" s="102"/>
      <x:c r="G221" s="102"/>
      <x:c r="H221" s="102" t="str">
        <x:v>Port / harbour</x:v>
      </x:c>
      <x:c r="I221" s="102" t="str">
        <x:v>Parent port for canonical terminal model</x:v>
      </x:c>
      <x:c r="J221" s="102" t="str">
        <x:v>v1.13 global terminal expansion</x:v>
      </x:c>
      <x:c r="K221" s="102" t="str"/>
    </x:row>
    <x:row r="222">
      <x:c r="A222" s="102" t="str">
        <x:v>PORTG0165</x:v>
      </x:c>
      <x:c r="B222" s="102" t="str">
        <x:v>Port of Tianjin</x:v>
      </x:c>
      <x:c r="C222" s="102" t="str">
        <x:v>China</x:v>
      </x:c>
      <x:c r="D222" s="102"/>
      <x:c r="E222" s="102"/>
      <x:c r="F222" s="102"/>
      <x:c r="G222" s="102"/>
      <x:c r="H222" s="102" t="str">
        <x:v>Port / harbour</x:v>
      </x:c>
      <x:c r="I222" s="102" t="str">
        <x:v>Parent port for canonical terminal model</x:v>
      </x:c>
      <x:c r="J222" s="102" t="str">
        <x:v>v1.13 global terminal expansion</x:v>
      </x:c>
      <x:c r="K222" s="102" t="str"/>
    </x:row>
    <x:row r="223">
      <x:c r="A223" s="102" t="str">
        <x:v>PORTG0166</x:v>
      </x:c>
      <x:c r="B223" s="102" t="str">
        <x:v>Port of Xiamen</x:v>
      </x:c>
      <x:c r="C223" s="102" t="str">
        <x:v>China</x:v>
      </x:c>
      <x:c r="D223" s="102"/>
      <x:c r="E223" s="102"/>
      <x:c r="F223" s="102"/>
      <x:c r="G223" s="102"/>
      <x:c r="H223" s="102" t="str">
        <x:v>Port / harbour</x:v>
      </x:c>
      <x:c r="I223" s="102" t="str">
        <x:v>Parent port for canonical terminal model</x:v>
      </x:c>
      <x:c r="J223" s="102" t="str">
        <x:v>v1.13 global terminal expansion</x:v>
      </x:c>
      <x:c r="K223" s="102" t="str"/>
    </x:row>
    <x:row r="224">
      <x:c r="A224" s="102" t="str">
        <x:v>PORTG0167</x:v>
      </x:c>
      <x:c r="B224" s="102" t="str">
        <x:v>Port Pipavav</x:v>
      </x:c>
      <x:c r="C224" s="102" t="str">
        <x:v>India</x:v>
      </x:c>
      <x:c r="D224" s="102"/>
      <x:c r="E224" s="102"/>
      <x:c r="F224" s="102"/>
      <x:c r="G224" s="102"/>
      <x:c r="H224" s="102" t="str">
        <x:v>Port / harbour</x:v>
      </x:c>
      <x:c r="I224" s="102" t="str">
        <x:v>Parent port for canonical terminal model</x:v>
      </x:c>
      <x:c r="J224" s="102" t="str">
        <x:v>v1.13 global terminal expansion</x:v>
      </x:c>
      <x:c r="K224" s="102" t="str"/>
    </x:row>
    <x:row r="225">
      <x:c r="A225" s="102" t="str">
        <x:v>PORTG0168</x:v>
      </x:c>
      <x:c r="B225" s="102" t="str">
        <x:v>Port of Yokohama</x:v>
      </x:c>
      <x:c r="C225" s="102" t="str">
        <x:v>Japan</x:v>
      </x:c>
      <x:c r="D225" s="102"/>
      <x:c r="E225" s="102"/>
      <x:c r="F225" s="102"/>
      <x:c r="G225" s="102"/>
      <x:c r="H225" s="102" t="str">
        <x:v>Port / harbour</x:v>
      </x:c>
      <x:c r="I225" s="102" t="str">
        <x:v>Parent port for canonical terminal model</x:v>
      </x:c>
      <x:c r="J225" s="102" t="str">
        <x:v>v1.13 global terminal expansion</x:v>
      </x:c>
      <x:c r="K225" s="102" t="str"/>
    </x:row>
    <x:row r="226">
      <x:c r="A226" s="102" t="str">
        <x:v>PORTG0169</x:v>
      </x:c>
      <x:c r="B226" s="102" t="str">
        <x:v>Port of Tanjung Pelepas</x:v>
      </x:c>
      <x:c r="C226" s="102" t="str">
        <x:v>Malaysia</x:v>
      </x:c>
      <x:c r="D226" s="102"/>
      <x:c r="E226" s="102"/>
      <x:c r="F226" s="102"/>
      <x:c r="G226" s="102"/>
      <x:c r="H226" s="102" t="str">
        <x:v>Port / harbour</x:v>
      </x:c>
      <x:c r="I226" s="102" t="str">
        <x:v>Parent port for canonical terminal model</x:v>
      </x:c>
      <x:c r="J226" s="102" t="str">
        <x:v>v1.13 global terminal expansion</x:v>
      </x:c>
      <x:c r="K226" s="102" t="str"/>
    </x:row>
    <x:row r="227">
      <x:c r="A227" s="102" t="str">
        <x:v>PORTG0170</x:v>
      </x:c>
      <x:c r="B227" s="102" t="str">
        <x:v>Port of Colombo</x:v>
      </x:c>
      <x:c r="C227" s="102" t="str">
        <x:v>Sri Lanka</x:v>
      </x:c>
      <x:c r="D227" s="102"/>
      <x:c r="E227" s="102"/>
      <x:c r="F227" s="102"/>
      <x:c r="G227" s="102"/>
      <x:c r="H227" s="102" t="str">
        <x:v>Port / harbour</x:v>
      </x:c>
      <x:c r="I227" s="102" t="str">
        <x:v>Parent port for canonical terminal model</x:v>
      </x:c>
      <x:c r="J227" s="102" t="str">
        <x:v>v1.13 global terminal expansion</x:v>
      </x:c>
      <x:c r="K227" s="102" t="str"/>
    </x:row>
    <x:row r="228">
      <x:c r="A228" s="102" t="str">
        <x:v>PORTG0171</x:v>
      </x:c>
      <x:c r="B228" s="102" t="str">
        <x:v>Port of Rijeka</x:v>
      </x:c>
      <x:c r="C228" s="102" t="str">
        <x:v>Croatia</x:v>
      </x:c>
      <x:c r="D228" s="102"/>
      <x:c r="E228" s="102"/>
      <x:c r="F228" s="102"/>
      <x:c r="G228" s="102"/>
      <x:c r="H228" s="102" t="str">
        <x:v>Port / harbour</x:v>
      </x:c>
      <x:c r="I228" s="102" t="str">
        <x:v>Parent port for canonical terminal model</x:v>
      </x:c>
      <x:c r="J228" s="102" t="str">
        <x:v>v1.13 global terminal expansion</x:v>
      </x:c>
      <x:c r="K228" s="102" t="str"/>
    </x:row>
    <x:row r="229">
      <x:c r="A229" s="102" t="str">
        <x:v>PORTG0172</x:v>
      </x:c>
      <x:c r="B229" s="102" t="str">
        <x:v>Port of Aarhus</x:v>
      </x:c>
      <x:c r="C229" s="102" t="str">
        <x:v>Denmark</x:v>
      </x:c>
      <x:c r="D229" s="102"/>
      <x:c r="E229" s="102"/>
      <x:c r="F229" s="102"/>
      <x:c r="G229" s="102"/>
      <x:c r="H229" s="102" t="str">
        <x:v>Port / harbour</x:v>
      </x:c>
      <x:c r="I229" s="102" t="str">
        <x:v>Parent port for canonical terminal model</x:v>
      </x:c>
      <x:c r="J229" s="102" t="str">
        <x:v>v1.13 global terminal expansion</x:v>
      </x:c>
      <x:c r="K229" s="102" t="str"/>
    </x:row>
    <x:row r="230">
      <x:c r="A230" s="102" t="str">
        <x:v>PORTG0173</x:v>
      </x:c>
      <x:c r="B230" s="102" t="str">
        <x:v>Port of Kalundborg</x:v>
      </x:c>
      <x:c r="C230" s="102" t="str">
        <x:v>Denmark</x:v>
      </x:c>
      <x:c r="D230" s="102"/>
      <x:c r="E230" s="102"/>
      <x:c r="F230" s="102"/>
      <x:c r="G230" s="102"/>
      <x:c r="H230" s="102" t="str">
        <x:v>Port / harbour</x:v>
      </x:c>
      <x:c r="I230" s="102" t="str">
        <x:v>Parent port for canonical terminal model</x:v>
      </x:c>
      <x:c r="J230" s="102" t="str">
        <x:v>v1.13 global terminal expansion</x:v>
      </x:c>
      <x:c r="K230" s="102" t="str"/>
    </x:row>
    <x:row r="231">
      <x:c r="A231" s="102" t="str">
        <x:v>PORTG0174</x:v>
      </x:c>
      <x:c r="B231" s="102" t="str">
        <x:v>Port of Poti</x:v>
      </x:c>
      <x:c r="C231" s="102" t="str">
        <x:v>Georgia</x:v>
      </x:c>
      <x:c r="D231" s="102"/>
      <x:c r="E231" s="102"/>
      <x:c r="F231" s="102"/>
      <x:c r="G231" s="102"/>
      <x:c r="H231" s="102" t="str">
        <x:v>Port / harbour</x:v>
      </x:c>
      <x:c r="I231" s="102" t="str">
        <x:v>Parent port for canonical terminal model</x:v>
      </x:c>
      <x:c r="J231" s="102" t="str">
        <x:v>v1.13 global terminal expansion</x:v>
      </x:c>
      <x:c r="K231" s="102" t="str"/>
    </x:row>
    <x:row r="232">
      <x:c r="A232" s="102" t="str">
        <x:v>PORTG0175</x:v>
      </x:c>
      <x:c r="B232" s="102" t="str">
        <x:v>Port of Bremerhaven</x:v>
      </x:c>
      <x:c r="C232" s="102" t="str">
        <x:v>Germany</x:v>
      </x:c>
      <x:c r="D232" s="102"/>
      <x:c r="E232" s="102"/>
      <x:c r="F232" s="102"/>
      <x:c r="G232" s="102"/>
      <x:c r="H232" s="102" t="str">
        <x:v>Port / harbour</x:v>
      </x:c>
      <x:c r="I232" s="102" t="str">
        <x:v>Parent port for canonical terminal model</x:v>
      </x:c>
      <x:c r="J232" s="102" t="str">
        <x:v>v1.13 global terminal expansion</x:v>
      </x:c>
      <x:c r="K232" s="102" t="str"/>
    </x:row>
    <x:row r="233">
      <x:c r="A233" s="102" t="str">
        <x:v>PORTG0176</x:v>
      </x:c>
      <x:c r="B233" s="102" t="str">
        <x:v>Port of Vado Ligure</x:v>
      </x:c>
      <x:c r="C233" s="102" t="str">
        <x:v>Italy</x:v>
      </x:c>
      <x:c r="D233" s="102"/>
      <x:c r="E233" s="102"/>
      <x:c r="F233" s="102"/>
      <x:c r="G233" s="102"/>
      <x:c r="H233" s="102" t="str">
        <x:v>Port / harbour</x:v>
      </x:c>
      <x:c r="I233" s="102" t="str">
        <x:v>Parent port for canonical terminal model</x:v>
      </x:c>
      <x:c r="J233" s="102" t="str">
        <x:v>v1.13 global terminal expansion</x:v>
      </x:c>
      <x:c r="K233" s="102" t="str"/>
    </x:row>
    <x:row r="234">
      <x:c r="A234" s="102" t="str">
        <x:v>PORTG0177</x:v>
      </x:c>
      <x:c r="B234" s="102" t="str">
        <x:v>Port of Gijón</x:v>
      </x:c>
      <x:c r="C234" s="102" t="str">
        <x:v>Spain</x:v>
      </x:c>
      <x:c r="D234" s="102"/>
      <x:c r="E234" s="102"/>
      <x:c r="F234" s="102"/>
      <x:c r="G234" s="102"/>
      <x:c r="H234" s="102" t="str">
        <x:v>Port / harbour</x:v>
      </x:c>
      <x:c r="I234" s="102" t="str">
        <x:v>Parent port for canonical terminal model</x:v>
      </x:c>
      <x:c r="J234" s="102" t="str">
        <x:v>v1.13 global terminal expansion</x:v>
      </x:c>
      <x:c r="K234" s="102" t="str"/>
    </x:row>
    <x:row r="235">
      <x:c r="A235" s="102" t="str">
        <x:v>PORTG0178</x:v>
      </x:c>
      <x:c r="B235" s="102" t="str">
        <x:v>Port of Gothenburg</x:v>
      </x:c>
      <x:c r="C235" s="102" t="str">
        <x:v>Sweden</x:v>
      </x:c>
      <x:c r="D235" s="102"/>
      <x:c r="E235" s="102"/>
      <x:c r="F235" s="102"/>
      <x:c r="G235" s="102"/>
      <x:c r="H235" s="102" t="str">
        <x:v>Port / harbour</x:v>
      </x:c>
      <x:c r="I235" s="102" t="str">
        <x:v>Parent port for canonical terminal model</x:v>
      </x:c>
      <x:c r="J235" s="102" t="str">
        <x:v>v1.13 global terminal expansion</x:v>
      </x:c>
      <x:c r="K235" s="102" t="str"/>
    </x:row>
    <x:row r="236">
      <x:c r="A236" s="102" t="str">
        <x:v>PORTG0179</x:v>
      </x:c>
      <x:c r="B236" s="102" t="str">
        <x:v>Port of Aliağa / İzmir</x:v>
      </x:c>
      <x:c r="C236" s="102" t="str">
        <x:v>Turkey</x:v>
      </x:c>
      <x:c r="D236" s="102"/>
      <x:c r="E236" s="102"/>
      <x:c r="F236" s="102"/>
      <x:c r="G236" s="102"/>
      <x:c r="H236" s="102" t="str">
        <x:v>Port / harbour</x:v>
      </x:c>
      <x:c r="I236" s="102" t="str">
        <x:v>Parent port for canonical terminal model</x:v>
      </x:c>
      <x:c r="J236" s="102" t="str">
        <x:v>v1.13 global terminal expansion</x:v>
      </x:c>
      <x:c r="K236" s="102" t="str"/>
    </x:row>
    <x:row r="237">
      <x:c r="A237" s="102" t="str">
        <x:v>PORTG0180</x:v>
      </x:c>
      <x:c r="B237" s="102" t="str">
        <x:v>Port of Itapoá</x:v>
      </x:c>
      <x:c r="C237" s="102" t="str">
        <x:v>Brazil</x:v>
      </x:c>
      <x:c r="D237" s="102"/>
      <x:c r="E237" s="102"/>
      <x:c r="F237" s="102"/>
      <x:c r="G237" s="102"/>
      <x:c r="H237" s="102" t="str">
        <x:v>Port / harbour</x:v>
      </x:c>
      <x:c r="I237" s="102" t="str">
        <x:v>Parent port for canonical terminal model</x:v>
      </x:c>
      <x:c r="J237" s="102" t="str">
        <x:v>v1.13 global terminal expansion</x:v>
      </x:c>
      <x:c r="K237" s="102" t="str"/>
    </x:row>
    <x:row r="238">
      <x:c r="A238" s="102" t="str">
        <x:v>PORTG0181</x:v>
      </x:c>
      <x:c r="B238" s="102" t="str">
        <x:v>Port of Pecém</x:v>
      </x:c>
      <x:c r="C238" s="102" t="str">
        <x:v>Brazil</x:v>
      </x:c>
      <x:c r="D238" s="102"/>
      <x:c r="E238" s="102"/>
      <x:c r="F238" s="102"/>
      <x:c r="G238" s="102"/>
      <x:c r="H238" s="102" t="str">
        <x:v>Port / harbour</x:v>
      </x:c>
      <x:c r="I238" s="102" t="str">
        <x:v>Parent port for canonical terminal model</x:v>
      </x:c>
      <x:c r="J238" s="102" t="str">
        <x:v>v1.13 global terminal expansion</x:v>
      </x:c>
      <x:c r="K238" s="102" t="str"/>
    </x:row>
    <x:row r="239">
      <x:c r="A239" s="102" t="str">
        <x:v>PORTG0182</x:v>
      </x:c>
      <x:c r="B239" s="102" t="str">
        <x:v>Port of Buenaventura</x:v>
      </x:c>
      <x:c r="C239" s="102" t="str">
        <x:v>Colombia</x:v>
      </x:c>
      <x:c r="D239" s="102"/>
      <x:c r="E239" s="102"/>
      <x:c r="F239" s="102"/>
      <x:c r="G239" s="102"/>
      <x:c r="H239" s="102" t="str">
        <x:v>Port / harbour</x:v>
      </x:c>
      <x:c r="I239" s="102" t="str">
        <x:v>Parent port for canonical terminal model</x:v>
      </x:c>
      <x:c r="J239" s="102" t="str">
        <x:v>v1.13 global terminal expansion</x:v>
      </x:c>
      <x:c r="K239" s="102" t="str"/>
    </x:row>
    <x:row r="240">
      <x:c r="A240" s="102" t="str">
        <x:v>PORTG0183</x:v>
      </x:c>
      <x:c r="B240" s="102" t="str">
        <x:v>Port of Moín</x:v>
      </x:c>
      <x:c r="C240" s="102" t="str">
        <x:v>Costa Rica</x:v>
      </x:c>
      <x:c r="D240" s="102"/>
      <x:c r="E240" s="102"/>
      <x:c r="F240" s="102"/>
      <x:c r="G240" s="102"/>
      <x:c r="H240" s="102" t="str">
        <x:v>Port / harbour</x:v>
      </x:c>
      <x:c r="I240" s="102" t="str">
        <x:v>Parent port for canonical terminal model</x:v>
      </x:c>
      <x:c r="J240" s="102" t="str">
        <x:v>v1.13 global terminal expansion</x:v>
      </x:c>
      <x:c r="K240" s="102" t="str"/>
    </x:row>
    <x:row r="241">
      <x:c r="A241" s="102" t="str">
        <x:v>PORTG0184</x:v>
      </x:c>
      <x:c r="B241" s="102" t="str">
        <x:v>Puerto Quetzal</x:v>
      </x:c>
      <x:c r="C241" s="102" t="str">
        <x:v>Guatemala</x:v>
      </x:c>
      <x:c r="D241" s="102"/>
      <x:c r="E241" s="102"/>
      <x:c r="F241" s="102"/>
      <x:c r="G241" s="102"/>
      <x:c r="H241" s="102" t="str">
        <x:v>Port / harbour</x:v>
      </x:c>
      <x:c r="I241" s="102" t="str">
        <x:v>Parent port for canonical terminal model</x:v>
      </x:c>
      <x:c r="J241" s="102" t="str">
        <x:v>v1.13 global terminal expansion</x:v>
      </x:c>
      <x:c r="K241" s="102" t="str"/>
    </x:row>
    <x:row r="242">
      <x:c r="A242" s="102" t="str">
        <x:v>PORTG0185</x:v>
      </x:c>
      <x:c r="B242" s="102" t="str">
        <x:v>Port of Progreso</x:v>
      </x:c>
      <x:c r="C242" s="102" t="str">
        <x:v>Mexico</x:v>
      </x:c>
      <x:c r="D242" s="102"/>
      <x:c r="E242" s="102"/>
      <x:c r="F242" s="102"/>
      <x:c r="G242" s="102"/>
      <x:c r="H242" s="102" t="str">
        <x:v>Port / harbour</x:v>
      </x:c>
      <x:c r="I242" s="102" t="str">
        <x:v>Parent port for canonical terminal model</x:v>
      </x:c>
      <x:c r="J242" s="102" t="str">
        <x:v>v1.13 global terminal expansion</x:v>
      </x:c>
      <x:c r="K242" s="102" t="str"/>
    </x:row>
    <x:row r="243">
      <x:c r="A243" s="102" t="str">
        <x:v>PORTG0186</x:v>
      </x:c>
      <x:c r="B243" s="102" t="str">
        <x:v>Port of Mobile</x:v>
      </x:c>
      <x:c r="C243" s="102" t="str">
        <x:v>United States</x:v>
      </x:c>
      <x:c r="D243" s="102"/>
      <x:c r="E243" s="102"/>
      <x:c r="F243" s="102"/>
      <x:c r="G243" s="102"/>
      <x:c r="H243" s="102" t="str">
        <x:v>Port / harbour</x:v>
      </x:c>
      <x:c r="I243" s="102" t="str">
        <x:v>Parent port for canonical terminal model</x:v>
      </x:c>
      <x:c r="J243" s="102" t="str">
        <x:v>v1.13 global terminal expansion</x:v>
      </x:c>
      <x:c r="K243" s="102" t="str"/>
    </x:row>
    <x:row r="244">
      <x:c r="A244" s="102" t="str">
        <x:v>PORTG0187</x:v>
      </x:c>
      <x:c r="B244" s="102" t="str">
        <x:v>Port of Chattogram</x:v>
      </x:c>
      <x:c r="C244" s="102" t="str">
        <x:v>Bangladesh</x:v>
      </x:c>
      <x:c r="D244" s="102"/>
      <x:c r="E244" s="102"/>
      <x:c r="F244" s="102"/>
      <x:c r="G244" s="102"/>
      <x:c r="H244" s="102" t="str">
        <x:v>Port / harbour</x:v>
      </x:c>
      <x:c r="I244" s="102" t="str">
        <x:v>Parent port for canonical terminal model</x:v>
      </x:c>
      <x:c r="J244" s="102" t="str">
        <x:v>v1.13 global terminal expansion</x:v>
      </x:c>
      <x:c r="K244" s="102" t="str"/>
    </x:row>
    <x:row r="245">
      <x:c r="A245" s="102" t="str">
        <x:v>PORTG0188</x:v>
      </x:c>
      <x:c r="B245" s="102" t="str">
        <x:v>Lien Chieu Port</x:v>
      </x:c>
      <x:c r="C245" s="102" t="str">
        <x:v>Vietnam</x:v>
      </x:c>
      <x:c r="D245" s="102"/>
      <x:c r="E245" s="102"/>
      <x:c r="F245" s="102"/>
      <x:c r="G245" s="102"/>
      <x:c r="H245" s="102" t="str">
        <x:v>Port / harbour</x:v>
      </x:c>
      <x:c r="I245" s="102" t="str">
        <x:v>Parent port for canonical terminal model</x:v>
      </x:c>
      <x:c r="J245" s="102" t="str">
        <x:v>v1.13 global terminal expansion</x:v>
      </x:c>
      <x:c r="K245" s="102" t="str"/>
    </x:row>
    <x:row r="246">
      <x:c r="A246" s="102" t="str">
        <x:v>PORTG0189</x:v>
      </x:c>
      <x:c r="B246" s="102" t="str">
        <x:v>Port of Balboa</x:v>
      </x:c>
      <x:c r="C246" s="102" t="str">
        <x:v>Panama</x:v>
      </x:c>
      <x:c r="D246" s="102"/>
      <x:c r="E246" s="102"/>
      <x:c r="F246" s="102"/>
      <x:c r="G246" s="102"/>
      <x:c r="H246" s="102" t="str">
        <x:v>Port / harbour</x:v>
      </x:c>
      <x:c r="I246" s="102" t="str">
        <x:v>Parent port for canonical terminal model</x:v>
      </x:c>
      <x:c r="J246" s="102" t="str">
        <x:v>v1.13 global terminal expansion</x:v>
      </x:c>
      <x:c r="K246" s="102" t="str"/>
    </x:row>
    <x:row r="247">
      <x:c r="A247" s="102" t="str">
        <x:v>PORTG0190</x:v>
      </x:c>
      <x:c r="B247" s="102" t="str">
        <x:v>Lach Huyen / Haiphong Port</x:v>
      </x:c>
      <x:c r="C247" s="102" t="str">
        <x:v>Vietnam</x:v>
      </x:c>
      <x:c r="D247" s="102"/>
      <x:c r="E247" s="102"/>
      <x:c r="F247" s="102"/>
      <x:c r="G247" s="102"/>
      <x:c r="H247" s="102" t="str">
        <x:v>Port / harbour</x:v>
      </x:c>
      <x:c r="I247" s="102" t="str">
        <x:v>Parent port for canonical terminal model</x:v>
      </x:c>
      <x:c r="J247" s="102" t="str">
        <x:v>v1.13 global terminal expansion</x:v>
      </x:c>
      <x:c r="K247" s="102" t="str"/>
    </x:row>
  </x:sheetData>
  <x:pageMargins left="0.7" right="0.7" top="0.75" bottom="0.75" header="0.3" footer="0.3"/>
  <x:tableParts count="1">
    <x:tablePart xmlns:r="http://schemas.openxmlformats.org/officeDocument/2006/relationships" r:id="Ra0c9f297335143cb"/>
  </x:tableParts>
</x:worksheet>
</file>

<file path=xl/worksheets/sheet9.xml><?xml version="1.0" encoding="utf-8"?>
<x:worksheet xmlns:x="http://schemas.openxmlformats.org/spreadsheetml/2006/main">
  <x:sheetFormatPr defaultRowHeight="15"/>
  <x:cols>
    <x:col min="1" max="1" width="16" hidden="0" customWidth="1"/>
    <x:col min="2" max="2" width="27" hidden="0" customWidth="1"/>
    <x:col min="3" max="3" width="12" hidden="0" customWidth="1"/>
    <x:col min="4" max="4" width="20" hidden="0" customWidth="1"/>
    <x:col min="5" max="5" width="20" hidden="0" customWidth="1"/>
    <x:col min="6" max="6" width="22" hidden="0" customWidth="1"/>
    <x:col min="7" max="7" width="28" hidden="0" customWidth="1"/>
    <x:col min="8" max="8" width="16" hidden="0" customWidth="1"/>
    <x:col min="9" max="9" width="12" hidden="0" customWidth="1"/>
    <x:col min="10" max="10" width="14" hidden="0" customWidth="1"/>
    <x:col min="11" max="11" width="16" hidden="0" customWidth="1"/>
    <x:col min="12" max="12" width="14" hidden="0" customWidth="1"/>
    <x:col min="13" max="13" width="14" hidden="0" customWidth="1"/>
    <x:col min="14" max="14" width="18" hidden="0" customWidth="1"/>
    <x:col min="15" max="15" width="24" hidden="0" customWidth="1"/>
    <x:col min="16" max="16" width="22" hidden="0" customWidth="1"/>
    <x:col min="17" max="17" width="18" hidden="0" customWidth="1"/>
    <x:col min="18" max="18" width="14" hidden="0" customWidth="1"/>
    <x:col min="19" max="19" width="44" hidden="0" customWidth="1"/>
    <x:col min="20" max="20" width="14" hidden="0" customWidth="1"/>
    <x:col min="21" max="21" width="14" hidden="0" customWidth="1"/>
    <x:col min="22" max="22" width="12" hidden="0" customWidth="1"/>
    <x:col min="23" max="23" width="12" hidden="0" customWidth="1"/>
    <x:col min="24" max="24" width="14" hidden="0" customWidth="1"/>
    <x:col min="25" max="25" width="14" hidden="0" customWidth="1"/>
    <x:col min="26" max="26" width="28" hidden="0" customWidth="1"/>
    <x:col min="27" max="27" width="28" hidden="0" customWidth="1"/>
  </x:cols>
  <x:sheetData>
    <x:row r="1">
      <x:c r="A1" s="166" t="str">
        <x:v>Vessel ID</x:v>
      </x:c>
      <x:c r="B1" s="166" t="str">
        <x:v>Vessel Name</x:v>
      </x:c>
      <x:c r="C1" s="166" t="str">
        <x:v>IMO</x:v>
      </x:c>
      <x:c r="D1" s="166" t="str">
        <x:v>Owner Company ID</x:v>
      </x:c>
      <x:c r="E1" s="166" t="str">
        <x:v>Operator Company ID</x:v>
      </x:c>
      <x:c r="F1" s="166" t="str">
        <x:v>Vessel Type</x:v>
      </x:c>
      <x:c r="G1" s="166" t="str">
        <x:v>Subtype / Class</x:v>
      </x:c>
      <x:c r="H1" s="166" t="str">
        <x:v>Flag</x:v>
      </x:c>
      <x:c r="I1" s="166" t="str">
        <x:v>Year Built</x:v>
      </x:c>
      <x:c r="J1" s="166" t="str">
        <x:v>DWT</x:v>
      </x:c>
      <x:c r="K1" s="166" t="str">
        <x:v>Capacity</x:v>
      </x:c>
      <x:c r="L1" s="166" t="str">
        <x:v>Ramp Capacity</x:v>
      </x:c>
      <x:c r="M1" s="166" t="str">
        <x:v>Free Height</x:v>
      </x:c>
      <x:c r="N1" s="166" t="str">
        <x:v>Home Port</x:v>
      </x:c>
      <x:c r="O1" s="166" t="str">
        <x:v>Primary Service</x:v>
      </x:c>
      <x:c r="P1" s="166" t="str">
        <x:v>Fuel / Propulsion</x:v>
      </x:c>
      <x:c r="Q1" s="166" t="str">
        <x:v>Status</x:v>
      </x:c>
      <x:c r="R1" s="166" t="str">
        <x:v>Source ID</x:v>
      </x:c>
      <x:c r="S1" s="166" t="str">
        <x:v>Completeness Note</x:v>
      </x:c>
      <x:c r="T1" s="169" t="str">
        <x:v>Gross Tonnage (GT)</x:v>
      </x:c>
      <x:c r="U1" s="169" t="str">
        <x:v>Net Tonnage (NT)</x:v>
      </x:c>
      <x:c r="V1" s="169" t="str">
        <x:v>LOA (m)</x:v>
      </x:c>
      <x:c r="W1" s="169" t="str">
        <x:v>Beam (m)</x:v>
      </x:c>
      <x:c r="X1" s="169" t="str">
        <x:v>MMSI</x:v>
      </x:c>
      <x:c r="Y1" s="169" t="str">
        <x:v>Call Sign</x:v>
      </x:c>
      <x:c r="Z1" s="169" t="str">
        <x:v>Registered Owner (Legal)</x:v>
      </x:c>
      <x:c r="AA1" s="169" t="str">
        <x:v>Technical / ISM Manager</x:v>
      </x:c>
      <x:c r="AB1" s="165"/>
      <x:c r="AC1" s="165"/>
      <x:c r="AD1" s="165"/>
      <x:c r="AE1" s="165"/>
      <x:c r="AF1" s="165"/>
      <x:c r="AG1" s="165"/>
      <x:c r="AH1" s="165"/>
      <x:c r="AI1" s="165"/>
      <x:c r="AJ1" s="165"/>
      <x:c r="AK1" s="165"/>
      <x:c r="AL1" s="165"/>
      <x:c r="AM1" s="165"/>
      <x:c r="AN1" s="165"/>
      <x:c r="AO1" s="165"/>
      <x:c r="AP1" s="165"/>
      <x:c r="AQ1" s="165"/>
      <x:c r="AR1" s="165"/>
      <x:c r="AS1" s="165"/>
      <x:c r="AT1" s="165"/>
      <x:c r="AU1" s="165"/>
      <x:c r="AV1" s="165"/>
      <x:c r="AW1" s="165"/>
      <x:c r="AX1" s="165"/>
      <x:c r="AY1" s="165"/>
      <x:c r="AZ1" s="165"/>
    </x:row>
    <x:row r="2">
      <x:c r="A2" s="42" t="str">
        <x:v>VESSEL_00001</x:v>
      </x:c>
      <x:c r="B2" s="42" t="str">
        <x:v>UGR Al Samha</x:v>
      </x:c>
      <x:c r="C2" s="163" t="str">
        <x:v>9973444</x:v>
      </x:c>
      <x:c r="D2" s="42" t="str">
        <x:v>COMP_UGR</x:v>
      </x:c>
      <x:c r="E2" s="42" t="str">
        <x:v>COMP_UGR</x:v>
      </x:c>
      <x:c r="F2" s="42" t="str">
        <x:v>Ro-Ro / PCTC</x:v>
      </x:c>
      <x:c r="G2" s="42"/>
      <x:c r="H2" s="42"/>
      <x:c r="I2" s="42" t="n">
        <x:v>2025</x:v>
      </x:c>
      <x:c r="J2" s="42"/>
      <x:c r="K2" s="42"/>
      <x:c r="L2" s="42" t="str">
        <x:v>225 MT ramp</x:v>
      </x:c>
      <x:c r="M2" s="42" t="str">
        <x:v>5.40 m</x:v>
      </x:c>
      <x:c r="N2" s="42"/>
      <x:c r="O2" s="42"/>
      <x:c r="P2" s="42"/>
      <x:c r="Q2" s="42" t="str">
        <x:v>Operating</x:v>
      </x:c>
      <x:c r="R2" s="42" t="str">
        <x:v>SRC_0060</x:v>
      </x:c>
      <x:c r="S2" s="42" t="str">
        <x:v>Public company fleet page</x:v>
      </x:c>
      <x:c r="T2" s="102"/>
      <x:c r="U2" s="102"/>
      <x:c r="V2" s="102"/>
      <x:c r="W2" s="102"/>
      <x:c r="X2" s="110"/>
      <x:c r="Y2" s="102"/>
      <x:c r="Z2" s="102"/>
      <x:c r="AA2" s="102"/>
    </x:row>
    <x:row r="3">
      <x:c r="A3" s="42" t="str">
        <x:v>VESSEL_00002</x:v>
      </x:c>
      <x:c r="B3" s="42" t="str">
        <x:v>UGR Zakher</x:v>
      </x:c>
      <x:c r="C3" s="163" t="str">
        <x:v>9980411</x:v>
      </x:c>
      <x:c r="D3" s="42" t="str">
        <x:v>COMP_UGR</x:v>
      </x:c>
      <x:c r="E3" s="42" t="str">
        <x:v>COMP_UGR</x:v>
      </x:c>
      <x:c r="F3" s="42" t="str">
        <x:v>Ro-Ro / PCTC</x:v>
      </x:c>
      <x:c r="G3" s="42"/>
      <x:c r="H3" s="42"/>
      <x:c r="I3" s="42" t="n">
        <x:v>2025</x:v>
      </x:c>
      <x:c r="J3" s="42"/>
      <x:c r="K3" s="42"/>
      <x:c r="L3" s="42" t="str">
        <x:v>225 MT ramp</x:v>
      </x:c>
      <x:c r="M3" s="42" t="str">
        <x:v>5.40 m</x:v>
      </x:c>
      <x:c r="N3" s="42"/>
      <x:c r="O3" s="42"/>
      <x:c r="P3" s="42"/>
      <x:c r="Q3" s="42" t="str">
        <x:v>Operating</x:v>
      </x:c>
      <x:c r="R3" s="42" t="str">
        <x:v>SRC_0060</x:v>
      </x:c>
      <x:c r="S3" s="42" t="str">
        <x:v>Public company fleet page</x:v>
      </x:c>
      <x:c r="T3" s="102"/>
      <x:c r="U3" s="102"/>
      <x:c r="V3" s="102"/>
      <x:c r="W3" s="102"/>
      <x:c r="X3" s="110"/>
      <x:c r="Y3" s="102"/>
      <x:c r="Z3" s="102"/>
      <x:c r="AA3" s="102"/>
    </x:row>
    <x:row r="4">
      <x:c r="A4" s="42" t="str">
        <x:v>VESSEL_00003</x:v>
      </x:c>
      <x:c r="B4" s="42" t="str">
        <x:v>UGR Al Reef</x:v>
      </x:c>
      <x:c r="C4" s="163" t="str">
        <x:v>9448138</x:v>
      </x:c>
      <x:c r="D4" s="42" t="str">
        <x:v>COMP_UGR</x:v>
      </x:c>
      <x:c r="E4" s="42" t="str">
        <x:v>COMP_UGR</x:v>
      </x:c>
      <x:c r="F4" s="42" t="str">
        <x:v>Ro-Ro</x:v>
      </x:c>
      <x:c r="G4" s="42"/>
      <x:c r="H4" s="42"/>
      <x:c r="I4" s="42" t="n">
        <x:v>2010</x:v>
      </x:c>
      <x:c r="J4" s="42"/>
      <x:c r="K4" s="42"/>
      <x:c r="L4" s="42" t="str">
        <x:v>120 MT ramp</x:v>
      </x:c>
      <x:c r="M4" s="42" t="str">
        <x:v>5.3 m</x:v>
      </x:c>
      <x:c r="N4" s="42"/>
      <x:c r="O4" s="42"/>
      <x:c r="P4" s="42"/>
      <x:c r="Q4" s="42" t="str">
        <x:v>Operating</x:v>
      </x:c>
      <x:c r="R4" s="42" t="str">
        <x:v>SRC_0060</x:v>
      </x:c>
      <x:c r="S4" s="42" t="str">
        <x:v>Public company fleet page</x:v>
      </x:c>
      <x:c r="T4" s="102"/>
      <x:c r="U4" s="102"/>
      <x:c r="V4" s="102"/>
      <x:c r="W4" s="102"/>
      <x:c r="X4" s="110"/>
      <x:c r="Y4" s="102"/>
      <x:c r="Z4" s="102"/>
      <x:c r="AA4" s="102"/>
    </x:row>
    <x:row r="5">
      <x:c r="A5" s="42" t="str">
        <x:v>VESSEL_00004</x:v>
      </x:c>
      <x:c r="B5" s="42" t="str">
        <x:v>Al Jubail</x:v>
      </x:c>
      <x:c r="C5" s="163" t="str">
        <x:v>9547219</x:v>
      </x:c>
      <x:c r="D5" s="42" t="str">
        <x:v>COMP_UGR</x:v>
      </x:c>
      <x:c r="E5" s="42" t="str">
        <x:v>COMP_UGR</x:v>
      </x:c>
      <x:c r="F5" s="42" t="str">
        <x:v>Ro-Ro</x:v>
      </x:c>
      <x:c r="G5" s="42"/>
      <x:c r="H5" s="42"/>
      <x:c r="I5" s="42" t="n">
        <x:v>2014</x:v>
      </x:c>
      <x:c r="J5" s="42"/>
      <x:c r="K5" s="42"/>
      <x:c r="L5" s="42" t="str">
        <x:v>350 MT ramp</x:v>
      </x:c>
      <x:c r="M5" s="42" t="str">
        <x:v>7.0 m</x:v>
      </x:c>
      <x:c r="N5" s="42"/>
      <x:c r="O5" s="42"/>
      <x:c r="P5" s="42"/>
      <x:c r="Q5" s="42" t="str">
        <x:v>Operating</x:v>
      </x:c>
      <x:c r="R5" s="42" t="str">
        <x:v>SRC_0060</x:v>
      </x:c>
      <x:c r="S5" s="42" t="str">
        <x:v>Public company fleet page</x:v>
      </x:c>
      <x:c r="T5" s="102"/>
      <x:c r="U5" s="102"/>
      <x:c r="V5" s="102"/>
      <x:c r="W5" s="102"/>
      <x:c r="X5" s="110"/>
      <x:c r="Y5" s="102"/>
      <x:c r="Z5" s="102"/>
      <x:c r="AA5" s="102"/>
    </x:row>
    <x:row r="6">
      <x:c r="A6" s="42" t="str">
        <x:v>VESSEL_00005</x:v>
      </x:c>
      <x:c r="B6" s="42" t="str">
        <x:v>Ramhan</x:v>
      </x:c>
      <x:c r="C6" s="163" t="str">
        <x:v>9668960</x:v>
      </x:c>
      <x:c r="D6" s="42" t="str">
        <x:v>COMP_UGR</x:v>
      </x:c>
      <x:c r="E6" s="42" t="str">
        <x:v>COMP_UGR</x:v>
      </x:c>
      <x:c r="F6" s="42" t="str">
        <x:v>Ro-Ro</x:v>
      </x:c>
      <x:c r="G6" s="42"/>
      <x:c r="H6" s="42"/>
      <x:c r="I6" s="42" t="n">
        <x:v>2015</x:v>
      </x:c>
      <x:c r="J6" s="42"/>
      <x:c r="K6" s="42"/>
      <x:c r="L6" s="42" t="str">
        <x:v>350 MT ramp</x:v>
      </x:c>
      <x:c r="M6" s="42" t="str">
        <x:v>7.0 m</x:v>
      </x:c>
      <x:c r="N6" s="42"/>
      <x:c r="O6" s="42"/>
      <x:c r="P6" s="42"/>
      <x:c r="Q6" s="42" t="str">
        <x:v>Operating</x:v>
      </x:c>
      <x:c r="R6" s="42" t="str">
        <x:v>SRC_0060</x:v>
      </x:c>
      <x:c r="S6" s="42" t="str">
        <x:v>Public company fleet page</x:v>
      </x:c>
      <x:c r="T6" s="102"/>
      <x:c r="U6" s="102"/>
      <x:c r="V6" s="102"/>
      <x:c r="W6" s="102"/>
      <x:c r="X6" s="110"/>
      <x:c r="Y6" s="102"/>
      <x:c r="Z6" s="102"/>
      <x:c r="AA6" s="102"/>
    </x:row>
    <x:row r="7">
      <x:c r="A7" s="42" t="str">
        <x:v>VESSEL_00006</x:v>
      </x:c>
      <x:c r="B7" s="42" t="str">
        <x:v>UGR Arabian Gulf</x:v>
      </x:c>
      <x:c r="C7" s="163" t="str">
        <x:v>9431836</x:v>
      </x:c>
      <x:c r="D7" s="42" t="str">
        <x:v>COMP_UGR</x:v>
      </x:c>
      <x:c r="E7" s="42" t="str">
        <x:v>COMP_UGR</x:v>
      </x:c>
      <x:c r="F7" s="42" t="str">
        <x:v>Ro-Ro</x:v>
      </x:c>
      <x:c r="G7" s="42"/>
      <x:c r="H7" s="42"/>
      <x:c r="I7" s="42" t="n">
        <x:v>2010</x:v>
      </x:c>
      <x:c r="J7" s="42"/>
      <x:c r="K7" s="42"/>
      <x:c r="L7" s="42" t="str">
        <x:v>120 MT ramp</x:v>
      </x:c>
      <x:c r="M7" s="42" t="str">
        <x:v>5.3 m</x:v>
      </x:c>
      <x:c r="N7" s="42"/>
      <x:c r="O7" s="42"/>
      <x:c r="P7" s="42"/>
      <x:c r="Q7" s="42" t="str">
        <x:v>Operating</x:v>
      </x:c>
      <x:c r="R7" s="42" t="str">
        <x:v>SRC_0060</x:v>
      </x:c>
      <x:c r="S7" s="42" t="str">
        <x:v>Public company fleet page</x:v>
      </x:c>
      <x:c r="T7" s="102"/>
      <x:c r="U7" s="102"/>
      <x:c r="V7" s="102"/>
      <x:c r="W7" s="102"/>
      <x:c r="X7" s="110"/>
      <x:c r="Y7" s="102"/>
      <x:c r="Z7" s="102"/>
      <x:c r="AA7" s="102"/>
    </x:row>
    <x:row r="8">
      <x:c r="A8" s="42" t="str">
        <x:v>VESSEL_00007</x:v>
      </x:c>
      <x:c r="B8" s="42" t="str">
        <x:v>Erk İzmir</x:v>
      </x:c>
      <x:c r="C8" s="163" t="str">
        <x:v>9179983</x:v>
      </x:c>
      <x:c r="D8" s="42" t="str">
        <x:v>COMP_UGR</x:v>
      </x:c>
      <x:c r="E8" s="42" t="str">
        <x:v>COMP_UGR</x:v>
      </x:c>
      <x:c r="F8" s="42" t="str">
        <x:v>Ro-Ro</x:v>
      </x:c>
      <x:c r="G8" s="42"/>
      <x:c r="H8" s="42"/>
      <x:c r="I8" s="42" t="n">
        <x:v>1998</x:v>
      </x:c>
      <x:c r="J8" s="42"/>
      <x:c r="K8" s="42"/>
      <x:c r="L8" s="42" t="str">
        <x:v>5 MT ramp</x:v>
      </x:c>
      <x:c r="M8" s="42" t="str">
        <x:v>2.30 m</x:v>
      </x:c>
      <x:c r="N8" s="42"/>
      <x:c r="O8" s="42"/>
      <x:c r="P8" s="42"/>
      <x:c r="Q8" s="42" t="str">
        <x:v>Operating</x:v>
      </x:c>
      <x:c r="R8" s="42" t="str">
        <x:v>SRC_0060</x:v>
      </x:c>
      <x:c r="S8" s="42" t="str">
        <x:v>Public company fleet page</x:v>
      </x:c>
      <x:c r="T8" s="102"/>
      <x:c r="U8" s="102"/>
      <x:c r="V8" s="102"/>
      <x:c r="W8" s="102"/>
      <x:c r="X8" s="110"/>
      <x:c r="Y8" s="102"/>
      <x:c r="Z8" s="102"/>
      <x:c r="AA8" s="102"/>
    </x:row>
    <x:row r="9">
      <x:c r="A9" s="42" t="str">
        <x:v>VESSEL_00008</x:v>
      </x:c>
      <x:c r="B9" s="42" t="str">
        <x:v>Abu Samrah</x:v>
      </x:c>
      <x:c r="C9" s="163" t="str">
        <x:v>9925655</x:v>
      </x:c>
      <x:c r="D9" s="42" t="str">
        <x:v>COMP_UGR</x:v>
      </x:c>
      <x:c r="E9" s="42" t="str">
        <x:v>COMP_UGR</x:v>
      </x:c>
      <x:c r="F9" s="42" t="str">
        <x:v>Ro-Ro</x:v>
      </x:c>
      <x:c r="G9" s="42"/>
      <x:c r="H9" s="42"/>
      <x:c r="I9" s="42" t="n">
        <x:v>2023</x:v>
      </x:c>
      <x:c r="J9" s="42"/>
      <x:c r="K9" s="42"/>
      <x:c r="L9" s="42" t="str">
        <x:v>75 MT ramp</x:v>
      </x:c>
      <x:c r="M9" s="42" t="str">
        <x:v>7 m</x:v>
      </x:c>
      <x:c r="N9" s="42"/>
      <x:c r="O9" s="42"/>
      <x:c r="P9" s="42"/>
      <x:c r="Q9" s="42" t="str">
        <x:v>Operating</x:v>
      </x:c>
      <x:c r="R9" s="42" t="str">
        <x:v>SRC_0060</x:v>
      </x:c>
      <x:c r="S9" s="42" t="str">
        <x:v>Public company fleet page</x:v>
      </x:c>
      <x:c r="T9" s="102"/>
      <x:c r="U9" s="102"/>
      <x:c r="V9" s="102"/>
      <x:c r="W9" s="102"/>
      <x:c r="X9" s="110"/>
      <x:c r="Y9" s="102"/>
      <x:c r="Z9" s="102"/>
      <x:c r="AA9" s="102"/>
    </x:row>
    <x:row r="10">
      <x:c r="A10" s="42" t="str">
        <x:v>VESSEL_00009</x:v>
      </x:c>
      <x:c r="B10" s="42" t="str">
        <x:v>UGR İstanbul</x:v>
      </x:c>
      <x:c r="C10" s="163" t="str">
        <x:v>9179995</x:v>
      </x:c>
      <x:c r="D10" s="42" t="str">
        <x:v>COMP_UGR</x:v>
      </x:c>
      <x:c r="E10" s="42" t="str">
        <x:v>COMP_UGR</x:v>
      </x:c>
      <x:c r="F10" s="42" t="str">
        <x:v>Ro-Ro</x:v>
      </x:c>
      <x:c r="G10" s="42"/>
      <x:c r="H10" s="42"/>
      <x:c r="I10" s="42" t="n">
        <x:v>1999</x:v>
      </x:c>
      <x:c r="J10" s="42"/>
      <x:c r="K10" s="42"/>
      <x:c r="L10" s="42" t="str">
        <x:v>5 MT ramp</x:v>
      </x:c>
      <x:c r="M10" s="42" t="str">
        <x:v>2.30 m</x:v>
      </x:c>
      <x:c r="N10" s="42"/>
      <x:c r="O10" s="42"/>
      <x:c r="P10" s="42"/>
      <x:c r="Q10" s="42" t="str">
        <x:v>Operating</x:v>
      </x:c>
      <x:c r="R10" s="42" t="str">
        <x:v>SRC_0060</x:v>
      </x:c>
      <x:c r="S10" s="42" t="str">
        <x:v>Public company fleet page</x:v>
      </x:c>
      <x:c r="T10" s="102"/>
      <x:c r="U10" s="102"/>
      <x:c r="V10" s="102"/>
      <x:c r="W10" s="102"/>
      <x:c r="X10" s="110"/>
      <x:c r="Y10" s="102"/>
      <x:c r="Z10" s="102"/>
      <x:c r="AA10" s="102"/>
    </x:row>
    <x:row r="11">
      <x:c r="A11" s="42" t="str">
        <x:v>VESSEL_00010</x:v>
      </x:c>
      <x:c r="B11" s="42" t="str">
        <x:v>Saffet Bey</x:v>
      </x:c>
      <x:c r="C11" s="163" t="str">
        <x:v>8417118</x:v>
      </x:c>
      <x:c r="D11" s="42" t="str">
        <x:v>COMP_UGR</x:v>
      </x:c>
      <x:c r="E11" s="42" t="str">
        <x:v>COMP_UGR</x:v>
      </x:c>
      <x:c r="F11" s="42" t="str">
        <x:v>Ro-Ro</x:v>
      </x:c>
      <x:c r="G11" s="42"/>
      <x:c r="H11" s="42"/>
      <x:c r="I11" s="42" t="n">
        <x:v>1987</x:v>
      </x:c>
      <x:c r="J11" s="42"/>
      <x:c r="K11" s="42"/>
      <x:c r="L11" s="42" t="str">
        <x:v>50 MT ramp</x:v>
      </x:c>
      <x:c r="M11" s="42" t="str">
        <x:v>6.50 m</x:v>
      </x:c>
      <x:c r="N11" s="42"/>
      <x:c r="O11" s="42"/>
      <x:c r="P11" s="42"/>
      <x:c r="Q11" s="42" t="str">
        <x:v>Operating</x:v>
      </x:c>
      <x:c r="R11" s="42" t="str">
        <x:v>SRC_0060</x:v>
      </x:c>
      <x:c r="S11" s="42" t="str">
        <x:v>Public company fleet page</x:v>
      </x:c>
      <x:c r="T11" s="102"/>
      <x:c r="U11" s="102"/>
      <x:c r="V11" s="102"/>
      <x:c r="W11" s="102"/>
      <x:c r="X11" s="110"/>
      <x:c r="Y11" s="102"/>
      <x:c r="Z11" s="102"/>
      <x:c r="AA11" s="102"/>
    </x:row>
    <x:row r="12">
      <x:c r="A12" s="42" t="str">
        <x:v>VESSEL_00011</x:v>
      </x:c>
      <x:c r="B12" s="42" t="str">
        <x:v>Super Fast Baleares</x:v>
      </x:c>
      <x:c r="C12" s="163" t="str">
        <x:v>9398527</x:v>
      </x:c>
      <x:c r="D12" s="42" t="str">
        <x:v>COMP_UGR</x:v>
      </x:c>
      <x:c r="E12" s="42" t="str">
        <x:v>COMP_UGR</x:v>
      </x:c>
      <x:c r="F12" s="42" t="str">
        <x:v>Ro-Ro</x:v>
      </x:c>
      <x:c r="G12" s="42"/>
      <x:c r="H12" s="42"/>
      <x:c r="I12" s="42" t="n">
        <x:v>2010</x:v>
      </x:c>
      <x:c r="J12" s="42"/>
      <x:c r="K12" s="42"/>
      <x:c r="L12" s="42" t="str">
        <x:v>125 MT ramp</x:v>
      </x:c>
      <x:c r="M12" s="42" t="str">
        <x:v>6.9 m</x:v>
      </x:c>
      <x:c r="N12" s="42"/>
      <x:c r="O12" s="42"/>
      <x:c r="P12" s="42"/>
      <x:c r="Q12" s="42" t="str">
        <x:v>Operating</x:v>
      </x:c>
      <x:c r="R12" s="42" t="str">
        <x:v>SRC_0060</x:v>
      </x:c>
      <x:c r="S12" s="42" t="str">
        <x:v>Public company fleet page</x:v>
      </x:c>
      <x:c r="T12" s="102"/>
      <x:c r="U12" s="102"/>
      <x:c r="V12" s="102"/>
      <x:c r="W12" s="102"/>
      <x:c r="X12" s="110"/>
      <x:c r="Y12" s="102"/>
      <x:c r="Z12" s="102"/>
      <x:c r="AA12" s="102"/>
    </x:row>
    <x:row r="13">
      <x:c r="A13" s="42" t="str">
        <x:v>VESSEL_00012</x:v>
      </x:c>
      <x:c r="B13" s="42" t="str">
        <x:v>Chang Sheng Hong</x:v>
      </x:c>
      <x:c r="C13" s="163" t="str">
        <x:v>9177040</x:v>
      </x:c>
      <x:c r="D13" s="42" t="str">
        <x:v>COMP_UGR</x:v>
      </x:c>
      <x:c r="E13" s="42" t="str">
        <x:v>COMP_UGR</x:v>
      </x:c>
      <x:c r="F13" s="42" t="str">
        <x:v>Ro-Ro</x:v>
      </x:c>
      <x:c r="G13" s="42"/>
      <x:c r="H13" s="42"/>
      <x:c r="I13" s="42" t="n">
        <x:v>2000</x:v>
      </x:c>
      <x:c r="J13" s="42"/>
      <x:c r="K13" s="42"/>
      <x:c r="L13" s="42" t="str">
        <x:v>100 MT ramp</x:v>
      </x:c>
      <x:c r="M13" s="42" t="str">
        <x:v>5.1 m</x:v>
      </x:c>
      <x:c r="N13" s="42"/>
      <x:c r="O13" s="42"/>
      <x:c r="P13" s="42"/>
      <x:c r="Q13" s="42" t="str">
        <x:v>Operating</x:v>
      </x:c>
      <x:c r="R13" s="42" t="str">
        <x:v>SRC_0060</x:v>
      </x:c>
      <x:c r="S13" s="42" t="str">
        <x:v>Public company fleet page</x:v>
      </x:c>
      <x:c r="T13" s="102"/>
      <x:c r="U13" s="102"/>
      <x:c r="V13" s="102"/>
      <x:c r="W13" s="102"/>
      <x:c r="X13" s="110"/>
      <x:c r="Y13" s="102"/>
      <x:c r="Z13" s="102"/>
      <x:c r="AA13" s="102"/>
    </x:row>
    <x:row r="14">
      <x:c r="A14" s="42" t="str">
        <x:v>VESSEL_00013</x:v>
      </x:c>
      <x:c r="B14" s="42" t="str">
        <x:v>JINANAH</x:v>
      </x:c>
      <x:c r="C14" s="163" t="str">
        <x:v>9395343</x:v>
      </x:c>
      <x:c r="D14" s="42" t="str">
        <x:v>COMP_UGR</x:v>
      </x:c>
      <x:c r="E14" s="42" t="str">
        <x:v>COMP_UGR</x:v>
      </x:c>
      <x:c r="F14" s="42" t="str">
        <x:v>Ro-Ro</x:v>
      </x:c>
      <x:c r="G14" s="42"/>
      <x:c r="H14" s="42"/>
      <x:c r="I14" s="42" t="n">
        <x:v>2009</x:v>
      </x:c>
      <x:c r="J14" s="42"/>
      <x:c r="K14" s="42"/>
      <x:c r="L14" s="42" t="str">
        <x:v>225 MT ramp</x:v>
      </x:c>
      <x:c r="M14" s="42" t="str">
        <x:v>5.5 m</x:v>
      </x:c>
      <x:c r="N14" s="42"/>
      <x:c r="O14" s="42"/>
      <x:c r="P14" s="42"/>
      <x:c r="Q14" s="42" t="str">
        <x:v>Operating</x:v>
      </x:c>
      <x:c r="R14" s="42" t="str">
        <x:v>SRC_0060</x:v>
      </x:c>
      <x:c r="S14" s="42" t="str">
        <x:v>Public company fleet page</x:v>
      </x:c>
      <x:c r="T14" s="102"/>
      <x:c r="U14" s="102"/>
      <x:c r="V14" s="102"/>
      <x:c r="W14" s="102"/>
      <x:c r="X14" s="110"/>
      <x:c r="Y14" s="102"/>
      <x:c r="Z14" s="102"/>
      <x:c r="AA14" s="102"/>
    </x:row>
    <x:row r="15">
      <x:c r="A15" s="42" t="str">
        <x:v>VESSEL_00014</x:v>
      </x:c>
      <x:c r="B15" s="42" t="str">
        <x:v>SDERIA</x:v>
      </x:c>
      <x:c r="C15" s="163" t="str">
        <x:v>9395355</x:v>
      </x:c>
      <x:c r="D15" s="42" t="str">
        <x:v>COMP_UGR</x:v>
      </x:c>
      <x:c r="E15" s="42" t="str">
        <x:v>COMP_UGR</x:v>
      </x:c>
      <x:c r="F15" s="42" t="str">
        <x:v>Ro-Ro</x:v>
      </x:c>
      <x:c r="G15" s="42"/>
      <x:c r="H15" s="42"/>
      <x:c r="I15" s="42" t="n">
        <x:v>2010</x:v>
      </x:c>
      <x:c r="J15" s="42"/>
      <x:c r="K15" s="42"/>
      <x:c r="L15" s="42" t="str">
        <x:v>225 MT ramp</x:v>
      </x:c>
      <x:c r="M15" s="42" t="str">
        <x:v>5.5 m</x:v>
      </x:c>
      <x:c r="N15" s="42"/>
      <x:c r="O15" s="42"/>
      <x:c r="P15" s="42"/>
      <x:c r="Q15" s="42" t="str">
        <x:v>Operating</x:v>
      </x:c>
      <x:c r="R15" s="42" t="str">
        <x:v>SRC_0060</x:v>
      </x:c>
      <x:c r="S15" s="42" t="str">
        <x:v>Public company fleet page</x:v>
      </x:c>
      <x:c r="T15" s="102"/>
      <x:c r="U15" s="102"/>
      <x:c r="V15" s="102"/>
      <x:c r="W15" s="102"/>
      <x:c r="X15" s="110"/>
      <x:c r="Y15" s="102"/>
      <x:c r="Z15" s="102"/>
      <x:c r="AA15" s="102"/>
    </x:row>
    <x:row r="16">
      <x:c r="A16" s="42" t="str">
        <x:v>VESSEL_00015</x:v>
      </x:c>
      <x:c r="B16" s="42" t="str">
        <x:v>CMA CGM MONTE CRISTO</x:v>
      </x:c>
      <x:c r="C16" s="163" t="str">
        <x:v>1021051</x:v>
      </x:c>
      <x:c r="D16" s="42" t="str">
        <x:v>COMP_CMA_CGM</x:v>
      </x:c>
      <x:c r="E16" s="42" t="str">
        <x:v>COMP_CMA_CGM</x:v>
      </x:c>
      <x:c r="F16" s="42" t="str">
        <x:v>Container ship</x:v>
      </x:c>
      <x:c r="G16" s="42" t="str">
        <x:v>Methanol-capable new series</x:v>
      </x:c>
      <x:c r="H16" s="42"/>
      <x:c r="I16" s="42" t="str">
        <x:v>2026</x:v>
      </x:c>
      <x:c r="J16" s="42"/>
      <x:c r="K16" s="42"/>
      <x:c r="L16" s="42"/>
      <x:c r="M16" s="42"/>
      <x:c r="N16" s="42"/>
      <x:c r="O16" s="42"/>
      <x:c r="P16" s="42" t="str">
        <x:v>Methanol</x:v>
      </x:c>
      <x:c r="Q16" s="42" t="str">
        <x:v>Operating</x:v>
      </x:c>
      <x:c r="R16" s="42" t="str">
        <x:v>SRC_0045</x:v>
      </x:c>
      <x:c r="S16" s="42" t="str">
        <x:v>CMA CGM identified this as its 400th owned vessel and first of a new methanol-powered series.</x:v>
      </x:c>
      <x:c r="T16" s="102"/>
      <x:c r="U16" s="102"/>
      <x:c r="V16" s="102"/>
      <x:c r="W16" s="102"/>
      <x:c r="X16" s="110"/>
      <x:c r="Y16" s="102"/>
      <x:c r="Z16" s="102"/>
      <x:c r="AA16" s="102"/>
    </x:row>
    <x:row r="17">
      <x:c r="A17" s="102" t="str">
        <x:v>VESSEL_00016</x:v>
      </x:c>
      <x:c r="B17" s="102" t="str">
        <x:v>Al Sadaf</x:v>
      </x:c>
      <x:c r="C17" s="110" t="str">
        <x:v>9972957</x:v>
      </x:c>
      <x:c r="D17" s="102" t="str">
        <x:v>COMP_ADNOC_LS</x:v>
      </x:c>
      <x:c r="E17" s="102" t="str">
        <x:v>COMP_ADNOC_LS</x:v>
      </x:c>
      <x:c r="F17" s="102" t="str">
        <x:v>LNG carrier</x:v>
      </x:c>
      <x:c r="G17" s="102" t="str">
        <x:v>Hull 2703 / Jiangnan</x:v>
      </x:c>
      <x:c r="H17" s="102"/>
      <x:c r="I17" s="102"/>
      <x:c r="J17" s="102"/>
      <x:c r="K17" s="102" t="str">
        <x:v>175,000 m3</x:v>
      </x:c>
      <x:c r="L17" s="102"/>
      <x:c r="M17" s="102"/>
      <x:c r="N17" s="102"/>
      <x:c r="O17" s="102"/>
      <x:c r="P17" s="102" t="str">
        <x:v>LNG carrier / new-generation gas shipping</x:v>
      </x:c>
      <x:c r="Q17" s="102" t="str">
        <x:v>Operating</x:v>
      </x:c>
      <x:c r="R17" s="102" t="str">
        <x:v>SRC_0066</x:v>
      </x:c>
      <x:c r="S17" s="102" t="str">
        <x:v>ADNOC L&amp;S official fleet sheet; IMO and build year to be enriched.</x:v>
      </x:c>
      <x:c r="T17" s="102"/>
      <x:c r="U17" s="102"/>
      <x:c r="V17" s="102"/>
      <x:c r="W17" s="102"/>
      <x:c r="X17" s="110"/>
      <x:c r="Y17" s="102"/>
      <x:c r="Z17" s="102"/>
      <x:c r="AA17" s="102"/>
    </x:row>
    <x:row r="18">
      <x:c r="A18" s="102" t="str">
        <x:v>VESSEL_00017</x:v>
      </x:c>
      <x:c r="B18" s="102" t="str">
        <x:v>Arada</x:v>
      </x:c>
      <x:c r="C18" s="110" t="str">
        <x:v>9972969</x:v>
      </x:c>
      <x:c r="D18" s="102" t="str">
        <x:v>COMP_ADNOC_LS</x:v>
      </x:c>
      <x:c r="E18" s="102" t="str">
        <x:v>COMP_ADNOC_LS</x:v>
      </x:c>
      <x:c r="F18" s="102" t="str">
        <x:v>LNG carrier</x:v>
      </x:c>
      <x:c r="G18" s="102" t="str">
        <x:v>Hull 2704 / Jiangnan</x:v>
      </x:c>
      <x:c r="H18" s="102"/>
      <x:c r="I18" s="102"/>
      <x:c r="J18" s="102"/>
      <x:c r="K18" s="102" t="str">
        <x:v>175,000 m3</x:v>
      </x:c>
      <x:c r="L18" s="102"/>
      <x:c r="M18" s="102"/>
      <x:c r="N18" s="102"/>
      <x:c r="O18" s="102"/>
      <x:c r="P18" s="102" t="str">
        <x:v>LNG carrier / new-generation gas shipping</x:v>
      </x:c>
      <x:c r="Q18" s="102" t="str">
        <x:v>Operating</x:v>
      </x:c>
      <x:c r="R18" s="102" t="str">
        <x:v>SRC_0066</x:v>
      </x:c>
      <x:c r="S18" s="102" t="str">
        <x:v>ADNOC L&amp;S official fleet sheet; IMO and build year to be enriched.</x:v>
      </x:c>
      <x:c r="T18" s="102"/>
      <x:c r="U18" s="102"/>
      <x:c r="V18" s="102"/>
      <x:c r="W18" s="102"/>
      <x:c r="X18" s="110"/>
      <x:c r="Y18" s="102"/>
      <x:c r="Z18" s="102"/>
      <x:c r="AA18" s="102"/>
    </x:row>
    <x:row r="19">
      <x:c r="A19" s="102" t="str">
        <x:v>VESSEL_00018</x:v>
      </x:c>
      <x:c r="B19" s="102" t="str">
        <x:v>Al Taweelah</x:v>
      </x:c>
      <x:c r="C19" s="110" t="str">
        <x:v>9972971</x:v>
      </x:c>
      <x:c r="D19" s="102" t="str">
        <x:v>COMP_ADNOC_LS</x:v>
      </x:c>
      <x:c r="E19" s="102" t="str">
        <x:v>COMP_ADNOC_LS</x:v>
      </x:c>
      <x:c r="F19" s="102" t="str">
        <x:v>LNG carrier</x:v>
      </x:c>
      <x:c r="G19" s="102" t="str">
        <x:v>Hull 2705 / Jiangnan</x:v>
      </x:c>
      <x:c r="H19" s="102"/>
      <x:c r="I19" s="102"/>
      <x:c r="J19" s="102"/>
      <x:c r="K19" s="102" t="str">
        <x:v>175,000 m3</x:v>
      </x:c>
      <x:c r="L19" s="102"/>
      <x:c r="M19" s="102"/>
      <x:c r="N19" s="102"/>
      <x:c r="O19" s="102"/>
      <x:c r="P19" s="102" t="str">
        <x:v>LNG carrier / new-generation gas shipping</x:v>
      </x:c>
      <x:c r="Q19" s="102" t="str">
        <x:v>Operating</x:v>
      </x:c>
      <x:c r="R19" s="102" t="str">
        <x:v>SRC_0066</x:v>
      </x:c>
      <x:c r="S19" s="102" t="str">
        <x:v>ADNOC L&amp;S official fleet sheet; IMO and build year to be enriched.</x:v>
      </x:c>
      <x:c r="T19" s="102"/>
      <x:c r="U19" s="102"/>
      <x:c r="V19" s="102"/>
      <x:c r="W19" s="102"/>
      <x:c r="X19" s="110"/>
      <x:c r="Y19" s="102"/>
      <x:c r="Z19" s="102"/>
      <x:c r="AA19" s="102"/>
    </x:row>
    <x:row r="20">
      <x:c r="A20" s="102" t="str">
        <x:v>VESSEL_00019</x:v>
      </x:c>
      <x:c r="B20" s="102" t="str">
        <x:v>Al Hamra</x:v>
      </x:c>
      <x:c r="C20" s="110" t="str">
        <x:v>9074640</x:v>
      </x:c>
      <x:c r="D20" s="102" t="str">
        <x:v>COMP_ADNOC_LS</x:v>
      </x:c>
      <x:c r="E20" s="102" t="str">
        <x:v>COMP_ADNOC_LS</x:v>
      </x:c>
      <x:c r="F20" s="102" t="str">
        <x:v>LNG carrier</x:v>
      </x:c>
      <x:c r="G20" s="102"/>
      <x:c r="H20" s="102"/>
      <x:c r="I20" s="102"/>
      <x:c r="J20" s="102"/>
      <x:c r="K20" s="102" t="str">
        <x:v>137,000 m3</x:v>
      </x:c>
      <x:c r="L20" s="102"/>
      <x:c r="M20" s="102"/>
      <x:c r="N20" s="102"/>
      <x:c r="O20" s="102"/>
      <x:c r="P20" s="102" t="str">
        <x:v>LNG carrier / new-generation gas shipping</x:v>
      </x:c>
      <x:c r="Q20" s="102" t="str">
        <x:v>Operating</x:v>
      </x:c>
      <x:c r="R20" s="102" t="str">
        <x:v>SRC_0066</x:v>
      </x:c>
      <x:c r="S20" s="102" t="str">
        <x:v>ADNOC L&amp;S official fleet sheet; IMO and build year to be enriched.</x:v>
      </x:c>
      <x:c r="T20" s="102"/>
      <x:c r="U20" s="102"/>
      <x:c r="V20" s="102"/>
      <x:c r="W20" s="102"/>
      <x:c r="X20" s="110"/>
      <x:c r="Y20" s="102"/>
      <x:c r="Z20" s="102"/>
      <x:c r="AA20" s="102"/>
    </x:row>
    <x:row r="21">
      <x:c r="A21" s="102" t="str">
        <x:v>VESSEL_00020</x:v>
      </x:c>
      <x:c r="B21" s="102" t="str">
        <x:v>Al Rahba</x:v>
      </x:c>
      <x:c r="C21" s="110" t="str">
        <x:v>9965435</x:v>
      </x:c>
      <x:c r="D21" s="102" t="str">
        <x:v>COMP_ADNOC_LS</x:v>
      </x:c>
      <x:c r="E21" s="102" t="str">
        <x:v>COMP_ADNOC_LS</x:v>
      </x:c>
      <x:c r="F21" s="102" t="str">
        <x:v>LNG carrier</x:v>
      </x:c>
      <x:c r="G21" s="102"/>
      <x:c r="H21" s="102"/>
      <x:c r="I21" s="102"/>
      <x:c r="J21" s="102"/>
      <x:c r="K21" s="102" t="str">
        <x:v>175,000 m3</x:v>
      </x:c>
      <x:c r="L21" s="102"/>
      <x:c r="M21" s="102"/>
      <x:c r="N21" s="102"/>
      <x:c r="O21" s="102"/>
      <x:c r="P21" s="102" t="str">
        <x:v>LNG carrier / new-generation gas shipping</x:v>
      </x:c>
      <x:c r="Q21" s="102" t="str">
        <x:v>Operating</x:v>
      </x:c>
      <x:c r="R21" s="102" t="str">
        <x:v>SRC_0066</x:v>
      </x:c>
      <x:c r="S21" s="102" t="str">
        <x:v>ADNOC L&amp;S official fleet sheet; IMO and build year to be enriched.</x:v>
      </x:c>
      <x:c r="T21" s="102"/>
      <x:c r="U21" s="102"/>
      <x:c r="V21" s="102"/>
      <x:c r="W21" s="102"/>
      <x:c r="X21" s="110"/>
      <x:c r="Y21" s="102"/>
      <x:c r="Z21" s="102"/>
      <x:c r="AA21" s="102"/>
    </x:row>
    <x:row r="22">
      <x:c r="A22" s="102" t="str">
        <x:v>VESSEL_00021</x:v>
      </x:c>
      <x:c r="B22" s="102" t="str">
        <x:v>Al Reef</x:v>
      </x:c>
      <x:c r="C22" s="110" t="str">
        <x:v>9972945</x:v>
      </x:c>
      <x:c r="D22" s="102" t="str">
        <x:v>COMP_ADNOC_LS</x:v>
      </x:c>
      <x:c r="E22" s="102" t="str">
        <x:v>COMP_ADNOC_LS</x:v>
      </x:c>
      <x:c r="F22" s="102" t="str">
        <x:v>LNG carrier</x:v>
      </x:c>
      <x:c r="G22" s="102"/>
      <x:c r="H22" s="102"/>
      <x:c r="I22" s="102"/>
      <x:c r="J22" s="102"/>
      <x:c r="K22" s="102" t="str">
        <x:v>175,000 m3</x:v>
      </x:c>
      <x:c r="L22" s="102"/>
      <x:c r="M22" s="102"/>
      <x:c r="N22" s="102"/>
      <x:c r="O22" s="102"/>
      <x:c r="P22" s="102" t="str">
        <x:v>LNG carrier / new-generation gas shipping</x:v>
      </x:c>
      <x:c r="Q22" s="102" t="str">
        <x:v>Operating</x:v>
      </x:c>
      <x:c r="R22" s="102" t="str">
        <x:v>SRC_0066</x:v>
      </x:c>
      <x:c r="S22" s="102" t="str">
        <x:v>ADNOC L&amp;S official fleet sheet; IMO and build year to be enriched.</x:v>
      </x:c>
      <x:c r="T22" s="102"/>
      <x:c r="U22" s="102"/>
      <x:c r="V22" s="102"/>
      <x:c r="W22" s="102"/>
      <x:c r="X22" s="110"/>
      <x:c r="Y22" s="102"/>
      <x:c r="Z22" s="102"/>
      <x:c r="AA22" s="102"/>
    </x:row>
    <x:row r="23">
      <x:c r="A23" s="102" t="str">
        <x:v>VESSEL_00022</x:v>
      </x:c>
      <x:c r="B23" s="102" t="str">
        <x:v>Al Shelila</x:v>
      </x:c>
      <x:c r="C23" s="110" t="str">
        <x:v>9965423</x:v>
      </x:c>
      <x:c r="D23" s="102" t="str">
        <x:v>COMP_ADNOC_LS</x:v>
      </x:c>
      <x:c r="E23" s="102" t="str">
        <x:v>COMP_ADNOC_LS</x:v>
      </x:c>
      <x:c r="F23" s="102" t="str">
        <x:v>LNG carrier</x:v>
      </x:c>
      <x:c r="G23" s="102"/>
      <x:c r="H23" s="102"/>
      <x:c r="I23" s="102"/>
      <x:c r="J23" s="102"/>
      <x:c r="K23" s="102" t="str">
        <x:v>175,000 m3</x:v>
      </x:c>
      <x:c r="L23" s="102"/>
      <x:c r="M23" s="102"/>
      <x:c r="N23" s="102"/>
      <x:c r="O23" s="102"/>
      <x:c r="P23" s="102" t="str">
        <x:v>LNG carrier / new-generation gas shipping</x:v>
      </x:c>
      <x:c r="Q23" s="102" t="str">
        <x:v>Operating</x:v>
      </x:c>
      <x:c r="R23" s="102" t="str">
        <x:v>SRC_0066</x:v>
      </x:c>
      <x:c r="S23" s="102" t="str">
        <x:v>ADNOC L&amp;S official fleet sheet; IMO and build year to be enriched.</x:v>
      </x:c>
      <x:c r="T23" s="102"/>
      <x:c r="U23" s="102"/>
      <x:c r="V23" s="102"/>
      <x:c r="W23" s="102"/>
      <x:c r="X23" s="110"/>
      <x:c r="Y23" s="102"/>
      <x:c r="Z23" s="102"/>
      <x:c r="AA23" s="102"/>
    </x:row>
    <x:row r="24">
      <x:c r="A24" s="102" t="str">
        <x:v>VESSEL_00023</x:v>
      </x:c>
      <x:c r="B24" s="102" t="str">
        <x:v>Ish (FSU)</x:v>
      </x:c>
      <x:c r="C24" s="110" t="str">
        <x:v>9035864</x:v>
      </x:c>
      <x:c r="D24" s="102" t="str">
        <x:v>COMP_ADNOC_LS</x:v>
      </x:c>
      <x:c r="E24" s="102" t="str">
        <x:v>COMP_ADNOC_LS</x:v>
      </x:c>
      <x:c r="F24" s="102" t="str">
        <x:v>LNG carrier</x:v>
      </x:c>
      <x:c r="G24" s="102" t="str">
        <x:v>Floating storage use noted on fleet sheet</x:v>
      </x:c>
      <x:c r="H24" s="102"/>
      <x:c r="I24" s="102"/>
      <x:c r="J24" s="102"/>
      <x:c r="K24" s="102" t="str">
        <x:v>135,000 m3</x:v>
      </x:c>
      <x:c r="L24" s="102"/>
      <x:c r="M24" s="102"/>
      <x:c r="N24" s="102"/>
      <x:c r="O24" s="102"/>
      <x:c r="P24" s="102" t="str">
        <x:v>LNG carrier / new-generation gas shipping</x:v>
      </x:c>
      <x:c r="Q24" s="102" t="str">
        <x:v>Operating / FSU</x:v>
      </x:c>
      <x:c r="R24" s="102" t="str">
        <x:v>SRC_0066</x:v>
      </x:c>
      <x:c r="S24" s="102" t="str">
        <x:v>ADNOC L&amp;S official fleet sheet; IMO and build year to be enriched.</x:v>
      </x:c>
      <x:c r="T24" s="102"/>
      <x:c r="U24" s="102"/>
      <x:c r="V24" s="102"/>
      <x:c r="W24" s="102"/>
      <x:c r="X24" s="110"/>
      <x:c r="Y24" s="102"/>
      <x:c r="Z24" s="102"/>
      <x:c r="AA24" s="102"/>
    </x:row>
    <x:row r="25">
      <x:c r="A25" s="102" t="str">
        <x:v>VESSEL_00024</x:v>
      </x:c>
      <x:c r="B25" s="102" t="str">
        <x:v>Mraweh</x:v>
      </x:c>
      <x:c r="C25" s="110" t="str">
        <x:v>9074638</x:v>
      </x:c>
      <x:c r="D25" s="102" t="str">
        <x:v>COMP_ADNOC_LS</x:v>
      </x:c>
      <x:c r="E25" s="102" t="str">
        <x:v>COMP_ADNOC_LS</x:v>
      </x:c>
      <x:c r="F25" s="102" t="str">
        <x:v>LNG carrier</x:v>
      </x:c>
      <x:c r="G25" s="102"/>
      <x:c r="H25" s="102"/>
      <x:c r="I25" s="102"/>
      <x:c r="J25" s="102"/>
      <x:c r="K25" s="102" t="str">
        <x:v>137,000 m3</x:v>
      </x:c>
      <x:c r="L25" s="102"/>
      <x:c r="M25" s="102"/>
      <x:c r="N25" s="102"/>
      <x:c r="O25" s="102"/>
      <x:c r="P25" s="102" t="str">
        <x:v>LNG carrier / new-generation gas shipping</x:v>
      </x:c>
      <x:c r="Q25" s="102" t="str">
        <x:v>Operating</x:v>
      </x:c>
      <x:c r="R25" s="102" t="str">
        <x:v>SRC_0066</x:v>
      </x:c>
      <x:c r="S25" s="102" t="str">
        <x:v>ADNOC L&amp;S official fleet sheet; IMO and build year to be enriched.</x:v>
      </x:c>
      <x:c r="T25" s="102"/>
      <x:c r="U25" s="102"/>
      <x:c r="V25" s="102"/>
      <x:c r="W25" s="102"/>
      <x:c r="X25" s="110"/>
      <x:c r="Y25" s="102"/>
      <x:c r="Z25" s="102"/>
      <x:c r="AA25" s="102"/>
    </x:row>
    <x:row r="26">
      <x:c r="A26" s="102" t="str">
        <x:v>VESSEL_00025</x:v>
      </x:c>
      <x:c r="B26" s="102" t="str">
        <x:v>Mubaraz</x:v>
      </x:c>
      <x:c r="C26" s="110" t="str">
        <x:v>9074626</x:v>
      </x:c>
      <x:c r="D26" s="102" t="str">
        <x:v>COMP_ADNOC_LS</x:v>
      </x:c>
      <x:c r="E26" s="102" t="str">
        <x:v>COMP_ADNOC_LS</x:v>
      </x:c>
      <x:c r="F26" s="102" t="str">
        <x:v>LNG carrier</x:v>
      </x:c>
      <x:c r="G26" s="102"/>
      <x:c r="H26" s="102"/>
      <x:c r="I26" s="102"/>
      <x:c r="J26" s="102"/>
      <x:c r="K26" s="102" t="str">
        <x:v>137,000 m3</x:v>
      </x:c>
      <x:c r="L26" s="102"/>
      <x:c r="M26" s="102"/>
      <x:c r="N26" s="102"/>
      <x:c r="O26" s="102"/>
      <x:c r="P26" s="102" t="str">
        <x:v>LNG carrier / new-generation gas shipping</x:v>
      </x:c>
      <x:c r="Q26" s="102" t="str">
        <x:v>Operating</x:v>
      </x:c>
      <x:c r="R26" s="102" t="str">
        <x:v>SRC_0066</x:v>
      </x:c>
      <x:c r="S26" s="102" t="str">
        <x:v>ADNOC L&amp;S official fleet sheet; IMO and build year to be enriched.</x:v>
      </x:c>
      <x:c r="T26" s="102"/>
      <x:c r="U26" s="102"/>
      <x:c r="V26" s="102"/>
      <x:c r="W26" s="102"/>
      <x:c r="X26" s="110"/>
      <x:c r="Y26" s="102"/>
      <x:c r="Z26" s="102"/>
      <x:c r="AA26" s="102"/>
    </x:row>
    <x:row r="27">
      <x:c r="A27" s="102" t="str">
        <x:v>VESSEL_00026</x:v>
      </x:c>
      <x:c r="B27" s="102" t="str">
        <x:v>Shahamah</x:v>
      </x:c>
      <x:c r="C27" s="110" t="str">
        <x:v>9035852</x:v>
      </x:c>
      <x:c r="D27" s="102" t="str">
        <x:v>COMP_ADNOC_LS</x:v>
      </x:c>
      <x:c r="E27" s="102" t="str">
        <x:v>COMP_ADNOC_LS</x:v>
      </x:c>
      <x:c r="F27" s="102" t="str">
        <x:v>LNG carrier</x:v>
      </x:c>
      <x:c r="G27" s="102"/>
      <x:c r="H27" s="102"/>
      <x:c r="I27" s="102"/>
      <x:c r="J27" s="102"/>
      <x:c r="K27" s="102" t="str">
        <x:v>135,000 m3</x:v>
      </x:c>
      <x:c r="L27" s="102"/>
      <x:c r="M27" s="102"/>
      <x:c r="N27" s="102"/>
      <x:c r="O27" s="102"/>
      <x:c r="P27" s="102" t="str">
        <x:v>LNG carrier / new-generation gas shipping</x:v>
      </x:c>
      <x:c r="Q27" s="102" t="str">
        <x:v>Operating</x:v>
      </x:c>
      <x:c r="R27" s="102" t="str">
        <x:v>SRC_0066</x:v>
      </x:c>
      <x:c r="S27" s="102" t="str">
        <x:v>ADNOC L&amp;S official fleet sheet; IMO and build year to be enriched.</x:v>
      </x:c>
      <x:c r="T27" s="102"/>
      <x:c r="U27" s="102"/>
      <x:c r="V27" s="102"/>
      <x:c r="W27" s="102"/>
      <x:c r="X27" s="110"/>
      <x:c r="Y27" s="102"/>
      <x:c r="Z27" s="102"/>
      <x:c r="AA27" s="102"/>
    </x:row>
    <x:row r="28">
      <x:c r="A28" s="102" t="str">
        <x:v>VESSEL_00027</x:v>
      </x:c>
      <x:c r="B28" s="102" t="str">
        <x:v>Umm Al Ashtan</x:v>
      </x:c>
      <x:c r="C28" s="110" t="str">
        <x:v>9074652</x:v>
      </x:c>
      <x:c r="D28" s="102" t="str">
        <x:v>COMP_ADNOC_LS</x:v>
      </x:c>
      <x:c r="E28" s="102" t="str">
        <x:v>COMP_ADNOC_LS</x:v>
      </x:c>
      <x:c r="F28" s="102" t="str">
        <x:v>LNG carrier</x:v>
      </x:c>
      <x:c r="G28" s="102"/>
      <x:c r="H28" s="102"/>
      <x:c r="I28" s="102"/>
      <x:c r="J28" s="102"/>
      <x:c r="K28" s="102" t="str">
        <x:v>137,000 m3</x:v>
      </x:c>
      <x:c r="L28" s="102"/>
      <x:c r="M28" s="102"/>
      <x:c r="N28" s="102"/>
      <x:c r="O28" s="102"/>
      <x:c r="P28" s="102" t="str">
        <x:v>LNG carrier / new-generation gas shipping</x:v>
      </x:c>
      <x:c r="Q28" s="102" t="str">
        <x:v>Operating</x:v>
      </x:c>
      <x:c r="R28" s="102" t="str">
        <x:v>SRC_0066</x:v>
      </x:c>
      <x:c r="S28" s="102" t="str">
        <x:v>ADNOC L&amp;S official fleet sheet; IMO and build year to be enriched.</x:v>
      </x:c>
      <x:c r="T28" s="102"/>
      <x:c r="U28" s="102"/>
      <x:c r="V28" s="102"/>
      <x:c r="W28" s="102"/>
      <x:c r="X28" s="110"/>
      <x:c r="Y28" s="102"/>
      <x:c r="Z28" s="102"/>
      <x:c r="AA28" s="102"/>
    </x:row>
    <x:row r="29">
      <x:c r="A29" s="102" t="str">
        <x:v>VESSEL_00028</x:v>
      </x:c>
      <x:c r="B29" s="102" t="str">
        <x:v>Ruwais LNG H2711</x:v>
      </x:c>
      <x:c r="C29" s="110"/>
      <x:c r="D29" s="102" t="str">
        <x:v>COMP_ADNOC_LS</x:v>
      </x:c>
      <x:c r="E29" s="102" t="str">
        <x:v>COMP_ADNOC_LS</x:v>
      </x:c>
      <x:c r="F29" s="102" t="str">
        <x:v>LNG carrier</x:v>
      </x:c>
      <x:c r="G29" s="102" t="str">
        <x:v>Samsung Heavy Industries hull H2711</x:v>
      </x:c>
      <x:c r="H29" s="102"/>
      <x:c r="I29" s="102"/>
      <x:c r="J29" s="102"/>
      <x:c r="K29" s="102" t="str">
        <x:v>174,000 m3</x:v>
      </x:c>
      <x:c r="L29" s="102"/>
      <x:c r="M29" s="102"/>
      <x:c r="N29" s="102"/>
      <x:c r="O29" s="102"/>
      <x:c r="P29" s="102" t="str">
        <x:v>LNG carrier / new-generation gas shipping</x:v>
      </x:c>
      <x:c r="Q29" s="102" t="str">
        <x:v>On order / newbuild</x:v>
      </x:c>
      <x:c r="R29" s="102" t="str">
        <x:v>SRC_0066</x:v>
      </x:c>
      <x:c r="S29" s="102" t="str">
        <x:v>ADNOC L&amp;S official fleet sheet; IMO and build year to be enriched.</x:v>
      </x:c>
      <x:c r="T29" s="102"/>
      <x:c r="U29" s="102"/>
      <x:c r="V29" s="102"/>
      <x:c r="W29" s="102"/>
      <x:c r="X29" s="110"/>
      <x:c r="Y29" s="102"/>
      <x:c r="Z29" s="102"/>
      <x:c r="AA29" s="102"/>
    </x:row>
    <x:row r="30">
      <x:c r="A30" s="102" t="str">
        <x:v>VESSEL_00029</x:v>
      </x:c>
      <x:c r="B30" s="102" t="str">
        <x:v>Ruwais LNG H2712</x:v>
      </x:c>
      <x:c r="C30" s="110"/>
      <x:c r="D30" s="102" t="str">
        <x:v>COMP_ADNOC_LS</x:v>
      </x:c>
      <x:c r="E30" s="102" t="str">
        <x:v>COMP_ADNOC_LS</x:v>
      </x:c>
      <x:c r="F30" s="102" t="str">
        <x:v>LNG carrier</x:v>
      </x:c>
      <x:c r="G30" s="102" t="str">
        <x:v>Samsung Heavy Industries hull H2712</x:v>
      </x:c>
      <x:c r="H30" s="102"/>
      <x:c r="I30" s="102"/>
      <x:c r="J30" s="102"/>
      <x:c r="K30" s="102" t="str">
        <x:v>174,000 m3</x:v>
      </x:c>
      <x:c r="L30" s="102"/>
      <x:c r="M30" s="102"/>
      <x:c r="N30" s="102"/>
      <x:c r="O30" s="102"/>
      <x:c r="P30" s="102" t="str">
        <x:v>LNG carrier / new-generation gas shipping</x:v>
      </x:c>
      <x:c r="Q30" s="102" t="str">
        <x:v>On order / newbuild</x:v>
      </x:c>
      <x:c r="R30" s="102" t="str">
        <x:v>SRC_0066</x:v>
      </x:c>
      <x:c r="S30" s="102" t="str">
        <x:v>ADNOC L&amp;S official fleet sheet; IMO and build year to be enriched.</x:v>
      </x:c>
      <x:c r="T30" s="102"/>
      <x:c r="U30" s="102"/>
      <x:c r="V30" s="102"/>
      <x:c r="W30" s="102"/>
      <x:c r="X30" s="110"/>
      <x:c r="Y30" s="102"/>
      <x:c r="Z30" s="102"/>
      <x:c r="AA30" s="102"/>
    </x:row>
    <x:row r="31">
      <x:c r="A31" s="102" t="str">
        <x:v>VESSEL_00030</x:v>
      </x:c>
      <x:c r="B31" s="102" t="str">
        <x:v>Ruwais LNG H2713</x:v>
      </x:c>
      <x:c r="C31" s="110"/>
      <x:c r="D31" s="102" t="str">
        <x:v>COMP_ADNOC_LS</x:v>
      </x:c>
      <x:c r="E31" s="102" t="str">
        <x:v>COMP_ADNOC_LS</x:v>
      </x:c>
      <x:c r="F31" s="102" t="str">
        <x:v>LNG carrier</x:v>
      </x:c>
      <x:c r="G31" s="102" t="str">
        <x:v>Samsung Heavy Industries hull H2713</x:v>
      </x:c>
      <x:c r="H31" s="102"/>
      <x:c r="I31" s="102"/>
      <x:c r="J31" s="102"/>
      <x:c r="K31" s="102" t="str">
        <x:v>174,000 m3</x:v>
      </x:c>
      <x:c r="L31" s="102"/>
      <x:c r="M31" s="102"/>
      <x:c r="N31" s="102"/>
      <x:c r="O31" s="102"/>
      <x:c r="P31" s="102" t="str">
        <x:v>LNG carrier / new-generation gas shipping</x:v>
      </x:c>
      <x:c r="Q31" s="102" t="str">
        <x:v>On order / newbuild</x:v>
      </x:c>
      <x:c r="R31" s="102" t="str">
        <x:v>SRC_0066</x:v>
      </x:c>
      <x:c r="S31" s="102" t="str">
        <x:v>ADNOC L&amp;S official fleet sheet; IMO and build year to be enriched.</x:v>
      </x:c>
      <x:c r="T31" s="102"/>
      <x:c r="U31" s="102"/>
      <x:c r="V31" s="102"/>
      <x:c r="W31" s="102"/>
      <x:c r="X31" s="110"/>
      <x:c r="Y31" s="102"/>
      <x:c r="Z31" s="102"/>
      <x:c r="AA31" s="102"/>
    </x:row>
    <x:row r="32">
      <x:c r="A32" s="102" t="str">
        <x:v>VESSEL_00031</x:v>
      </x:c>
      <x:c r="B32" s="102" t="str">
        <x:v>Ruwais LNG H2714</x:v>
      </x:c>
      <x:c r="C32" s="110"/>
      <x:c r="D32" s="102" t="str">
        <x:v>COMP_ADNOC_LS</x:v>
      </x:c>
      <x:c r="E32" s="102" t="str">
        <x:v>COMP_ADNOC_LS</x:v>
      </x:c>
      <x:c r="F32" s="102" t="str">
        <x:v>LNG carrier</x:v>
      </x:c>
      <x:c r="G32" s="102" t="str">
        <x:v>Samsung Heavy Industries hull H2714</x:v>
      </x:c>
      <x:c r="H32" s="102"/>
      <x:c r="I32" s="102"/>
      <x:c r="J32" s="102"/>
      <x:c r="K32" s="102" t="str">
        <x:v>174,000 m3</x:v>
      </x:c>
      <x:c r="L32" s="102"/>
      <x:c r="M32" s="102"/>
      <x:c r="N32" s="102"/>
      <x:c r="O32" s="102"/>
      <x:c r="P32" s="102" t="str">
        <x:v>LNG carrier / new-generation gas shipping</x:v>
      </x:c>
      <x:c r="Q32" s="102" t="str">
        <x:v>On order / newbuild</x:v>
      </x:c>
      <x:c r="R32" s="102" t="str">
        <x:v>SRC_0066</x:v>
      </x:c>
      <x:c r="S32" s="102" t="str">
        <x:v>ADNOC L&amp;S official fleet sheet; IMO and build year to be enriched.</x:v>
      </x:c>
      <x:c r="T32" s="102"/>
      <x:c r="U32" s="102"/>
      <x:c r="V32" s="102"/>
      <x:c r="W32" s="102"/>
      <x:c r="X32" s="110"/>
      <x:c r="Y32" s="102"/>
      <x:c r="Z32" s="102"/>
      <x:c r="AA32" s="102"/>
    </x:row>
    <x:row r="33">
      <x:c r="A33" s="102" t="str">
        <x:v>VESSEL_00032</x:v>
      </x:c>
      <x:c r="B33" s="102" t="str">
        <x:v>Ruwais LNG H2598</x:v>
      </x:c>
      <x:c r="C33" s="110"/>
      <x:c r="D33" s="102" t="str">
        <x:v>COMP_ADNOC_LS</x:v>
      </x:c>
      <x:c r="E33" s="102" t="str">
        <x:v>COMP_ADNOC_LS</x:v>
      </x:c>
      <x:c r="F33" s="102" t="str">
        <x:v>LNG carrier</x:v>
      </x:c>
      <x:c r="G33" s="102" t="str">
        <x:v>Hanwha Ocean hull H2598</x:v>
      </x:c>
      <x:c r="H33" s="102"/>
      <x:c r="I33" s="102"/>
      <x:c r="J33" s="102"/>
      <x:c r="K33" s="102" t="str">
        <x:v>174,000 m3</x:v>
      </x:c>
      <x:c r="L33" s="102"/>
      <x:c r="M33" s="102"/>
      <x:c r="N33" s="102"/>
      <x:c r="O33" s="102"/>
      <x:c r="P33" s="102" t="str">
        <x:v>LNG carrier / new-generation gas shipping</x:v>
      </x:c>
      <x:c r="Q33" s="102" t="str">
        <x:v>On order / newbuild</x:v>
      </x:c>
      <x:c r="R33" s="102" t="str">
        <x:v>SRC_0066</x:v>
      </x:c>
      <x:c r="S33" s="102" t="str">
        <x:v>ADNOC L&amp;S official fleet sheet; IMO and build year to be enriched.</x:v>
      </x:c>
      <x:c r="T33" s="102"/>
      <x:c r="U33" s="102"/>
      <x:c r="V33" s="102"/>
      <x:c r="W33" s="102"/>
      <x:c r="X33" s="110"/>
      <x:c r="Y33" s="102"/>
      <x:c r="Z33" s="102"/>
      <x:c r="AA33" s="102"/>
    </x:row>
    <x:row r="34">
      <x:c r="A34" s="102" t="str">
        <x:v>VESSEL_00033</x:v>
      </x:c>
      <x:c r="B34" s="102" t="str">
        <x:v>Ruwais LNG H2599</x:v>
      </x:c>
      <x:c r="C34" s="110"/>
      <x:c r="D34" s="102" t="str">
        <x:v>COMP_ADNOC_LS</x:v>
      </x:c>
      <x:c r="E34" s="102" t="str">
        <x:v>COMP_ADNOC_LS</x:v>
      </x:c>
      <x:c r="F34" s="102" t="str">
        <x:v>LNG carrier</x:v>
      </x:c>
      <x:c r="G34" s="102" t="str">
        <x:v>Hanwha Ocean hull H2599</x:v>
      </x:c>
      <x:c r="H34" s="102"/>
      <x:c r="I34" s="102"/>
      <x:c r="J34" s="102"/>
      <x:c r="K34" s="102" t="str">
        <x:v>174,000 m3</x:v>
      </x:c>
      <x:c r="L34" s="102"/>
      <x:c r="M34" s="102"/>
      <x:c r="N34" s="102"/>
      <x:c r="O34" s="102"/>
      <x:c r="P34" s="102" t="str">
        <x:v>LNG carrier / new-generation gas shipping</x:v>
      </x:c>
      <x:c r="Q34" s="102" t="str">
        <x:v>On order / newbuild</x:v>
      </x:c>
      <x:c r="R34" s="102" t="str">
        <x:v>SRC_0066</x:v>
      </x:c>
      <x:c r="S34" s="102" t="str">
        <x:v>ADNOC L&amp;S official fleet sheet; IMO and build year to be enriched.</x:v>
      </x:c>
      <x:c r="T34" s="102"/>
      <x:c r="U34" s="102"/>
      <x:c r="V34" s="102"/>
      <x:c r="W34" s="102"/>
      <x:c r="X34" s="110"/>
      <x:c r="Y34" s="102"/>
      <x:c r="Z34" s="102"/>
      <x:c r="AA34" s="102"/>
    </x:row>
    <x:row r="35">
      <x:c r="A35" s="102" t="str">
        <x:v>VESSEL_00034</x:v>
      </x:c>
      <x:c r="B35" s="102" t="str">
        <x:v>Ruwais LNG H2600</x:v>
      </x:c>
      <x:c r="C35" s="110"/>
      <x:c r="D35" s="102" t="str">
        <x:v>COMP_ADNOC_LS</x:v>
      </x:c>
      <x:c r="E35" s="102" t="str">
        <x:v>COMP_ADNOC_LS</x:v>
      </x:c>
      <x:c r="F35" s="102" t="str">
        <x:v>LNG carrier</x:v>
      </x:c>
      <x:c r="G35" s="102" t="str">
        <x:v>Hanwha Ocean hull H2600</x:v>
      </x:c>
      <x:c r="H35" s="102"/>
      <x:c r="I35" s="102"/>
      <x:c r="J35" s="102"/>
      <x:c r="K35" s="102" t="str">
        <x:v>174,000 m3</x:v>
      </x:c>
      <x:c r="L35" s="102"/>
      <x:c r="M35" s="102"/>
      <x:c r="N35" s="102"/>
      <x:c r="O35" s="102"/>
      <x:c r="P35" s="102" t="str">
        <x:v>LNG carrier / new-generation gas shipping</x:v>
      </x:c>
      <x:c r="Q35" s="102" t="str">
        <x:v>On order / newbuild</x:v>
      </x:c>
      <x:c r="R35" s="102" t="str">
        <x:v>SRC_0066</x:v>
      </x:c>
      <x:c r="S35" s="102" t="str">
        <x:v>ADNOC L&amp;S official fleet sheet; IMO and build year to be enriched.</x:v>
      </x:c>
      <x:c r="T35" s="102"/>
      <x:c r="U35" s="102"/>
      <x:c r="V35" s="102"/>
      <x:c r="W35" s="102"/>
      <x:c r="X35" s="110"/>
      <x:c r="Y35" s="102"/>
      <x:c r="Z35" s="102"/>
      <x:c r="AA35" s="102"/>
    </x:row>
    <x:row r="36">
      <x:c r="A36" s="102" t="str">
        <x:v>VESSEL_00035</x:v>
      </x:c>
      <x:c r="B36" s="102" t="str">
        <x:v>Ruwais LNG H2601</x:v>
      </x:c>
      <x:c r="C36" s="110"/>
      <x:c r="D36" s="102" t="str">
        <x:v>COMP_ADNOC_LS</x:v>
      </x:c>
      <x:c r="E36" s="102" t="str">
        <x:v>COMP_ADNOC_LS</x:v>
      </x:c>
      <x:c r="F36" s="102" t="str">
        <x:v>LNG carrier</x:v>
      </x:c>
      <x:c r="G36" s="102" t="str">
        <x:v>Hanwha Ocean hull H2601</x:v>
      </x:c>
      <x:c r="H36" s="102"/>
      <x:c r="I36" s="102"/>
      <x:c r="J36" s="102"/>
      <x:c r="K36" s="102" t="str">
        <x:v>174,000 m3</x:v>
      </x:c>
      <x:c r="L36" s="102"/>
      <x:c r="M36" s="102"/>
      <x:c r="N36" s="102"/>
      <x:c r="O36" s="102"/>
      <x:c r="P36" s="102" t="str">
        <x:v>LNG carrier / new-generation gas shipping</x:v>
      </x:c>
      <x:c r="Q36" s="102" t="str">
        <x:v>On order / newbuild</x:v>
      </x:c>
      <x:c r="R36" s="102" t="str">
        <x:v>SRC_0066</x:v>
      </x:c>
      <x:c r="S36" s="102" t="str">
        <x:v>ADNOC L&amp;S official fleet sheet; IMO and build year to be enriched.</x:v>
      </x:c>
      <x:c r="T36" s="102"/>
      <x:c r="U36" s="102"/>
      <x:c r="V36" s="102"/>
      <x:c r="W36" s="102"/>
      <x:c r="X36" s="110"/>
      <x:c r="Y36" s="102"/>
      <x:c r="Z36" s="102"/>
      <x:c r="AA36" s="102"/>
    </x:row>
    <x:row r="37">
      <x:c r="A37" s="102" t="str">
        <x:v>VESSEL_00036</x:v>
      </x:c>
      <x:c r="B37" s="102" t="str">
        <x:v>Al Maryah</x:v>
      </x:c>
      <x:c r="C37" s="110" t="str">
        <x:v>9393682</x:v>
      </x:c>
      <x:c r="D37" s="102" t="str">
        <x:v>COMP_ADNOC_LS</x:v>
      </x:c>
      <x:c r="E37" s="102" t="str">
        <x:v>COMP_ADNOC_LS</x:v>
      </x:c>
      <x:c r="F37" s="102" t="str">
        <x:v>VLGC</x:v>
      </x:c>
      <x:c r="G37" s="102"/>
      <x:c r="H37" s="102"/>
      <x:c r="I37" s="102"/>
      <x:c r="J37" s="102"/>
      <x:c r="K37" s="102" t="str">
        <x:v>83,700 m3</x:v>
      </x:c>
      <x:c r="L37" s="102"/>
      <x:c r="M37" s="102"/>
      <x:c r="N37" s="102"/>
      <x:c r="O37" s="102"/>
      <x:c r="P37" s="102"/>
      <x:c r="Q37" s="102" t="str">
        <x:v>Operating</x:v>
      </x:c>
      <x:c r="R37" s="102" t="str">
        <x:v>SRC_0066</x:v>
      </x:c>
      <x:c r="S37" s="102" t="str">
        <x:v>Fleet-sheet capacity; ownership/operation assigned to AW Shipping where explicitly supported.</x:v>
      </x:c>
      <x:c r="T37" s="102"/>
      <x:c r="U37" s="102"/>
      <x:c r="V37" s="102"/>
      <x:c r="W37" s="102"/>
      <x:c r="X37" s="110"/>
      <x:c r="Y37" s="102"/>
      <x:c r="Z37" s="102"/>
      <x:c r="AA37" s="102"/>
    </x:row>
    <x:row r="38">
      <x:c r="A38" s="102" t="str">
        <x:v>VESSEL_00037</x:v>
      </x:c>
      <x:c r="B38" s="102" t="str">
        <x:v>AWS-Delma</x:v>
      </x:c>
      <x:c r="C38" s="110" t="str">
        <x:v>9719408</x:v>
      </x:c>
      <x:c r="D38" s="102" t="str">
        <x:v>COMP_AW_SHIPPING</x:v>
      </x:c>
      <x:c r="E38" s="102" t="str">
        <x:v>COMP_AW_SHIPPING</x:v>
      </x:c>
      <x:c r="F38" s="102" t="str">
        <x:v>VLGC</x:v>
      </x:c>
      <x:c r="G38" s="102"/>
      <x:c r="H38" s="102"/>
      <x:c r="I38" s="102"/>
      <x:c r="J38" s="102"/>
      <x:c r="K38" s="102" t="str">
        <x:v>84,000 m3</x:v>
      </x:c>
      <x:c r="L38" s="102"/>
      <x:c r="M38" s="102"/>
      <x:c r="N38" s="102"/>
      <x:c r="O38" s="102"/>
      <x:c r="P38" s="102"/>
      <x:c r="Q38" s="102" t="str">
        <x:v>Operating</x:v>
      </x:c>
      <x:c r="R38" s="102" t="str">
        <x:v>SRC_0066</x:v>
      </x:c>
      <x:c r="S38" s="102" t="str">
        <x:v>Fleet-sheet capacity; ownership/operation assigned to AW Shipping where explicitly supported.</x:v>
      </x:c>
      <x:c r="T38" s="102"/>
      <x:c r="U38" s="102"/>
      <x:c r="V38" s="102"/>
      <x:c r="W38" s="102"/>
      <x:c r="X38" s="110"/>
      <x:c r="Y38" s="102"/>
      <x:c r="Z38" s="102"/>
      <x:c r="AA38" s="102"/>
    </x:row>
    <x:row r="39">
      <x:c r="A39" s="102" t="str">
        <x:v>VESSEL_00038</x:v>
      </x:c>
      <x:c r="B39" s="102" t="str">
        <x:v>AWS-Al Ain</x:v>
      </x:c>
      <x:c r="C39" s="110" t="str">
        <x:v>9916812</x:v>
      </x:c>
      <x:c r="D39" s="102" t="str">
        <x:v>COMP_AW_SHIPPING</x:v>
      </x:c>
      <x:c r="E39" s="102" t="str">
        <x:v>COMP_AW_SHIPPING</x:v>
      </x:c>
      <x:c r="F39" s="102" t="str">
        <x:v>VLGC</x:v>
      </x:c>
      <x:c r="G39" s="102"/>
      <x:c r="H39" s="102"/>
      <x:c r="I39" s="102"/>
      <x:c r="J39" s="102"/>
      <x:c r="K39" s="102" t="str">
        <x:v>86,000 m3</x:v>
      </x:c>
      <x:c r="L39" s="102"/>
      <x:c r="M39" s="102"/>
      <x:c r="N39" s="102"/>
      <x:c r="O39" s="102"/>
      <x:c r="P39" s="102" t="str">
        <x:v>LPG dual fuel</x:v>
      </x:c>
      <x:c r="Q39" s="102" t="str">
        <x:v>Operating</x:v>
      </x:c>
      <x:c r="R39" s="102" t="str">
        <x:v>SRC_0066</x:v>
      </x:c>
      <x:c r="S39" s="102" t="str">
        <x:v>Fleet-sheet capacity; ownership/operation assigned to AW Shipping where explicitly supported.</x:v>
      </x:c>
      <x:c r="T39" s="102"/>
      <x:c r="U39" s="102"/>
      <x:c r="V39" s="102"/>
      <x:c r="W39" s="102"/>
      <x:c r="X39" s="110"/>
      <x:c r="Y39" s="102"/>
      <x:c r="Z39" s="102"/>
      <x:c r="AA39" s="102"/>
    </x:row>
    <x:row r="40">
      <x:c r="A40" s="102" t="str">
        <x:v>VESSEL_00039</x:v>
      </x:c>
      <x:c r="B40" s="102" t="str">
        <x:v>AWS-Zakher</x:v>
      </x:c>
      <x:c r="C40" s="110" t="str">
        <x:v>9916824</x:v>
      </x:c>
      <x:c r="D40" s="102" t="str">
        <x:v>COMP_AW_SHIPPING</x:v>
      </x:c>
      <x:c r="E40" s="102" t="str">
        <x:v>COMP_AW_SHIPPING</x:v>
      </x:c>
      <x:c r="F40" s="102" t="str">
        <x:v>VLGC</x:v>
      </x:c>
      <x:c r="G40" s="102"/>
      <x:c r="H40" s="102"/>
      <x:c r="I40" s="102"/>
      <x:c r="J40" s="102"/>
      <x:c r="K40" s="102" t="str">
        <x:v>86,000 m3</x:v>
      </x:c>
      <x:c r="L40" s="102"/>
      <x:c r="M40" s="102"/>
      <x:c r="N40" s="102"/>
      <x:c r="O40" s="102"/>
      <x:c r="P40" s="102" t="str">
        <x:v>LPG dual fuel</x:v>
      </x:c>
      <x:c r="Q40" s="102" t="str">
        <x:v>Operating</x:v>
      </x:c>
      <x:c r="R40" s="102" t="str">
        <x:v>SRC_0066</x:v>
      </x:c>
      <x:c r="S40" s="102" t="str">
        <x:v>Fleet-sheet capacity; ownership/operation assigned to AW Shipping where explicitly supported.</x:v>
      </x:c>
      <x:c r="T40" s="102"/>
      <x:c r="U40" s="102"/>
      <x:c r="V40" s="102"/>
      <x:c r="W40" s="102"/>
      <x:c r="X40" s="110"/>
      <x:c r="Y40" s="102"/>
      <x:c r="Z40" s="102"/>
      <x:c r="AA40" s="102"/>
    </x:row>
    <x:row r="41">
      <x:c r="A41" s="102" t="str">
        <x:v>VESSEL_00040</x:v>
      </x:c>
      <x:c r="B41" s="102" t="str">
        <x:v>AWS-Rabdan</x:v>
      </x:c>
      <x:c r="C41" s="110" t="str">
        <x:v>9916836</x:v>
      </x:c>
      <x:c r="D41" s="102" t="str">
        <x:v>COMP_AW_SHIPPING</x:v>
      </x:c>
      <x:c r="E41" s="102" t="str">
        <x:v>COMP_AW_SHIPPING</x:v>
      </x:c>
      <x:c r="F41" s="102" t="str">
        <x:v>VLGC</x:v>
      </x:c>
      <x:c r="G41" s="102"/>
      <x:c r="H41" s="102"/>
      <x:c r="I41" s="102"/>
      <x:c r="J41" s="102"/>
      <x:c r="K41" s="102" t="str">
        <x:v>86,000 m3</x:v>
      </x:c>
      <x:c r="L41" s="102"/>
      <x:c r="M41" s="102"/>
      <x:c r="N41" s="102"/>
      <x:c r="O41" s="102"/>
      <x:c r="P41" s="102" t="str">
        <x:v>LPG dual fuel</x:v>
      </x:c>
      <x:c r="Q41" s="102" t="str">
        <x:v>Operating</x:v>
      </x:c>
      <x:c r="R41" s="102" t="str">
        <x:v>SRC_0066</x:v>
      </x:c>
      <x:c r="S41" s="102" t="str">
        <x:v>Fleet-sheet capacity; ownership/operation assigned to AW Shipping where explicitly supported.</x:v>
      </x:c>
      <x:c r="T41" s="102"/>
      <x:c r="U41" s="102"/>
      <x:c r="V41" s="102"/>
      <x:c r="W41" s="102"/>
      <x:c r="X41" s="110"/>
      <x:c r="Y41" s="102"/>
      <x:c r="Z41" s="102"/>
      <x:c r="AA41" s="102"/>
    </x:row>
    <x:row r="42">
      <x:c r="A42" s="102" t="str">
        <x:v>VESSEL_00041</x:v>
      </x:c>
      <x:c r="B42" s="102" t="str">
        <x:v>AWS-Al Salam</x:v>
      </x:c>
      <x:c r="C42" s="110" t="str">
        <x:v>9923085</x:v>
      </x:c>
      <x:c r="D42" s="102" t="str">
        <x:v>COMP_AW_SHIPPING</x:v>
      </x:c>
      <x:c r="E42" s="102" t="str">
        <x:v>COMP_AW_SHIPPING</x:v>
      </x:c>
      <x:c r="F42" s="102" t="str">
        <x:v>VLGC</x:v>
      </x:c>
      <x:c r="G42" s="102"/>
      <x:c r="H42" s="102"/>
      <x:c r="I42" s="102"/>
      <x:c r="J42" s="102"/>
      <x:c r="K42" s="102" t="str">
        <x:v>86,000 m3</x:v>
      </x:c>
      <x:c r="L42" s="102"/>
      <x:c r="M42" s="102"/>
      <x:c r="N42" s="102"/>
      <x:c r="O42" s="102"/>
      <x:c r="P42" s="102" t="str">
        <x:v>LPG dual fuel</x:v>
      </x:c>
      <x:c r="Q42" s="102" t="str">
        <x:v>Operating</x:v>
      </x:c>
      <x:c r="R42" s="102" t="str">
        <x:v>SRC_0066</x:v>
      </x:c>
      <x:c r="S42" s="102" t="str">
        <x:v>Fleet-sheet capacity; ownership/operation assigned to AW Shipping where explicitly supported.</x:v>
      </x:c>
      <x:c r="T42" s="102"/>
      <x:c r="U42" s="102"/>
      <x:c r="V42" s="102"/>
      <x:c r="W42" s="102"/>
      <x:c r="X42" s="110"/>
      <x:c r="Y42" s="102"/>
      <x:c r="Z42" s="102"/>
      <x:c r="AA42" s="102"/>
    </x:row>
    <x:row r="43">
      <x:c r="A43" s="102" t="str">
        <x:v>VESSEL_00042</x:v>
      </x:c>
      <x:c r="B43" s="102" t="str">
        <x:v>AWS-Baynounah</x:v>
      </x:c>
      <x:c r="C43" s="110" t="str">
        <x:v>9923097</x:v>
      </x:c>
      <x:c r="D43" s="102" t="str">
        <x:v>COMP_AW_SHIPPING</x:v>
      </x:c>
      <x:c r="E43" s="102" t="str">
        <x:v>COMP_AW_SHIPPING</x:v>
      </x:c>
      <x:c r="F43" s="102" t="str">
        <x:v>VLGC</x:v>
      </x:c>
      <x:c r="G43" s="102"/>
      <x:c r="H43" s="102"/>
      <x:c r="I43" s="102"/>
      <x:c r="J43" s="102"/>
      <x:c r="K43" s="102" t="str">
        <x:v>86,000 m3</x:v>
      </x:c>
      <x:c r="L43" s="102"/>
      <x:c r="M43" s="102"/>
      <x:c r="N43" s="102"/>
      <x:c r="O43" s="102"/>
      <x:c r="P43" s="102" t="str">
        <x:v>LPG dual fuel</x:v>
      </x:c>
      <x:c r="Q43" s="102" t="str">
        <x:v>Operating</x:v>
      </x:c>
      <x:c r="R43" s="102" t="str">
        <x:v>SRC_0066</x:v>
      </x:c>
      <x:c r="S43" s="102" t="str">
        <x:v>Fleet-sheet capacity; ownership/operation assigned to AW Shipping where explicitly supported.</x:v>
      </x:c>
      <x:c r="T43" s="102"/>
      <x:c r="U43" s="102"/>
      <x:c r="V43" s="102"/>
      <x:c r="W43" s="102"/>
      <x:c r="X43" s="110"/>
      <x:c r="Y43" s="102"/>
      <x:c r="Z43" s="102"/>
      <x:c r="AA43" s="102"/>
    </x:row>
    <x:row r="44">
      <x:c r="A44" s="102" t="str">
        <x:v>VESSEL_00043</x:v>
      </x:c>
      <x:c r="B44" s="102" t="str">
        <x:v>Meera</x:v>
      </x:c>
      <x:c r="C44" s="110" t="str">
        <x:v>1066908</x:v>
      </x:c>
      <x:c r="D44" s="102" t="str">
        <x:v>COMP_AW_SHIPPING</x:v>
      </x:c>
      <x:c r="E44" s="102" t="str">
        <x:v>COMP_AW_SHIPPING</x:v>
      </x:c>
      <x:c r="F44" s="102" t="str">
        <x:v>VLAC</x:v>
      </x:c>
      <x:c r="G44" s="102" t="str">
        <x:v>Hull H2749</x:v>
      </x:c>
      <x:c r="H44" s="102"/>
      <x:c r="I44" s="102"/>
      <x:c r="J44" s="102"/>
      <x:c r="K44" s="102" t="str">
        <x:v>93,000 m3</x:v>
      </x:c>
      <x:c r="L44" s="102"/>
      <x:c r="M44" s="102"/>
      <x:c r="N44" s="102"/>
      <x:c r="O44" s="102"/>
      <x:c r="P44" s="102"/>
      <x:c r="Q44" s="102" t="str">
        <x:v>Newbuild / delivery program</x:v>
      </x:c>
      <x:c r="R44" s="102" t="str">
        <x:v>SRC_0066</x:v>
      </x:c>
      <x:c r="S44" s="102" t="str">
        <x:v>AW Shipping VLAC program; delivery/status requires periodic refresh.</x:v>
      </x:c>
      <x:c r="T44" s="102"/>
      <x:c r="U44" s="102"/>
      <x:c r="V44" s="102"/>
      <x:c r="W44" s="102"/>
      <x:c r="X44" s="110"/>
      <x:c r="Y44" s="102"/>
      <x:c r="Z44" s="102"/>
      <x:c r="AA44" s="102"/>
    </x:row>
    <x:row r="45">
      <x:c r="A45" s="102" t="str">
        <x:v>VESSEL_00044</x:v>
      </x:c>
      <x:c r="B45" s="102" t="str">
        <x:v>Dana</x:v>
      </x:c>
      <x:c r="C45" s="110"/>
      <x:c r="D45" s="102" t="str">
        <x:v>COMP_AW_SHIPPING</x:v>
      </x:c>
      <x:c r="E45" s="102" t="str">
        <x:v>COMP_AW_SHIPPING</x:v>
      </x:c>
      <x:c r="F45" s="102" t="str">
        <x:v>VLAC</x:v>
      </x:c>
      <x:c r="G45" s="102" t="str">
        <x:v>Hull H2750</x:v>
      </x:c>
      <x:c r="H45" s="102"/>
      <x:c r="I45" s="102"/>
      <x:c r="J45" s="102"/>
      <x:c r="K45" s="102" t="str">
        <x:v>93,000 m3</x:v>
      </x:c>
      <x:c r="L45" s="102"/>
      <x:c r="M45" s="102"/>
      <x:c r="N45" s="102"/>
      <x:c r="O45" s="102"/>
      <x:c r="P45" s="102"/>
      <x:c r="Q45" s="102" t="str">
        <x:v>Newbuild / delivery program</x:v>
      </x:c>
      <x:c r="R45" s="102" t="str">
        <x:v>SRC_0066</x:v>
      </x:c>
      <x:c r="S45" s="102" t="str">
        <x:v>AW Shipping VLAC program; delivery/status requires periodic refresh.</x:v>
      </x:c>
      <x:c r="T45" s="102"/>
      <x:c r="U45" s="102"/>
      <x:c r="V45" s="102"/>
      <x:c r="W45" s="102"/>
      <x:c r="X45" s="110"/>
      <x:c r="Y45" s="102"/>
      <x:c r="Z45" s="102"/>
      <x:c r="AA45" s="102"/>
    </x:row>
    <x:row r="46">
      <x:c r="A46" s="102" t="str">
        <x:v>VESSEL_00045</x:v>
      </x:c>
      <x:c r="B46" s="102" t="str">
        <x:v>Al Ghadeer</x:v>
      </x:c>
      <x:c r="C46" s="110"/>
      <x:c r="D46" s="102" t="str">
        <x:v>COMP_AW_SHIPPING</x:v>
      </x:c>
      <x:c r="E46" s="102" t="str">
        <x:v>COMP_AW_SHIPPING</x:v>
      </x:c>
      <x:c r="F46" s="102" t="str">
        <x:v>VLAC</x:v>
      </x:c>
      <x:c r="G46" s="102" t="str">
        <x:v>Hull H2769</x:v>
      </x:c>
      <x:c r="H46" s="102"/>
      <x:c r="I46" s="102"/>
      <x:c r="J46" s="102"/>
      <x:c r="K46" s="102" t="str">
        <x:v>93,000 m3</x:v>
      </x:c>
      <x:c r="L46" s="102"/>
      <x:c r="M46" s="102"/>
      <x:c r="N46" s="102"/>
      <x:c r="O46" s="102"/>
      <x:c r="P46" s="102"/>
      <x:c r="Q46" s="102" t="str">
        <x:v>Newbuild / delivery program</x:v>
      </x:c>
      <x:c r="R46" s="102" t="str">
        <x:v>SRC_0066</x:v>
      </x:c>
      <x:c r="S46" s="102" t="str">
        <x:v>AW Shipping VLAC program; delivery/status requires periodic refresh.</x:v>
      </x:c>
      <x:c r="T46" s="102"/>
      <x:c r="U46" s="102"/>
      <x:c r="V46" s="102"/>
      <x:c r="W46" s="102"/>
      <x:c r="X46" s="110"/>
      <x:c r="Y46" s="102"/>
      <x:c r="Z46" s="102"/>
      <x:c r="AA46" s="102"/>
    </x:row>
    <x:row r="47">
      <x:c r="A47" s="102" t="str">
        <x:v>VESSEL_00046</x:v>
      </x:c>
      <x:c r="B47" s="102" t="str">
        <x:v>Rimah</x:v>
      </x:c>
      <x:c r="C47" s="110"/>
      <x:c r="D47" s="102" t="str">
        <x:v>COMP_AW_SHIPPING</x:v>
      </x:c>
      <x:c r="E47" s="102" t="str">
        <x:v>COMP_AW_SHIPPING</x:v>
      </x:c>
      <x:c r="F47" s="102" t="str">
        <x:v>VLAC</x:v>
      </x:c>
      <x:c r="G47" s="102" t="str">
        <x:v>Hull H2770</x:v>
      </x:c>
      <x:c r="H47" s="102"/>
      <x:c r="I47" s="102"/>
      <x:c r="J47" s="102"/>
      <x:c r="K47" s="102" t="str">
        <x:v>93,000 m3</x:v>
      </x:c>
      <x:c r="L47" s="102"/>
      <x:c r="M47" s="102"/>
      <x:c r="N47" s="102"/>
      <x:c r="O47" s="102"/>
      <x:c r="P47" s="102"/>
      <x:c r="Q47" s="102" t="str">
        <x:v>Newbuild / delivery program</x:v>
      </x:c>
      <x:c r="R47" s="102" t="str">
        <x:v>SRC_0066</x:v>
      </x:c>
      <x:c r="S47" s="102" t="str">
        <x:v>AW Shipping VLAC program; delivery/status requires periodic refresh.</x:v>
      </x:c>
      <x:c r="T47" s="102"/>
      <x:c r="U47" s="102"/>
      <x:c r="V47" s="102"/>
      <x:c r="W47" s="102"/>
      <x:c r="X47" s="110"/>
      <x:c r="Y47" s="102"/>
      <x:c r="Z47" s="102"/>
      <x:c r="AA47" s="102"/>
    </x:row>
    <x:row r="48">
      <x:c r="A48" s="102" t="str">
        <x:v>VESSEL_00047</x:v>
      </x:c>
      <x:c r="B48" s="102" t="str">
        <x:v>Umm Al Lulu I</x:v>
      </x:c>
      <x:c r="C48" s="110" t="str">
        <x:v>9494204</x:v>
      </x:c>
      <x:c r="D48" s="102" t="str">
        <x:v>COMP_ADNOC_LS</x:v>
      </x:c>
      <x:c r="E48" s="102" t="str">
        <x:v>COMP_ADNOC_LS</x:v>
      </x:c>
      <x:c r="F48" s="102" t="str">
        <x:v>Product / chemical tanker</x:v>
      </x:c>
      <x:c r="G48" s="102"/>
      <x:c r="H48" s="102"/>
      <x:c r="I48" s="102"/>
      <x:c r="J48" s="102" t="n">
        <x:v>15200</x:v>
      </x:c>
      <x:c r="K48" s="102"/>
      <x:c r="L48" s="102"/>
      <x:c r="M48" s="102"/>
      <x:c r="N48" s="102"/>
      <x:c r="O48" s="102"/>
      <x:c r="P48" s="102"/>
      <x:c r="Q48" s="102" t="str">
        <x:v>Operating</x:v>
      </x:c>
      <x:c r="R48" s="102" t="str">
        <x:v>SRC_0066</x:v>
      </x:c>
      <x:c r="S48" s="102" t="str">
        <x:v>ADNOC L&amp;S fleet sheet.</x:v>
      </x:c>
      <x:c r="T48" s="102"/>
      <x:c r="U48" s="102"/>
      <x:c r="V48" s="102"/>
      <x:c r="W48" s="102"/>
      <x:c r="X48" s="110"/>
      <x:c r="Y48" s="102"/>
      <x:c r="Z48" s="102"/>
      <x:c r="AA48" s="102"/>
    </x:row>
    <x:row r="49">
      <x:c r="A49" s="102" t="str">
        <x:v>VESSEL_00048</x:v>
      </x:c>
      <x:c r="B49" s="102" t="str">
        <x:v>Al Samha</x:v>
      </x:c>
      <x:c r="C49" s="110" t="str">
        <x:v>9380324</x:v>
      </x:c>
      <x:c r="D49" s="102" t="str">
        <x:v>COMP_ADNOC_LS</x:v>
      </x:c>
      <x:c r="E49" s="102" t="str">
        <x:v>COMP_ADNOC_LS</x:v>
      </x:c>
      <x:c r="F49" s="102" t="str">
        <x:v>Product / chemical tanker</x:v>
      </x:c>
      <x:c r="G49" s="102"/>
      <x:c r="H49" s="102"/>
      <x:c r="I49" s="102"/>
      <x:c r="J49" s="102" t="n">
        <x:v>17500</x:v>
      </x:c>
      <x:c r="K49" s="102"/>
      <x:c r="L49" s="102"/>
      <x:c r="M49" s="102"/>
      <x:c r="N49" s="102"/>
      <x:c r="O49" s="102"/>
      <x:c r="P49" s="102"/>
      <x:c r="Q49" s="102" t="str">
        <x:v>Operating</x:v>
      </x:c>
      <x:c r="R49" s="102" t="str">
        <x:v>SRC_0066</x:v>
      </x:c>
      <x:c r="S49" s="102" t="str">
        <x:v>ADNOC L&amp;S fleet sheet.</x:v>
      </x:c>
      <x:c r="T49" s="102"/>
      <x:c r="U49" s="102"/>
      <x:c r="V49" s="102"/>
      <x:c r="W49" s="102"/>
      <x:c r="X49" s="110"/>
      <x:c r="Y49" s="102"/>
      <x:c r="Z49" s="102"/>
      <x:c r="AA49" s="102"/>
    </x:row>
    <x:row r="50">
      <x:c r="A50" s="102" t="str">
        <x:v>VESSEL_00049</x:v>
      </x:c>
      <x:c r="B50" s="102" t="str">
        <x:v>Bani Yas</x:v>
      </x:c>
      <x:c r="C50" s="110" t="str">
        <x:v>9487249</x:v>
      </x:c>
      <x:c r="D50" s="102" t="str">
        <x:v>COMP_ADNOC_LS</x:v>
      </x:c>
      <x:c r="E50" s="102" t="str">
        <x:v>COMP_ADNOC_LS</x:v>
      </x:c>
      <x:c r="F50" s="102" t="str">
        <x:v>Product / chemical tanker</x:v>
      </x:c>
      <x:c r="G50" s="102"/>
      <x:c r="H50" s="102"/>
      <x:c r="I50" s="102"/>
      <x:c r="J50" s="102" t="n">
        <x:v>74900</x:v>
      </x:c>
      <x:c r="K50" s="102"/>
      <x:c r="L50" s="102"/>
      <x:c r="M50" s="102"/>
      <x:c r="N50" s="102"/>
      <x:c r="O50" s="102"/>
      <x:c r="P50" s="102"/>
      <x:c r="Q50" s="102" t="str">
        <x:v>Operating</x:v>
      </x:c>
      <x:c r="R50" s="102" t="str">
        <x:v>SRC_0066</x:v>
      </x:c>
      <x:c r="S50" s="102" t="str">
        <x:v>ADNOC L&amp;S fleet sheet.</x:v>
      </x:c>
      <x:c r="T50" s="102"/>
      <x:c r="U50" s="102"/>
      <x:c r="V50" s="102"/>
      <x:c r="W50" s="102"/>
      <x:c r="X50" s="110"/>
      <x:c r="Y50" s="102"/>
      <x:c r="Z50" s="102"/>
      <x:c r="AA50" s="102"/>
    </x:row>
    <x:row r="51">
      <x:c r="A51" s="102" t="str">
        <x:v>VESSEL_00050</x:v>
      </x:c>
      <x:c r="B51" s="102" t="str">
        <x:v>Diyyinah I</x:v>
      </x:c>
      <x:c r="C51" s="110" t="str">
        <x:v>9487251</x:v>
      </x:c>
      <x:c r="D51" s="102" t="str">
        <x:v>COMP_ADNOC_LS</x:v>
      </x:c>
      <x:c r="E51" s="102" t="str">
        <x:v>COMP_ADNOC_LS</x:v>
      </x:c>
      <x:c r="F51" s="102" t="str">
        <x:v>Product / chemical tanker</x:v>
      </x:c>
      <x:c r="G51" s="102"/>
      <x:c r="H51" s="102"/>
      <x:c r="I51" s="102"/>
      <x:c r="J51" s="102" t="n">
        <x:v>75000</x:v>
      </x:c>
      <x:c r="K51" s="102"/>
      <x:c r="L51" s="102"/>
      <x:c r="M51" s="102"/>
      <x:c r="N51" s="102"/>
      <x:c r="O51" s="102"/>
      <x:c r="P51" s="102"/>
      <x:c r="Q51" s="102" t="str">
        <x:v>Operating</x:v>
      </x:c>
      <x:c r="R51" s="102" t="str">
        <x:v>SRC_0066</x:v>
      </x:c>
      <x:c r="S51" s="102" t="str">
        <x:v>ADNOC L&amp;S fleet sheet.</x:v>
      </x:c>
      <x:c r="T51" s="102"/>
      <x:c r="U51" s="102"/>
      <x:c r="V51" s="102"/>
      <x:c r="W51" s="102"/>
      <x:c r="X51" s="110"/>
      <x:c r="Y51" s="102"/>
      <x:c r="Z51" s="102"/>
      <x:c r="AA51" s="102"/>
    </x:row>
    <x:row r="52">
      <x:c r="A52" s="102" t="str">
        <x:v>VESSEL_00051</x:v>
      </x:c>
      <x:c r="B52" s="102" t="str">
        <x:v>Mezaira'a</x:v>
      </x:c>
      <x:c r="C52" s="110" t="str">
        <x:v>9487275</x:v>
      </x:c>
      <x:c r="D52" s="102" t="str">
        <x:v>COMP_ADNOC_LS</x:v>
      </x:c>
      <x:c r="E52" s="102" t="str">
        <x:v>COMP_ADNOC_LS</x:v>
      </x:c>
      <x:c r="F52" s="102" t="str">
        <x:v>Product / chemical tanker</x:v>
      </x:c>
      <x:c r="G52" s="102"/>
      <x:c r="H52" s="102"/>
      <x:c r="I52" s="102"/>
      <x:c r="J52" s="102" t="n">
        <x:v>74900</x:v>
      </x:c>
      <x:c r="K52" s="102"/>
      <x:c r="L52" s="102"/>
      <x:c r="M52" s="102"/>
      <x:c r="N52" s="102"/>
      <x:c r="O52" s="102"/>
      <x:c r="P52" s="102"/>
      <x:c r="Q52" s="102" t="str">
        <x:v>Operating</x:v>
      </x:c>
      <x:c r="R52" s="102" t="str">
        <x:v>SRC_0066</x:v>
      </x:c>
      <x:c r="S52" s="102" t="str">
        <x:v>ADNOC L&amp;S fleet sheet.</x:v>
      </x:c>
      <x:c r="T52" s="102"/>
      <x:c r="U52" s="102"/>
      <x:c r="V52" s="102"/>
      <x:c r="W52" s="102"/>
      <x:c r="X52" s="110"/>
      <x:c r="Y52" s="102"/>
      <x:c r="Z52" s="102"/>
      <x:c r="AA52" s="102"/>
    </x:row>
    <x:row r="53">
      <x:c r="A53" s="102" t="str">
        <x:v>VESSEL_00052</x:v>
      </x:c>
      <x:c r="B53" s="102" t="str">
        <x:v>Yamilah-III</x:v>
      </x:c>
      <x:c r="C53" s="110" t="str">
        <x:v>9487263</x:v>
      </x:c>
      <x:c r="D53" s="102" t="str">
        <x:v>COMP_ADNOC_LS</x:v>
      </x:c>
      <x:c r="E53" s="102" t="str">
        <x:v>COMP_ADNOC_LS</x:v>
      </x:c>
      <x:c r="F53" s="102" t="str">
        <x:v>Product / chemical tanker</x:v>
      </x:c>
      <x:c r="G53" s="102"/>
      <x:c r="H53" s="102"/>
      <x:c r="I53" s="102"/>
      <x:c r="J53" s="102" t="n">
        <x:v>74900</x:v>
      </x:c>
      <x:c r="K53" s="102"/>
      <x:c r="L53" s="102"/>
      <x:c r="M53" s="102"/>
      <x:c r="N53" s="102"/>
      <x:c r="O53" s="102"/>
      <x:c r="P53" s="102"/>
      <x:c r="Q53" s="102" t="str">
        <x:v>Operating</x:v>
      </x:c>
      <x:c r="R53" s="102" t="str">
        <x:v>SRC_0066</x:v>
      </x:c>
      <x:c r="S53" s="102" t="str">
        <x:v>ADNOC L&amp;S fleet sheet.</x:v>
      </x:c>
      <x:c r="T53" s="102"/>
      <x:c r="U53" s="102"/>
      <x:c r="V53" s="102"/>
      <x:c r="W53" s="102"/>
      <x:c r="X53" s="110"/>
      <x:c r="Y53" s="102"/>
      <x:c r="Z53" s="102"/>
      <x:c r="AA53" s="102"/>
    </x:row>
    <x:row r="54">
      <x:c r="A54" s="102" t="str">
        <x:v>VESSEL_00053</x:v>
      </x:c>
      <x:c r="B54" s="102" t="str">
        <x:v>Navig8 Honor</x:v>
      </x:c>
      <x:c r="C54" s="110" t="str">
        <x:v>9556181</x:v>
      </x:c>
      <x:c r="D54" s="102" t="str">
        <x:v>COMP_NAVIG8</x:v>
      </x:c>
      <x:c r="E54" s="102" t="str">
        <x:v>COMP_NAVIG8</x:v>
      </x:c>
      <x:c r="F54" s="102" t="str">
        <x:v>Product / chemical tanker</x:v>
      </x:c>
      <x:c r="G54" s="102"/>
      <x:c r="H54" s="102"/>
      <x:c r="I54" s="102"/>
      <x:c r="J54" s="102" t="n">
        <x:v>75000</x:v>
      </x:c>
      <x:c r="K54" s="102"/>
      <x:c r="L54" s="102"/>
      <x:c r="M54" s="102"/>
      <x:c r="N54" s="102"/>
      <x:c r="O54" s="102"/>
      <x:c r="P54" s="102"/>
      <x:c r="Q54" s="102" t="str">
        <x:v>Operating</x:v>
      </x:c>
      <x:c r="R54" s="102" t="str">
        <x:v>SRC_0066</x:v>
      </x:c>
      <x:c r="S54" s="102" t="str">
        <x:v>ADNOC L&amp;S fleet sheet.</x:v>
      </x:c>
      <x:c r="T54" s="102"/>
      <x:c r="U54" s="102"/>
      <x:c r="V54" s="102"/>
      <x:c r="W54" s="102"/>
      <x:c r="X54" s="110"/>
      <x:c r="Y54" s="102"/>
      <x:c r="Z54" s="102"/>
      <x:c r="AA54" s="102"/>
    </x:row>
    <x:row r="55">
      <x:c r="A55" s="102" t="str">
        <x:v>VESSEL_00054</x:v>
      </x:c>
      <x:c r="B55" s="102" t="str">
        <x:v>Navig8 Martinez</x:v>
      </x:c>
      <x:c r="C55" s="110" t="str">
        <x:v>9482847</x:v>
      </x:c>
      <x:c r="D55" s="102" t="str">
        <x:v>COMP_NAVIG8</x:v>
      </x:c>
      <x:c r="E55" s="102" t="str">
        <x:v>COMP_NAVIG8</x:v>
      </x:c>
      <x:c r="F55" s="102" t="str">
        <x:v>Product / chemical tanker</x:v>
      </x:c>
      <x:c r="G55" s="102"/>
      <x:c r="H55" s="102"/>
      <x:c r="I55" s="102"/>
      <x:c r="J55" s="102" t="n">
        <x:v>76500</x:v>
      </x:c>
      <x:c r="K55" s="102"/>
      <x:c r="L55" s="102"/>
      <x:c r="M55" s="102"/>
      <x:c r="N55" s="102"/>
      <x:c r="O55" s="102"/>
      <x:c r="P55" s="102"/>
      <x:c r="Q55" s="102" t="str">
        <x:v>Operating</x:v>
      </x:c>
      <x:c r="R55" s="102" t="str">
        <x:v>SRC_0066</x:v>
      </x:c>
      <x:c r="S55" s="102" t="str">
        <x:v>ADNOC L&amp;S fleet sheet.</x:v>
      </x:c>
      <x:c r="T55" s="102"/>
      <x:c r="U55" s="102"/>
      <x:c r="V55" s="102"/>
      <x:c r="W55" s="102"/>
      <x:c r="X55" s="110"/>
      <x:c r="Y55" s="102"/>
      <x:c r="Z55" s="102"/>
      <x:c r="AA55" s="102"/>
    </x:row>
    <x:row r="56">
      <x:c r="A56" s="102" t="str">
        <x:v>VESSEL_00055</x:v>
      </x:c>
      <x:c r="B56" s="102" t="str">
        <x:v>Navig8 Messi</x:v>
      </x:c>
      <x:c r="C56" s="110" t="str">
        <x:v>9482859</x:v>
      </x:c>
      <x:c r="D56" s="102" t="str">
        <x:v>COMP_NAVIG8</x:v>
      </x:c>
      <x:c r="E56" s="102" t="str">
        <x:v>COMP_NAVIG8</x:v>
      </x:c>
      <x:c r="F56" s="102" t="str">
        <x:v>Product / chemical tanker</x:v>
      </x:c>
      <x:c r="G56" s="102"/>
      <x:c r="H56" s="102"/>
      <x:c r="I56" s="102"/>
      <x:c r="J56" s="102" t="n">
        <x:v>75600</x:v>
      </x:c>
      <x:c r="K56" s="102"/>
      <x:c r="L56" s="102"/>
      <x:c r="M56" s="102"/>
      <x:c r="N56" s="102"/>
      <x:c r="O56" s="102"/>
      <x:c r="P56" s="102"/>
      <x:c r="Q56" s="102" t="str">
        <x:v>Operating</x:v>
      </x:c>
      <x:c r="R56" s="102" t="str">
        <x:v>SRC_0066</x:v>
      </x:c>
      <x:c r="S56" s="102" t="str">
        <x:v>ADNOC L&amp;S fleet sheet.</x:v>
      </x:c>
      <x:c r="T56" s="102"/>
      <x:c r="U56" s="102"/>
      <x:c r="V56" s="102"/>
      <x:c r="W56" s="102"/>
      <x:c r="X56" s="110"/>
      <x:c r="Y56" s="102"/>
      <x:c r="Z56" s="102"/>
      <x:c r="AA56" s="102"/>
    </x:row>
    <x:row r="57">
      <x:c r="A57" s="102" t="str">
        <x:v>VESSEL_00056</x:v>
      </x:c>
      <x:c r="B57" s="102" t="str">
        <x:v>Navig8 Montiel</x:v>
      </x:c>
      <x:c r="C57" s="110" t="str">
        <x:v>9482861</x:v>
      </x:c>
      <x:c r="D57" s="102" t="str">
        <x:v>COMP_NAVIG8</x:v>
      </x:c>
      <x:c r="E57" s="102" t="str">
        <x:v>COMP_NAVIG8</x:v>
      </x:c>
      <x:c r="F57" s="102" t="str">
        <x:v>Product / chemical tanker</x:v>
      </x:c>
      <x:c r="G57" s="102"/>
      <x:c r="H57" s="102"/>
      <x:c r="I57" s="102"/>
      <x:c r="J57" s="102" t="n">
        <x:v>70000</x:v>
      </x:c>
      <x:c r="K57" s="102"/>
      <x:c r="L57" s="102"/>
      <x:c r="M57" s="102"/>
      <x:c r="N57" s="102"/>
      <x:c r="O57" s="102"/>
      <x:c r="P57" s="102"/>
      <x:c r="Q57" s="102" t="str">
        <x:v>Operating</x:v>
      </x:c>
      <x:c r="R57" s="102" t="str">
        <x:v>SRC_0066</x:v>
      </x:c>
      <x:c r="S57" s="102" t="str">
        <x:v>ADNOC L&amp;S fleet sheet.</x:v>
      </x:c>
      <x:c r="T57" s="102"/>
      <x:c r="U57" s="102"/>
      <x:c r="V57" s="102"/>
      <x:c r="W57" s="102"/>
      <x:c r="X57" s="110"/>
      <x:c r="Y57" s="102"/>
      <x:c r="Z57" s="102"/>
      <x:c r="AA57" s="102"/>
    </x:row>
    <x:row r="58">
      <x:c r="A58" s="102" t="str">
        <x:v>VESSEL_00057</x:v>
      </x:c>
      <x:c r="B58" s="102" t="str">
        <x:v>Abu Dhabi-III</x:v>
      </x:c>
      <x:c r="C58" s="110" t="str">
        <x:v>9489027</x:v>
      </x:c>
      <x:c r="D58" s="102" t="str">
        <x:v>COMP_ADNOC_LS</x:v>
      </x:c>
      <x:c r="E58" s="102" t="str">
        <x:v>COMP_ADNOC_LS</x:v>
      </x:c>
      <x:c r="F58" s="102" t="str">
        <x:v>Crude / product tanker</x:v>
      </x:c>
      <x:c r="G58" s="102"/>
      <x:c r="H58" s="102"/>
      <x:c r="I58" s="102"/>
      <x:c r="J58" s="102" t="n">
        <x:v>105100</x:v>
      </x:c>
      <x:c r="K58" s="102"/>
      <x:c r="L58" s="102"/>
      <x:c r="M58" s="102"/>
      <x:c r="N58" s="102"/>
      <x:c r="O58" s="102"/>
      <x:c r="P58" s="102"/>
      <x:c r="Q58" s="102" t="str">
        <x:v>Operating</x:v>
      </x:c>
      <x:c r="R58" s="102" t="str">
        <x:v>SRC_0066</x:v>
      </x:c>
      <x:c r="S58" s="102" t="str">
        <x:v>ADNOC L&amp;S fleet sheet.</x:v>
      </x:c>
      <x:c r="T58" s="102"/>
      <x:c r="U58" s="102"/>
      <x:c r="V58" s="102"/>
      <x:c r="W58" s="102"/>
      <x:c r="X58" s="110"/>
      <x:c r="Y58" s="102"/>
      <x:c r="Z58" s="102"/>
      <x:c r="AA58" s="102"/>
    </x:row>
    <x:row r="59">
      <x:c r="A59" s="102" t="str">
        <x:v>VESSEL_00058</x:v>
      </x:c>
      <x:c r="B59" s="102" t="str">
        <x:v>Liwa V</x:v>
      </x:c>
      <x:c r="C59" s="110" t="str">
        <x:v>9489039</x:v>
      </x:c>
      <x:c r="D59" s="102" t="str">
        <x:v>COMP_ADNOC_LS</x:v>
      </x:c>
      <x:c r="E59" s="102" t="str">
        <x:v>COMP_ADNOC_LS</x:v>
      </x:c>
      <x:c r="F59" s="102" t="str">
        <x:v>Crude / product tanker</x:v>
      </x:c>
      <x:c r="G59" s="102"/>
      <x:c r="H59" s="102"/>
      <x:c r="I59" s="102"/>
      <x:c r="J59" s="102" t="n">
        <x:v>105200</x:v>
      </x:c>
      <x:c r="K59" s="102"/>
      <x:c r="L59" s="102"/>
      <x:c r="M59" s="102"/>
      <x:c r="N59" s="102"/>
      <x:c r="O59" s="102"/>
      <x:c r="P59" s="102"/>
      <x:c r="Q59" s="102" t="str">
        <x:v>Operating</x:v>
      </x:c>
      <x:c r="R59" s="102" t="str">
        <x:v>SRC_0066</x:v>
      </x:c>
      <x:c r="S59" s="102" t="str">
        <x:v>ADNOC L&amp;S fleet sheet.</x:v>
      </x:c>
      <x:c r="T59" s="102"/>
      <x:c r="U59" s="102"/>
      <x:c r="V59" s="102"/>
      <x:c r="W59" s="102"/>
      <x:c r="X59" s="110"/>
      <x:c r="Y59" s="102"/>
      <x:c r="Z59" s="102"/>
      <x:c r="AA59" s="102"/>
    </x:row>
    <x:row r="60">
      <x:c r="A60" s="102" t="str">
        <x:v>VESSEL_00059</x:v>
      </x:c>
      <x:c r="B60" s="102" t="str">
        <x:v>Al Bateen</x:v>
      </x:c>
      <x:c r="C60" s="110" t="str">
        <x:v>9828376</x:v>
      </x:c>
      <x:c r="D60" s="102" t="str">
        <x:v>COMP_ADNOC_LS</x:v>
      </x:c>
      <x:c r="E60" s="102" t="str">
        <x:v>COMP_ADNOC_LS</x:v>
      </x:c>
      <x:c r="F60" s="102" t="str">
        <x:v>Crude / product tanker</x:v>
      </x:c>
      <x:c r="G60" s="102"/>
      <x:c r="H60" s="102"/>
      <x:c r="I60" s="102"/>
      <x:c r="J60" s="102" t="n">
        <x:v>114700</x:v>
      </x:c>
      <x:c r="K60" s="102"/>
      <x:c r="L60" s="102"/>
      <x:c r="M60" s="102"/>
      <x:c r="N60" s="102"/>
      <x:c r="O60" s="102"/>
      <x:c r="P60" s="102"/>
      <x:c r="Q60" s="102" t="str">
        <x:v>Operating</x:v>
      </x:c>
      <x:c r="R60" s="102" t="str">
        <x:v>SRC_0066</x:v>
      </x:c>
      <x:c r="S60" s="102" t="str">
        <x:v>ADNOC L&amp;S fleet sheet.</x:v>
      </x:c>
      <x:c r="T60" s="102"/>
      <x:c r="U60" s="102"/>
      <x:c r="V60" s="102"/>
      <x:c r="W60" s="102"/>
      <x:c r="X60" s="110"/>
      <x:c r="Y60" s="102"/>
      <x:c r="Z60" s="102"/>
      <x:c r="AA60" s="102"/>
    </x:row>
    <x:row r="61">
      <x:c r="A61" s="102" t="str">
        <x:v>VESSEL_00060</x:v>
      </x:c>
      <x:c r="B61" s="102" t="str">
        <x:v>Al Falah</x:v>
      </x:c>
      <x:c r="C61" s="110" t="str">
        <x:v>9828388</x:v>
      </x:c>
      <x:c r="D61" s="102" t="str">
        <x:v>COMP_ADNOC_LS</x:v>
      </x:c>
      <x:c r="E61" s="102" t="str">
        <x:v>COMP_ADNOC_LS</x:v>
      </x:c>
      <x:c r="F61" s="102" t="str">
        <x:v>Crude / product tanker</x:v>
      </x:c>
      <x:c r="G61" s="102"/>
      <x:c r="H61" s="102"/>
      <x:c r="I61" s="102"/>
      <x:c r="J61" s="102" t="n">
        <x:v>114800</x:v>
      </x:c>
      <x:c r="K61" s="102"/>
      <x:c r="L61" s="102"/>
      <x:c r="M61" s="102"/>
      <x:c r="N61" s="102"/>
      <x:c r="O61" s="102"/>
      <x:c r="P61" s="102"/>
      <x:c r="Q61" s="102" t="str">
        <x:v>Operating</x:v>
      </x:c>
      <x:c r="R61" s="102" t="str">
        <x:v>SRC_0066</x:v>
      </x:c>
      <x:c r="S61" s="102" t="str">
        <x:v>ADNOC L&amp;S fleet sheet.</x:v>
      </x:c>
      <x:c r="T61" s="102"/>
      <x:c r="U61" s="102"/>
      <x:c r="V61" s="102"/>
      <x:c r="W61" s="102"/>
      <x:c r="X61" s="110"/>
      <x:c r="Y61" s="102"/>
      <x:c r="Z61" s="102"/>
      <x:c r="AA61" s="102"/>
    </x:row>
    <x:row r="62">
      <x:c r="A62" s="102" t="str">
        <x:v>VESSEL_00061</x:v>
      </x:c>
      <x:c r="B62" s="102" t="str">
        <x:v>Al Ruwais</x:v>
      </x:c>
      <x:c r="C62" s="110" t="str">
        <x:v>9828405</x:v>
      </x:c>
      <x:c r="D62" s="102" t="str">
        <x:v>COMP_ADNOC_LS</x:v>
      </x:c>
      <x:c r="E62" s="102" t="str">
        <x:v>COMP_ADNOC_LS</x:v>
      </x:c>
      <x:c r="F62" s="102" t="str">
        <x:v>Crude / product tanker</x:v>
      </x:c>
      <x:c r="G62" s="102"/>
      <x:c r="H62" s="102"/>
      <x:c r="I62" s="102"/>
      <x:c r="J62" s="102" t="n">
        <x:v>114700</x:v>
      </x:c>
      <x:c r="K62" s="102"/>
      <x:c r="L62" s="102"/>
      <x:c r="M62" s="102"/>
      <x:c r="N62" s="102"/>
      <x:c r="O62" s="102"/>
      <x:c r="P62" s="102"/>
      <x:c r="Q62" s="102" t="str">
        <x:v>Operating</x:v>
      </x:c>
      <x:c r="R62" s="102" t="str">
        <x:v>SRC_0066</x:v>
      </x:c>
      <x:c r="S62" s="102" t="str">
        <x:v>ADNOC L&amp;S fleet sheet.</x:v>
      </x:c>
      <x:c r="T62" s="102"/>
      <x:c r="U62" s="102"/>
      <x:c r="V62" s="102"/>
      <x:c r="W62" s="102"/>
      <x:c r="X62" s="110"/>
      <x:c r="Y62" s="102"/>
      <x:c r="Z62" s="102"/>
      <x:c r="AA62" s="102"/>
    </x:row>
    <x:row r="63">
      <x:c r="A63" s="102" t="str">
        <x:v>VESSEL_00062</x:v>
      </x:c>
      <x:c r="B63" s="102" t="str">
        <x:v>Al Khtam</x:v>
      </x:c>
      <x:c r="C63" s="110" t="str">
        <x:v>9823534</x:v>
      </x:c>
      <x:c r="D63" s="102" t="str">
        <x:v>COMP_ADNOC_LS</x:v>
      </x:c>
      <x:c r="E63" s="102" t="str">
        <x:v>COMP_ADNOC_LS</x:v>
      </x:c>
      <x:c r="F63" s="102" t="str">
        <x:v>Crude / product tanker</x:v>
      </x:c>
      <x:c r="G63" s="102"/>
      <x:c r="H63" s="102"/>
      <x:c r="I63" s="102"/>
      <x:c r="J63" s="102" t="n">
        <x:v>114600</x:v>
      </x:c>
      <x:c r="K63" s="102"/>
      <x:c r="L63" s="102"/>
      <x:c r="M63" s="102"/>
      <x:c r="N63" s="102"/>
      <x:c r="O63" s="102"/>
      <x:c r="P63" s="102"/>
      <x:c r="Q63" s="102" t="str">
        <x:v>Operating</x:v>
      </x:c>
      <x:c r="R63" s="102" t="str">
        <x:v>SRC_0066</x:v>
      </x:c>
      <x:c r="S63" s="102" t="str">
        <x:v>ADNOC L&amp;S fleet sheet.</x:v>
      </x:c>
      <x:c r="T63" s="102"/>
      <x:c r="U63" s="102"/>
      <x:c r="V63" s="102"/>
      <x:c r="W63" s="102"/>
      <x:c r="X63" s="110"/>
      <x:c r="Y63" s="102"/>
      <x:c r="Z63" s="102"/>
      <x:c r="AA63" s="102"/>
    </x:row>
    <x:row r="64">
      <x:c r="A64" s="102" t="str">
        <x:v>VESSEL_00063</x:v>
      </x:c>
      <x:c r="B64" s="102" t="str">
        <x:v>Yong Jiang (Gas Yongjiang)</x:v>
      </x:c>
      <x:c r="C64" s="110" t="str">
        <x:v>1013834</x:v>
      </x:c>
      <x:c r="D64" s="102" t="str">
        <x:v>COMP_AW_SHIPPING</x:v>
      </x:c>
      <x:c r="E64" s="102" t="str">
        <x:v>COMP_AW_SHIPPING</x:v>
      </x:c>
      <x:c r="F64" s="102" t="str">
        <x:v>VLEC</x:v>
      </x:c>
      <x:c r="G64" s="102" t="str">
        <x:v>Hull H2724</x:v>
      </x:c>
      <x:c r="H64" s="102"/>
      <x:c r="I64" s="102"/>
      <x:c r="J64" s="102"/>
      <x:c r="K64" s="102" t="str">
        <x:v>99,000 m3</x:v>
      </x:c>
      <x:c r="L64" s="102"/>
      <x:c r="M64" s="102"/>
      <x:c r="N64" s="102"/>
      <x:c r="O64" s="102"/>
      <x:c r="P64" s="102"/>
      <x:c r="Q64" s="102" t="str">
        <x:v>Delivered / operating</x:v>
      </x:c>
      <x:c r="R64" s="102" t="str">
        <x:v>SRC_0066</x:v>
      </x:c>
      <x:c r="S64" s="102" t="str">
        <x:v>AW Shipping ethane-carrier fleet / program.</x:v>
      </x:c>
      <x:c r="T64" s="102"/>
      <x:c r="U64" s="102"/>
      <x:c r="V64" s="102"/>
      <x:c r="W64" s="102"/>
      <x:c r="X64" s="110"/>
      <x:c r="Y64" s="102"/>
      <x:c r="Z64" s="102"/>
      <x:c r="AA64" s="102"/>
    </x:row>
    <x:row r="65">
      <x:c r="A65" s="102" t="str">
        <x:v>VESSEL_00064</x:v>
      </x:c>
      <x:c r="B65" s="102" t="str">
        <x:v>Min Jiang</x:v>
      </x:c>
      <x:c r="C65" s="110" t="str">
        <x:v>1013846</x:v>
      </x:c>
      <x:c r="D65" s="102" t="str">
        <x:v>COMP_AW_SHIPPING</x:v>
      </x:c>
      <x:c r="E65" s="102" t="str">
        <x:v>COMP_AW_SHIPPING</x:v>
      </x:c>
      <x:c r="F65" s="102" t="str">
        <x:v>VLEC</x:v>
      </x:c>
      <x:c r="G65" s="102" t="str">
        <x:v>Hull H2725</x:v>
      </x:c>
      <x:c r="H65" s="102"/>
      <x:c r="I65" s="102"/>
      <x:c r="J65" s="102"/>
      <x:c r="K65" s="102" t="str">
        <x:v>99,000 m3</x:v>
      </x:c>
      <x:c r="L65" s="102"/>
      <x:c r="M65" s="102"/>
      <x:c r="N65" s="102"/>
      <x:c r="O65" s="102"/>
      <x:c r="P65" s="102"/>
      <x:c r="Q65" s="102" t="str">
        <x:v>Newbuild / delivery program</x:v>
      </x:c>
      <x:c r="R65" s="102" t="str">
        <x:v>SRC_0066</x:v>
      </x:c>
      <x:c r="S65" s="102" t="str">
        <x:v>AW Shipping ethane-carrier fleet / program.</x:v>
      </x:c>
      <x:c r="T65" s="102"/>
      <x:c r="U65" s="102"/>
      <x:c r="V65" s="102"/>
      <x:c r="W65" s="102"/>
      <x:c r="X65" s="110"/>
      <x:c r="Y65" s="102"/>
      <x:c r="Z65" s="102"/>
      <x:c r="AA65" s="102"/>
    </x:row>
    <x:row r="66">
      <x:c r="A66" s="102" t="str">
        <x:v>VESSEL_00065</x:v>
      </x:c>
      <x:c r="B66" s="102" t="str">
        <x:v>Al Bayraq</x:v>
      </x:c>
      <x:c r="C66" s="110"/>
      <x:c r="D66" s="102" t="str">
        <x:v>COMP_AW_SHIPPING</x:v>
      </x:c>
      <x:c r="E66" s="102" t="str">
        <x:v>COMP_AW_SHIPPING</x:v>
      </x:c>
      <x:c r="F66" s="102" t="str">
        <x:v>VLEC</x:v>
      </x:c>
      <x:c r="G66" s="102" t="str">
        <x:v>Hull H2828</x:v>
      </x:c>
      <x:c r="H66" s="102"/>
      <x:c r="I66" s="102"/>
      <x:c r="J66" s="102"/>
      <x:c r="K66" s="102" t="str">
        <x:v>99,000 m3</x:v>
      </x:c>
      <x:c r="L66" s="102"/>
      <x:c r="M66" s="102"/>
      <x:c r="N66" s="102"/>
      <x:c r="O66" s="102"/>
      <x:c r="P66" s="102"/>
      <x:c r="Q66" s="102" t="str">
        <x:v>Newbuild / delivery program</x:v>
      </x:c>
      <x:c r="R66" s="102" t="str">
        <x:v>SRC_0066</x:v>
      </x:c>
      <x:c r="S66" s="102" t="str">
        <x:v>AW Shipping ethane-carrier fleet / program.</x:v>
      </x:c>
      <x:c r="T66" s="102"/>
      <x:c r="U66" s="102"/>
      <x:c r="V66" s="102"/>
      <x:c r="W66" s="102"/>
      <x:c r="X66" s="110"/>
      <x:c r="Y66" s="102"/>
      <x:c r="Z66" s="102"/>
      <x:c r="AA66" s="102"/>
    </x:row>
    <x:row r="67">
      <x:c r="A67" s="102" t="str">
        <x:v>VESSEL_00066</x:v>
      </x:c>
      <x:c r="B67" s="102" t="str">
        <x:v>Alhosn</x:v>
      </x:c>
      <x:c r="C67" s="110"/>
      <x:c r="D67" s="102" t="str">
        <x:v>COMP_AW_SHIPPING</x:v>
      </x:c>
      <x:c r="E67" s="102" t="str">
        <x:v>COMP_AW_SHIPPING</x:v>
      </x:c>
      <x:c r="F67" s="102" t="str">
        <x:v>VLEC</x:v>
      </x:c>
      <x:c r="G67" s="102" t="str">
        <x:v>Hull H2829</x:v>
      </x:c>
      <x:c r="H67" s="102"/>
      <x:c r="I67" s="102"/>
      <x:c r="J67" s="102"/>
      <x:c r="K67" s="102" t="str">
        <x:v>99,000 m3</x:v>
      </x:c>
      <x:c r="L67" s="102"/>
      <x:c r="M67" s="102"/>
      <x:c r="N67" s="102"/>
      <x:c r="O67" s="102"/>
      <x:c r="P67" s="102"/>
      <x:c r="Q67" s="102" t="str">
        <x:v>Newbuild / delivery program</x:v>
      </x:c>
      <x:c r="R67" s="102" t="str">
        <x:v>SRC_0066</x:v>
      </x:c>
      <x:c r="S67" s="102" t="str">
        <x:v>AW Shipping ethane-carrier fleet / program.</x:v>
      </x:c>
      <x:c r="T67" s="102"/>
      <x:c r="U67" s="102"/>
      <x:c r="V67" s="102"/>
      <x:c r="W67" s="102"/>
      <x:c r="X67" s="110"/>
      <x:c r="Y67" s="102"/>
      <x:c r="Z67" s="102"/>
      <x:c r="AA67" s="102"/>
    </x:row>
    <x:row r="68">
      <x:c r="A68" s="102" t="str">
        <x:v>VESSEL_00067</x:v>
      </x:c>
      <x:c r="B68" s="102" t="str">
        <x:v>Al Aryam</x:v>
      </x:c>
      <x:c r="C68" s="110"/>
      <x:c r="D68" s="102" t="str">
        <x:v>COMP_AW_SHIPPING</x:v>
      </x:c>
      <x:c r="E68" s="102" t="str">
        <x:v>COMP_AW_SHIPPING</x:v>
      </x:c>
      <x:c r="F68" s="102" t="str">
        <x:v>VLEC</x:v>
      </x:c>
      <x:c r="G68" s="102" t="str">
        <x:v>Hull H2823</x:v>
      </x:c>
      <x:c r="H68" s="102"/>
      <x:c r="I68" s="102"/>
      <x:c r="J68" s="102"/>
      <x:c r="K68" s="102" t="str">
        <x:v>99,000 m3</x:v>
      </x:c>
      <x:c r="L68" s="102"/>
      <x:c r="M68" s="102"/>
      <x:c r="N68" s="102"/>
      <x:c r="O68" s="102"/>
      <x:c r="P68" s="102"/>
      <x:c r="Q68" s="102" t="str">
        <x:v>Newbuild / delivery program</x:v>
      </x:c>
      <x:c r="R68" s="102" t="str">
        <x:v>SRC_0066</x:v>
      </x:c>
      <x:c r="S68" s="102" t="str">
        <x:v>AW Shipping ethane-carrier fleet / program.</x:v>
      </x:c>
      <x:c r="T68" s="102"/>
      <x:c r="U68" s="102"/>
      <x:c r="V68" s="102"/>
      <x:c r="W68" s="102"/>
      <x:c r="X68" s="110"/>
      <x:c r="Y68" s="102"/>
      <x:c r="Z68" s="102"/>
      <x:c r="AA68" s="102"/>
    </x:row>
    <x:row r="69">
      <x:c r="A69" s="102" t="str">
        <x:v>VESSEL_00068</x:v>
      </x:c>
      <x:c r="B69" s="102" t="str">
        <x:v>Al Saad</x:v>
      </x:c>
      <x:c r="C69" s="110"/>
      <x:c r="D69" s="102" t="str">
        <x:v>COMP_AW_SHIPPING</x:v>
      </x:c>
      <x:c r="E69" s="102" t="str">
        <x:v>COMP_AW_SHIPPING</x:v>
      </x:c>
      <x:c r="F69" s="102" t="str">
        <x:v>VLEC</x:v>
      </x:c>
      <x:c r="G69" s="102" t="str">
        <x:v>Hull H2830</x:v>
      </x:c>
      <x:c r="H69" s="102"/>
      <x:c r="I69" s="102"/>
      <x:c r="J69" s="102"/>
      <x:c r="K69" s="102" t="str">
        <x:v>99,000 m3</x:v>
      </x:c>
      <x:c r="L69" s="102"/>
      <x:c r="M69" s="102"/>
      <x:c r="N69" s="102"/>
      <x:c r="O69" s="102"/>
      <x:c r="P69" s="102"/>
      <x:c r="Q69" s="102" t="str">
        <x:v>Newbuild / delivery program</x:v>
      </x:c>
      <x:c r="R69" s="102" t="str">
        <x:v>SRC_0066</x:v>
      </x:c>
      <x:c r="S69" s="102" t="str">
        <x:v>AW Shipping ethane-carrier fleet / program.</x:v>
      </x:c>
      <x:c r="T69" s="102"/>
      <x:c r="U69" s="102"/>
      <x:c r="V69" s="102"/>
      <x:c r="W69" s="102"/>
      <x:c r="X69" s="110"/>
      <x:c r="Y69" s="102"/>
      <x:c r="Z69" s="102"/>
      <x:c r="AA69" s="102"/>
    </x:row>
    <x:row r="70">
      <x:c r="A70" s="102" t="str">
        <x:v>VESSEL_00069</x:v>
      </x:c>
      <x:c r="B70" s="102" t="str">
        <x:v>Al Muzn</x:v>
      </x:c>
      <x:c r="C70" s="110"/>
      <x:c r="D70" s="102" t="str">
        <x:v>COMP_AW_SHIPPING</x:v>
      </x:c>
      <x:c r="E70" s="102" t="str">
        <x:v>COMP_AW_SHIPPING</x:v>
      </x:c>
      <x:c r="F70" s="102" t="str">
        <x:v>VLEC</x:v>
      </x:c>
      <x:c r="G70" s="102" t="str">
        <x:v>Hull H2825</x:v>
      </x:c>
      <x:c r="H70" s="102"/>
      <x:c r="I70" s="102"/>
      <x:c r="J70" s="102"/>
      <x:c r="K70" s="102" t="str">
        <x:v>99,000 m3</x:v>
      </x:c>
      <x:c r="L70" s="102"/>
      <x:c r="M70" s="102"/>
      <x:c r="N70" s="102"/>
      <x:c r="O70" s="102"/>
      <x:c r="P70" s="102"/>
      <x:c r="Q70" s="102" t="str">
        <x:v>Newbuild / delivery program</x:v>
      </x:c>
      <x:c r="R70" s="102" t="str">
        <x:v>SRC_0066</x:v>
      </x:c>
      <x:c r="S70" s="102" t="str">
        <x:v>AW Shipping ethane-carrier fleet / program.</x:v>
      </x:c>
      <x:c r="T70" s="102"/>
      <x:c r="U70" s="102"/>
      <x:c r="V70" s="102"/>
      <x:c r="W70" s="102"/>
      <x:c r="X70" s="110"/>
      <x:c r="Y70" s="102"/>
      <x:c r="Z70" s="102"/>
      <x:c r="AA70" s="102"/>
    </x:row>
    <x:row r="71">
      <x:c r="A71" s="102" t="str">
        <x:v>VESSEL_00070</x:v>
      </x:c>
      <x:c r="B71" s="102" t="str">
        <x:v>Al Taair</x:v>
      </x:c>
      <x:c r="C71" s="110"/>
      <x:c r="D71" s="102" t="str">
        <x:v>COMP_AW_SHIPPING</x:v>
      </x:c>
      <x:c r="E71" s="102" t="str">
        <x:v>COMP_AW_SHIPPING</x:v>
      </x:c>
      <x:c r="F71" s="102" t="str">
        <x:v>VLEC</x:v>
      </x:c>
      <x:c r="G71" s="102" t="str">
        <x:v>Hull H2831</x:v>
      </x:c>
      <x:c r="H71" s="102"/>
      <x:c r="I71" s="102"/>
      <x:c r="J71" s="102"/>
      <x:c r="K71" s="102" t="str">
        <x:v>99,000 m3</x:v>
      </x:c>
      <x:c r="L71" s="102"/>
      <x:c r="M71" s="102"/>
      <x:c r="N71" s="102"/>
      <x:c r="O71" s="102"/>
      <x:c r="P71" s="102"/>
      <x:c r="Q71" s="102" t="str">
        <x:v>Newbuild / delivery program</x:v>
      </x:c>
      <x:c r="R71" s="102" t="str">
        <x:v>SRC_0066</x:v>
      </x:c>
      <x:c r="S71" s="102" t="str">
        <x:v>AW Shipping ethane-carrier fleet / program.</x:v>
      </x:c>
      <x:c r="T71" s="102"/>
      <x:c r="U71" s="102"/>
      <x:c r="V71" s="102"/>
      <x:c r="W71" s="102"/>
      <x:c r="X71" s="110"/>
      <x:c r="Y71" s="102"/>
      <x:c r="Z71" s="102"/>
      <x:c r="AA71" s="102"/>
    </x:row>
    <x:row r="72">
      <x:c r="A72" s="102" t="str">
        <x:v>VESSEL_00071</x:v>
      </x:c>
      <x:c r="B72" s="102" t="str">
        <x:v>Al Sila</x:v>
      </x:c>
      <x:c r="C72" s="110"/>
      <x:c r="D72" s="102" t="str">
        <x:v>COMP_AW_SHIPPING</x:v>
      </x:c>
      <x:c r="E72" s="102" t="str">
        <x:v>COMP_AW_SHIPPING</x:v>
      </x:c>
      <x:c r="F72" s="102" t="str">
        <x:v>VLEC</x:v>
      </x:c>
      <x:c r="G72" s="102" t="str">
        <x:v>Hull H2827</x:v>
      </x:c>
      <x:c r="H72" s="102"/>
      <x:c r="I72" s="102"/>
      <x:c r="J72" s="102"/>
      <x:c r="K72" s="102" t="str">
        <x:v>99,000 m3</x:v>
      </x:c>
      <x:c r="L72" s="102"/>
      <x:c r="M72" s="102"/>
      <x:c r="N72" s="102"/>
      <x:c r="O72" s="102"/>
      <x:c r="P72" s="102"/>
      <x:c r="Q72" s="102" t="str">
        <x:v>Newbuild / delivery program</x:v>
      </x:c>
      <x:c r="R72" s="102" t="str">
        <x:v>SRC_0066</x:v>
      </x:c>
      <x:c r="S72" s="102" t="str">
        <x:v>AW Shipping ethane-carrier fleet / program.</x:v>
      </x:c>
      <x:c r="T72" s="102"/>
      <x:c r="U72" s="102"/>
      <x:c r="V72" s="102"/>
      <x:c r="W72" s="102"/>
      <x:c r="X72" s="110"/>
      <x:c r="Y72" s="102"/>
      <x:c r="Z72" s="102"/>
      <x:c r="AA72" s="102"/>
    </x:row>
    <x:row r="73">
      <x:c r="A73" s="102" t="str">
        <x:v>VESSEL_00072</x:v>
      </x:c>
      <x:c r="B73" s="102" t="str">
        <x:v>Janana</x:v>
      </x:c>
      <x:c r="C73" s="110" t="str">
        <x:v>9034236</x:v>
      </x:c>
      <x:c r="D73" s="102" t="str">
        <x:v>COMP_ADNOC_LS</x:v>
      </x:c>
      <x:c r="E73" s="102" t="str">
        <x:v>COMP_ADNOC_LS</x:v>
      </x:c>
      <x:c r="F73" s="102" t="str">
        <x:v>Molten sulphur carrier</x:v>
      </x:c>
      <x:c r="G73" s="102"/>
      <x:c r="H73" s="102"/>
      <x:c r="I73" s="102"/>
      <x:c r="J73" s="102"/>
      <x:c r="K73" s="102" t="str">
        <x:v>9,400</x:v>
      </x:c>
      <x:c r="L73" s="102"/>
      <x:c r="M73" s="102"/>
      <x:c r="N73" s="102"/>
      <x:c r="O73" s="102"/>
      <x:c r="P73" s="102"/>
      <x:c r="Q73" s="102" t="str">
        <x:v>Operating</x:v>
      </x:c>
      <x:c r="R73" s="102" t="str">
        <x:v>SRC_0066</x:v>
      </x:c>
      <x:c r="S73" s="102" t="str">
        <x:v>Capacity unit as published on fleet sheet; verify unit during enrichment.</x:v>
      </x:c>
      <x:c r="T73" s="102"/>
      <x:c r="U73" s="102"/>
      <x:c r="V73" s="102"/>
      <x:c r="W73" s="102"/>
      <x:c r="X73" s="110"/>
      <x:c r="Y73" s="102"/>
      <x:c r="Z73" s="102"/>
      <x:c r="AA73" s="102"/>
    </x:row>
    <x:row r="74">
      <x:c r="A74" s="102" t="str">
        <x:v>VESSEL_00073</x:v>
      </x:c>
      <x:c r="B74" s="102" t="str">
        <x:v>ADNOC L&amp;S molten sulphur newbuild</x:v>
      </x:c>
      <x:c r="C74" s="110"/>
      <x:c r="D74" s="102" t="str">
        <x:v>COMP_ADNOC_LS</x:v>
      </x:c>
      <x:c r="E74" s="102" t="str">
        <x:v>COMP_ADNOC_LS</x:v>
      </x:c>
      <x:c r="F74" s="102" t="str">
        <x:v>Molten sulphur carrier</x:v>
      </x:c>
      <x:c r="G74" s="102" t="str">
        <x:v>N/B Jiangsu Zhenjiang Shipyard</x:v>
      </x:c>
      <x:c r="H74" s="102"/>
      <x:c r="I74" s="102"/>
      <x:c r="J74" s="102"/>
      <x:c r="K74" s="102" t="str">
        <x:v>11,000</x:v>
      </x:c>
      <x:c r="L74" s="102"/>
      <x:c r="M74" s="102"/>
      <x:c r="N74" s="102"/>
      <x:c r="O74" s="102"/>
      <x:c r="P74" s="102"/>
      <x:c r="Q74" s="102" t="str">
        <x:v>On order / newbuild</x:v>
      </x:c>
      <x:c r="R74" s="102" t="str">
        <x:v>SRC_0066</x:v>
      </x:c>
      <x:c r="S74" s="102" t="str">
        <x:v>Unnamed newbuild on official fleet sheet.</x:v>
      </x:c>
      <x:c r="T74" s="102"/>
      <x:c r="U74" s="102"/>
      <x:c r="V74" s="102"/>
      <x:c r="W74" s="102"/>
      <x:c r="X74" s="110"/>
      <x:c r="Y74" s="102"/>
      <x:c r="Z74" s="102"/>
      <x:c r="AA74" s="102"/>
    </x:row>
    <x:row r="75">
      <x:c r="A75" s="102" t="str">
        <x:v>VESSEL_00074</x:v>
      </x:c>
      <x:c r="B75" s="102" t="str">
        <x:v>Jarnain</x:v>
      </x:c>
      <x:c r="C75" s="110" t="str">
        <x:v>9823546</x:v>
      </x:c>
      <x:c r="D75" s="102" t="str">
        <x:v>COMP_ADNOC_LS</x:v>
      </x:c>
      <x:c r="E75" s="102" t="str">
        <x:v>COMP_ADNOC_LS</x:v>
      </x:c>
      <x:c r="F75" s="102" t="str">
        <x:v>LR2 tanker</x:v>
      </x:c>
      <x:c r="G75" s="102"/>
      <x:c r="H75" s="102"/>
      <x:c r="I75" s="102"/>
      <x:c r="J75" s="102" t="n">
        <x:v>114800</x:v>
      </x:c>
      <x:c r="K75" s="102"/>
      <x:c r="L75" s="102"/>
      <x:c r="M75" s="102"/>
      <x:c r="N75" s="102"/>
      <x:c r="O75" s="102"/>
      <x:c r="P75" s="102"/>
      <x:c r="Q75" s="102" t="str">
        <x:v>Operating</x:v>
      </x:c>
      <x:c r="R75" s="102" t="str">
        <x:v>SRC_0066</x:v>
      </x:c>
      <x:c r="S75" s="102" t="str">
        <x:v>ADNOC L&amp;S fleet sheet.</x:v>
      </x:c>
      <x:c r="T75" s="102"/>
      <x:c r="U75" s="102"/>
      <x:c r="V75" s="102"/>
      <x:c r="W75" s="102"/>
      <x:c r="X75" s="110"/>
      <x:c r="Y75" s="102"/>
      <x:c r="Z75" s="102"/>
      <x:c r="AA75" s="102"/>
    </x:row>
    <x:row r="76">
      <x:c r="A76" s="102" t="str">
        <x:v>VESSEL_00075</x:v>
      </x:c>
      <x:c r="B76" s="102" t="str">
        <x:v>Tarif</x:v>
      </x:c>
      <x:c r="C76" s="110" t="str">
        <x:v>9828390</x:v>
      </x:c>
      <x:c r="D76" s="102" t="str">
        <x:v>COMP_ADNOC_LS</x:v>
      </x:c>
      <x:c r="E76" s="102" t="str">
        <x:v>COMP_ADNOC_LS</x:v>
      </x:c>
      <x:c r="F76" s="102" t="str">
        <x:v>LR2 tanker</x:v>
      </x:c>
      <x:c r="G76" s="102"/>
      <x:c r="H76" s="102"/>
      <x:c r="I76" s="102"/>
      <x:c r="J76" s="102" t="n">
        <x:v>114800</x:v>
      </x:c>
      <x:c r="K76" s="102"/>
      <x:c r="L76" s="102"/>
      <x:c r="M76" s="102"/>
      <x:c r="N76" s="102"/>
      <x:c r="O76" s="102"/>
      <x:c r="P76" s="102"/>
      <x:c r="Q76" s="102" t="str">
        <x:v>Operating</x:v>
      </x:c>
      <x:c r="R76" s="102" t="str">
        <x:v>SRC_0066</x:v>
      </x:c>
      <x:c r="S76" s="102" t="str">
        <x:v>ADNOC L&amp;S fleet sheet.</x:v>
      </x:c>
      <x:c r="T76" s="102"/>
      <x:c r="U76" s="102"/>
      <x:c r="V76" s="102"/>
      <x:c r="W76" s="102"/>
      <x:c r="X76" s="110"/>
      <x:c r="Y76" s="102"/>
      <x:c r="Z76" s="102"/>
      <x:c r="AA76" s="102"/>
    </x:row>
    <x:row r="77">
      <x:c r="A77" s="102" t="str">
        <x:v>VESSEL_00076</x:v>
      </x:c>
      <x:c r="B77" s="102" t="str">
        <x:v>Navig8 Precision</x:v>
      </x:c>
      <x:c r="C77" s="110" t="str">
        <x:v>9831294</x:v>
      </x:c>
      <x:c r="D77" s="102" t="str">
        <x:v>COMP_NAVIG8</x:v>
      </x:c>
      <x:c r="E77" s="102" t="str">
        <x:v>COMP_NAVIG8</x:v>
      </x:c>
      <x:c r="F77" s="102" t="str">
        <x:v>LR2 tanker</x:v>
      </x:c>
      <x:c r="G77" s="102"/>
      <x:c r="H77" s="102"/>
      <x:c r="I77" s="102"/>
      <x:c r="J77" s="102" t="n">
        <x:v>110000</x:v>
      </x:c>
      <x:c r="K77" s="102"/>
      <x:c r="L77" s="102"/>
      <x:c r="M77" s="102"/>
      <x:c r="N77" s="102"/>
      <x:c r="O77" s="102"/>
      <x:c r="P77" s="102"/>
      <x:c r="Q77" s="102" t="str">
        <x:v>Operating</x:v>
      </x:c>
      <x:c r="R77" s="102" t="str">
        <x:v>SRC_0066</x:v>
      </x:c>
      <x:c r="S77" s="102" t="str">
        <x:v>ADNOC L&amp;S fleet sheet.</x:v>
      </x:c>
      <x:c r="T77" s="102"/>
      <x:c r="U77" s="102"/>
      <x:c r="V77" s="102"/>
      <x:c r="W77" s="102"/>
      <x:c r="X77" s="110"/>
      <x:c r="Y77" s="102"/>
      <x:c r="Z77" s="102"/>
      <x:c r="AA77" s="102"/>
    </x:row>
    <x:row r="78">
      <x:c r="A78" s="102" t="str">
        <x:v>VESSEL_00077</x:v>
      </x:c>
      <x:c r="B78" s="102" t="str">
        <x:v>Navig8 Prestige</x:v>
      </x:c>
      <x:c r="C78" s="110" t="str">
        <x:v>9831309</x:v>
      </x:c>
      <x:c r="D78" s="102" t="str">
        <x:v>COMP_NAVIG8</x:v>
      </x:c>
      <x:c r="E78" s="102" t="str">
        <x:v>COMP_NAVIG8</x:v>
      </x:c>
      <x:c r="F78" s="102" t="str">
        <x:v>LR2 tanker</x:v>
      </x:c>
      <x:c r="G78" s="102"/>
      <x:c r="H78" s="102"/>
      <x:c r="I78" s="102"/>
      <x:c r="J78" s="102" t="n">
        <x:v>110000</x:v>
      </x:c>
      <x:c r="K78" s="102"/>
      <x:c r="L78" s="102"/>
      <x:c r="M78" s="102"/>
      <x:c r="N78" s="102"/>
      <x:c r="O78" s="102"/>
      <x:c r="P78" s="102"/>
      <x:c r="Q78" s="102" t="str">
        <x:v>Operating</x:v>
      </x:c>
      <x:c r="R78" s="102" t="str">
        <x:v>SRC_0066</x:v>
      </x:c>
      <x:c r="S78" s="102" t="str">
        <x:v>ADNOC L&amp;S fleet sheet.</x:v>
      </x:c>
      <x:c r="T78" s="102"/>
      <x:c r="U78" s="102"/>
      <x:c r="V78" s="102"/>
      <x:c r="W78" s="102"/>
      <x:c r="X78" s="110"/>
      <x:c r="Y78" s="102"/>
      <x:c r="Z78" s="102"/>
      <x:c r="AA78" s="102"/>
    </x:row>
    <x:row r="79">
      <x:c r="A79" s="102" t="str">
        <x:v>VESSEL_00078</x:v>
      </x:c>
      <x:c r="B79" s="102" t="str">
        <x:v>Navig8 Perseverance</x:v>
      </x:c>
      <x:c r="C79" s="110" t="str">
        <x:v>9853266</x:v>
      </x:c>
      <x:c r="D79" s="102" t="str">
        <x:v>COMP_NAVIG8</x:v>
      </x:c>
      <x:c r="E79" s="102" t="str">
        <x:v>COMP_NAVIG8</x:v>
      </x:c>
      <x:c r="F79" s="102" t="str">
        <x:v>LR2 tanker</x:v>
      </x:c>
      <x:c r="G79" s="102"/>
      <x:c r="H79" s="102"/>
      <x:c r="I79" s="102"/>
      <x:c r="J79" s="102" t="n">
        <x:v>110000</x:v>
      </x:c>
      <x:c r="K79" s="102"/>
      <x:c r="L79" s="102"/>
      <x:c r="M79" s="102"/>
      <x:c r="N79" s="102"/>
      <x:c r="O79" s="102"/>
      <x:c r="P79" s="102"/>
      <x:c r="Q79" s="102" t="str">
        <x:v>Operating</x:v>
      </x:c>
      <x:c r="R79" s="102" t="str">
        <x:v>SRC_0066</x:v>
      </x:c>
      <x:c r="S79" s="102" t="str">
        <x:v>ADNOC L&amp;S fleet sheet.</x:v>
      </x:c>
      <x:c r="T79" s="102"/>
      <x:c r="U79" s="102"/>
      <x:c r="V79" s="102"/>
      <x:c r="W79" s="102"/>
      <x:c r="X79" s="110"/>
      <x:c r="Y79" s="102"/>
      <x:c r="Z79" s="102"/>
      <x:c r="AA79" s="102"/>
    </x:row>
    <x:row r="80">
      <x:c r="A80" s="102" t="str">
        <x:v>VESSEL_00079</x:v>
      </x:c>
      <x:c r="B80" s="102" t="str">
        <x:v>Navig8 Passion</x:v>
      </x:c>
      <x:c r="C80" s="110" t="str">
        <x:v>9853278</x:v>
      </x:c>
      <x:c r="D80" s="102" t="str">
        <x:v>COMP_NAVIG8</x:v>
      </x:c>
      <x:c r="E80" s="102" t="str">
        <x:v>COMP_NAVIG8</x:v>
      </x:c>
      <x:c r="F80" s="102" t="str">
        <x:v>LR2 tanker</x:v>
      </x:c>
      <x:c r="G80" s="102"/>
      <x:c r="H80" s="102"/>
      <x:c r="I80" s="102"/>
      <x:c r="J80" s="102" t="n">
        <x:v>110000</x:v>
      </x:c>
      <x:c r="K80" s="102"/>
      <x:c r="L80" s="102"/>
      <x:c r="M80" s="102"/>
      <x:c r="N80" s="102"/>
      <x:c r="O80" s="102"/>
      <x:c r="P80" s="102"/>
      <x:c r="Q80" s="102" t="str">
        <x:v>Operating</x:v>
      </x:c>
      <x:c r="R80" s="102" t="str">
        <x:v>SRC_0066</x:v>
      </x:c>
      <x:c r="S80" s="102" t="str">
        <x:v>ADNOC L&amp;S fleet sheet.</x:v>
      </x:c>
      <x:c r="T80" s="102"/>
      <x:c r="U80" s="102"/>
      <x:c r="V80" s="102"/>
      <x:c r="W80" s="102"/>
      <x:c r="X80" s="110"/>
      <x:c r="Y80" s="102"/>
      <x:c r="Z80" s="102"/>
      <x:c r="AA80" s="102"/>
    </x:row>
    <x:row r="81">
      <x:c r="A81" s="102" t="str">
        <x:v>VESSEL_00080</x:v>
      </x:c>
      <x:c r="B81" s="102" t="str">
        <x:v>Navig8 Promise</x:v>
      </x:c>
      <x:c r="C81" s="110" t="str">
        <x:v>9791298</x:v>
      </x:c>
      <x:c r="D81" s="102" t="str">
        <x:v>COMP_NAVIG8</x:v>
      </x:c>
      <x:c r="E81" s="102" t="str">
        <x:v>COMP_NAVIG8</x:v>
      </x:c>
      <x:c r="F81" s="102" t="str">
        <x:v>LR2 tanker</x:v>
      </x:c>
      <x:c r="G81" s="102"/>
      <x:c r="H81" s="102"/>
      <x:c r="I81" s="102"/>
      <x:c r="J81" s="102" t="n">
        <x:v>110000</x:v>
      </x:c>
      <x:c r="K81" s="102"/>
      <x:c r="L81" s="102"/>
      <x:c r="M81" s="102"/>
      <x:c r="N81" s="102"/>
      <x:c r="O81" s="102"/>
      <x:c r="P81" s="102"/>
      <x:c r="Q81" s="102" t="str">
        <x:v>Operating</x:v>
      </x:c>
      <x:c r="R81" s="102" t="str">
        <x:v>SRC_0066</x:v>
      </x:c>
      <x:c r="S81" s="102" t="str">
        <x:v>ADNOC L&amp;S fleet sheet.</x:v>
      </x:c>
      <x:c r="T81" s="102"/>
      <x:c r="U81" s="102"/>
      <x:c r="V81" s="102"/>
      <x:c r="W81" s="102"/>
      <x:c r="X81" s="110"/>
      <x:c r="Y81" s="102"/>
      <x:c r="Z81" s="102"/>
      <x:c r="AA81" s="102"/>
    </x:row>
    <x:row r="82">
      <x:c r="A82" s="102" t="str">
        <x:v>VESSEL_00081</x:v>
      </x:c>
      <x:c r="B82" s="102" t="str">
        <x:v>Navig8 Prosperity</x:v>
      </x:c>
      <x:c r="C82" s="110" t="str">
        <x:v>9855496</x:v>
      </x:c>
      <x:c r="D82" s="102" t="str">
        <x:v>COMP_NAVIG8</x:v>
      </x:c>
      <x:c r="E82" s="102" t="str">
        <x:v>COMP_NAVIG8</x:v>
      </x:c>
      <x:c r="F82" s="102" t="str">
        <x:v>LR2 tanker</x:v>
      </x:c>
      <x:c r="G82" s="102"/>
      <x:c r="H82" s="102"/>
      <x:c r="I82" s="102"/>
      <x:c r="J82" s="102" t="n">
        <x:v>110000</x:v>
      </x:c>
      <x:c r="K82" s="102"/>
      <x:c r="L82" s="102"/>
      <x:c r="M82" s="102"/>
      <x:c r="N82" s="102"/>
      <x:c r="O82" s="102"/>
      <x:c r="P82" s="102"/>
      <x:c r="Q82" s="102" t="str">
        <x:v>Operating</x:v>
      </x:c>
      <x:c r="R82" s="102" t="str">
        <x:v>SRC_0066</x:v>
      </x:c>
      <x:c r="S82" s="102" t="str">
        <x:v>ADNOC L&amp;S fleet sheet.</x:v>
      </x:c>
      <x:c r="T82" s="102"/>
      <x:c r="U82" s="102"/>
      <x:c r="V82" s="102"/>
      <x:c r="W82" s="102"/>
      <x:c r="X82" s="110"/>
      <x:c r="Y82" s="102"/>
      <x:c r="Z82" s="102"/>
      <x:c r="AA82" s="102"/>
    </x:row>
    <x:row r="83">
      <x:c r="A83" s="102" t="str">
        <x:v>VESSEL_00082</x:v>
      </x:c>
      <x:c r="B83" s="102" t="str">
        <x:v>Navig8 Pride LHJ</x:v>
      </x:c>
      <x:c r="C83" s="110" t="str">
        <x:v>9947366</x:v>
      </x:c>
      <x:c r="D83" s="102" t="str">
        <x:v>COMP_NAVIG8</x:v>
      </x:c>
      <x:c r="E83" s="102" t="str">
        <x:v>COMP_NAVIG8</x:v>
      </x:c>
      <x:c r="F83" s="102" t="str">
        <x:v>LR2 tanker</x:v>
      </x:c>
      <x:c r="G83" s="102"/>
      <x:c r="H83" s="102"/>
      <x:c r="I83" s="102"/>
      <x:c r="J83" s="102" t="n">
        <x:v>110000</x:v>
      </x:c>
      <x:c r="K83" s="102"/>
      <x:c r="L83" s="102"/>
      <x:c r="M83" s="102"/>
      <x:c r="N83" s="102"/>
      <x:c r="O83" s="102"/>
      <x:c r="P83" s="102"/>
      <x:c r="Q83" s="102" t="str">
        <x:v>Operating</x:v>
      </x:c>
      <x:c r="R83" s="102" t="str">
        <x:v>SRC_0066</x:v>
      </x:c>
      <x:c r="S83" s="102" t="str">
        <x:v>ADNOC L&amp;S fleet sheet.</x:v>
      </x:c>
      <x:c r="T83" s="102"/>
      <x:c r="U83" s="102"/>
      <x:c r="V83" s="102"/>
      <x:c r="W83" s="102"/>
      <x:c r="X83" s="110"/>
      <x:c r="Y83" s="102"/>
      <x:c r="Z83" s="102"/>
      <x:c r="AA83" s="102"/>
    </x:row>
    <x:row r="84">
      <x:c r="A84" s="102" t="str">
        <x:v>VESSEL_00083</x:v>
      </x:c>
      <x:c r="B84" s="102" t="str">
        <x:v>Navig8 Wolf</x:v>
      </x:c>
      <x:c r="C84" s="110" t="str">
        <x:v>9935301</x:v>
      </x:c>
      <x:c r="D84" s="102" t="str">
        <x:v>COMP_NAVIG8</x:v>
      </x:c>
      <x:c r="E84" s="102" t="str">
        <x:v>COMP_NAVIG8</x:v>
      </x:c>
      <x:c r="F84" s="102" t="str">
        <x:v>LR2 tanker</x:v>
      </x:c>
      <x:c r="G84" s="102"/>
      <x:c r="H84" s="102"/>
      <x:c r="I84" s="102"/>
      <x:c r="J84" s="102" t="n">
        <x:v>110000</x:v>
      </x:c>
      <x:c r="K84" s="102"/>
      <x:c r="L84" s="102"/>
      <x:c r="M84" s="102"/>
      <x:c r="N84" s="102"/>
      <x:c r="O84" s="102"/>
      <x:c r="P84" s="102"/>
      <x:c r="Q84" s="102" t="str">
        <x:v>Operating</x:v>
      </x:c>
      <x:c r="R84" s="102" t="str">
        <x:v>SRC_0066</x:v>
      </x:c>
      <x:c r="S84" s="102" t="str">
        <x:v>ADNOC L&amp;S fleet sheet.</x:v>
      </x:c>
      <x:c r="T84" s="102"/>
      <x:c r="U84" s="102"/>
      <x:c r="V84" s="102"/>
      <x:c r="W84" s="102"/>
      <x:c r="X84" s="110"/>
      <x:c r="Y84" s="102"/>
      <x:c r="Z84" s="102"/>
      <x:c r="AA84" s="102"/>
    </x:row>
    <x:row r="85">
      <x:c r="A85" s="102" t="str">
        <x:v>VESSEL_00084</x:v>
      </x:c>
      <x:c r="B85" s="102" t="str">
        <x:v>Navig8 Providence</x:v>
      </x:c>
      <x:c r="C85" s="110" t="str">
        <x:v>9947378</x:v>
      </x:c>
      <x:c r="D85" s="102" t="str">
        <x:v>COMP_NAVIG8</x:v>
      </x:c>
      <x:c r="E85" s="102" t="str">
        <x:v>COMP_NAVIG8</x:v>
      </x:c>
      <x:c r="F85" s="102" t="str">
        <x:v>LR2 tanker</x:v>
      </x:c>
      <x:c r="G85" s="102"/>
      <x:c r="H85" s="102"/>
      <x:c r="I85" s="102"/>
      <x:c r="J85" s="102" t="n">
        <x:v>110000</x:v>
      </x:c>
      <x:c r="K85" s="102"/>
      <x:c r="L85" s="102"/>
      <x:c r="M85" s="102"/>
      <x:c r="N85" s="102"/>
      <x:c r="O85" s="102"/>
      <x:c r="P85" s="102"/>
      <x:c r="Q85" s="102" t="str">
        <x:v>Operating</x:v>
      </x:c>
      <x:c r="R85" s="102" t="str">
        <x:v>SRC_0066</x:v>
      </x:c>
      <x:c r="S85" s="102" t="str">
        <x:v>ADNOC L&amp;S fleet sheet.</x:v>
      </x:c>
      <x:c r="T85" s="102"/>
      <x:c r="U85" s="102"/>
      <x:c r="V85" s="102"/>
      <x:c r="W85" s="102"/>
      <x:c r="X85" s="110"/>
      <x:c r="Y85" s="102"/>
      <x:c r="Z85" s="102"/>
      <x:c r="AA85" s="102"/>
    </x:row>
    <x:row r="86">
      <x:c r="A86" s="102" t="str">
        <x:v>VESSEL_00085</x:v>
      </x:c>
      <x:c r="B86" s="102" t="str">
        <x:v>Leicester</x:v>
      </x:c>
      <x:c r="C86" s="110" t="str">
        <x:v>9792266</x:v>
      </x:c>
      <x:c r="D86" s="102" t="str">
        <x:v>COMP_ADNOC_LS</x:v>
      </x:c>
      <x:c r="E86" s="102" t="str">
        <x:v>COMP_ADNOC_LS</x:v>
      </x:c>
      <x:c r="F86" s="102" t="str">
        <x:v>VLCC</x:v>
      </x:c>
      <x:c r="G86" s="102"/>
      <x:c r="H86" s="102"/>
      <x:c r="I86" s="102"/>
      <x:c r="J86" s="102" t="n">
        <x:v>300000</x:v>
      </x:c>
      <x:c r="K86" s="102"/>
      <x:c r="L86" s="102"/>
      <x:c r="M86" s="102"/>
      <x:c r="N86" s="102"/>
      <x:c r="O86" s="102"/>
      <x:c r="P86" s="102"/>
      <x:c r="Q86" s="102" t="str">
        <x:v>Operating</x:v>
      </x:c>
      <x:c r="R86" s="102" t="str">
        <x:v>SRC_0066</x:v>
      </x:c>
      <x:c r="S86" s="102" t="str">
        <x:v>ADNOC L&amp;S fleet sheet.</x:v>
      </x:c>
      <x:c r="T86" s="102"/>
      <x:c r="U86" s="102"/>
      <x:c r="V86" s="102"/>
      <x:c r="W86" s="102"/>
      <x:c r="X86" s="110"/>
      <x:c r="Y86" s="102"/>
      <x:c r="Z86" s="102"/>
      <x:c r="AA86" s="102"/>
    </x:row>
    <x:row r="87">
      <x:c r="A87" s="102" t="str">
        <x:v>VESSEL_00086</x:v>
      </x:c>
      <x:c r="B87" s="102" t="str">
        <x:v>Hili</x:v>
      </x:c>
      <x:c r="C87" s="110" t="str">
        <x:v>9851830</x:v>
      </x:c>
      <x:c r="D87" s="102" t="str">
        <x:v>COMP_ADNOC_LS</x:v>
      </x:c>
      <x:c r="E87" s="102" t="str">
        <x:v>COMP_ADNOC_LS</x:v>
      </x:c>
      <x:c r="F87" s="102" t="str">
        <x:v>VLCC</x:v>
      </x:c>
      <x:c r="G87" s="102"/>
      <x:c r="H87" s="102"/>
      <x:c r="I87" s="102"/>
      <x:c r="J87" s="102" t="n">
        <x:v>300000</x:v>
      </x:c>
      <x:c r="K87" s="102"/>
      <x:c r="L87" s="102"/>
      <x:c r="M87" s="102"/>
      <x:c r="N87" s="102"/>
      <x:c r="O87" s="102"/>
      <x:c r="P87" s="102"/>
      <x:c r="Q87" s="102" t="str">
        <x:v>Operating</x:v>
      </x:c>
      <x:c r="R87" s="102" t="str">
        <x:v>SRC_0066</x:v>
      </x:c>
      <x:c r="S87" s="102" t="str">
        <x:v>ADNOC L&amp;S fleet sheet.</x:v>
      </x:c>
      <x:c r="T87" s="102"/>
      <x:c r="U87" s="102"/>
      <x:c r="V87" s="102"/>
      <x:c r="W87" s="102"/>
      <x:c r="X87" s="110"/>
      <x:c r="Y87" s="102"/>
      <x:c r="Z87" s="102"/>
      <x:c r="AA87" s="102"/>
    </x:row>
    <x:row r="88">
      <x:c r="A88" s="102" t="str">
        <x:v>VESSEL_00087</x:v>
      </x:c>
      <x:c r="B88" s="102" t="str">
        <x:v>Zakum</x:v>
      </x:c>
      <x:c r="C88" s="110" t="str">
        <x:v>9851842</x:v>
      </x:c>
      <x:c r="D88" s="102" t="str">
        <x:v>COMP_ADNOC_LS</x:v>
      </x:c>
      <x:c r="E88" s="102" t="str">
        <x:v>COMP_ADNOC_LS</x:v>
      </x:c>
      <x:c r="F88" s="102" t="str">
        <x:v>VLCC</x:v>
      </x:c>
      <x:c r="G88" s="102"/>
      <x:c r="H88" s="102"/>
      <x:c r="I88" s="102"/>
      <x:c r="J88" s="102" t="n">
        <x:v>300000</x:v>
      </x:c>
      <x:c r="K88" s="102"/>
      <x:c r="L88" s="102"/>
      <x:c r="M88" s="102"/>
      <x:c r="N88" s="102"/>
      <x:c r="O88" s="102"/>
      <x:c r="P88" s="102"/>
      <x:c r="Q88" s="102" t="str">
        <x:v>Operating</x:v>
      </x:c>
      <x:c r="R88" s="102" t="str">
        <x:v>SRC_0066</x:v>
      </x:c>
      <x:c r="S88" s="102" t="str">
        <x:v>ADNOC L&amp;S fleet sheet.</x:v>
      </x:c>
      <x:c r="T88" s="102"/>
      <x:c r="U88" s="102"/>
      <x:c r="V88" s="102"/>
      <x:c r="W88" s="102"/>
      <x:c r="X88" s="110"/>
      <x:c r="Y88" s="102"/>
      <x:c r="Z88" s="102"/>
      <x:c r="AA88" s="102"/>
    </x:row>
    <x:row r="89">
      <x:c r="A89" s="102" t="str">
        <x:v>VESSEL_00088</x:v>
      </x:c>
      <x:c r="B89" s="102" t="str">
        <x:v>Barakah</x:v>
      </x:c>
      <x:c r="C89" s="110" t="str">
        <x:v>9902615</x:v>
      </x:c>
      <x:c r="D89" s="102" t="str">
        <x:v>COMP_ADNOC_LS</x:v>
      </x:c>
      <x:c r="E89" s="102" t="str">
        <x:v>COMP_ADNOC_LS</x:v>
      </x:c>
      <x:c r="F89" s="102" t="str">
        <x:v>VLCC</x:v>
      </x:c>
      <x:c r="G89" s="102"/>
      <x:c r="H89" s="102"/>
      <x:c r="I89" s="102"/>
      <x:c r="J89" s="102" t="n">
        <x:v>307900</x:v>
      </x:c>
      <x:c r="K89" s="102"/>
      <x:c r="L89" s="102"/>
      <x:c r="M89" s="102"/>
      <x:c r="N89" s="102"/>
      <x:c r="O89" s="102"/>
      <x:c r="P89" s="102"/>
      <x:c r="Q89" s="102" t="str">
        <x:v>Operating</x:v>
      </x:c>
      <x:c r="R89" s="102" t="str">
        <x:v>SRC_0066</x:v>
      </x:c>
      <x:c r="S89" s="102" t="str">
        <x:v>ADNOC L&amp;S fleet sheet.</x:v>
      </x:c>
      <x:c r="T89" s="102"/>
      <x:c r="U89" s="102"/>
      <x:c r="V89" s="102"/>
      <x:c r="W89" s="102"/>
      <x:c r="X89" s="110"/>
      <x:c r="Y89" s="102"/>
      <x:c r="Z89" s="102"/>
      <x:c r="AA89" s="102"/>
    </x:row>
    <x:row r="90">
      <x:c r="A90" s="102" t="str">
        <x:v>VESSEL_00089</x:v>
      </x:c>
      <x:c r="B90" s="102" t="str">
        <x:v>Hafeet</x:v>
      </x:c>
      <x:c r="C90" s="110" t="str">
        <x:v>9928009</x:v>
      </x:c>
      <x:c r="D90" s="102" t="str">
        <x:v>COMP_ADNOC_LS</x:v>
      </x:c>
      <x:c r="E90" s="102" t="str">
        <x:v>COMP_ADNOC_LS</x:v>
      </x:c>
      <x:c r="F90" s="102" t="str">
        <x:v>VLCC</x:v>
      </x:c>
      <x:c r="G90" s="102"/>
      <x:c r="H90" s="102"/>
      <x:c r="I90" s="102"/>
      <x:c r="J90" s="102" t="n">
        <x:v>300000</x:v>
      </x:c>
      <x:c r="K90" s="102"/>
      <x:c r="L90" s="102"/>
      <x:c r="M90" s="102"/>
      <x:c r="N90" s="102"/>
      <x:c r="O90" s="102"/>
      <x:c r="P90" s="102"/>
      <x:c r="Q90" s="102" t="str">
        <x:v>Operating</x:v>
      </x:c>
      <x:c r="R90" s="102" t="str">
        <x:v>SRC_0066</x:v>
      </x:c>
      <x:c r="S90" s="102" t="str">
        <x:v>ADNOC L&amp;S fleet sheet.</x:v>
      </x:c>
      <x:c r="T90" s="102"/>
      <x:c r="U90" s="102"/>
      <x:c r="V90" s="102"/>
      <x:c r="W90" s="102"/>
      <x:c r="X90" s="110"/>
      <x:c r="Y90" s="102"/>
      <x:c r="Z90" s="102"/>
      <x:c r="AA90" s="102"/>
    </x:row>
    <x:row r="91">
      <x:c r="A91" s="102" t="str">
        <x:v>VESSEL_00090</x:v>
      </x:c>
      <x:c r="B91" s="102" t="str">
        <x:v>Habshan</x:v>
      </x:c>
      <x:c r="C91" s="110" t="str">
        <x:v>9928011</x:v>
      </x:c>
      <x:c r="D91" s="102" t="str">
        <x:v>COMP_ADNOC_LS</x:v>
      </x:c>
      <x:c r="E91" s="102" t="str">
        <x:v>COMP_ADNOC_LS</x:v>
      </x:c>
      <x:c r="F91" s="102" t="str">
        <x:v>VLCC</x:v>
      </x:c>
      <x:c r="G91" s="102"/>
      <x:c r="H91" s="102"/>
      <x:c r="I91" s="102"/>
      <x:c r="J91" s="102" t="n">
        <x:v>300000</x:v>
      </x:c>
      <x:c r="K91" s="102"/>
      <x:c r="L91" s="102"/>
      <x:c r="M91" s="102"/>
      <x:c r="N91" s="102"/>
      <x:c r="O91" s="102"/>
      <x:c r="P91" s="102"/>
      <x:c r="Q91" s="102" t="str">
        <x:v>Operating</x:v>
      </x:c>
      <x:c r="R91" s="102" t="str">
        <x:v>SRC_0066</x:v>
      </x:c>
      <x:c r="S91" s="102" t="str">
        <x:v>ADNOC L&amp;S fleet sheet.</x:v>
      </x:c>
      <x:c r="T91" s="102"/>
      <x:c r="U91" s="102"/>
      <x:c r="V91" s="102"/>
      <x:c r="W91" s="102"/>
      <x:c r="X91" s="110"/>
      <x:c r="Y91" s="102"/>
      <x:c r="Z91" s="102"/>
      <x:c r="AA91" s="102"/>
    </x:row>
    <x:row r="92">
      <x:c r="A92" s="102" t="str">
        <x:v>VESSEL_00091</x:v>
      </x:c>
      <x:c r="B92" s="102" t="str">
        <x:v>Arzanah</x:v>
      </x:c>
      <x:c r="C92" s="110" t="str">
        <x:v>9928023</x:v>
      </x:c>
      <x:c r="D92" s="102" t="str">
        <x:v>COMP_ADNOC_LS</x:v>
      </x:c>
      <x:c r="E92" s="102" t="str">
        <x:v>COMP_ADNOC_LS</x:v>
      </x:c>
      <x:c r="F92" s="102" t="str">
        <x:v>VLCC</x:v>
      </x:c>
      <x:c r="G92" s="102"/>
      <x:c r="H92" s="102"/>
      <x:c r="I92" s="102"/>
      <x:c r="J92" s="102" t="n">
        <x:v>300000</x:v>
      </x:c>
      <x:c r="K92" s="102"/>
      <x:c r="L92" s="102"/>
      <x:c r="M92" s="102"/>
      <x:c r="N92" s="102"/>
      <x:c r="O92" s="102"/>
      <x:c r="P92" s="102"/>
      <x:c r="Q92" s="102" t="str">
        <x:v>Operating</x:v>
      </x:c>
      <x:c r="R92" s="102" t="str">
        <x:v>SRC_0066</x:v>
      </x:c>
      <x:c r="S92" s="102" t="str">
        <x:v>ADNOC L&amp;S fleet sheet.</x:v>
      </x:c>
      <x:c r="T92" s="102"/>
      <x:c r="U92" s="102"/>
      <x:c r="V92" s="102"/>
      <x:c r="W92" s="102"/>
      <x:c r="X92" s="110"/>
      <x:c r="Y92" s="102"/>
      <x:c r="Z92" s="102"/>
      <x:c r="AA92" s="102"/>
    </x:row>
    <x:row r="93">
      <x:c r="A93" s="102" t="str">
        <x:v>VESSEL_00092</x:v>
      </x:c>
      <x:c r="B93" s="102" t="str">
        <x:v>Al Bahyah</x:v>
      </x:c>
      <x:c r="C93" s="110" t="str">
        <x:v>9937799</x:v>
      </x:c>
      <x:c r="D93" s="102" t="str">
        <x:v>COMP_ADNOC_LS</x:v>
      </x:c>
      <x:c r="E93" s="102" t="str">
        <x:v>COMP_ADNOC_LS</x:v>
      </x:c>
      <x:c r="F93" s="102" t="str">
        <x:v>VLCC</x:v>
      </x:c>
      <x:c r="G93" s="102"/>
      <x:c r="H93" s="102"/>
      <x:c r="I93" s="102"/>
      <x:c r="J93" s="102" t="n">
        <x:v>300000</x:v>
      </x:c>
      <x:c r="K93" s="102"/>
      <x:c r="L93" s="102"/>
      <x:c r="M93" s="102"/>
      <x:c r="N93" s="102"/>
      <x:c r="O93" s="102"/>
      <x:c r="P93" s="102"/>
      <x:c r="Q93" s="102" t="str">
        <x:v>Operating</x:v>
      </x:c>
      <x:c r="R93" s="102" t="str">
        <x:v>SRC_0066</x:v>
      </x:c>
      <x:c r="S93" s="102" t="str">
        <x:v>ADNOC L&amp;S fleet sheet.</x:v>
      </x:c>
      <x:c r="T93" s="102"/>
      <x:c r="U93" s="102"/>
      <x:c r="V93" s="102"/>
      <x:c r="W93" s="102"/>
      <x:c r="X93" s="110"/>
      <x:c r="Y93" s="102"/>
      <x:c r="Z93" s="102"/>
      <x:c r="AA93" s="102"/>
    </x:row>
    <x:row r="94">
      <x:c r="A94" s="102" t="str">
        <x:v>VESSEL_00093</x:v>
      </x:c>
      <x:c r="B94" s="102" t="str">
        <x:v>Navig8 Universe</x:v>
      </x:c>
      <x:c r="C94" s="110" t="str">
        <x:v>9489106</x:v>
      </x:c>
      <x:c r="D94" s="102" t="str">
        <x:v>COMP_NAVIG8</x:v>
      </x:c>
      <x:c r="E94" s="102" t="str">
        <x:v>COMP_NAVIG8</x:v>
      </x:c>
      <x:c r="F94" s="102" t="str">
        <x:v>MR2 tanker</x:v>
      </x:c>
      <x:c r="G94" s="102"/>
      <x:c r="H94" s="102"/>
      <x:c r="I94" s="102"/>
      <x:c r="J94" s="102" t="n">
        <x:v>45300</x:v>
      </x:c>
      <x:c r="K94" s="102"/>
      <x:c r="L94" s="102"/>
      <x:c r="M94" s="102"/>
      <x:c r="N94" s="102"/>
      <x:c r="O94" s="102"/>
      <x:c r="P94" s="102"/>
      <x:c r="Q94" s="102" t="str">
        <x:v>Operating</x:v>
      </x:c>
      <x:c r="R94" s="102" t="str">
        <x:v>SRC_0066</x:v>
      </x:c>
      <x:c r="S94" s="102" t="str">
        <x:v>ADNOC L&amp;S fleet sheet / Navig8.</x:v>
      </x:c>
      <x:c r="T94" s="102"/>
      <x:c r="U94" s="102"/>
      <x:c r="V94" s="102"/>
      <x:c r="W94" s="102"/>
      <x:c r="X94" s="110"/>
      <x:c r="Y94" s="102"/>
      <x:c r="Z94" s="102"/>
      <x:c r="AA94" s="102"/>
    </x:row>
    <x:row r="95">
      <x:c r="A95" s="102" t="str">
        <x:v>VESSEL_00094</x:v>
      </x:c>
      <x:c r="B95" s="102" t="str">
        <x:v>Navig8 Constellation</x:v>
      </x:c>
      <x:c r="C95" s="110" t="str">
        <x:v>9489118</x:v>
      </x:c>
      <x:c r="D95" s="102" t="str">
        <x:v>COMP_NAVIG8</x:v>
      </x:c>
      <x:c r="E95" s="102" t="str">
        <x:v>COMP_NAVIG8</x:v>
      </x:c>
      <x:c r="F95" s="102" t="str">
        <x:v>MR2 tanker</x:v>
      </x:c>
      <x:c r="G95" s="102"/>
      <x:c r="H95" s="102"/>
      <x:c r="I95" s="102"/>
      <x:c r="J95" s="102" t="n">
        <x:v>45300</x:v>
      </x:c>
      <x:c r="K95" s="102"/>
      <x:c r="L95" s="102"/>
      <x:c r="M95" s="102"/>
      <x:c r="N95" s="102"/>
      <x:c r="O95" s="102"/>
      <x:c r="P95" s="102"/>
      <x:c r="Q95" s="102" t="str">
        <x:v>Operating</x:v>
      </x:c>
      <x:c r="R95" s="102" t="str">
        <x:v>SRC_0066</x:v>
      </x:c>
      <x:c r="S95" s="102" t="str">
        <x:v>ADNOC L&amp;S fleet sheet / Navig8.</x:v>
      </x:c>
      <x:c r="T95" s="102"/>
      <x:c r="U95" s="102"/>
      <x:c r="V95" s="102"/>
      <x:c r="W95" s="102"/>
      <x:c r="X95" s="110"/>
      <x:c r="Y95" s="102"/>
      <x:c r="Z95" s="102"/>
      <x:c r="AA95" s="102"/>
    </x:row>
    <x:row r="96">
      <x:c r="A96" s="102" t="str">
        <x:v>VESSEL_00095</x:v>
      </x:c>
      <x:c r="B96" s="102" t="str">
        <x:v>Navig8 Grace</x:v>
      </x:c>
      <x:c r="C96" s="110" t="str">
        <x:v>9833656</x:v>
      </x:c>
      <x:c r="D96" s="102" t="str">
        <x:v>COMP_NAVIG8</x:v>
      </x:c>
      <x:c r="E96" s="102" t="str">
        <x:v>COMP_NAVIG8</x:v>
      </x:c>
      <x:c r="F96" s="102" t="str">
        <x:v>MR2 tanker</x:v>
      </x:c>
      <x:c r="G96" s="102"/>
      <x:c r="H96" s="102"/>
      <x:c r="I96" s="102"/>
      <x:c r="J96" s="102" t="n">
        <x:v>49800</x:v>
      </x:c>
      <x:c r="K96" s="102"/>
      <x:c r="L96" s="102"/>
      <x:c r="M96" s="102"/>
      <x:c r="N96" s="102"/>
      <x:c r="O96" s="102"/>
      <x:c r="P96" s="102"/>
      <x:c r="Q96" s="102" t="str">
        <x:v>Operating</x:v>
      </x:c>
      <x:c r="R96" s="102" t="str">
        <x:v>SRC_0066</x:v>
      </x:c>
      <x:c r="S96" s="102" t="str">
        <x:v>ADNOC L&amp;S fleet sheet / Navig8.</x:v>
      </x:c>
      <x:c r="T96" s="102"/>
      <x:c r="U96" s="102"/>
      <x:c r="V96" s="102"/>
      <x:c r="W96" s="102"/>
      <x:c r="X96" s="110"/>
      <x:c r="Y96" s="102"/>
      <x:c r="Z96" s="102"/>
      <x:c r="AA96" s="102"/>
    </x:row>
    <x:row r="97">
      <x:c r="A97" s="102" t="str">
        <x:v>VESSEL_00096</x:v>
      </x:c>
      <x:c r="B97" s="102" t="str">
        <x:v>Navig8 Gallantry</x:v>
      </x:c>
      <x:c r="C97" s="110" t="str">
        <x:v>9833668</x:v>
      </x:c>
      <x:c r="D97" s="102" t="str">
        <x:v>COMP_NAVIG8</x:v>
      </x:c>
      <x:c r="E97" s="102" t="str">
        <x:v>COMP_NAVIG8</x:v>
      </x:c>
      <x:c r="F97" s="102" t="str">
        <x:v>MR2 tanker</x:v>
      </x:c>
      <x:c r="G97" s="102"/>
      <x:c r="H97" s="102"/>
      <x:c r="I97" s="102"/>
      <x:c r="J97" s="102" t="n">
        <x:v>49800</x:v>
      </x:c>
      <x:c r="K97" s="102"/>
      <x:c r="L97" s="102"/>
      <x:c r="M97" s="102"/>
      <x:c r="N97" s="102"/>
      <x:c r="O97" s="102"/>
      <x:c r="P97" s="102"/>
      <x:c r="Q97" s="102" t="str">
        <x:v>Operating</x:v>
      </x:c>
      <x:c r="R97" s="102" t="str">
        <x:v>SRC_0066</x:v>
      </x:c>
      <x:c r="S97" s="102" t="str">
        <x:v>ADNOC L&amp;S fleet sheet / Navig8.</x:v>
      </x:c>
      <x:c r="T97" s="102"/>
      <x:c r="U97" s="102"/>
      <x:c r="V97" s="102"/>
      <x:c r="W97" s="102"/>
      <x:c r="X97" s="110"/>
      <x:c r="Y97" s="102"/>
      <x:c r="Z97" s="102"/>
      <x:c r="AA97" s="102"/>
    </x:row>
    <x:row r="98">
      <x:c r="A98" s="102" t="str">
        <x:v>VESSEL_00097</x:v>
      </x:c>
      <x:c r="B98" s="102" t="str">
        <x:v>Navig8 Guard</x:v>
      </x:c>
      <x:c r="C98" s="110" t="str">
        <x:v>9833670</x:v>
      </x:c>
      <x:c r="D98" s="102" t="str">
        <x:v>COMP_NAVIG8</x:v>
      </x:c>
      <x:c r="E98" s="102" t="str">
        <x:v>COMP_NAVIG8</x:v>
      </x:c>
      <x:c r="F98" s="102" t="str">
        <x:v>MR2 tanker</x:v>
      </x:c>
      <x:c r="G98" s="102"/>
      <x:c r="H98" s="102"/>
      <x:c r="I98" s="102"/>
      <x:c r="J98" s="102" t="n">
        <x:v>49800</x:v>
      </x:c>
      <x:c r="K98" s="102"/>
      <x:c r="L98" s="102"/>
      <x:c r="M98" s="102"/>
      <x:c r="N98" s="102"/>
      <x:c r="O98" s="102"/>
      <x:c r="P98" s="102"/>
      <x:c r="Q98" s="102" t="str">
        <x:v>Operating</x:v>
      </x:c>
      <x:c r="R98" s="102" t="str">
        <x:v>SRC_0066</x:v>
      </x:c>
      <x:c r="S98" s="102" t="str">
        <x:v>ADNOC L&amp;S fleet sheet / Navig8.</x:v>
      </x:c>
      <x:c r="T98" s="102"/>
      <x:c r="U98" s="102"/>
      <x:c r="V98" s="102"/>
      <x:c r="W98" s="102"/>
      <x:c r="X98" s="110"/>
      <x:c r="Y98" s="102"/>
      <x:c r="Z98" s="102"/>
      <x:c r="AA98" s="102"/>
    </x:row>
    <x:row r="99">
      <x:c r="A99" s="102" t="str">
        <x:v>VESSEL_00098</x:v>
      </x:c>
      <x:c r="B99" s="102" t="str">
        <x:v>Navig8 Guide</x:v>
      </x:c>
      <x:c r="C99" s="110" t="str">
        <x:v>9833682</x:v>
      </x:c>
      <x:c r="D99" s="102" t="str">
        <x:v>COMP_NAVIG8</x:v>
      </x:c>
      <x:c r="E99" s="102" t="str">
        <x:v>COMP_NAVIG8</x:v>
      </x:c>
      <x:c r="F99" s="102" t="str">
        <x:v>MR2 tanker</x:v>
      </x:c>
      <x:c r="G99" s="102"/>
      <x:c r="H99" s="102"/>
      <x:c r="I99" s="102"/>
      <x:c r="J99" s="102" t="n">
        <x:v>49800</x:v>
      </x:c>
      <x:c r="K99" s="102"/>
      <x:c r="L99" s="102"/>
      <x:c r="M99" s="102"/>
      <x:c r="N99" s="102"/>
      <x:c r="O99" s="102"/>
      <x:c r="P99" s="102"/>
      <x:c r="Q99" s="102" t="str">
        <x:v>Operating</x:v>
      </x:c>
      <x:c r="R99" s="102" t="str">
        <x:v>SRC_0066</x:v>
      </x:c>
      <x:c r="S99" s="102" t="str">
        <x:v>ADNOC L&amp;S fleet sheet / Navig8.</x:v>
      </x:c>
      <x:c r="T99" s="102"/>
      <x:c r="U99" s="102"/>
      <x:c r="V99" s="102"/>
      <x:c r="W99" s="102"/>
      <x:c r="X99" s="110"/>
      <x:c r="Y99" s="102"/>
      <x:c r="Z99" s="102"/>
      <x:c r="AA99" s="102"/>
    </x:row>
    <x:row r="100">
      <x:c r="A100" s="102" t="str">
        <x:v>VESSEL_00099</x:v>
      </x:c>
      <x:c r="B100" s="102" t="str">
        <x:v>Navig8 Goal</x:v>
      </x:c>
      <x:c r="C100" s="110" t="str">
        <x:v>9853216</x:v>
      </x:c>
      <x:c r="D100" s="102" t="str">
        <x:v>COMP_NAVIG8</x:v>
      </x:c>
      <x:c r="E100" s="102" t="str">
        <x:v>COMP_NAVIG8</x:v>
      </x:c>
      <x:c r="F100" s="102" t="str">
        <x:v>MR2 tanker</x:v>
      </x:c>
      <x:c r="G100" s="102"/>
      <x:c r="H100" s="102"/>
      <x:c r="I100" s="102"/>
      <x:c r="J100" s="102" t="n">
        <x:v>49800</x:v>
      </x:c>
      <x:c r="K100" s="102"/>
      <x:c r="L100" s="102"/>
      <x:c r="M100" s="102"/>
      <x:c r="N100" s="102"/>
      <x:c r="O100" s="102"/>
      <x:c r="P100" s="102"/>
      <x:c r="Q100" s="102" t="str">
        <x:v>Operating</x:v>
      </x:c>
      <x:c r="R100" s="102" t="str">
        <x:v>SRC_0066</x:v>
      </x:c>
      <x:c r="S100" s="102" t="str">
        <x:v>ADNOC L&amp;S fleet sheet / Navig8.</x:v>
      </x:c>
      <x:c r="T100" s="102"/>
      <x:c r="U100" s="102"/>
      <x:c r="V100" s="102"/>
      <x:c r="W100" s="102"/>
      <x:c r="X100" s="110"/>
      <x:c r="Y100" s="102"/>
      <x:c r="Z100" s="102"/>
      <x:c r="AA100" s="102"/>
    </x:row>
    <x:row r="101">
      <x:c r="A101" s="102" t="str">
        <x:v>VESSEL_00100</x:v>
      </x:c>
      <x:c r="B101" s="102" t="str">
        <x:v>Navig8 Gauntlet</x:v>
      </x:c>
      <x:c r="C101" s="110" t="str">
        <x:v>9853228</x:v>
      </x:c>
      <x:c r="D101" s="102" t="str">
        <x:v>COMP_NAVIG8</x:v>
      </x:c>
      <x:c r="E101" s="102" t="str">
        <x:v>COMP_NAVIG8</x:v>
      </x:c>
      <x:c r="F101" s="102" t="str">
        <x:v>MR2 tanker</x:v>
      </x:c>
      <x:c r="G101" s="102"/>
      <x:c r="H101" s="102"/>
      <x:c r="I101" s="102"/>
      <x:c r="J101" s="102" t="n">
        <x:v>49800</x:v>
      </x:c>
      <x:c r="K101" s="102"/>
      <x:c r="L101" s="102"/>
      <x:c r="M101" s="102"/>
      <x:c r="N101" s="102"/>
      <x:c r="O101" s="102"/>
      <x:c r="P101" s="102"/>
      <x:c r="Q101" s="102" t="str">
        <x:v>Operating</x:v>
      </x:c>
      <x:c r="R101" s="102" t="str">
        <x:v>SRC_0066</x:v>
      </x:c>
      <x:c r="S101" s="102" t="str">
        <x:v>ADNOC L&amp;S fleet sheet / Navig8.</x:v>
      </x:c>
      <x:c r="T101" s="102"/>
      <x:c r="U101" s="102"/>
      <x:c r="V101" s="102"/>
      <x:c r="W101" s="102"/>
      <x:c r="X101" s="110"/>
      <x:c r="Y101" s="102"/>
      <x:c r="Z101" s="102"/>
      <x:c r="AA101" s="102"/>
    </x:row>
    <x:row r="102">
      <x:c r="A102" s="102" t="str">
        <x:v>VESSEL_00101</x:v>
      </x:c>
      <x:c r="B102" s="102" t="str">
        <x:v>Navig8 Gladiator</x:v>
      </x:c>
      <x:c r="C102" s="110" t="str">
        <x:v>9853230</x:v>
      </x:c>
      <x:c r="D102" s="102" t="str">
        <x:v>COMP_NAVIG8</x:v>
      </x:c>
      <x:c r="E102" s="102" t="str">
        <x:v>COMP_NAVIG8</x:v>
      </x:c>
      <x:c r="F102" s="102" t="str">
        <x:v>MR2 tanker</x:v>
      </x:c>
      <x:c r="G102" s="102"/>
      <x:c r="H102" s="102"/>
      <x:c r="I102" s="102"/>
      <x:c r="J102" s="102" t="n">
        <x:v>49800</x:v>
      </x:c>
      <x:c r="K102" s="102"/>
      <x:c r="L102" s="102"/>
      <x:c r="M102" s="102"/>
      <x:c r="N102" s="102"/>
      <x:c r="O102" s="102"/>
      <x:c r="P102" s="102"/>
      <x:c r="Q102" s="102" t="str">
        <x:v>Operating</x:v>
      </x:c>
      <x:c r="R102" s="102" t="str">
        <x:v>SRC_0066</x:v>
      </x:c>
      <x:c r="S102" s="102" t="str">
        <x:v>ADNOC L&amp;S fleet sheet / Navig8.</x:v>
      </x:c>
      <x:c r="T102" s="102"/>
      <x:c r="U102" s="102"/>
      <x:c r="V102" s="102"/>
      <x:c r="W102" s="102"/>
      <x:c r="X102" s="110"/>
      <x:c r="Y102" s="102"/>
      <x:c r="Z102" s="102"/>
      <x:c r="AA102" s="102"/>
    </x:row>
    <x:row r="103">
      <x:c r="A103" s="102" t="str">
        <x:v>VESSEL_00102</x:v>
      </x:c>
      <x:c r="B103" s="102" t="str">
        <x:v>Navig8 Gratitude</x:v>
      </x:c>
      <x:c r="C103" s="110" t="str">
        <x:v>9853242</x:v>
      </x:c>
      <x:c r="D103" s="102" t="str">
        <x:v>COMP_NAVIG8</x:v>
      </x:c>
      <x:c r="E103" s="102" t="str">
        <x:v>COMP_NAVIG8</x:v>
      </x:c>
      <x:c r="F103" s="102" t="str">
        <x:v>MR2 tanker</x:v>
      </x:c>
      <x:c r="G103" s="102"/>
      <x:c r="H103" s="102"/>
      <x:c r="I103" s="102"/>
      <x:c r="J103" s="102" t="n">
        <x:v>49800</x:v>
      </x:c>
      <x:c r="K103" s="102"/>
      <x:c r="L103" s="102"/>
      <x:c r="M103" s="102"/>
      <x:c r="N103" s="102"/>
      <x:c r="O103" s="102"/>
      <x:c r="P103" s="102"/>
      <x:c r="Q103" s="102" t="str">
        <x:v>Operating</x:v>
      </x:c>
      <x:c r="R103" s="102" t="str">
        <x:v>SRC_0066</x:v>
      </x:c>
      <x:c r="S103" s="102" t="str">
        <x:v>ADNOC L&amp;S fleet sheet / Navig8.</x:v>
      </x:c>
      <x:c r="T103" s="102"/>
      <x:c r="U103" s="102"/>
      <x:c r="V103" s="102"/>
      <x:c r="W103" s="102"/>
      <x:c r="X103" s="110"/>
      <x:c r="Y103" s="102"/>
      <x:c r="Z103" s="102"/>
      <x:c r="AA103" s="102"/>
    </x:row>
    <x:row r="104">
      <x:c r="A104" s="102" t="str">
        <x:v>VESSEL_00103</x:v>
      </x:c>
      <x:c r="B104" s="102" t="str">
        <x:v>Navig8 Excel</x:v>
      </x:c>
      <x:c r="C104" s="110" t="str">
        <x:v>9973901</x:v>
      </x:c>
      <x:c r="D104" s="102" t="str">
        <x:v>COMP_NAVIG8</x:v>
      </x:c>
      <x:c r="E104" s="102" t="str">
        <x:v>COMP_NAVIG8</x:v>
      </x:c>
      <x:c r="F104" s="102" t="str">
        <x:v>MR2 tanker</x:v>
      </x:c>
      <x:c r="G104" s="102"/>
      <x:c r="H104" s="102"/>
      <x:c r="I104" s="102"/>
      <x:c r="J104" s="102" t="n">
        <x:v>49100</x:v>
      </x:c>
      <x:c r="K104" s="102"/>
      <x:c r="L104" s="102"/>
      <x:c r="M104" s="102"/>
      <x:c r="N104" s="102"/>
      <x:c r="O104" s="102"/>
      <x:c r="P104" s="102"/>
      <x:c r="Q104" s="102" t="str">
        <x:v>Operating</x:v>
      </x:c>
      <x:c r="R104" s="102" t="str">
        <x:v>SRC_0066</x:v>
      </x:c>
      <x:c r="S104" s="102" t="str">
        <x:v>ADNOC L&amp;S fleet sheet / Navig8.</x:v>
      </x:c>
      <x:c r="T104" s="102"/>
      <x:c r="U104" s="102"/>
      <x:c r="V104" s="102"/>
      <x:c r="W104" s="102"/>
      <x:c r="X104" s="110"/>
      <x:c r="Y104" s="102"/>
      <x:c r="Z104" s="102"/>
      <x:c r="AA104" s="102"/>
    </x:row>
    <x:row r="105">
      <x:c r="A105" s="102" t="str">
        <x:v>VESSEL_00104</x:v>
      </x:c>
      <x:c r="B105" s="102" t="str">
        <x:v>Navig8 Exceed</x:v>
      </x:c>
      <x:c r="C105" s="110" t="str">
        <x:v>9973913</x:v>
      </x:c>
      <x:c r="D105" s="102" t="str">
        <x:v>COMP_NAVIG8</x:v>
      </x:c>
      <x:c r="E105" s="102" t="str">
        <x:v>COMP_NAVIG8</x:v>
      </x:c>
      <x:c r="F105" s="102" t="str">
        <x:v>MR2 tanker</x:v>
      </x:c>
      <x:c r="G105" s="102"/>
      <x:c r="H105" s="102"/>
      <x:c r="I105" s="102"/>
      <x:c r="J105" s="102" t="n">
        <x:v>49200</x:v>
      </x:c>
      <x:c r="K105" s="102"/>
      <x:c r="L105" s="102"/>
      <x:c r="M105" s="102"/>
      <x:c r="N105" s="102"/>
      <x:c r="O105" s="102"/>
      <x:c r="P105" s="102"/>
      <x:c r="Q105" s="102" t="str">
        <x:v>Operating</x:v>
      </x:c>
      <x:c r="R105" s="102" t="str">
        <x:v>SRC_0066</x:v>
      </x:c>
      <x:c r="S105" s="102" t="str">
        <x:v>ADNOC L&amp;S fleet sheet / Navig8.</x:v>
      </x:c>
      <x:c r="T105" s="102"/>
      <x:c r="U105" s="102"/>
      <x:c r="V105" s="102"/>
      <x:c r="W105" s="102"/>
      <x:c r="X105" s="110"/>
      <x:c r="Y105" s="102"/>
      <x:c r="Z105" s="102"/>
      <x:c r="AA105" s="102"/>
    </x:row>
    <x:row r="106">
      <x:c r="A106" s="102" t="str">
        <x:v>VESSEL_00105</x:v>
      </x:c>
      <x:c r="B106" s="102" t="str">
        <x:v>Navig8 Express</x:v>
      </x:c>
      <x:c r="C106" s="110" t="str">
        <x:v>9976874</x:v>
      </x:c>
      <x:c r="D106" s="102" t="str">
        <x:v>COMP_NAVIG8</x:v>
      </x:c>
      <x:c r="E106" s="102" t="str">
        <x:v>COMP_NAVIG8</x:v>
      </x:c>
      <x:c r="F106" s="102" t="str">
        <x:v>MR2 tanker</x:v>
      </x:c>
      <x:c r="G106" s="102"/>
      <x:c r="H106" s="102"/>
      <x:c r="I106" s="102"/>
      <x:c r="J106" s="102" t="n">
        <x:v>49200</x:v>
      </x:c>
      <x:c r="K106" s="102"/>
      <x:c r="L106" s="102"/>
      <x:c r="M106" s="102"/>
      <x:c r="N106" s="102"/>
      <x:c r="O106" s="102"/>
      <x:c r="P106" s="102"/>
      <x:c r="Q106" s="102" t="str">
        <x:v>Operating</x:v>
      </x:c>
      <x:c r="R106" s="102" t="str">
        <x:v>SRC_0066</x:v>
      </x:c>
      <x:c r="S106" s="102" t="str">
        <x:v>ADNOC L&amp;S fleet sheet / Navig8.</x:v>
      </x:c>
      <x:c r="T106" s="102"/>
      <x:c r="U106" s="102"/>
      <x:c r="V106" s="102"/>
      <x:c r="W106" s="102"/>
      <x:c r="X106" s="110"/>
      <x:c r="Y106" s="102"/>
      <x:c r="Z106" s="102"/>
      <x:c r="AA106" s="102"/>
    </x:row>
    <x:row r="107">
      <x:c r="A107" s="102" t="str">
        <x:v>VESSEL_00106</x:v>
      </x:c>
      <x:c r="B107" s="102" t="str">
        <x:v>Navig8 Excellence</x:v>
      </x:c>
      <x:c r="C107" s="110" t="str">
        <x:v>9976886</x:v>
      </x:c>
      <x:c r="D107" s="102" t="str">
        <x:v>COMP_NAVIG8</x:v>
      </x:c>
      <x:c r="E107" s="102" t="str">
        <x:v>COMP_NAVIG8</x:v>
      </x:c>
      <x:c r="F107" s="102" t="str">
        <x:v>MR2 tanker</x:v>
      </x:c>
      <x:c r="G107" s="102"/>
      <x:c r="H107" s="102"/>
      <x:c r="I107" s="102"/>
      <x:c r="J107" s="102" t="n">
        <x:v>49200</x:v>
      </x:c>
      <x:c r="K107" s="102"/>
      <x:c r="L107" s="102"/>
      <x:c r="M107" s="102"/>
      <x:c r="N107" s="102"/>
      <x:c r="O107" s="102"/>
      <x:c r="P107" s="102"/>
      <x:c r="Q107" s="102" t="str">
        <x:v>Operating</x:v>
      </x:c>
      <x:c r="R107" s="102" t="str">
        <x:v>SRC_0066</x:v>
      </x:c>
      <x:c r="S107" s="102" t="str">
        <x:v>ADNOC L&amp;S fleet sheet / Navig8.</x:v>
      </x:c>
      <x:c r="T107" s="102"/>
      <x:c r="U107" s="102"/>
      <x:c r="V107" s="102"/>
      <x:c r="W107" s="102"/>
      <x:c r="X107" s="110"/>
      <x:c r="Y107" s="102"/>
      <x:c r="Z107" s="102"/>
      <x:c r="AA107" s="102"/>
    </x:row>
    <x:row r="108">
      <x:c r="A108" s="102" t="str">
        <x:v>VESSEL_00107</x:v>
      </x:c>
      <x:c r="B108" s="102" t="str">
        <x:v>Navig8 Estelle</x:v>
      </x:c>
      <x:c r="C108" s="110" t="str">
        <x:v>9973925</x:v>
      </x:c>
      <x:c r="D108" s="102" t="str">
        <x:v>COMP_NAVIG8</x:v>
      </x:c>
      <x:c r="E108" s="102" t="str">
        <x:v>COMP_NAVIG8</x:v>
      </x:c>
      <x:c r="F108" s="102" t="str">
        <x:v>MR2 tanker</x:v>
      </x:c>
      <x:c r="G108" s="102"/>
      <x:c r="H108" s="102"/>
      <x:c r="I108" s="102"/>
      <x:c r="J108" s="102" t="n">
        <x:v>49200</x:v>
      </x:c>
      <x:c r="K108" s="102"/>
      <x:c r="L108" s="102"/>
      <x:c r="M108" s="102"/>
      <x:c r="N108" s="102"/>
      <x:c r="O108" s="102"/>
      <x:c r="P108" s="102"/>
      <x:c r="Q108" s="102" t="str">
        <x:v>Operating</x:v>
      </x:c>
      <x:c r="R108" s="102" t="str">
        <x:v>SRC_0066</x:v>
      </x:c>
      <x:c r="S108" s="102" t="str">
        <x:v>ADNOC L&amp;S fleet sheet / Navig8.</x:v>
      </x:c>
      <x:c r="T108" s="102"/>
      <x:c r="U108" s="102"/>
      <x:c r="V108" s="102"/>
      <x:c r="W108" s="102"/>
      <x:c r="X108" s="110"/>
      <x:c r="Y108" s="102"/>
      <x:c r="Z108" s="102"/>
      <x:c r="AA108" s="102"/>
    </x:row>
    <x:row r="109">
      <x:c r="A109" s="102" t="str">
        <x:v>VESSEL_00108</x:v>
      </x:c>
      <x:c r="B109" s="102" t="str">
        <x:v>Navig8 Executive</x:v>
      </x:c>
      <x:c r="C109" s="110" t="str">
        <x:v>9973937</x:v>
      </x:c>
      <x:c r="D109" s="102" t="str">
        <x:v>COMP_NAVIG8</x:v>
      </x:c>
      <x:c r="E109" s="102" t="str">
        <x:v>COMP_NAVIG8</x:v>
      </x:c>
      <x:c r="F109" s="102" t="str">
        <x:v>MR2 tanker</x:v>
      </x:c>
      <x:c r="G109" s="102"/>
      <x:c r="H109" s="102"/>
      <x:c r="I109" s="102"/>
      <x:c r="J109" s="102" t="n">
        <x:v>49100</x:v>
      </x:c>
      <x:c r="K109" s="102"/>
      <x:c r="L109" s="102"/>
      <x:c r="M109" s="102"/>
      <x:c r="N109" s="102"/>
      <x:c r="O109" s="102"/>
      <x:c r="P109" s="102"/>
      <x:c r="Q109" s="102" t="str">
        <x:v>Operating</x:v>
      </x:c>
      <x:c r="R109" s="102" t="str">
        <x:v>SRC_0066</x:v>
      </x:c>
      <x:c r="S109" s="102" t="str">
        <x:v>ADNOC L&amp;S fleet sheet / Navig8.</x:v>
      </x:c>
      <x:c r="T109" s="102"/>
      <x:c r="U109" s="102"/>
      <x:c r="V109" s="102"/>
      <x:c r="W109" s="102"/>
      <x:c r="X109" s="110"/>
      <x:c r="Y109" s="102"/>
      <x:c r="Z109" s="102"/>
      <x:c r="AA109" s="102"/>
    </x:row>
    <x:row r="110">
      <x:c r="A110" s="102" t="str">
        <x:v>VESSEL_00109</x:v>
      </x:c>
      <x:c r="B110" s="102" t="str">
        <x:v>BYD Explorer No.1</x:v>
      </x:c>
      <x:c r="C110" s="110" t="str">
        <x:v>9955181</x:v>
      </x:c>
      <x:c r="D110" s="102" t="str">
        <x:v>COMP_ZODIAC</x:v>
      </x:c>
      <x:c r="E110" s="102"/>
      <x:c r="F110" s="102" t="str">
        <x:v>PCTC</x:v>
      </x:c>
      <x:c r="G110" s="102"/>
      <x:c r="H110" s="102"/>
      <x:c r="I110" s="102" t="str">
        <x:v>2024</x:v>
      </x:c>
      <x:c r="J110" s="102"/>
      <x:c r="K110" s="102" t="str">
        <x:v>7,000 CEU</x:v>
      </x:c>
      <x:c r="L110" s="102"/>
      <x:c r="M110" s="102"/>
      <x:c r="N110" s="102"/>
      <x:c r="O110" s="102"/>
      <x:c r="P110" s="102" t="str">
        <x:v>LNG dual-fuel</x:v>
      </x:c>
      <x:c r="Q110" s="102" t="str">
        <x:v>Operating</x:v>
      </x:c>
      <x:c r="R110" s="102" t="str">
        <x:v>SRC_0091</x:v>
      </x:c>
      <x:c r="S110" s="102" t="str">
        <x:v>Chartered by BYD; built by CIMC Raffles / Yantai Raffles.</x:v>
      </x:c>
      <x:c r="T110" s="102"/>
      <x:c r="U110" s="102"/>
      <x:c r="V110" s="102"/>
      <x:c r="W110" s="102"/>
      <x:c r="X110" s="110"/>
      <x:c r="Y110" s="102"/>
      <x:c r="Z110" s="102"/>
      <x:c r="AA110" s="102"/>
    </x:row>
    <x:row r="111">
      <x:c r="A111" s="102" t="str">
        <x:v>VESSEL_00110</x:v>
      </x:c>
      <x:c r="B111" s="102" t="str">
        <x:v>BYD Changzhou</x:v>
      </x:c>
      <x:c r="C111" s="110" t="str">
        <x:v>9955076</x:v>
      </x:c>
      <x:c r="D111" s="102" t="str">
        <x:v>COMP_ZODIAC</x:v>
      </x:c>
      <x:c r="E111" s="102"/>
      <x:c r="F111" s="102" t="str">
        <x:v>PCTC</x:v>
      </x:c>
      <x:c r="G111" s="102"/>
      <x:c r="H111" s="102"/>
      <x:c r="I111" s="102" t="str">
        <x:v>2024</x:v>
      </x:c>
      <x:c r="J111" s="102"/>
      <x:c r="K111" s="102" t="str">
        <x:v>7,000 CEU</x:v>
      </x:c>
      <x:c r="L111" s="102"/>
      <x:c r="M111" s="102"/>
      <x:c r="N111" s="102"/>
      <x:c r="O111" s="102"/>
      <x:c r="P111" s="102" t="str">
        <x:v>LNG dual-fuel</x:v>
      </x:c>
      <x:c r="Q111" s="102" t="str">
        <x:v>Operating</x:v>
      </x:c>
      <x:c r="R111" s="102" t="str">
        <x:v>SRC_0091</x:v>
      </x:c>
      <x:c r="S111" s="102" t="str">
        <x:v>Chartered by BYD; built by CIMC Raffles / Yantai Raffles.</x:v>
      </x:c>
      <x:c r="T111" s="102"/>
      <x:c r="U111" s="102"/>
      <x:c r="V111" s="102"/>
      <x:c r="W111" s="102"/>
      <x:c r="X111" s="110"/>
      <x:c r="Y111" s="102"/>
      <x:c r="Z111" s="102"/>
      <x:c r="AA111" s="102"/>
    </x:row>
    <x:row r="112">
      <x:c r="A112" s="102" t="str">
        <x:v>VESSEL_00111</x:v>
      </x:c>
      <x:c r="B112" s="102" t="str">
        <x:v>BYD Hefei</x:v>
      </x:c>
      <x:c r="C112" s="110" t="str">
        <x:v>9999565</x:v>
      </x:c>
      <x:c r="D112" s="102" t="str">
        <x:v>COMP_BYD</x:v>
      </x:c>
      <x:c r="E112" s="102" t="str">
        <x:v>COMP_BYD</x:v>
      </x:c>
      <x:c r="F112" s="102" t="str">
        <x:v>PCTC</x:v>
      </x:c>
      <x:c r="G112" s="102"/>
      <x:c r="H112" s="102"/>
      <x:c r="I112" s="102" t="str">
        <x:v>2025</x:v>
      </x:c>
      <x:c r="J112" s="102"/>
      <x:c r="K112" s="102" t="str">
        <x:v>7,000 CEU</x:v>
      </x:c>
      <x:c r="L112" s="102"/>
      <x:c r="M112" s="102"/>
      <x:c r="N112" s="102"/>
      <x:c r="O112" s="102"/>
      <x:c r="P112" s="102" t="str">
        <x:v>LNG dual-fuel</x:v>
      </x:c>
      <x:c r="Q112" s="102" t="str">
        <x:v>Operating</x:v>
      </x:c>
      <x:c r="R112" s="102" t="str">
        <x:v>SRC_0091</x:v>
      </x:c>
      <x:c r="S112" s="102" t="str">
        <x:v>First BYD-owned PCTC; built by Guangzhou Shipyard International.</x:v>
      </x:c>
      <x:c r="T112" s="102"/>
      <x:c r="U112" s="102"/>
      <x:c r="V112" s="102"/>
      <x:c r="W112" s="102"/>
      <x:c r="X112" s="110"/>
      <x:c r="Y112" s="102"/>
      <x:c r="Z112" s="102"/>
      <x:c r="AA112" s="102"/>
    </x:row>
    <x:row r="113">
      <x:c r="A113" s="102" t="str">
        <x:v>VESSEL_00112</x:v>
      </x:c>
      <x:c r="B113" s="102" t="str">
        <x:v>BYD Zhengzhou</x:v>
      </x:c>
      <x:c r="C113" s="110" t="str">
        <x:v>9999577</x:v>
      </x:c>
      <x:c r="D113" s="102" t="str">
        <x:v>COMP_BYD</x:v>
      </x:c>
      <x:c r="E113" s="102" t="str">
        <x:v>COMP_BYD</x:v>
      </x:c>
      <x:c r="F113" s="102" t="str">
        <x:v>PCTC</x:v>
      </x:c>
      <x:c r="G113" s="102"/>
      <x:c r="H113" s="102"/>
      <x:c r="I113" s="102" t="str">
        <x:v>2025</x:v>
      </x:c>
      <x:c r="J113" s="102"/>
      <x:c r="K113" s="102" t="str">
        <x:v>7,000 CEU</x:v>
      </x:c>
      <x:c r="L113" s="102"/>
      <x:c r="M113" s="102"/>
      <x:c r="N113" s="102"/>
      <x:c r="O113" s="102"/>
      <x:c r="P113" s="102" t="str">
        <x:v>LNG dual-fuel</x:v>
      </x:c>
      <x:c r="Q113" s="102" t="str">
        <x:v>Operating</x:v>
      </x:c>
      <x:c r="R113" s="102" t="str">
        <x:v>SRC_0091</x:v>
      </x:c>
      <x:c r="S113" s="102" t="str">
        <x:v>BYD-owned sister to BYD Hefei; built by Guangzhou Shipyard International.</x:v>
      </x:c>
      <x:c r="T113" s="102"/>
      <x:c r="U113" s="102"/>
      <x:c r="V113" s="102"/>
      <x:c r="W113" s="102"/>
      <x:c r="X113" s="110"/>
      <x:c r="Y113" s="102"/>
      <x:c r="Z113" s="102"/>
      <x:c r="AA113" s="102"/>
    </x:row>
    <x:row r="114">
      <x:c r="A114" s="102" t="str">
        <x:v>VESSEL_00113</x:v>
      </x:c>
      <x:c r="B114" s="102" t="str">
        <x:v>BYD Shenzhen</x:v>
      </x:c>
      <x:c r="C114" s="110" t="str">
        <x:v>9993963</x:v>
      </x:c>
      <x:c r="D114" s="102" t="str">
        <x:v>COMP_BYD</x:v>
      </x:c>
      <x:c r="E114" s="102" t="str">
        <x:v>COMP_BYD</x:v>
      </x:c>
      <x:c r="F114" s="102" t="str">
        <x:v>PCTC</x:v>
      </x:c>
      <x:c r="G114" s="102"/>
      <x:c r="H114" s="102"/>
      <x:c r="I114" s="102" t="str">
        <x:v>2025</x:v>
      </x:c>
      <x:c r="J114" s="102"/>
      <x:c r="K114" s="102" t="str">
        <x:v>9,200 CEU</x:v>
      </x:c>
      <x:c r="L114" s="102"/>
      <x:c r="M114" s="102"/>
      <x:c r="N114" s="102"/>
      <x:c r="O114" s="102"/>
      <x:c r="P114" s="102" t="str">
        <x:v>LNG dual-fuel + battery</x:v>
      </x:c>
      <x:c r="Q114" s="102" t="str">
        <x:v>Operating</x:v>
      </x:c>
      <x:c r="R114" s="102" t="str">
        <x:v>SRC_0092</x:v>
      </x:c>
      <x:c r="S114" s="102" t="str">
        <x:v>BYD-owned 9,200 CEU class.</x:v>
      </x:c>
      <x:c r="T114" s="102"/>
      <x:c r="U114" s="102"/>
      <x:c r="V114" s="102"/>
      <x:c r="W114" s="102"/>
      <x:c r="X114" s="110"/>
      <x:c r="Y114" s="102"/>
      <x:c r="Z114" s="102"/>
      <x:c r="AA114" s="102"/>
    </x:row>
    <x:row r="115">
      <x:c r="A115" s="102" t="str">
        <x:v>VESSEL_00114</x:v>
      </x:c>
      <x:c r="B115" s="102" t="str">
        <x:v>BYD Xi'an</x:v>
      </x:c>
      <x:c r="C115" s="110" t="str">
        <x:v>9993975</x:v>
      </x:c>
      <x:c r="D115" s="102" t="str">
        <x:v>COMP_BYD</x:v>
      </x:c>
      <x:c r="E115" s="102" t="str">
        <x:v>COMP_BYD</x:v>
      </x:c>
      <x:c r="F115" s="102" t="str">
        <x:v>PCTC</x:v>
      </x:c>
      <x:c r="G115" s="102"/>
      <x:c r="H115" s="102"/>
      <x:c r="I115" s="102" t="str">
        <x:v>2025</x:v>
      </x:c>
      <x:c r="J115" s="102"/>
      <x:c r="K115" s="102" t="str">
        <x:v>9,200 CEU</x:v>
      </x:c>
      <x:c r="L115" s="102"/>
      <x:c r="M115" s="102"/>
      <x:c r="N115" s="102"/>
      <x:c r="O115" s="102"/>
      <x:c r="P115" s="102" t="str">
        <x:v>LNG dual-fuel + battery</x:v>
      </x:c>
      <x:c r="Q115" s="102" t="str">
        <x:v>Operating</x:v>
      </x:c>
      <x:c r="R115" s="102" t="str">
        <x:v>SRC_0095</x:v>
      </x:c>
      <x:c r="S115" s="102" t="str">
        <x:v>BYD-owned 9,200 CEU class.</x:v>
      </x:c>
      <x:c r="T115" s="102"/>
      <x:c r="U115" s="102"/>
      <x:c r="V115" s="102"/>
      <x:c r="W115" s="102"/>
      <x:c r="X115" s="110"/>
      <x:c r="Y115" s="102"/>
      <x:c r="Z115" s="102"/>
      <x:c r="AA115" s="102"/>
    </x:row>
    <x:row r="116">
      <x:c r="A116" s="102" t="str">
        <x:v>VESSEL_00115</x:v>
      </x:c>
      <x:c r="B116" s="102" t="str">
        <x:v>BYD Changsha</x:v>
      </x:c>
      <x:c r="C116" s="110" t="str">
        <x:v>9993949</x:v>
      </x:c>
      <x:c r="D116" s="102" t="str">
        <x:v>COMP_BYD</x:v>
      </x:c>
      <x:c r="E116" s="102" t="str">
        <x:v>COMP_BYD</x:v>
      </x:c>
      <x:c r="F116" s="102" t="str">
        <x:v>PCTC</x:v>
      </x:c>
      <x:c r="G116" s="102"/>
      <x:c r="H116" s="102"/>
      <x:c r="I116" s="102" t="str">
        <x:v>2025</x:v>
      </x:c>
      <x:c r="J116" s="102"/>
      <x:c r="K116" s="102" t="str">
        <x:v>9,200 CEU</x:v>
      </x:c>
      <x:c r="L116" s="102"/>
      <x:c r="M116" s="102"/>
      <x:c r="N116" s="102"/>
      <x:c r="O116" s="102"/>
      <x:c r="P116" s="102" t="str">
        <x:v>LNG dual-fuel + battery</x:v>
      </x:c>
      <x:c r="Q116" s="102" t="str">
        <x:v>Operating</x:v>
      </x:c>
      <x:c r="R116" s="102" t="str">
        <x:v>SRC_0093</x:v>
      </x:c>
      <x:c r="S116" s="102" t="str">
        <x:v>BYD-owned 9,200 CEU class.</x:v>
      </x:c>
      <x:c r="T116" s="102"/>
      <x:c r="U116" s="102"/>
      <x:c r="V116" s="102"/>
      <x:c r="W116" s="102"/>
      <x:c r="X116" s="110"/>
      <x:c r="Y116" s="102"/>
      <x:c r="Z116" s="102"/>
      <x:c r="AA116" s="102"/>
    </x:row>
    <x:row r="117">
      <x:c r="A117" s="102" t="str">
        <x:v>VESSEL_00116</x:v>
      </x:c>
      <x:c r="B117" s="102" t="str">
        <x:v>BYD Jinan</x:v>
      </x:c>
      <x:c r="C117" s="110" t="str">
        <x:v>9993951</x:v>
      </x:c>
      <x:c r="D117" s="102" t="str">
        <x:v>COMP_BYD</x:v>
      </x:c>
      <x:c r="E117" s="102" t="str">
        <x:v>COMP_BYD</x:v>
      </x:c>
      <x:c r="F117" s="102" t="str">
        <x:v>PCTC</x:v>
      </x:c>
      <x:c r="G117" s="102"/>
      <x:c r="H117" s="102"/>
      <x:c r="I117" s="102" t="str">
        <x:v>2025</x:v>
      </x:c>
      <x:c r="J117" s="102"/>
      <x:c r="K117" s="102" t="str">
        <x:v>9,200 CEU</x:v>
      </x:c>
      <x:c r="L117" s="102"/>
      <x:c r="M117" s="102"/>
      <x:c r="N117" s="102"/>
      <x:c r="O117" s="102"/>
      <x:c r="P117" s="102" t="str">
        <x:v>LNG dual-fuel + battery</x:v>
      </x:c>
      <x:c r="Q117" s="102" t="str">
        <x:v>Operating</x:v>
      </x:c>
      <x:c r="R117" s="102" t="str">
        <x:v>SRC_0094</x:v>
      </x:c>
      <x:c r="S117" s="102" t="str">
        <x:v>BYD-owned 9,200 CEU class.</x:v>
      </x:c>
      <x:c r="T117" s="102"/>
      <x:c r="U117" s="102"/>
      <x:c r="V117" s="102"/>
      <x:c r="W117" s="102"/>
      <x:c r="X117" s="110"/>
      <x:c r="Y117" s="102"/>
      <x:c r="Z117" s="102"/>
      <x:c r="AA117" s="102"/>
    </x:row>
    <x:row r="118">
      <x:c r="A118" s="102" t="str">
        <x:v>VESSEL_00117</x:v>
      </x:c>
      <x:c r="B118" s="102" t="str">
        <x:v>SINOKOR NIIGATA</x:v>
      </x:c>
      <x:c r="C118" s="110" t="str">
        <x:v>9209908</x:v>
      </x:c>
      <x:c r="D118" s="102" t="str">
        <x:v>COMP_SINOKOR</x:v>
      </x:c>
      <x:c r="E118" s="102" t="str">
        <x:v>COMP_SINOKOR</x:v>
      </x:c>
      <x:c r="F118" s="102" t="str">
        <x:v>Containership</x:v>
      </x:c>
      <x:c r="G118" s="102" t="str">
        <x:v>Japan / Murakami Hide</x:v>
      </x:c>
      <x:c r="H118" s="102" t="str">
        <x:v>Korea</x:v>
      </x:c>
      <x:c r="I118" s="102" t="n">
        <x:v>1999</x:v>
      </x:c>
      <x:c r="J118" s="102" t="n">
        <x:v>8515</x:v>
      </x:c>
      <x:c r="K118" s="102" t="str">
        <x:v>550 TEU</x:v>
      </x:c>
      <x:c r="L118" s="102"/>
      <x:c r="M118" s="102"/>
      <x:c r="N118" s="102"/>
      <x:c r="O118" s="102"/>
      <x:c r="P118" s="102"/>
      <x:c r="Q118" s="102" t="str">
        <x:v>Operating</x:v>
      </x:c>
      <x:c r="R118" s="102" t="str">
        <x:v>SRC_0102</x:v>
      </x:c>
      <x:c r="S118" s="102" t="str">
        <x:v>SINOKOR official vessel-information page; technical fields are partial where the public page extract was not fully captured.</x:v>
      </x:c>
      <x:c r="T118" s="102"/>
      <x:c r="U118" s="102"/>
      <x:c r="V118" s="102"/>
      <x:c r="W118" s="102"/>
      <x:c r="X118" s="110"/>
      <x:c r="Y118" s="102"/>
      <x:c r="Z118" s="102"/>
      <x:c r="AA118" s="102"/>
    </x:row>
    <x:row r="119">
      <x:c r="A119" s="102" t="str">
        <x:v>VESSEL_00118</x:v>
      </x:c>
      <x:c r="B119" s="102" t="str">
        <x:v>MEREDITH VICTORY</x:v>
      </x:c>
      <x:c r="C119" s="110" t="str">
        <x:v>9455959</x:v>
      </x:c>
      <x:c r="D119" s="102" t="str">
        <x:v>COMP_SINOKOR</x:v>
      </x:c>
      <x:c r="E119" s="102" t="str">
        <x:v>COMP_SINOKOR</x:v>
      </x:c>
      <x:c r="F119" s="102" t="str">
        <x:v>Bulker / Cape</x:v>
      </x:c>
      <x:c r="G119" s="102" t="str">
        <x:v>Korea / Hyundai HI</x:v>
      </x:c>
      <x:c r="H119" s="102" t="str">
        <x:v>Korea</x:v>
      </x:c>
      <x:c r="I119" s="102" t="n">
        <x:v>2009</x:v>
      </x:c>
      <x:c r="J119" s="102" t="n">
        <x:v>179362</x:v>
      </x:c>
      <x:c r="K119" s="102"/>
      <x:c r="L119" s="102"/>
      <x:c r="M119" s="102"/>
      <x:c r="N119" s="102"/>
      <x:c r="O119" s="102"/>
      <x:c r="P119" s="102"/>
      <x:c r="Q119" s="102" t="str">
        <x:v>Operating</x:v>
      </x:c>
      <x:c r="R119" s="102" t="str">
        <x:v>SRC_0102</x:v>
      </x:c>
      <x:c r="S119" s="102" t="str">
        <x:v>SINOKOR official vessel-information page; technical fields are partial where the public page extract was not fully captured.</x:v>
      </x:c>
      <x:c r="T119" s="102"/>
      <x:c r="U119" s="102"/>
      <x:c r="V119" s="102"/>
      <x:c r="W119" s="102"/>
      <x:c r="X119" s="110"/>
      <x:c r="Y119" s="102"/>
      <x:c r="Z119" s="102"/>
      <x:c r="AA119" s="102"/>
    </x:row>
    <x:row r="120">
      <x:c r="A120" s="102" t="str">
        <x:v>VESSEL_00119</x:v>
      </x:c>
      <x:c r="B120" s="102" t="str">
        <x:v>KOOKYANG SINGAPORE</x:v>
      </x:c>
      <x:c r="C120" s="110" t="str">
        <x:v>9354234</x:v>
      </x:c>
      <x:c r="D120" s="102" t="str">
        <x:v>COMP_SINOKOR</x:v>
      </x:c>
      <x:c r="E120" s="102" t="str">
        <x:v>COMP_SINOKOR</x:v>
      </x:c>
      <x:c r="F120" s="102" t="str">
        <x:v>Vessel</x:v>
      </x:c>
      <x:c r="G120" s="102"/>
      <x:c r="H120" s="102"/>
      <x:c r="I120" s="102"/>
      <x:c r="J120" s="102"/>
      <x:c r="K120" s="102"/>
      <x:c r="L120" s="102"/>
      <x:c r="M120" s="102"/>
      <x:c r="N120" s="102"/>
      <x:c r="O120" s="102"/>
      <x:c r="P120" s="102"/>
      <x:c r="Q120" s="102" t="str">
        <x:v>Operating</x:v>
      </x:c>
      <x:c r="R120" s="102" t="str">
        <x:v>SRC_0102</x:v>
      </x:c>
      <x:c r="S120" s="102" t="str">
        <x:v>SINOKOR official vessel-information page; technical fields are partial where the public page extract was not fully captured.</x:v>
      </x:c>
      <x:c r="T120" s="102"/>
      <x:c r="U120" s="102"/>
      <x:c r="V120" s="102"/>
      <x:c r="W120" s="102"/>
      <x:c r="X120" s="110"/>
      <x:c r="Y120" s="102"/>
      <x:c r="Z120" s="102"/>
      <x:c r="AA120" s="102"/>
    </x:row>
    <x:row r="121">
      <x:c r="A121" s="102" t="str">
        <x:v>VESSEL_00120</x:v>
      </x:c>
      <x:c r="B121" s="102" t="str">
        <x:v>GENEVA QUEEN</x:v>
      </x:c>
      <x:c r="C121" s="110" t="str">
        <x:v>9638642</x:v>
      </x:c>
      <x:c r="D121" s="102" t="str">
        <x:v>COMP_SINOKOR</x:v>
      </x:c>
      <x:c r="E121" s="102" t="str">
        <x:v>COMP_SINOKOR</x:v>
      </x:c>
      <x:c r="F121" s="102" t="str">
        <x:v>Bulker / Kamsarmax</x:v>
      </x:c>
      <x:c r="G121" s="102" t="str">
        <x:v>Korea / Sungdong M.E</x:v>
      </x:c>
      <x:c r="H121" s="102"/>
      <x:c r="I121" s="102" t="n">
        <x:v>2012</x:v>
      </x:c>
      <x:c r="J121" s="102" t="n">
        <x:v>81361</x:v>
      </x:c>
      <x:c r="K121" s="102"/>
      <x:c r="L121" s="102"/>
      <x:c r="M121" s="102"/>
      <x:c r="N121" s="102"/>
      <x:c r="O121" s="102"/>
      <x:c r="P121" s="102"/>
      <x:c r="Q121" s="102" t="str">
        <x:v>Operating</x:v>
      </x:c>
      <x:c r="R121" s="102" t="str">
        <x:v>SRC_0102</x:v>
      </x:c>
      <x:c r="S121" s="102" t="str">
        <x:v>SINOKOR official vessel-information page; technical fields are partial where the public page extract was not fully captured.</x:v>
      </x:c>
      <x:c r="T121" s="102"/>
      <x:c r="U121" s="102"/>
      <x:c r="V121" s="102"/>
      <x:c r="W121" s="102"/>
      <x:c r="X121" s="110"/>
      <x:c r="Y121" s="102"/>
      <x:c r="Z121" s="102"/>
      <x:c r="AA121" s="102"/>
    </x:row>
    <x:row r="122">
      <x:c r="A122" s="102" t="str">
        <x:v>VESSEL_00121</x:v>
      </x:c>
      <x:c r="B122" s="102" t="str">
        <x:v>Hakata Voyager</x:v>
      </x:c>
      <x:c r="C122" s="110" t="str">
        <x:v>9329588</x:v>
      </x:c>
      <x:c r="D122" s="102" t="str">
        <x:v>COMP_SINOKOR</x:v>
      </x:c>
      <x:c r="E122" s="102" t="str">
        <x:v>COMP_SINOKOR</x:v>
      </x:c>
      <x:c r="F122" s="102" t="str">
        <x:v>Containership</x:v>
      </x:c>
      <x:c r="G122" s="102" t="str">
        <x:v>China / Fujian Mawei</x:v>
      </x:c>
      <x:c r="H122" s="102"/>
      <x:c r="I122" s="102" t="n">
        <x:v>2005</x:v>
      </x:c>
      <x:c r="J122" s="102"/>
      <x:c r="K122" s="102" t="str">
        <x:v>698 TEU</x:v>
      </x:c>
      <x:c r="L122" s="102"/>
      <x:c r="M122" s="102"/>
      <x:c r="N122" s="102"/>
      <x:c r="O122" s="102"/>
      <x:c r="P122" s="102"/>
      <x:c r="Q122" s="102" t="str">
        <x:v>Operating</x:v>
      </x:c>
      <x:c r="R122" s="102" t="str">
        <x:v>SRC_0102</x:v>
      </x:c>
      <x:c r="S122" s="102" t="str">
        <x:v>SINOKOR official vessel-information page; technical fields are partial where the public page extract was not fully captured.</x:v>
      </x:c>
      <x:c r="T122" s="102"/>
      <x:c r="U122" s="102"/>
      <x:c r="V122" s="102"/>
      <x:c r="W122" s="102"/>
      <x:c r="X122" s="110"/>
      <x:c r="Y122" s="102"/>
      <x:c r="Z122" s="102"/>
      <x:c r="AA122" s="102"/>
    </x:row>
    <x:row r="123">
      <x:c r="A123" s="102" t="str">
        <x:v>VESSEL_00122</x:v>
      </x:c>
      <x:c r="B123" s="102" t="str">
        <x:v>Vostochny Voyager</x:v>
      </x:c>
      <x:c r="C123" s="110" t="str">
        <x:v>9329590</x:v>
      </x:c>
      <x:c r="D123" s="102" t="str">
        <x:v>COMP_SINOKOR</x:v>
      </x:c>
      <x:c r="E123" s="102" t="str">
        <x:v>COMP_SINOKOR</x:v>
      </x:c>
      <x:c r="F123" s="102" t="str">
        <x:v>Containership</x:v>
      </x:c>
      <x:c r="G123" s="102" t="str">
        <x:v>China / Fujian Mawei</x:v>
      </x:c>
      <x:c r="H123" s="102"/>
      <x:c r="I123" s="102" t="n">
        <x:v>2005</x:v>
      </x:c>
      <x:c r="J123" s="102"/>
      <x:c r="K123" s="102" t="str">
        <x:v>698 TEU</x:v>
      </x:c>
      <x:c r="L123" s="102"/>
      <x:c r="M123" s="102"/>
      <x:c r="N123" s="102"/>
      <x:c r="O123" s="102"/>
      <x:c r="P123" s="102"/>
      <x:c r="Q123" s="102" t="str">
        <x:v>Operating</x:v>
      </x:c>
      <x:c r="R123" s="102" t="str">
        <x:v>SRC_0102</x:v>
      </x:c>
      <x:c r="S123" s="102" t="str">
        <x:v>SINOKOR official vessel-information page; technical fields are partial where the public page extract was not fully captured.</x:v>
      </x:c>
      <x:c r="T123" s="102"/>
      <x:c r="U123" s="102"/>
      <x:c r="V123" s="102"/>
      <x:c r="W123" s="102"/>
      <x:c r="X123" s="110"/>
      <x:c r="Y123" s="102"/>
      <x:c r="Z123" s="102"/>
      <x:c r="AA123" s="102"/>
    </x:row>
    <x:row r="124">
      <x:c r="A124" s="102" t="str">
        <x:v>VESSEL_00123</x:v>
      </x:c>
      <x:c r="B124" s="102" t="str">
        <x:v>HongKong Voyager</x:v>
      </x:c>
      <x:c r="C124" s="110" t="str">
        <x:v>9402500</x:v>
      </x:c>
      <x:c r="D124" s="102" t="str">
        <x:v>COMP_SINOKOR</x:v>
      </x:c>
      <x:c r="E124" s="102" t="str">
        <x:v>COMP_SINOKOR</x:v>
      </x:c>
      <x:c r="F124" s="102" t="str">
        <x:v>Containership</x:v>
      </x:c>
      <x:c r="G124" s="102" t="str">
        <x:v>Japan / Hakata</x:v>
      </x:c>
      <x:c r="H124" s="102"/>
      <x:c r="I124" s="102" t="n">
        <x:v>2006</x:v>
      </x:c>
      <x:c r="J124" s="102"/>
      <x:c r="K124" s="102" t="str">
        <x:v>1,060 TEU</x:v>
      </x:c>
      <x:c r="L124" s="102"/>
      <x:c r="M124" s="102"/>
      <x:c r="N124" s="102"/>
      <x:c r="O124" s="102"/>
      <x:c r="P124" s="102"/>
      <x:c r="Q124" s="102" t="str">
        <x:v>Operating</x:v>
      </x:c>
      <x:c r="R124" s="102" t="str">
        <x:v>SRC_0102</x:v>
      </x:c>
      <x:c r="S124" s="102" t="str">
        <x:v>SINOKOR official vessel-information page; technical fields are partial where the public page extract was not fully captured.</x:v>
      </x:c>
      <x:c r="T124" s="102"/>
      <x:c r="U124" s="102"/>
      <x:c r="V124" s="102"/>
      <x:c r="W124" s="102"/>
      <x:c r="X124" s="110"/>
      <x:c r="Y124" s="102"/>
      <x:c r="Z124" s="102"/>
      <x:c r="AA124" s="102"/>
    </x:row>
    <x:row r="125">
      <x:c r="A125" s="102" t="str">
        <x:v>VESSEL_00124</x:v>
      </x:c>
      <x:c r="B125" s="102" t="str">
        <x:v>Osaka Voyager</x:v>
      </x:c>
      <x:c r="C125" s="110" t="str">
        <x:v>9329576</x:v>
      </x:c>
      <x:c r="D125" s="102" t="str">
        <x:v>COMP_SINOKOR</x:v>
      </x:c>
      <x:c r="E125" s="102" t="str">
        <x:v>COMP_SINOKOR</x:v>
      </x:c>
      <x:c r="F125" s="102" t="str">
        <x:v>Containership</x:v>
      </x:c>
      <x:c r="G125" s="102" t="str">
        <x:v>China / Fujian Mawei</x:v>
      </x:c>
      <x:c r="H125" s="102"/>
      <x:c r="I125" s="102" t="n">
        <x:v>2005</x:v>
      </x:c>
      <x:c r="J125" s="102"/>
      <x:c r="K125" s="102" t="str">
        <x:v>698 TEU</x:v>
      </x:c>
      <x:c r="L125" s="102"/>
      <x:c r="M125" s="102"/>
      <x:c r="N125" s="102"/>
      <x:c r="O125" s="102"/>
      <x:c r="P125" s="102"/>
      <x:c r="Q125" s="102" t="str">
        <x:v>Operating</x:v>
      </x:c>
      <x:c r="R125" s="102" t="str">
        <x:v>SRC_0102</x:v>
      </x:c>
      <x:c r="S125" s="102" t="str">
        <x:v>SINOKOR official vessel-information page; technical fields are partial where the public page extract was not fully captured.</x:v>
      </x:c>
      <x:c r="T125" s="102"/>
      <x:c r="U125" s="102"/>
      <x:c r="V125" s="102"/>
      <x:c r="W125" s="102"/>
      <x:c r="X125" s="110"/>
      <x:c r="Y125" s="102"/>
      <x:c r="Z125" s="102"/>
      <x:c r="AA125" s="102"/>
    </x:row>
    <x:row r="126">
      <x:c r="A126" s="102" t="str">
        <x:v>VESSEL_00125</x:v>
      </x:c>
      <x:c r="B126" s="102" t="str">
        <x:v>NAGOYA TRADER</x:v>
      </x:c>
      <x:c r="C126" s="110" t="str">
        <x:v>9517628</x:v>
      </x:c>
      <x:c r="D126" s="102" t="str">
        <x:v>COMP_SINOKOR</x:v>
      </x:c>
      <x:c r="E126" s="102" t="str">
        <x:v>COMP_SINOKOR</x:v>
      </x:c>
      <x:c r="F126" s="102" t="str">
        <x:v>Containership</x:v>
      </x:c>
      <x:c r="G126" s="102" t="str">
        <x:v>Japan / Kyokuyo</x:v>
      </x:c>
      <x:c r="H126" s="102"/>
      <x:c r="I126" s="102" t="n">
        <x:v>2009</x:v>
      </x:c>
      <x:c r="J126" s="102"/>
      <x:c r="K126" s="102" t="str">
        <x:v>907 TEU</x:v>
      </x:c>
      <x:c r="L126" s="102"/>
      <x:c r="M126" s="102"/>
      <x:c r="N126" s="102"/>
      <x:c r="O126" s="102"/>
      <x:c r="P126" s="102"/>
      <x:c r="Q126" s="102" t="str">
        <x:v>Operating</x:v>
      </x:c>
      <x:c r="R126" s="102" t="str">
        <x:v>SRC_0102</x:v>
      </x:c>
      <x:c r="S126" s="102" t="str">
        <x:v>SINOKOR official vessel-information page; technical fields are partial where the public page extract was not fully captured.</x:v>
      </x:c>
      <x:c r="T126" s="102"/>
      <x:c r="U126" s="102"/>
      <x:c r="V126" s="102"/>
      <x:c r="W126" s="102"/>
      <x:c r="X126" s="110"/>
      <x:c r="Y126" s="102"/>
      <x:c r="Z126" s="102"/>
      <x:c r="AA126" s="102"/>
    </x:row>
    <x:row r="127">
      <x:c r="A127" s="102" t="str">
        <x:v>VESSEL_00126</x:v>
      </x:c>
      <x:c r="B127" s="102" t="str">
        <x:v>SAWASDEE PACIFIC</x:v>
      </x:c>
      <x:c r="C127" s="110" t="str">
        <x:v>9879363</x:v>
      </x:c>
      <x:c r="D127" s="102" t="str">
        <x:v>COMP_SINOKOR</x:v>
      </x:c>
      <x:c r="E127" s="102" t="str">
        <x:v>COMP_SINOKOR</x:v>
      </x:c>
      <x:c r="F127" s="102" t="str">
        <x:v>Containership</x:v>
      </x:c>
      <x:c r="G127" s="102" t="str">
        <x:v>Korea / Hyundai Mipo</x:v>
      </x:c>
      <x:c r="H127" s="102"/>
      <x:c r="I127" s="102" t="n">
        <x:v>2020</x:v>
      </x:c>
      <x:c r="J127" s="102"/>
      <x:c r="K127" s="102" t="str">
        <x:v>1,809 TEU</x:v>
      </x:c>
      <x:c r="L127" s="102"/>
      <x:c r="M127" s="102"/>
      <x:c r="N127" s="102"/>
      <x:c r="O127" s="102"/>
      <x:c r="P127" s="102"/>
      <x:c r="Q127" s="102" t="str">
        <x:v>Operating</x:v>
      </x:c>
      <x:c r="R127" s="102" t="str">
        <x:v>SRC_0102</x:v>
      </x:c>
      <x:c r="S127" s="102" t="str">
        <x:v>SINOKOR official vessel-information page; technical fields are partial where the public page extract was not fully captured.</x:v>
      </x:c>
      <x:c r="T127" s="102"/>
      <x:c r="U127" s="102"/>
      <x:c r="V127" s="102"/>
      <x:c r="W127" s="102"/>
      <x:c r="X127" s="110"/>
      <x:c r="Y127" s="102"/>
      <x:c r="Z127" s="102"/>
      <x:c r="AA127" s="102"/>
    </x:row>
    <x:row r="128">
      <x:c r="A128" s="102" t="str">
        <x:v>VESSEL_00127</x:v>
      </x:c>
      <x:c r="B128" s="102" t="str">
        <x:v>SAWASDEE ATLANTIC</x:v>
      </x:c>
      <x:c r="C128" s="110" t="str">
        <x:v>9879375</x:v>
      </x:c>
      <x:c r="D128" s="102" t="str">
        <x:v>COMP_SINOKOR</x:v>
      </x:c>
      <x:c r="E128" s="102" t="str">
        <x:v>COMP_SINOKOR</x:v>
      </x:c>
      <x:c r="F128" s="102" t="str">
        <x:v>Containership</x:v>
      </x:c>
      <x:c r="G128" s="102" t="str">
        <x:v>Korea / Hyundai Mipo</x:v>
      </x:c>
      <x:c r="H128" s="102"/>
      <x:c r="I128" s="102" t="n">
        <x:v>2020</x:v>
      </x:c>
      <x:c r="J128" s="102"/>
      <x:c r="K128" s="102" t="str">
        <x:v>1,809 TEU</x:v>
      </x:c>
      <x:c r="L128" s="102"/>
      <x:c r="M128" s="102"/>
      <x:c r="N128" s="102"/>
      <x:c r="O128" s="102"/>
      <x:c r="P128" s="102"/>
      <x:c r="Q128" s="102" t="str">
        <x:v>Operating</x:v>
      </x:c>
      <x:c r="R128" s="102" t="str">
        <x:v>SRC_0102</x:v>
      </x:c>
      <x:c r="S128" s="102" t="str">
        <x:v>SINOKOR official vessel-information page; technical fields are partial where the public page extract was not fully captured.</x:v>
      </x:c>
      <x:c r="T128" s="102"/>
      <x:c r="U128" s="102"/>
      <x:c r="V128" s="102"/>
      <x:c r="W128" s="102"/>
      <x:c r="X128" s="110"/>
      <x:c r="Y128" s="102"/>
      <x:c r="Z128" s="102"/>
      <x:c r="AA128" s="102"/>
    </x:row>
    <x:row r="129">
      <x:c r="A129" s="102" t="str">
        <x:v>VESSEL_00128</x:v>
      </x:c>
      <x:c r="B129" s="102" t="str">
        <x:v>SAWASDEE BALTIC</x:v>
      </x:c>
      <x:c r="C129" s="110" t="str">
        <x:v>9886067</x:v>
      </x:c>
      <x:c r="D129" s="102" t="str">
        <x:v>COMP_SINOKOR</x:v>
      </x:c>
      <x:c r="E129" s="102" t="str">
        <x:v>COMP_SINOKOR</x:v>
      </x:c>
      <x:c r="F129" s="102" t="str">
        <x:v>Containership</x:v>
      </x:c>
      <x:c r="G129" s="102" t="str">
        <x:v>Korea / Hyundai Mipo</x:v>
      </x:c>
      <x:c r="H129" s="102"/>
      <x:c r="I129" s="102" t="n">
        <x:v>2020</x:v>
      </x:c>
      <x:c r="J129" s="102"/>
      <x:c r="K129" s="102" t="str">
        <x:v>1,800 TEU</x:v>
      </x:c>
      <x:c r="L129" s="102"/>
      <x:c r="M129" s="102"/>
      <x:c r="N129" s="102"/>
      <x:c r="O129" s="102"/>
      <x:c r="P129" s="102"/>
      <x:c r="Q129" s="102" t="str">
        <x:v>Operating</x:v>
      </x:c>
      <x:c r="R129" s="102" t="str">
        <x:v>SRC_0102</x:v>
      </x:c>
      <x:c r="S129" s="102" t="str">
        <x:v>SINOKOR official vessel-information page; technical fields are partial where the public page extract was not fully captured.</x:v>
      </x:c>
      <x:c r="T129" s="102"/>
      <x:c r="U129" s="102"/>
      <x:c r="V129" s="102"/>
      <x:c r="W129" s="102"/>
      <x:c r="X129" s="110"/>
      <x:c r="Y129" s="102"/>
      <x:c r="Z129" s="102"/>
      <x:c r="AA129" s="102"/>
    </x:row>
    <x:row r="130">
      <x:c r="A130" s="102" t="str">
        <x:v>VESSEL_00129</x:v>
      </x:c>
      <x:c r="B130" s="102" t="str">
        <x:v>SAWASDEE SUNRISE</x:v>
      </x:c>
      <x:c r="C130" s="110" t="str">
        <x:v>9886079</x:v>
      </x:c>
      <x:c r="D130" s="102" t="str">
        <x:v>COMP_SINOKOR</x:v>
      </x:c>
      <x:c r="E130" s="102" t="str">
        <x:v>COMP_SINOKOR</x:v>
      </x:c>
      <x:c r="F130" s="102" t="str">
        <x:v>Containership</x:v>
      </x:c>
      <x:c r="G130" s="102" t="str">
        <x:v>Korea / Hyundai Mipo</x:v>
      </x:c>
      <x:c r="H130" s="102"/>
      <x:c r="I130" s="102" t="n">
        <x:v>2020</x:v>
      </x:c>
      <x:c r="J130" s="102"/>
      <x:c r="K130" s="102" t="str">
        <x:v>1,800 TEU</x:v>
      </x:c>
      <x:c r="L130" s="102"/>
      <x:c r="M130" s="102"/>
      <x:c r="N130" s="102"/>
      <x:c r="O130" s="102"/>
      <x:c r="P130" s="102"/>
      <x:c r="Q130" s="102" t="str">
        <x:v>Operating</x:v>
      </x:c>
      <x:c r="R130" s="102" t="str">
        <x:v>SRC_0102</x:v>
      </x:c>
      <x:c r="S130" s="102" t="str">
        <x:v>SINOKOR official vessel-information page; technical fields are partial where the public page extract was not fully captured.</x:v>
      </x:c>
      <x:c r="T130" s="102"/>
      <x:c r="U130" s="102"/>
      <x:c r="V130" s="102"/>
      <x:c r="W130" s="102"/>
      <x:c r="X130" s="110"/>
      <x:c r="Y130" s="102"/>
      <x:c r="Z130" s="102"/>
      <x:c r="AA130" s="102"/>
    </x:row>
    <x:row r="131">
      <x:c r="A131" s="102" t="str">
        <x:v>VESSEL_00130</x:v>
      </x:c>
      <x:c r="B131" s="102" t="str">
        <x:v>HOCHIMINH VOYAGER</x:v>
      </x:c>
      <x:c r="C131" s="110" t="str">
        <x:v>9532276</x:v>
      </x:c>
      <x:c r="D131" s="102" t="str">
        <x:v>COMP_SINOKOR</x:v>
      </x:c>
      <x:c r="E131" s="102" t="str">
        <x:v>COMP_SINOKOR</x:v>
      </x:c>
      <x:c r="F131" s="102" t="str">
        <x:v>Vessel</x:v>
      </x:c>
      <x:c r="G131" s="102"/>
      <x:c r="H131" s="102"/>
      <x:c r="I131" s="102"/>
      <x:c r="J131" s="102"/>
      <x:c r="K131" s="102"/>
      <x:c r="L131" s="102"/>
      <x:c r="M131" s="102"/>
      <x:c r="N131" s="102"/>
      <x:c r="O131" s="102"/>
      <x:c r="P131" s="102"/>
      <x:c r="Q131" s="102" t="str">
        <x:v>Operating</x:v>
      </x:c>
      <x:c r="R131" s="102" t="str">
        <x:v>SRC_0102</x:v>
      </x:c>
      <x:c r="S131" s="102" t="str">
        <x:v>SINOKOR official vessel-information page; technical fields are partial where the public page extract was not fully captured.</x:v>
      </x:c>
      <x:c r="T131" s="102"/>
      <x:c r="U131" s="102"/>
      <x:c r="V131" s="102"/>
      <x:c r="W131" s="102"/>
      <x:c r="X131" s="110"/>
      <x:c r="Y131" s="102"/>
      <x:c r="Z131" s="102"/>
      <x:c r="AA131" s="102"/>
    </x:row>
    <x:row r="132">
      <x:c r="A132" s="102" t="str">
        <x:v>VESSEL_00131</x:v>
      </x:c>
      <x:c r="B132" s="102" t="str">
        <x:v>JAKARTA VOYAGER</x:v>
      </x:c>
      <x:c r="C132" s="110" t="str">
        <x:v>9532288</x:v>
      </x:c>
      <x:c r="D132" s="102" t="str">
        <x:v>COMP_SINOKOR</x:v>
      </x:c>
      <x:c r="E132" s="102" t="str">
        <x:v>COMP_SINOKOR</x:v>
      </x:c>
      <x:c r="F132" s="102" t="str">
        <x:v>Vessel</x:v>
      </x:c>
      <x:c r="G132" s="102"/>
      <x:c r="H132" s="102"/>
      <x:c r="I132" s="102"/>
      <x:c r="J132" s="102"/>
      <x:c r="K132" s="102"/>
      <x:c r="L132" s="102"/>
      <x:c r="M132" s="102"/>
      <x:c r="N132" s="102"/>
      <x:c r="O132" s="102"/>
      <x:c r="P132" s="102"/>
      <x:c r="Q132" s="102" t="str">
        <x:v>Operating</x:v>
      </x:c>
      <x:c r="R132" s="102" t="str">
        <x:v>SRC_0102</x:v>
      </x:c>
      <x:c r="S132" s="102" t="str">
        <x:v>SINOKOR official vessel-information page; technical fields are partial where the public page extract was not fully captured.</x:v>
      </x:c>
      <x:c r="T132" s="102"/>
      <x:c r="U132" s="102"/>
      <x:c r="V132" s="102"/>
      <x:c r="W132" s="102"/>
      <x:c r="X132" s="110"/>
      <x:c r="Y132" s="102"/>
      <x:c r="Z132" s="102"/>
      <x:c r="AA132" s="102"/>
    </x:row>
    <x:row r="133">
      <x:c r="A133" s="102" t="str">
        <x:v>VESSEL_00132</x:v>
      </x:c>
      <x:c r="B133" s="102" t="str">
        <x:v>SHANGHAI VOYAGER</x:v>
      </x:c>
      <x:c r="C133" s="110" t="str">
        <x:v>9536973</x:v>
      </x:c>
      <x:c r="D133" s="102" t="str">
        <x:v>COMP_SINOKOR</x:v>
      </x:c>
      <x:c r="E133" s="102" t="str">
        <x:v>COMP_SINOKOR</x:v>
      </x:c>
      <x:c r="F133" s="102" t="str">
        <x:v>Vessel</x:v>
      </x:c>
      <x:c r="G133" s="102"/>
      <x:c r="H133" s="102"/>
      <x:c r="I133" s="102"/>
      <x:c r="J133" s="102"/>
      <x:c r="K133" s="102"/>
      <x:c r="L133" s="102"/>
      <x:c r="M133" s="102"/>
      <x:c r="N133" s="102"/>
      <x:c r="O133" s="102"/>
      <x:c r="P133" s="102"/>
      <x:c r="Q133" s="102" t="str">
        <x:v>Operating</x:v>
      </x:c>
      <x:c r="R133" s="102" t="str">
        <x:v>SRC_0102</x:v>
      </x:c>
      <x:c r="S133" s="102" t="str">
        <x:v>SINOKOR official vessel-information page; technical fields are partial where the public page extract was not fully captured.</x:v>
      </x:c>
      <x:c r="T133" s="102"/>
      <x:c r="U133" s="102"/>
      <x:c r="V133" s="102"/>
      <x:c r="W133" s="102"/>
      <x:c r="X133" s="110"/>
      <x:c r="Y133" s="102"/>
      <x:c r="Z133" s="102"/>
      <x:c r="AA133" s="102"/>
    </x:row>
    <x:row r="134">
      <x:c r="A134" s="102" t="str">
        <x:v>VESSEL_00133</x:v>
      </x:c>
      <x:c r="B134" s="102" t="str">
        <x:v>NINGBO TRADER</x:v>
      </x:c>
      <x:c r="C134" s="110" t="str">
        <x:v>9347968</x:v>
      </x:c>
      <x:c r="D134" s="102" t="str">
        <x:v>COMP_SINOKOR</x:v>
      </x:c>
      <x:c r="E134" s="102" t="str">
        <x:v>COMP_SINOKOR</x:v>
      </x:c>
      <x:c r="F134" s="102" t="str">
        <x:v>Vessel</x:v>
      </x:c>
      <x:c r="G134" s="102"/>
      <x:c r="H134" s="102"/>
      <x:c r="I134" s="102"/>
      <x:c r="J134" s="102"/>
      <x:c r="K134" s="102"/>
      <x:c r="L134" s="102"/>
      <x:c r="M134" s="102"/>
      <x:c r="N134" s="102"/>
      <x:c r="O134" s="102"/>
      <x:c r="P134" s="102"/>
      <x:c r="Q134" s="102" t="str">
        <x:v>Operating</x:v>
      </x:c>
      <x:c r="R134" s="102" t="str">
        <x:v>SRC_0102</x:v>
      </x:c>
      <x:c r="S134" s="102" t="str">
        <x:v>SINOKOR official vessel-information page; technical fields are partial where the public page extract was not fully captured.</x:v>
      </x:c>
      <x:c r="T134" s="102"/>
      <x:c r="U134" s="102"/>
      <x:c r="V134" s="102"/>
      <x:c r="W134" s="102"/>
      <x:c r="X134" s="110"/>
      <x:c r="Y134" s="102"/>
      <x:c r="Z134" s="102"/>
      <x:c r="AA134" s="102"/>
    </x:row>
    <x:row r="135">
      <x:c r="A135" s="102" t="str">
        <x:v>VESSEL_00134</x:v>
      </x:c>
      <x:c r="B135" s="102" t="str">
        <x:v>YOKOHAMA TRADER</x:v>
      </x:c>
      <x:c r="C135" s="110" t="str">
        <x:v>9915961</x:v>
      </x:c>
      <x:c r="D135" s="102" t="str">
        <x:v>COMP_SINOKOR</x:v>
      </x:c>
      <x:c r="E135" s="102" t="str">
        <x:v>COMP_SINOKOR</x:v>
      </x:c>
      <x:c r="F135" s="102" t="str">
        <x:v>Vessel</x:v>
      </x:c>
      <x:c r="G135" s="102"/>
      <x:c r="H135" s="102"/>
      <x:c r="I135" s="102"/>
      <x:c r="J135" s="102"/>
      <x:c r="K135" s="102"/>
      <x:c r="L135" s="102"/>
      <x:c r="M135" s="102"/>
      <x:c r="N135" s="102"/>
      <x:c r="O135" s="102"/>
      <x:c r="P135" s="102"/>
      <x:c r="Q135" s="102" t="str">
        <x:v>Operating</x:v>
      </x:c>
      <x:c r="R135" s="102" t="str">
        <x:v>SRC_0102</x:v>
      </x:c>
      <x:c r="S135" s="102" t="str">
        <x:v>SINOKOR official vessel-information page; technical fields are partial where the public page extract was not fully captured.</x:v>
      </x:c>
      <x:c r="T135" s="102"/>
      <x:c r="U135" s="102"/>
      <x:c r="V135" s="102"/>
      <x:c r="W135" s="102"/>
      <x:c r="X135" s="110"/>
      <x:c r="Y135" s="102"/>
      <x:c r="Z135" s="102"/>
      <x:c r="AA135" s="102"/>
    </x:row>
    <x:row r="136">
      <x:c r="A136" s="102" t="str">
        <x:v>VESSEL_00135</x:v>
      </x:c>
      <x:c r="B136" s="102" t="str">
        <x:v>SURABAYA VOYAGER</x:v>
      </x:c>
      <x:c r="C136" s="110" t="str">
        <x:v>9137703</x:v>
      </x:c>
      <x:c r="D136" s="102" t="str">
        <x:v>COMP_SINOKOR</x:v>
      </x:c>
      <x:c r="E136" s="102" t="str">
        <x:v>COMP_SINOKOR</x:v>
      </x:c>
      <x:c r="F136" s="102" t="str">
        <x:v>Vessel</x:v>
      </x:c>
      <x:c r="G136" s="102"/>
      <x:c r="H136" s="102"/>
      <x:c r="I136" s="102"/>
      <x:c r="J136" s="102"/>
      <x:c r="K136" s="102"/>
      <x:c r="L136" s="102"/>
      <x:c r="M136" s="102"/>
      <x:c r="N136" s="102"/>
      <x:c r="O136" s="102"/>
      <x:c r="P136" s="102"/>
      <x:c r="Q136" s="102" t="str">
        <x:v>Operating</x:v>
      </x:c>
      <x:c r="R136" s="102" t="str">
        <x:v>SRC_0102</x:v>
      </x:c>
      <x:c r="S136" s="102" t="str">
        <x:v>SINOKOR official vessel-information page; technical fields are partial where the public page extract was not fully captured.</x:v>
      </x:c>
      <x:c r="T136" s="102"/>
      <x:c r="U136" s="102"/>
      <x:c r="V136" s="102"/>
      <x:c r="W136" s="102"/>
      <x:c r="X136" s="110"/>
      <x:c r="Y136" s="102"/>
      <x:c r="Z136" s="102"/>
      <x:c r="AA136" s="102"/>
    </x:row>
    <x:row r="137">
      <x:c r="A137" s="102" t="str">
        <x:v>VESSEL_00136</x:v>
      </x:c>
      <x:c r="B137" s="102" t="str">
        <x:v>KOBE TRADER</x:v>
      </x:c>
      <x:c r="C137" s="110" t="str">
        <x:v>9915973</x:v>
      </x:c>
      <x:c r="D137" s="102" t="str">
        <x:v>COMP_SINOKOR</x:v>
      </x:c>
      <x:c r="E137" s="102" t="str">
        <x:v>COMP_SINOKOR</x:v>
      </x:c>
      <x:c r="F137" s="102" t="str">
        <x:v>Containership</x:v>
      </x:c>
      <x:c r="G137" s="102" t="str">
        <x:v>China / Wenchong</x:v>
      </x:c>
      <x:c r="H137" s="102"/>
      <x:c r="I137" s="102" t="n">
        <x:v>2021</x:v>
      </x:c>
      <x:c r="J137" s="102" t="n">
        <x:v>13254</x:v>
      </x:c>
      <x:c r="K137" s="102" t="str">
        <x:v>1,080 TEU</x:v>
      </x:c>
      <x:c r="L137" s="102"/>
      <x:c r="M137" s="102"/>
      <x:c r="N137" s="102"/>
      <x:c r="O137" s="102"/>
      <x:c r="P137" s="102"/>
      <x:c r="Q137" s="102" t="str">
        <x:v>Operating</x:v>
      </x:c>
      <x:c r="R137" s="102" t="str">
        <x:v>SRC_0102</x:v>
      </x:c>
      <x:c r="S137" s="102" t="str">
        <x:v>SINOKOR official vessel-information page; technical fields are partial where the public page extract was not fully captured.</x:v>
      </x:c>
      <x:c r="T137" s="102"/>
      <x:c r="U137" s="102"/>
      <x:c r="V137" s="102"/>
      <x:c r="W137" s="102"/>
      <x:c r="X137" s="110"/>
      <x:c r="Y137" s="102"/>
      <x:c r="Z137" s="102"/>
      <x:c r="AA137" s="102"/>
    </x:row>
    <x:row r="138">
      <x:c r="A138" s="102" t="str">
        <x:v>VESSEL_00137</x:v>
      </x:c>
      <x:c r="B138" s="102" t="str">
        <x:v>CHENNAI VOYAGER</x:v>
      </x:c>
      <x:c r="C138" s="110" t="str">
        <x:v>9153410</x:v>
      </x:c>
      <x:c r="D138" s="102" t="str">
        <x:v>COMP_SINOKOR</x:v>
      </x:c>
      <x:c r="E138" s="102" t="str">
        <x:v>COMP_SINOKOR</x:v>
      </x:c>
      <x:c r="F138" s="102" t="str">
        <x:v>Containership</x:v>
      </x:c>
      <x:c r="G138" s="102" t="str">
        <x:v>Germany / Volkswerft</x:v>
      </x:c>
      <x:c r="H138" s="102" t="str">
        <x:v>Panama</x:v>
      </x:c>
      <x:c r="I138" s="102" t="n">
        <x:v>1999</x:v>
      </x:c>
      <x:c r="J138" s="102" t="n">
        <x:v>33819</x:v>
      </x:c>
      <x:c r="K138" s="102" t="str">
        <x:v>2,546 TEU</x:v>
      </x:c>
      <x:c r="L138" s="102"/>
      <x:c r="M138" s="102"/>
      <x:c r="N138" s="102"/>
      <x:c r="O138" s="102"/>
      <x:c r="P138" s="102"/>
      <x:c r="Q138" s="102" t="str">
        <x:v>Operating</x:v>
      </x:c>
      <x:c r="R138" s="102" t="str">
        <x:v>SRC_0102</x:v>
      </x:c>
      <x:c r="S138" s="102" t="str">
        <x:v>SINOKOR official vessel-information page; technical fields are partial where the public page extract was not fully captured.</x:v>
      </x:c>
      <x:c r="T138" s="102"/>
      <x:c r="U138" s="102"/>
      <x:c r="V138" s="102"/>
      <x:c r="W138" s="102"/>
      <x:c r="X138" s="110"/>
      <x:c r="Y138" s="102"/>
      <x:c r="Z138" s="102"/>
      <x:c r="AA138" s="102"/>
    </x:row>
    <x:row r="139">
      <x:c r="A139" s="102" t="str">
        <x:v>VESSEL_00138</x:v>
      </x:c>
      <x:c r="B139" s="102" t="str">
        <x:v>SENDAI TRADER</x:v>
      </x:c>
      <x:c r="C139" s="110" t="str">
        <x:v>9397107</x:v>
      </x:c>
      <x:c r="D139" s="102" t="str">
        <x:v>COMP_SINOKOR</x:v>
      </x:c>
      <x:c r="E139" s="102" t="str">
        <x:v>COMP_SINOKOR</x:v>
      </x:c>
      <x:c r="F139" s="102" t="str">
        <x:v>Containership</x:v>
      </x:c>
      <x:c r="G139" s="102" t="str">
        <x:v>China / Taizhou Kouan</x:v>
      </x:c>
      <x:c r="H139" s="102" t="str">
        <x:v>Korea</x:v>
      </x:c>
      <x:c r="I139" s="102" t="n">
        <x:v>2008</x:v>
      </x:c>
      <x:c r="J139" s="102" t="n">
        <x:v>13632</x:v>
      </x:c>
      <x:c r="K139" s="102" t="str">
        <x:v>1,118 TEU</x:v>
      </x:c>
      <x:c r="L139" s="102"/>
      <x:c r="M139" s="102"/>
      <x:c r="N139" s="102"/>
      <x:c r="O139" s="102"/>
      <x:c r="P139" s="102"/>
      <x:c r="Q139" s="102" t="str">
        <x:v>Operating</x:v>
      </x:c>
      <x:c r="R139" s="102" t="str">
        <x:v>SRC_0102</x:v>
      </x:c>
      <x:c r="S139" s="102" t="str">
        <x:v>SINOKOR official vessel-information page; technical fields are partial where the public page extract was not fully captured.</x:v>
      </x:c>
      <x:c r="T139" s="102"/>
      <x:c r="U139" s="102"/>
      <x:c r="V139" s="102"/>
      <x:c r="W139" s="102"/>
      <x:c r="X139" s="110"/>
      <x:c r="Y139" s="102"/>
      <x:c r="Z139" s="102"/>
      <x:c r="AA139" s="102"/>
    </x:row>
    <x:row r="140">
      <x:c r="A140" s="102" t="str">
        <x:v>VESSEL_00139</x:v>
      </x:c>
      <x:c r="B140" s="102" t="str">
        <x:v>QINGDAO TRADER</x:v>
      </x:c>
      <x:c r="C140" s="110" t="str">
        <x:v>9915985</x:v>
      </x:c>
      <x:c r="D140" s="102" t="str">
        <x:v>COMP_SINOKOR</x:v>
      </x:c>
      <x:c r="E140" s="102" t="str">
        <x:v>COMP_SINOKOR</x:v>
      </x:c>
      <x:c r="F140" s="102" t="str">
        <x:v>Containership</x:v>
      </x:c>
      <x:c r="G140" s="102" t="str">
        <x:v>China / Wenchong</x:v>
      </x:c>
      <x:c r="H140" s="102"/>
      <x:c r="I140" s="102" t="n">
        <x:v>2021</x:v>
      </x:c>
      <x:c r="J140" s="102"/>
      <x:c r="K140" s="102" t="str">
        <x:v>1,080 TEU</x:v>
      </x:c>
      <x:c r="L140" s="102"/>
      <x:c r="M140" s="102"/>
      <x:c r="N140" s="102"/>
      <x:c r="O140" s="102"/>
      <x:c r="P140" s="102"/>
      <x:c r="Q140" s="102" t="str">
        <x:v>Operating</x:v>
      </x:c>
      <x:c r="R140" s="102" t="str">
        <x:v>SRC_0102</x:v>
      </x:c>
      <x:c r="S140" s="102" t="str">
        <x:v>SINOKOR official vessel-information page; technical fields are partial where the public page extract was not fully captured.</x:v>
      </x:c>
      <x:c r="T140" s="102"/>
      <x:c r="U140" s="102"/>
      <x:c r="V140" s="102"/>
      <x:c r="W140" s="102"/>
      <x:c r="X140" s="110"/>
      <x:c r="Y140" s="102"/>
      <x:c r="Z140" s="102"/>
      <x:c r="AA140" s="102"/>
    </x:row>
    <x:row r="141">
      <x:c r="A141" s="102" t="str">
        <x:v>VESSEL_00140</x:v>
      </x:c>
      <x:c r="B141" s="102" t="str">
        <x:v>YANGTZE TRADER</x:v>
      </x:c>
      <x:c r="C141" s="110" t="str">
        <x:v>9915997</x:v>
      </x:c>
      <x:c r="D141" s="102" t="str">
        <x:v>COMP_SINOKOR</x:v>
      </x:c>
      <x:c r="E141" s="102" t="str">
        <x:v>COMP_SINOKOR</x:v>
      </x:c>
      <x:c r="F141" s="102" t="str">
        <x:v>Containership</x:v>
      </x:c>
      <x:c r="G141" s="102" t="str">
        <x:v>China / Wenchong</x:v>
      </x:c>
      <x:c r="H141" s="102"/>
      <x:c r="I141" s="102" t="n">
        <x:v>2022</x:v>
      </x:c>
      <x:c r="J141" s="102"/>
      <x:c r="K141" s="102" t="str">
        <x:v>1,084 TEU</x:v>
      </x:c>
      <x:c r="L141" s="102"/>
      <x:c r="M141" s="102"/>
      <x:c r="N141" s="102"/>
      <x:c r="O141" s="102"/>
      <x:c r="P141" s="102"/>
      <x:c r="Q141" s="102" t="str">
        <x:v>Operating</x:v>
      </x:c>
      <x:c r="R141" s="102" t="str">
        <x:v>SRC_0102</x:v>
      </x:c>
      <x:c r="S141" s="102" t="str">
        <x:v>SINOKOR official vessel-information page; technical fields are partial where the public page extract was not fully captured.</x:v>
      </x:c>
      <x:c r="T141" s="102"/>
      <x:c r="U141" s="102"/>
      <x:c r="V141" s="102"/>
      <x:c r="W141" s="102"/>
      <x:c r="X141" s="110"/>
      <x:c r="Y141" s="102"/>
      <x:c r="Z141" s="102"/>
      <x:c r="AA141" s="102"/>
    </x:row>
    <x:row r="142">
      <x:c r="A142" s="102" t="str">
        <x:v>VESSEL_00141</x:v>
      </x:c>
      <x:c r="B142" s="102" t="str">
        <x:v>NO.2 OCEAN PIONEER</x:v>
      </x:c>
      <x:c r="C142" s="110" t="str">
        <x:v>9340439</x:v>
      </x:c>
      <x:c r="D142" s="102" t="str">
        <x:v>COMP_SINOKOR</x:v>
      </x:c>
      <x:c r="E142" s="102" t="str">
        <x:v>COMP_SINOKOR</x:v>
      </x:c>
      <x:c r="F142" s="102" t="str">
        <x:v>Tanker</x:v>
      </x:c>
      <x:c r="G142" s="102" t="str">
        <x:v>Japan / Usuki</x:v>
      </x:c>
      <x:c r="H142" s="102"/>
      <x:c r="I142" s="102" t="n">
        <x:v>2006</x:v>
      </x:c>
      <x:c r="J142" s="102" t="n">
        <x:v>19990</x:v>
      </x:c>
      <x:c r="K142" s="102"/>
      <x:c r="L142" s="102"/>
      <x:c r="M142" s="102"/>
      <x:c r="N142" s="102"/>
      <x:c r="O142" s="102"/>
      <x:c r="P142" s="102"/>
      <x:c r="Q142" s="102" t="str">
        <x:v>Operating</x:v>
      </x:c>
      <x:c r="R142" s="102" t="str">
        <x:v>SRC_0102</x:v>
      </x:c>
      <x:c r="S142" s="102" t="str">
        <x:v>SINOKOR official vessel-information page; technical fields are partial where the public page extract was not fully captured.</x:v>
      </x:c>
      <x:c r="T142" s="102"/>
      <x:c r="U142" s="102"/>
      <x:c r="V142" s="102"/>
      <x:c r="W142" s="102"/>
      <x:c r="X142" s="110"/>
      <x:c r="Y142" s="102"/>
      <x:c r="Z142" s="102"/>
      <x:c r="AA142" s="102"/>
    </x:row>
    <x:row r="143">
      <x:c r="A143" s="102" t="str">
        <x:v>VESSEL_00142</x:v>
      </x:c>
      <x:c r="B143" s="102" t="str">
        <x:v>OCEAN PIONEER</x:v>
      </x:c>
      <x:c r="C143" s="110" t="str">
        <x:v>9347152</x:v>
      </x:c>
      <x:c r="D143" s="102" t="str">
        <x:v>COMP_SINOKOR</x:v>
      </x:c>
      <x:c r="E143" s="102" t="str">
        <x:v>COMP_SINOKOR</x:v>
      </x:c>
      <x:c r="F143" s="102" t="str">
        <x:v>Tanker</x:v>
      </x:c>
      <x:c r="G143" s="102" t="str">
        <x:v>Japan / Fukuoka Shipbuilding</x:v>
      </x:c>
      <x:c r="H143" s="102"/>
      <x:c r="I143" s="102" t="n">
        <x:v>2007</x:v>
      </x:c>
      <x:c r="J143" s="102" t="n">
        <x:v>25300</x:v>
      </x:c>
      <x:c r="K143" s="102"/>
      <x:c r="L143" s="102"/>
      <x:c r="M143" s="102"/>
      <x:c r="N143" s="102"/>
      <x:c r="O143" s="102"/>
      <x:c r="P143" s="102"/>
      <x:c r="Q143" s="102" t="str">
        <x:v>Operating</x:v>
      </x:c>
      <x:c r="R143" s="102" t="str">
        <x:v>SRC_0102</x:v>
      </x:c>
      <x:c r="S143" s="102" t="str">
        <x:v>SINOKOR official vessel-information page; technical fields are partial where the public page extract was not fully captured.</x:v>
      </x:c>
      <x:c r="T143" s="102"/>
      <x:c r="U143" s="102"/>
      <x:c r="V143" s="102"/>
      <x:c r="W143" s="102"/>
      <x:c r="X143" s="110"/>
      <x:c r="Y143" s="102"/>
      <x:c r="Z143" s="102"/>
      <x:c r="AA143" s="102"/>
    </x:row>
    <x:row r="144">
      <x:c r="A144" s="102" t="str">
        <x:v>VESSEL_00143</x:v>
      </x:c>
      <x:c r="B144" s="102" t="str">
        <x:v>SAWASDEE CHITTAGONG</x:v>
      </x:c>
      <x:c r="C144" s="110" t="str">
        <x:v>9940758</x:v>
      </x:c>
      <x:c r="D144" s="102" t="str">
        <x:v>COMP_SINOKOR</x:v>
      </x:c>
      <x:c r="E144" s="102" t="str">
        <x:v>COMP_SINOKOR</x:v>
      </x:c>
      <x:c r="F144" s="102" t="str">
        <x:v>Containership</x:v>
      </x:c>
      <x:c r="G144" s="102" t="str">
        <x:v>Korea / Hyundai</x:v>
      </x:c>
      <x:c r="H144" s="102"/>
      <x:c r="I144" s="102" t="n">
        <x:v>2022</x:v>
      </x:c>
      <x:c r="J144" s="102"/>
      <x:c r="K144" s="102" t="str">
        <x:v>1,800 TEU</x:v>
      </x:c>
      <x:c r="L144" s="102"/>
      <x:c r="M144" s="102"/>
      <x:c r="N144" s="102"/>
      <x:c r="O144" s="102"/>
      <x:c r="P144" s="102"/>
      <x:c r="Q144" s="102" t="str">
        <x:v>Operating</x:v>
      </x:c>
      <x:c r="R144" s="102" t="str">
        <x:v>SRC_0102</x:v>
      </x:c>
      <x:c r="S144" s="102" t="str">
        <x:v>SINOKOR official vessel-information page; technical fields are partial where the public page extract was not fully captured.</x:v>
      </x:c>
      <x:c r="T144" s="102"/>
      <x:c r="U144" s="102"/>
      <x:c r="V144" s="102"/>
      <x:c r="W144" s="102"/>
      <x:c r="X144" s="110"/>
      <x:c r="Y144" s="102"/>
      <x:c r="Z144" s="102"/>
      <x:c r="AA144" s="102"/>
    </x:row>
    <x:row r="145">
      <x:c r="A145" s="102" t="str">
        <x:v>VESSEL_00144</x:v>
      </x:c>
      <x:c r="B145" s="102" t="str">
        <x:v>SAWASDEE SHANGHAI</x:v>
      </x:c>
      <x:c r="C145" s="110" t="str">
        <x:v>9940760</x:v>
      </x:c>
      <x:c r="D145" s="102" t="str">
        <x:v>COMP_SINOKOR</x:v>
      </x:c>
      <x:c r="E145" s="102" t="str">
        <x:v>COMP_SINOKOR</x:v>
      </x:c>
      <x:c r="F145" s="102" t="str">
        <x:v>Containership</x:v>
      </x:c>
      <x:c r="G145" s="102" t="str">
        <x:v>Korea / Hyundai</x:v>
      </x:c>
      <x:c r="H145" s="102"/>
      <x:c r="I145" s="102" t="n">
        <x:v>2022</x:v>
      </x:c>
      <x:c r="J145" s="102"/>
      <x:c r="K145" s="102" t="str">
        <x:v>1,800 TEU</x:v>
      </x:c>
      <x:c r="L145" s="102"/>
      <x:c r="M145" s="102"/>
      <x:c r="N145" s="102"/>
      <x:c r="O145" s="102"/>
      <x:c r="P145" s="102"/>
      <x:c r="Q145" s="102" t="str">
        <x:v>Operating</x:v>
      </x:c>
      <x:c r="R145" s="102" t="str">
        <x:v>SRC_0102</x:v>
      </x:c>
      <x:c r="S145" s="102" t="str">
        <x:v>SINOKOR official vessel-information page; technical fields are partial where the public page extract was not fully captured.</x:v>
      </x:c>
      <x:c r="T145" s="102"/>
      <x:c r="U145" s="102"/>
      <x:c r="V145" s="102"/>
      <x:c r="W145" s="102"/>
      <x:c r="X145" s="110"/>
      <x:c r="Y145" s="102"/>
      <x:c r="Z145" s="102"/>
      <x:c r="AA145" s="102"/>
    </x:row>
    <x:row r="146">
      <x:c r="A146" s="102" t="str">
        <x:v>VESSEL_00145</x:v>
      </x:c>
      <x:c r="B146" s="102" t="str">
        <x:v>SAWASDEE XIAMEN</x:v>
      </x:c>
      <x:c r="C146" s="110" t="str">
        <x:v>9940772</x:v>
      </x:c>
      <x:c r="D146" s="102" t="str">
        <x:v>COMP_SINOKOR</x:v>
      </x:c>
      <x:c r="E146" s="102" t="str">
        <x:v>COMP_SINOKOR</x:v>
      </x:c>
      <x:c r="F146" s="102" t="str">
        <x:v>Containership</x:v>
      </x:c>
      <x:c r="G146" s="102" t="str">
        <x:v>Korea / Hyundai</x:v>
      </x:c>
      <x:c r="H146" s="102"/>
      <x:c r="I146" s="102" t="n">
        <x:v>2022</x:v>
      </x:c>
      <x:c r="J146" s="102"/>
      <x:c r="K146" s="102" t="str">
        <x:v>1,800 TEU</x:v>
      </x:c>
      <x:c r="L146" s="102"/>
      <x:c r="M146" s="102"/>
      <x:c r="N146" s="102"/>
      <x:c r="O146" s="102"/>
      <x:c r="P146" s="102"/>
      <x:c r="Q146" s="102" t="str">
        <x:v>Operating</x:v>
      </x:c>
      <x:c r="R146" s="102" t="str">
        <x:v>SRC_0102</x:v>
      </x:c>
      <x:c r="S146" s="102" t="str">
        <x:v>SINOKOR official vessel-information page; technical fields are partial where the public page extract was not fully captured.</x:v>
      </x:c>
      <x:c r="T146" s="102"/>
      <x:c r="U146" s="102"/>
      <x:c r="V146" s="102"/>
      <x:c r="W146" s="102"/>
      <x:c r="X146" s="110"/>
      <x:c r="Y146" s="102"/>
      <x:c r="Z146" s="102"/>
      <x:c r="AA146" s="102"/>
    </x:row>
    <x:row r="147">
      <x:c r="A147" s="102" t="str">
        <x:v>VESSEL_00146</x:v>
      </x:c>
      <x:c r="B147" s="102" t="str">
        <x:v>SAWASDEE INCHEON</x:v>
      </x:c>
      <x:c r="C147" s="110" t="str">
        <x:v>9940784</x:v>
      </x:c>
      <x:c r="D147" s="102" t="str">
        <x:v>COMP_SINOKOR</x:v>
      </x:c>
      <x:c r="E147" s="102" t="str">
        <x:v>COMP_SINOKOR</x:v>
      </x:c>
      <x:c r="F147" s="102" t="str">
        <x:v>Containership</x:v>
      </x:c>
      <x:c r="G147" s="102" t="str">
        <x:v>Korea / Hyundai</x:v>
      </x:c>
      <x:c r="H147" s="102"/>
      <x:c r="I147" s="102" t="n">
        <x:v>2022</x:v>
      </x:c>
      <x:c r="J147" s="102"/>
      <x:c r="K147" s="102" t="str">
        <x:v>1,800 TEU</x:v>
      </x:c>
      <x:c r="L147" s="102"/>
      <x:c r="M147" s="102"/>
      <x:c r="N147" s="102"/>
      <x:c r="O147" s="102"/>
      <x:c r="P147" s="102"/>
      <x:c r="Q147" s="102" t="str">
        <x:v>Operating</x:v>
      </x:c>
      <x:c r="R147" s="102" t="str">
        <x:v>SRC_0102</x:v>
      </x:c>
      <x:c r="S147" s="102" t="str">
        <x:v>SINOKOR official vessel-information page; technical fields are partial where the public page extract was not fully captured.</x:v>
      </x:c>
      <x:c r="T147" s="102"/>
      <x:c r="U147" s="102"/>
      <x:c r="V147" s="102"/>
      <x:c r="W147" s="102"/>
      <x:c r="X147" s="110"/>
      <x:c r="Y147" s="102"/>
      <x:c r="Z147" s="102"/>
      <x:c r="AA147" s="102"/>
    </x:row>
    <x:row r="148">
      <x:c r="A148" s="102" t="str">
        <x:v>VESSEL_00147</x:v>
      </x:c>
      <x:c r="B148" s="102" t="str">
        <x:v>SAWASDEE SIRIUS</x:v>
      </x:c>
      <x:c r="C148" s="110" t="str">
        <x:v>9943774</x:v>
      </x:c>
      <x:c r="D148" s="102" t="str">
        <x:v>COMP_SINOKOR</x:v>
      </x:c>
      <x:c r="E148" s="102" t="str">
        <x:v>COMP_SINOKOR</x:v>
      </x:c>
      <x:c r="F148" s="102" t="str">
        <x:v>Vessel</x:v>
      </x:c>
      <x:c r="G148" s="102"/>
      <x:c r="H148" s="102"/>
      <x:c r="I148" s="102"/>
      <x:c r="J148" s="102"/>
      <x:c r="K148" s="102"/>
      <x:c r="L148" s="102"/>
      <x:c r="M148" s="102"/>
      <x:c r="N148" s="102"/>
      <x:c r="O148" s="102"/>
      <x:c r="P148" s="102"/>
      <x:c r="Q148" s="102" t="str">
        <x:v>Operating</x:v>
      </x:c>
      <x:c r="R148" s="102" t="str">
        <x:v>SRC_0102</x:v>
      </x:c>
      <x:c r="S148" s="102" t="str">
        <x:v>SINOKOR official vessel-information page; technical fields are partial where the public page extract was not fully captured.</x:v>
      </x:c>
      <x:c r="T148" s="102"/>
      <x:c r="U148" s="102"/>
      <x:c r="V148" s="102"/>
      <x:c r="W148" s="102"/>
      <x:c r="X148" s="110"/>
      <x:c r="Y148" s="102"/>
      <x:c r="Z148" s="102"/>
      <x:c r="AA148" s="102"/>
    </x:row>
    <x:row r="149">
      <x:c r="A149" s="102" t="str">
        <x:v>VESSEL_00148</x:v>
      </x:c>
      <x:c r="B149" s="102" t="str">
        <x:v>SAWASDEE VEGA</x:v>
      </x:c>
      <x:c r="C149" s="110" t="str">
        <x:v>9943786</x:v>
      </x:c>
      <x:c r="D149" s="102" t="str">
        <x:v>COMP_SINOKOR</x:v>
      </x:c>
      <x:c r="E149" s="102" t="str">
        <x:v>COMP_SINOKOR</x:v>
      </x:c>
      <x:c r="F149" s="102" t="str">
        <x:v>Vessel</x:v>
      </x:c>
      <x:c r="G149" s="102"/>
      <x:c r="H149" s="102"/>
      <x:c r="I149" s="102"/>
      <x:c r="J149" s="102"/>
      <x:c r="K149" s="102"/>
      <x:c r="L149" s="102"/>
      <x:c r="M149" s="102"/>
      <x:c r="N149" s="102"/>
      <x:c r="O149" s="102"/>
      <x:c r="P149" s="102"/>
      <x:c r="Q149" s="102" t="str">
        <x:v>Operating</x:v>
      </x:c>
      <x:c r="R149" s="102" t="str">
        <x:v>SRC_0102</x:v>
      </x:c>
      <x:c r="S149" s="102" t="str">
        <x:v>SINOKOR official vessel-information page; technical fields are partial where the public page extract was not fully captured.</x:v>
      </x:c>
      <x:c r="T149" s="102"/>
      <x:c r="U149" s="102"/>
      <x:c r="V149" s="102"/>
      <x:c r="W149" s="102"/>
      <x:c r="X149" s="110"/>
      <x:c r="Y149" s="102"/>
      <x:c r="Z149" s="102"/>
      <x:c r="AA149" s="102"/>
    </x:row>
    <x:row r="150">
      <x:c r="A150" s="102" t="str">
        <x:v>VESSEL_00149</x:v>
      </x:c>
      <x:c r="B150" s="102" t="str">
        <x:v>SAWASDEE CAPELLA</x:v>
      </x:c>
      <x:c r="C150" s="110" t="str">
        <x:v>9943798</x:v>
      </x:c>
      <x:c r="D150" s="102" t="str">
        <x:v>COMP_SINOKOR</x:v>
      </x:c>
      <x:c r="E150" s="102" t="str">
        <x:v>COMP_SINOKOR</x:v>
      </x:c>
      <x:c r="F150" s="102" t="str">
        <x:v>Vessel</x:v>
      </x:c>
      <x:c r="G150" s="102"/>
      <x:c r="H150" s="102"/>
      <x:c r="I150" s="102"/>
      <x:c r="J150" s="102"/>
      <x:c r="K150" s="102"/>
      <x:c r="L150" s="102"/>
      <x:c r="M150" s="102"/>
      <x:c r="N150" s="102"/>
      <x:c r="O150" s="102"/>
      <x:c r="P150" s="102"/>
      <x:c r="Q150" s="102" t="str">
        <x:v>Operating</x:v>
      </x:c>
      <x:c r="R150" s="102" t="str">
        <x:v>SRC_0102</x:v>
      </x:c>
      <x:c r="S150" s="102" t="str">
        <x:v>SINOKOR official vessel-information page; technical fields are partial where the public page extract was not fully captured.</x:v>
      </x:c>
      <x:c r="T150" s="102"/>
      <x:c r="U150" s="102"/>
      <x:c r="V150" s="102"/>
      <x:c r="W150" s="102"/>
      <x:c r="X150" s="110"/>
      <x:c r="Y150" s="102"/>
      <x:c r="Z150" s="102"/>
      <x:c r="AA150" s="102"/>
    </x:row>
    <x:row r="151">
      <x:c r="A151" s="102" t="str">
        <x:v>VESSEL_00150</x:v>
      </x:c>
      <x:c r="B151" s="102" t="str">
        <x:v>SAWASDEE RIGEL</x:v>
      </x:c>
      <x:c r="C151" s="110" t="str">
        <x:v>9943803</x:v>
      </x:c>
      <x:c r="D151" s="102" t="str">
        <x:v>COMP_SINOKOR</x:v>
      </x:c>
      <x:c r="E151" s="102" t="str">
        <x:v>COMP_SINOKOR</x:v>
      </x:c>
      <x:c r="F151" s="102" t="str">
        <x:v>Vessel</x:v>
      </x:c>
      <x:c r="G151" s="102"/>
      <x:c r="H151" s="102"/>
      <x:c r="I151" s="102"/>
      <x:c r="J151" s="102"/>
      <x:c r="K151" s="102"/>
      <x:c r="L151" s="102"/>
      <x:c r="M151" s="102"/>
      <x:c r="N151" s="102"/>
      <x:c r="O151" s="102"/>
      <x:c r="P151" s="102"/>
      <x:c r="Q151" s="102" t="str">
        <x:v>Operating</x:v>
      </x:c>
      <x:c r="R151" s="102" t="str">
        <x:v>SRC_0102</x:v>
      </x:c>
      <x:c r="S151" s="102" t="str">
        <x:v>SINOKOR official vessel-information page; technical fields are partial where the public page extract was not fully captured.</x:v>
      </x:c>
      <x:c r="T151" s="102"/>
      <x:c r="U151" s="102"/>
      <x:c r="V151" s="102"/>
      <x:c r="W151" s="102"/>
      <x:c r="X151" s="110"/>
      <x:c r="Y151" s="102"/>
      <x:c r="Z151" s="102"/>
      <x:c r="AA151" s="102"/>
    </x:row>
    <x:row r="152">
      <x:c r="A152" s="102" t="str">
        <x:v>VESSEL_00151</x:v>
      </x:c>
      <x:c r="B152" s="102" t="str">
        <x:v>SAWASDEE ALTAIR</x:v>
      </x:c>
      <x:c r="C152" s="110" t="str">
        <x:v>9946635</x:v>
      </x:c>
      <x:c r="D152" s="102" t="str">
        <x:v>COMP_SINOKOR</x:v>
      </x:c>
      <x:c r="E152" s="102" t="str">
        <x:v>COMP_SINOKOR</x:v>
      </x:c>
      <x:c r="F152" s="102" t="str">
        <x:v>Vessel</x:v>
      </x:c>
      <x:c r="G152" s="102"/>
      <x:c r="H152" s="102"/>
      <x:c r="I152" s="102"/>
      <x:c r="J152" s="102"/>
      <x:c r="K152" s="102"/>
      <x:c r="L152" s="102"/>
      <x:c r="M152" s="102"/>
      <x:c r="N152" s="102"/>
      <x:c r="O152" s="102"/>
      <x:c r="P152" s="102"/>
      <x:c r="Q152" s="102" t="str">
        <x:v>Operating</x:v>
      </x:c>
      <x:c r="R152" s="102" t="str">
        <x:v>SRC_0102</x:v>
      </x:c>
      <x:c r="S152" s="102" t="str">
        <x:v>SINOKOR official vessel-information page; technical fields are partial where the public page extract was not fully captured.</x:v>
      </x:c>
      <x:c r="T152" s="102"/>
      <x:c r="U152" s="102"/>
      <x:c r="V152" s="102"/>
      <x:c r="W152" s="102"/>
      <x:c r="X152" s="110"/>
      <x:c r="Y152" s="102"/>
      <x:c r="Z152" s="102"/>
      <x:c r="AA152" s="102"/>
    </x:row>
    <x:row r="153">
      <x:c r="A153" s="102" t="str">
        <x:v>VESSEL_00152</x:v>
      </x:c>
      <x:c r="B153" s="102" t="str">
        <x:v>SAWASDEE SPICA</x:v>
      </x:c>
      <x:c r="C153" s="110" t="str">
        <x:v>9946647</x:v>
      </x:c>
      <x:c r="D153" s="102" t="str">
        <x:v>COMP_SINOKOR</x:v>
      </x:c>
      <x:c r="E153" s="102" t="str">
        <x:v>COMP_SINOKOR</x:v>
      </x:c>
      <x:c r="F153" s="102" t="str">
        <x:v>Containership</x:v>
      </x:c>
      <x:c r="G153" s="102" t="str">
        <x:v>Korea / Hyundai</x:v>
      </x:c>
      <x:c r="H153" s="102"/>
      <x:c r="I153" s="102" t="n">
        <x:v>2023</x:v>
      </x:c>
      <x:c r="J153" s="102"/>
      <x:c r="K153" s="102" t="str">
        <x:v>1,800 TEU</x:v>
      </x:c>
      <x:c r="L153" s="102"/>
      <x:c r="M153" s="102"/>
      <x:c r="N153" s="102"/>
      <x:c r="O153" s="102"/>
      <x:c r="P153" s="102"/>
      <x:c r="Q153" s="102" t="str">
        <x:v>Operating</x:v>
      </x:c>
      <x:c r="R153" s="102" t="str">
        <x:v>SRC_0102</x:v>
      </x:c>
      <x:c r="S153" s="102" t="str">
        <x:v>SINOKOR official vessel-information page; technical fields are partial where the public page extract was not fully captured.</x:v>
      </x:c>
      <x:c r="T153" s="102"/>
      <x:c r="U153" s="102"/>
      <x:c r="V153" s="102"/>
      <x:c r="W153" s="102"/>
      <x:c r="X153" s="110"/>
      <x:c r="Y153" s="102"/>
      <x:c r="Z153" s="102"/>
      <x:c r="AA153" s="102"/>
    </x:row>
    <x:row r="154">
      <x:c r="A154" s="102" t="str">
        <x:v>VESSEL_00153</x:v>
      </x:c>
      <x:c r="B154" s="102" t="str">
        <x:v>SAWASDEE DENEB</x:v>
      </x:c>
      <x:c r="C154" s="110" t="str">
        <x:v>9946659</x:v>
      </x:c>
      <x:c r="D154" s="102" t="str">
        <x:v>COMP_SINOKOR</x:v>
      </x:c>
      <x:c r="E154" s="102" t="str">
        <x:v>COMP_SINOKOR</x:v>
      </x:c>
      <x:c r="F154" s="102" t="str">
        <x:v>Containership</x:v>
      </x:c>
      <x:c r="G154" s="102" t="str">
        <x:v>Korea / Hyundai</x:v>
      </x:c>
      <x:c r="H154" s="102"/>
      <x:c r="I154" s="102" t="n">
        <x:v>2023</x:v>
      </x:c>
      <x:c r="J154" s="102"/>
      <x:c r="K154" s="102" t="str">
        <x:v>1,800 TEU</x:v>
      </x:c>
      <x:c r="L154" s="102"/>
      <x:c r="M154" s="102"/>
      <x:c r="N154" s="102"/>
      <x:c r="O154" s="102"/>
      <x:c r="P154" s="102"/>
      <x:c r="Q154" s="102" t="str">
        <x:v>Operating</x:v>
      </x:c>
      <x:c r="R154" s="102" t="str">
        <x:v>SRC_0102</x:v>
      </x:c>
      <x:c r="S154" s="102" t="str">
        <x:v>SINOKOR official vessel-information page; technical fields are partial where the public page extract was not fully captured.</x:v>
      </x:c>
      <x:c r="T154" s="102"/>
      <x:c r="U154" s="102"/>
      <x:c r="V154" s="102"/>
      <x:c r="W154" s="102"/>
      <x:c r="X154" s="110"/>
      <x:c r="Y154" s="102"/>
      <x:c r="Z154" s="102"/>
      <x:c r="AA154" s="102"/>
    </x:row>
    <x:row r="155">
      <x:c r="A155" s="102" t="str">
        <x:v>VESSEL_00154</x:v>
      </x:c>
      <x:c r="B155" s="102" t="str">
        <x:v>YEOSU VOYAGER</x:v>
      </x:c>
      <x:c r="C155" s="110" t="str">
        <x:v>9963138</x:v>
      </x:c>
      <x:c r="D155" s="102" t="str">
        <x:v>COMP_SINOKOR</x:v>
      </x:c>
      <x:c r="E155" s="102" t="str">
        <x:v>COMP_SINOKOR</x:v>
      </x:c>
      <x:c r="F155" s="102" t="str">
        <x:v>Containership</x:v>
      </x:c>
      <x:c r="G155" s="102" t="str">
        <x:v>Korea / Hyundai</x:v>
      </x:c>
      <x:c r="H155" s="102" t="str">
        <x:v>Panama</x:v>
      </x:c>
      <x:c r="I155" s="102" t="n">
        <x:v>2023</x:v>
      </x:c>
      <x:c r="J155" s="102" t="n">
        <x:v>36882</x:v>
      </x:c>
      <x:c r="K155" s="102" t="str">
        <x:v>2,500 TEU</x:v>
      </x:c>
      <x:c r="L155" s="102"/>
      <x:c r="M155" s="102"/>
      <x:c r="N155" s="102"/>
      <x:c r="O155" s="102"/>
      <x:c r="P155" s="102"/>
      <x:c r="Q155" s="102" t="str">
        <x:v>Operating</x:v>
      </x:c>
      <x:c r="R155" s="102" t="str">
        <x:v>SRC_0102</x:v>
      </x:c>
      <x:c r="S155" s="102" t="str">
        <x:v>SINOKOR official vessel-information page; technical fields are partial where the public page extract was not fully captured.</x:v>
      </x:c>
      <x:c r="T155" s="102"/>
      <x:c r="U155" s="102"/>
      <x:c r="V155" s="102"/>
      <x:c r="W155" s="102"/>
      <x:c r="X155" s="110"/>
      <x:c r="Y155" s="102"/>
      <x:c r="Z155" s="102"/>
      <x:c r="AA155" s="102"/>
    </x:row>
    <x:row r="156">
      <x:c r="A156" s="102" t="str">
        <x:v>VESSEL_00155</x:v>
      </x:c>
      <x:c r="B156" s="102" t="str">
        <x:v>INCHEON VOYAGER</x:v>
      </x:c>
      <x:c r="C156" s="110" t="str">
        <x:v>9963140</x:v>
      </x:c>
      <x:c r="D156" s="102" t="str">
        <x:v>COMP_SINOKOR</x:v>
      </x:c>
      <x:c r="E156" s="102" t="str">
        <x:v>COMP_SINOKOR</x:v>
      </x:c>
      <x:c r="F156" s="102" t="str">
        <x:v>Containership</x:v>
      </x:c>
      <x:c r="G156" s="102" t="str">
        <x:v>Korea / Hyundai</x:v>
      </x:c>
      <x:c r="H156" s="102" t="str">
        <x:v>Panama</x:v>
      </x:c>
      <x:c r="I156" s="102" t="n">
        <x:v>2023</x:v>
      </x:c>
      <x:c r="J156" s="102" t="n">
        <x:v>36882</x:v>
      </x:c>
      <x:c r="K156" s="102" t="str">
        <x:v>2,500 TEU</x:v>
      </x:c>
      <x:c r="L156" s="102"/>
      <x:c r="M156" s="102"/>
      <x:c r="N156" s="102"/>
      <x:c r="O156" s="102"/>
      <x:c r="P156" s="102"/>
      <x:c r="Q156" s="102" t="str">
        <x:v>Operating</x:v>
      </x:c>
      <x:c r="R156" s="102" t="str">
        <x:v>SRC_0102</x:v>
      </x:c>
      <x:c r="S156" s="102" t="str">
        <x:v>SINOKOR official vessel-information page; technical fields are partial where the public page extract was not fully captured.</x:v>
      </x:c>
      <x:c r="T156" s="102"/>
      <x:c r="U156" s="102"/>
      <x:c r="V156" s="102"/>
      <x:c r="W156" s="102"/>
      <x:c r="X156" s="110"/>
      <x:c r="Y156" s="102"/>
      <x:c r="Z156" s="102"/>
      <x:c r="AA156" s="102"/>
    </x:row>
    <x:row r="157">
      <x:c r="A157" s="102" t="str">
        <x:v>VESSEL_00156</x:v>
      </x:c>
      <x:c r="B157" s="102" t="str">
        <x:v>ULSAN VOYAGER</x:v>
      </x:c>
      <x:c r="C157" s="110" t="str">
        <x:v>9963152</x:v>
      </x:c>
      <x:c r="D157" s="102" t="str">
        <x:v>COMP_SINOKOR</x:v>
      </x:c>
      <x:c r="E157" s="102" t="str">
        <x:v>COMP_SINOKOR</x:v>
      </x:c>
      <x:c r="F157" s="102" t="str">
        <x:v>Containership</x:v>
      </x:c>
      <x:c r="G157" s="102" t="str">
        <x:v>Korea / Hyundai</x:v>
      </x:c>
      <x:c r="H157" s="102" t="str">
        <x:v>Panama</x:v>
      </x:c>
      <x:c r="I157" s="102" t="n">
        <x:v>2023</x:v>
      </x:c>
      <x:c r="J157" s="102" t="n">
        <x:v>36882</x:v>
      </x:c>
      <x:c r="K157" s="102" t="str">
        <x:v>2,500 TEU</x:v>
      </x:c>
      <x:c r="L157" s="102"/>
      <x:c r="M157" s="102"/>
      <x:c r="N157" s="102"/>
      <x:c r="O157" s="102"/>
      <x:c r="P157" s="102"/>
      <x:c r="Q157" s="102" t="str">
        <x:v>Operating</x:v>
      </x:c>
      <x:c r="R157" s="102" t="str">
        <x:v>SRC_0102</x:v>
      </x:c>
      <x:c r="S157" s="102" t="str">
        <x:v>SINOKOR official vessel-information page; technical fields are partial where the public page extract was not fully captured.</x:v>
      </x:c>
      <x:c r="T157" s="102"/>
      <x:c r="U157" s="102"/>
      <x:c r="V157" s="102"/>
      <x:c r="W157" s="102"/>
      <x:c r="X157" s="110"/>
      <x:c r="Y157" s="102"/>
      <x:c r="Z157" s="102"/>
      <x:c r="AA157" s="102"/>
    </x:row>
    <x:row r="158">
      <x:c r="A158" s="102" t="str">
        <x:v>VESSEL_00157</x:v>
      </x:c>
      <x:c r="B158" s="102" t="str">
        <x:v>SAWASDEE MIMOSA</x:v>
      </x:c>
      <x:c r="C158" s="110" t="str">
        <x:v>9946661</x:v>
      </x:c>
      <x:c r="D158" s="102" t="str">
        <x:v>COMP_SINOKOR</x:v>
      </x:c>
      <x:c r="E158" s="102" t="str">
        <x:v>COMP_SINOKOR</x:v>
      </x:c>
      <x:c r="F158" s="102" t="str">
        <x:v>Containership</x:v>
      </x:c>
      <x:c r="G158" s="102" t="str">
        <x:v>Korea / Hyundai</x:v>
      </x:c>
      <x:c r="H158" s="102"/>
      <x:c r="I158" s="102" t="n">
        <x:v>2023</x:v>
      </x:c>
      <x:c r="J158" s="102"/>
      <x:c r="K158" s="102" t="str">
        <x:v>1,800 TEU</x:v>
      </x:c>
      <x:c r="L158" s="102"/>
      <x:c r="M158" s="102"/>
      <x:c r="N158" s="102"/>
      <x:c r="O158" s="102"/>
      <x:c r="P158" s="102"/>
      <x:c r="Q158" s="102" t="str">
        <x:v>Operating</x:v>
      </x:c>
      <x:c r="R158" s="102" t="str">
        <x:v>SRC_0102</x:v>
      </x:c>
      <x:c r="S158" s="102" t="str">
        <x:v>SINOKOR official vessel-information page; technical fields are partial where the public page extract was not fully captured.</x:v>
      </x:c>
      <x:c r="T158" s="102"/>
      <x:c r="U158" s="102"/>
      <x:c r="V158" s="102"/>
      <x:c r="W158" s="102"/>
      <x:c r="X158" s="110"/>
      <x:c r="Y158" s="102"/>
      <x:c r="Z158" s="102"/>
      <x:c r="AA158" s="102"/>
    </x:row>
    <x:row r="159">
      <x:c r="A159" s="102" t="str">
        <x:v>VESSEL_00158</x:v>
      </x:c>
      <x:c r="B159" s="102" t="str">
        <x:v>TOYAMA TRADER</x:v>
      </x:c>
      <x:c r="C159" s="110" t="str">
        <x:v>9968114</x:v>
      </x:c>
      <x:c r="D159" s="102" t="str">
        <x:v>COMP_SINOKOR</x:v>
      </x:c>
      <x:c r="E159" s="102" t="str">
        <x:v>COMP_SINOKOR</x:v>
      </x:c>
      <x:c r="F159" s="102" t="str">
        <x:v>Containership</x:v>
      </x:c>
      <x:c r="G159" s="102" t="str">
        <x:v>Korea / Hyundai</x:v>
      </x:c>
      <x:c r="H159" s="102"/>
      <x:c r="I159" s="102" t="n">
        <x:v>2023</x:v>
      </x:c>
      <x:c r="J159" s="102"/>
      <x:c r="K159" s="102" t="str">
        <x:v>1,000 TEU</x:v>
      </x:c>
      <x:c r="L159" s="102"/>
      <x:c r="M159" s="102"/>
      <x:c r="N159" s="102"/>
      <x:c r="O159" s="102"/>
      <x:c r="P159" s="102"/>
      <x:c r="Q159" s="102" t="str">
        <x:v>Operating</x:v>
      </x:c>
      <x:c r="R159" s="102" t="str">
        <x:v>SRC_0102</x:v>
      </x:c>
      <x:c r="S159" s="102" t="str">
        <x:v>SINOKOR official vessel-information page; technical fields are partial where the public page extract was not fully captured.</x:v>
      </x:c>
      <x:c r="T159" s="102"/>
      <x:c r="U159" s="102"/>
      <x:c r="V159" s="102"/>
      <x:c r="W159" s="102"/>
      <x:c r="X159" s="110"/>
      <x:c r="Y159" s="102"/>
      <x:c r="Z159" s="102"/>
      <x:c r="AA159" s="102"/>
    </x:row>
    <x:row r="160">
      <x:c r="A160" s="102" t="str">
        <x:v>VESSEL_00159</x:v>
      </x:c>
      <x:c r="B160" s="102" t="str">
        <x:v>KWANGYANG VOYAGER</x:v>
      </x:c>
      <x:c r="C160" s="110" t="str">
        <x:v>9963164</x:v>
      </x:c>
      <x:c r="D160" s="102" t="str">
        <x:v>COMP_SINOKOR</x:v>
      </x:c>
      <x:c r="E160" s="102" t="str">
        <x:v>COMP_SINOKOR</x:v>
      </x:c>
      <x:c r="F160" s="102" t="str">
        <x:v>Containership</x:v>
      </x:c>
      <x:c r="G160" s="102" t="str">
        <x:v>Korea / Hyundai</x:v>
      </x:c>
      <x:c r="H160" s="102" t="str">
        <x:v>Panama</x:v>
      </x:c>
      <x:c r="I160" s="102" t="n">
        <x:v>2024</x:v>
      </x:c>
      <x:c r="J160" s="102" t="n">
        <x:v>36882</x:v>
      </x:c>
      <x:c r="K160" s="102" t="str">
        <x:v>2,500 TEU</x:v>
      </x:c>
      <x:c r="L160" s="102"/>
      <x:c r="M160" s="102"/>
      <x:c r="N160" s="102"/>
      <x:c r="O160" s="102"/>
      <x:c r="P160" s="102"/>
      <x:c r="Q160" s="102" t="str">
        <x:v>Operating</x:v>
      </x:c>
      <x:c r="R160" s="102" t="str">
        <x:v>SRC_0102</x:v>
      </x:c>
      <x:c r="S160" s="102" t="str">
        <x:v>SINOKOR official vessel-information page; technical fields are partial where the public page extract was not fully captured.</x:v>
      </x:c>
      <x:c r="T160" s="102"/>
      <x:c r="U160" s="102"/>
      <x:c r="V160" s="102"/>
      <x:c r="W160" s="102"/>
      <x:c r="X160" s="110"/>
      <x:c r="Y160" s="102"/>
      <x:c r="Z160" s="102"/>
      <x:c r="AA160" s="102"/>
    </x:row>
    <x:row r="161">
      <x:c r="A161" s="102" t="str">
        <x:v>VESSEL_00160</x:v>
      </x:c>
      <x:c r="B161" s="102" t="str">
        <x:v>AKITA TRADER</x:v>
      </x:c>
      <x:c r="C161" s="110" t="str">
        <x:v>9968126</x:v>
      </x:c>
      <x:c r="D161" s="102" t="str">
        <x:v>COMP_SINOKOR</x:v>
      </x:c>
      <x:c r="E161" s="102" t="str">
        <x:v>COMP_SINOKOR</x:v>
      </x:c>
      <x:c r="F161" s="102" t="str">
        <x:v>Containership</x:v>
      </x:c>
      <x:c r="G161" s="102" t="str">
        <x:v>Korea / Hyundai</x:v>
      </x:c>
      <x:c r="H161" s="102" t="str">
        <x:v>Liberia</x:v>
      </x:c>
      <x:c r="I161" s="102" t="n">
        <x:v>2024</x:v>
      </x:c>
      <x:c r="J161" s="102" t="n">
        <x:v>12681</x:v>
      </x:c>
      <x:c r="K161" s="102" t="str">
        <x:v>1,000 TEU</x:v>
      </x:c>
      <x:c r="L161" s="102"/>
      <x:c r="M161" s="102"/>
      <x:c r="N161" s="102"/>
      <x:c r="O161" s="102"/>
      <x:c r="P161" s="102"/>
      <x:c r="Q161" s="102" t="str">
        <x:v>Operating</x:v>
      </x:c>
      <x:c r="R161" s="102" t="str">
        <x:v>SRC_0102</x:v>
      </x:c>
      <x:c r="S161" s="102" t="str">
        <x:v>SINOKOR official vessel-information page; technical fields are partial where the public page extract was not fully captured.</x:v>
      </x:c>
      <x:c r="T161" s="102"/>
      <x:c r="U161" s="102"/>
      <x:c r="V161" s="102"/>
      <x:c r="W161" s="102"/>
      <x:c r="X161" s="110"/>
      <x:c r="Y161" s="102"/>
      <x:c r="Z161" s="102"/>
      <x:c r="AA161" s="102"/>
    </x:row>
    <x:row r="162">
      <x:c r="A162" s="102" t="str">
        <x:v>VESSEL_00161</x:v>
      </x:c>
      <x:c r="B162" s="102" t="str">
        <x:v>MELBOURNE BRIDGE</x:v>
      </x:c>
      <x:c r="C162" s="110" t="str">
        <x:v>9967287</x:v>
      </x:c>
      <x:c r="D162" s="102" t="str">
        <x:v>COMP_SINOKOR</x:v>
      </x:c>
      <x:c r="E162" s="102" t="str">
        <x:v>COMP_SINOKOR</x:v>
      </x:c>
      <x:c r="F162" s="102" t="str">
        <x:v>Containership</x:v>
      </x:c>
      <x:c r="G162" s="102" t="str">
        <x:v>Korea / Hyundai</x:v>
      </x:c>
      <x:c r="H162" s="102" t="str">
        <x:v>Liberia</x:v>
      </x:c>
      <x:c r="I162" s="102" t="n">
        <x:v>2024</x:v>
      </x:c>
      <x:c r="J162" s="102" t="n">
        <x:v>88158</x:v>
      </x:c>
      <x:c r="K162" s="102" t="str">
        <x:v>8,000 TEU</x:v>
      </x:c>
      <x:c r="L162" s="102"/>
      <x:c r="M162" s="102"/>
      <x:c r="N162" s="102"/>
      <x:c r="O162" s="102"/>
      <x:c r="P162" s="102"/>
      <x:c r="Q162" s="102" t="str">
        <x:v>Operating</x:v>
      </x:c>
      <x:c r="R162" s="102" t="str">
        <x:v>SRC_0102</x:v>
      </x:c>
      <x:c r="S162" s="102" t="str">
        <x:v>SINOKOR official vessel-information page; technical fields are partial where the public page extract was not fully captured.</x:v>
      </x:c>
      <x:c r="T162" s="102"/>
      <x:c r="U162" s="102"/>
      <x:c r="V162" s="102"/>
      <x:c r="W162" s="102"/>
      <x:c r="X162" s="110"/>
      <x:c r="Y162" s="102"/>
      <x:c r="Z162" s="102"/>
      <x:c r="AA162" s="102"/>
    </x:row>
    <x:row r="163">
      <x:c r="A163" s="102" t="str">
        <x:v>VESSEL_00162</x:v>
      </x:c>
      <x:c r="B163" s="102" t="str">
        <x:v>SYDNEY BRIDGE</x:v>
      </x:c>
      <x:c r="C163" s="110" t="str">
        <x:v>9967304</x:v>
      </x:c>
      <x:c r="D163" s="102" t="str">
        <x:v>COMP_SINOKOR</x:v>
      </x:c>
      <x:c r="E163" s="102" t="str">
        <x:v>COMP_SINOKOR</x:v>
      </x:c>
      <x:c r="F163" s="102" t="str">
        <x:v>Containership</x:v>
      </x:c>
      <x:c r="G163" s="102" t="str">
        <x:v>Korea / Hyundai</x:v>
      </x:c>
      <x:c r="H163" s="102"/>
      <x:c r="I163" s="102" t="n">
        <x:v>2024</x:v>
      </x:c>
      <x:c r="J163" s="102"/>
      <x:c r="K163" s="102" t="str">
        <x:v>8,000 TEU</x:v>
      </x:c>
      <x:c r="L163" s="102"/>
      <x:c r="M163" s="102"/>
      <x:c r="N163" s="102"/>
      <x:c r="O163" s="102"/>
      <x:c r="P163" s="102"/>
      <x:c r="Q163" s="102" t="str">
        <x:v>Operating</x:v>
      </x:c>
      <x:c r="R163" s="102" t="str">
        <x:v>SRC_0102</x:v>
      </x:c>
      <x:c r="S163" s="102" t="str">
        <x:v>SINOKOR official vessel-information page; technical fields are partial where the public page extract was not fully captured.</x:v>
      </x:c>
      <x:c r="T163" s="102"/>
      <x:c r="U163" s="102"/>
      <x:c r="V163" s="102"/>
      <x:c r="W163" s="102"/>
      <x:c r="X163" s="110"/>
      <x:c r="Y163" s="102"/>
      <x:c r="Z163" s="102"/>
      <x:c r="AA163" s="102"/>
    </x:row>
    <x:row r="164">
      <x:c r="A164" s="102" t="str">
        <x:v>VESSEL_00163</x:v>
      </x:c>
      <x:c r="B164" s="102" t="str">
        <x:v>MOJI EXPRESS</x:v>
      </x:c>
      <x:c r="C164" s="110" t="str">
        <x:v>1056032</x:v>
      </x:c>
      <x:c r="D164" s="102" t="str">
        <x:v>COMP_SINOKOR</x:v>
      </x:c>
      <x:c r="E164" s="102" t="str">
        <x:v>COMP_SINOKOR</x:v>
      </x:c>
      <x:c r="F164" s="102" t="str">
        <x:v>Containership</x:v>
      </x:c>
      <x:c r="G164" s="102" t="str">
        <x:v>China / Jiangsu Zhenjiang Shipyard</x:v>
      </x:c>
      <x:c r="H164" s="102"/>
      <x:c r="I164" s="102" t="n">
        <x:v>2025</x:v>
      </x:c>
      <x:c r="J164" s="102"/>
      <x:c r="K164" s="102" t="str">
        <x:v>430 TEU</x:v>
      </x:c>
      <x:c r="L164" s="102"/>
      <x:c r="M164" s="102"/>
      <x:c r="N164" s="102"/>
      <x:c r="O164" s="102"/>
      <x:c r="P164" s="102"/>
      <x:c r="Q164" s="102" t="str">
        <x:v>Operating</x:v>
      </x:c>
      <x:c r="R164" s="102" t="str">
        <x:v>SRC_0102</x:v>
      </x:c>
      <x:c r="S164" s="102" t="str">
        <x:v>SINOKOR official vessel-information page; technical fields are partial where the public page extract was not fully captured.</x:v>
      </x:c>
      <x:c r="T164" s="102"/>
      <x:c r="U164" s="102"/>
      <x:c r="V164" s="102"/>
      <x:c r="W164" s="102"/>
      <x:c r="X164" s="110"/>
      <x:c r="Y164" s="102"/>
      <x:c r="Z164" s="102"/>
      <x:c r="AA164" s="102"/>
    </x:row>
    <x:row r="165">
      <x:c r="A165" s="102" t="str">
        <x:v>VESSEL_00164</x:v>
      </x:c>
      <x:c r="B165" s="102" t="str">
        <x:v>Asia Excellence</x:v>
      </x:c>
      <x:c r="C165" s="110" t="str">
        <x:v>9610767</x:v>
      </x:c>
      <x:c r="D165" s="102" t="str">
        <x:v>COMP_CHEVRON</x:v>
      </x:c>
      <x:c r="E165" s="102" t="str">
        <x:v>COMP_CHEVRON_SHIPPING</x:v>
      </x:c>
      <x:c r="F165" s="102" t="str">
        <x:v>LNG carrier</x:v>
      </x:c>
      <x:c r="G165" s="102"/>
      <x:c r="H165" s="102"/>
      <x:c r="I165" s="102"/>
      <x:c r="J165" s="102"/>
      <x:c r="K165" s="102" t="str">
        <x:v>~160,000 m3</x:v>
      </x:c>
      <x:c r="L165" s="102"/>
      <x:c r="M165" s="102"/>
      <x:c r="N165" s="102"/>
      <x:c r="O165" s="102"/>
      <x:c r="P165" s="102" t="str">
        <x:v>LNG carrier</x:v>
      </x:c>
      <x:c r="Q165" s="102" t="str">
        <x:v>Operating</x:v>
      </x:c>
      <x:c r="R165" s="102" t="str">
        <x:v>SRC_0105</x:v>
      </x:c>
      <x:c r="S165" s="102" t="str">
        <x:v>Chevron identifies Asia Excellence as one of its advanced LNG ships; IMO/build details to enrich.</x:v>
      </x:c>
      <x:c r="T165" s="102"/>
      <x:c r="U165" s="102"/>
      <x:c r="V165" s="102"/>
      <x:c r="W165" s="102"/>
      <x:c r="X165" s="110"/>
      <x:c r="Y165" s="102"/>
      <x:c r="Z165" s="102"/>
      <x:c r="AA165" s="102"/>
    </x:row>
    <x:row r="166">
      <x:c r="A166" s="102" t="str">
        <x:v>VESSEL_00165</x:v>
      </x:c>
      <x:c r="B166" s="102" t="str">
        <x:v>P. Long Beach</x:v>
      </x:c>
      <x:c r="C166" s="110" t="str">
        <x:v>9656890</x:v>
      </x:c>
      <x:c r="D166" s="102" t="str">
        <x:v>COMP_PERFORMANCE_SHIPPING</x:v>
      </x:c>
      <x:c r="E166" s="102" t="str">
        <x:v>COMP_PERFORMANCE_SHIPPING</x:v>
      </x:c>
      <x:c r="F166" s="102" t="str">
        <x:v>LR2 Aframax tanker</x:v>
      </x:c>
      <x:c r="G166" s="102"/>
      <x:c r="H166" s="102"/>
      <x:c r="I166" s="102" t="n">
        <x:v>2013</x:v>
      </x:c>
      <x:c r="J166" s="102" t="n">
        <x:v>105408</x:v>
      </x:c>
      <x:c r="K166" s="102"/>
      <x:c r="L166" s="102"/>
      <x:c r="M166" s="102"/>
      <x:c r="N166" s="102"/>
      <x:c r="O166" s="102"/>
      <x:c r="P166" s="102"/>
      <x:c r="Q166" s="102" t="str">
        <x:v>Operating / chartered</x:v>
      </x:c>
      <x:c r="R166" s="102" t="str">
        <x:v>SRC_0109</x:v>
      </x:c>
      <x:c r="S166" s="102" t="str">
        <x:v>Time-chartered to SeaRiver Maritime from around mid-December 2025 for 24 months.</x:v>
      </x:c>
      <x:c r="T166" s="102"/>
      <x:c r="U166" s="102"/>
      <x:c r="V166" s="102"/>
      <x:c r="W166" s="102"/>
      <x:c r="X166" s="110"/>
      <x:c r="Y166" s="102"/>
      <x:c r="Z166" s="102"/>
      <x:c r="AA166" s="102"/>
    </x:row>
    <x:row r="167">
      <x:c r="A167" s="102" t="str">
        <x:v>VESSEL_00166</x:v>
      </x:c>
      <x:c r="B167" s="102" t="str">
        <x:v>Largo Eagle</x:v>
      </x:c>
      <x:c r="C167" s="110" t="str">
        <x:v>9935911</x:v>
      </x:c>
      <x:c r="D167" s="102"/>
      <x:c r="E167" s="102"/>
      <x:c r="F167" s="102" t="str">
        <x:v>MR product tanker</x:v>
      </x:c>
      <x:c r="G167" s="102"/>
      <x:c r="H167" s="102"/>
      <x:c r="I167" s="102"/>
      <x:c r="J167" s="102"/>
      <x:c r="K167" s="102"/>
      <x:c r="L167" s="102"/>
      <x:c r="M167" s="102"/>
      <x:c r="N167" s="102"/>
      <x:c r="O167" s="102"/>
      <x:c r="P167" s="102"/>
      <x:c r="Q167" s="102" t="str">
        <x:v>Operating / cargo booking</x:v>
      </x:c>
      <x:c r="R167" s="102" t="str">
        <x:v>SRC_0110</x:v>
      </x:c>
      <x:c r="S167" s="102" t="str">
        <x:v>Booked for ExxonMobil U.S. Gulf-to-Australia fuel movement via Vitol in March 2026; ownership to resolve.</x:v>
      </x:c>
      <x:c r="T167" s="102"/>
      <x:c r="U167" s="102"/>
      <x:c r="V167" s="102"/>
      <x:c r="W167" s="102"/>
      <x:c r="X167" s="110"/>
      <x:c r="Y167" s="102"/>
      <x:c r="Z167" s="102"/>
      <x:c r="AA167" s="102"/>
    </x:row>
    <x:row r="168">
      <x:c r="A168" s="102" t="str">
        <x:v>VESSEL_00167</x:v>
      </x:c>
      <x:c r="B168" s="102" t="str">
        <x:v>Nord Ventura</x:v>
      </x:c>
      <x:c r="C168" s="110" t="str">
        <x:v>9910337</x:v>
      </x:c>
      <x:c r="D168" s="102"/>
      <x:c r="E168" s="102"/>
      <x:c r="F168" s="102" t="str">
        <x:v>MR product tanker</x:v>
      </x:c>
      <x:c r="G168" s="102"/>
      <x:c r="H168" s="102"/>
      <x:c r="I168" s="102"/>
      <x:c r="J168" s="102"/>
      <x:c r="K168" s="102"/>
      <x:c r="L168" s="102"/>
      <x:c r="M168" s="102"/>
      <x:c r="N168" s="102"/>
      <x:c r="O168" s="102"/>
      <x:c r="P168" s="102"/>
      <x:c r="Q168" s="102" t="str">
        <x:v>Operating / cargo booking</x:v>
      </x:c>
      <x:c r="R168" s="102" t="str">
        <x:v>SRC_0110</x:v>
      </x:c>
      <x:c r="S168" s="102" t="str">
        <x:v>Booked for ExxonMobil U.S. Gulf-to-Australia fuel movement via Vitol in March 2026; ownership to resolve.</x:v>
      </x:c>
      <x:c r="T168" s="102"/>
      <x:c r="U168" s="102"/>
      <x:c r="V168" s="102"/>
      <x:c r="W168" s="102"/>
      <x:c r="X168" s="110"/>
      <x:c r="Y168" s="102"/>
      <x:c r="Z168" s="102"/>
      <x:c r="AA168" s="102"/>
    </x:row>
    <x:row r="169">
      <x:c r="A169" s="102" t="str">
        <x:v>VESSEL_00168</x:v>
      </x:c>
      <x:c r="B169" s="102" t="str">
        <x:v>Rex Tillerson</x:v>
      </x:c>
      <x:c r="C169" s="110" t="str">
        <x:v>9953248</x:v>
      </x:c>
      <x:c r="D169" s="102"/>
      <x:c r="E169" s="102"/>
      <x:c r="F169" s="102" t="str">
        <x:v>LNG carrier</x:v>
      </x:c>
      <x:c r="G169" s="102"/>
      <x:c r="H169" s="102"/>
      <x:c r="I169" s="102"/>
      <x:c r="J169" s="102"/>
      <x:c r="K169" s="102" t="str">
        <x:v>174,000 m3 class</x:v>
      </x:c>
      <x:c r="L169" s="102"/>
      <x:c r="M169" s="102"/>
      <x:c r="N169" s="102"/>
      <x:c r="O169" s="102"/>
      <x:c r="P169" s="102"/>
      <x:c r="Q169" s="102" t="str">
        <x:v>Operating / delivered 2024</x:v>
      </x:c>
      <x:c r="R169" s="102" t="str">
        <x:v>SRC_0086</x:v>
      </x:c>
      <x:c r="S169" s="102" t="str">
        <x:v>First vessel delivered under QatarEnergy's historic LNG fleet expansion program; ownership/operator relationship to resolve.</x:v>
      </x:c>
      <x:c r="T169" s="102"/>
      <x:c r="U169" s="102"/>
      <x:c r="V169" s="102"/>
      <x:c r="W169" s="102"/>
      <x:c r="X169" s="110"/>
      <x:c r="Y169" s="102"/>
      <x:c r="Z169" s="102"/>
      <x:c r="AA169" s="102"/>
    </x:row>
    <x:row r="170">
      <x:c r="A170" s="102" t="str">
        <x:v>VESSEL_00169</x:v>
      </x:c>
      <x:c r="B170" s="102" t="str">
        <x:v>CAPT. KATTELMANN</x:v>
      </x:c>
      <x:c r="C170" s="110" t="str">
        <x:v>9330915</x:v>
      </x:c>
      <x:c r="D170" s="102"/>
      <x:c r="E170" s="102"/>
      <x:c r="F170" s="102" t="str">
        <x:v>Containership</x:v>
      </x:c>
      <x:c r="G170" s="102" t="str">
        <x:v>GFS Ship Management published fleet</x:v>
      </x:c>
      <x:c r="H170" s="102" t="str">
        <x:v>Malta</x:v>
      </x:c>
      <x:c r="I170" s="102" t="n">
        <x:v>2006</x:v>
      </x:c>
      <x:c r="J170" s="108" t="n">
        <x:v>20250</x:v>
      </x:c>
      <x:c r="K170" s="102" t="str">
        <x:v>1,440 TEU</x:v>
      </x:c>
      <x:c r="L170" s="102"/>
      <x:c r="M170" s="102"/>
      <x:c r="N170" s="102"/>
      <x:c r="O170" s="102"/>
      <x:c r="P170" s="102"/>
      <x:c r="Q170" s="102" t="str">
        <x:v>Operating</x:v>
      </x:c>
      <x:c r="R170" s="102" t="str">
        <x:v>SRC_0179</x:v>
      </x:c>
      <x:c r="S170" s="102" t="str">
        <x:v>Published on GFS Ship Management fleet page; commercial operator and legal owner require current vessel-level reconciliation.</x:v>
      </x:c>
      <x:c r="T170" s="108" t="n">
        <x:v>15995</x:v>
      </x:c>
      <x:c r="U170" s="108" t="n">
        <x:v>6251</x:v>
      </x:c>
      <x:c r="V170" s="109" t="n">
        <x:v>170.15</x:v>
      </x:c>
      <x:c r="W170" s="109"/>
      <x:c r="X170" s="110" t="str">
        <x:v>249831000</x:v>
      </x:c>
      <x:c r="Y170" s="102" t="str">
        <x:v>9HA6400</x:v>
      </x:c>
      <x:c r="Z170" s="102"/>
      <x:c r="AA170" s="102" t="str">
        <x:v>GFS Ship Management FZE</x:v>
      </x:c>
    </x:row>
    <x:row r="171">
      <x:c r="A171" s="102" t="str">
        <x:v>VESSEL_00170</x:v>
      </x:c>
      <x:c r="B171" s="102" t="str">
        <x:v>ATHENA</x:v>
      </x:c>
      <x:c r="C171" s="110" t="str">
        <x:v>9187344</x:v>
      </x:c>
      <x:c r="D171" s="102"/>
      <x:c r="E171" s="102"/>
      <x:c r="F171" s="102" t="str">
        <x:v>Containership</x:v>
      </x:c>
      <x:c r="G171" s="102" t="str">
        <x:v>GFS Ship Management published fleet</x:v>
      </x:c>
      <x:c r="H171" s="102" t="str">
        <x:v>St Vincent &amp; Grenadines</x:v>
      </x:c>
      <x:c r="I171" s="102" t="n">
        <x:v>1999</x:v>
      </x:c>
      <x:c r="J171" s="108" t="n">
        <x:v>30322</x:v>
      </x:c>
      <x:c r="K171" s="102" t="str">
        <x:v>2,011 TEU</x:v>
      </x:c>
      <x:c r="L171" s="102"/>
      <x:c r="M171" s="102"/>
      <x:c r="N171" s="102"/>
      <x:c r="O171" s="102"/>
      <x:c r="P171" s="102"/>
      <x:c r="Q171" s="102" t="str">
        <x:v>Operating</x:v>
      </x:c>
      <x:c r="R171" s="102" t="str">
        <x:v>SRC_0179</x:v>
      </x:c>
      <x:c r="S171" s="102" t="str">
        <x:v>Official GFS fleet page gives 30,322 DWT; vessel registries show 29,266 DWT. Registered owner / manager separately captured.</x:v>
      </x:c>
      <x:c r="T171" s="108" t="n">
        <x:v>24724</x:v>
      </x:c>
      <x:c r="U171" s="108" t="n">
        <x:v>10814</x:v>
      </x:c>
      <x:c r="V171" s="109" t="n">
        <x:v>200</x:v>
      </x:c>
      <x:c r="W171" s="109" t="n">
        <x:v>30</x:v>
      </x:c>
      <x:c r="X171" s="110" t="str">
        <x:v>377074000</x:v>
      </x:c>
      <x:c r="Y171" s="102" t="str">
        <x:v>J8B5445</x:v>
      </x:c>
      <x:c r="Z171" s="102" t="str">
        <x:v>ONYX NAVIGATION LTD</x:v>
      </x:c>
      <x:c r="AA171" s="102" t="str">
        <x:v>GFS Ship Management FZE</x:v>
      </x:c>
    </x:row>
    <x:row r="172">
      <x:c r="A172" s="102" t="str">
        <x:v>VESSEL_00171</x:v>
      </x:c>
      <x:c r="B172" s="102" t="str">
        <x:v>GFS GALAXY</x:v>
      </x:c>
      <x:c r="C172" s="110" t="str">
        <x:v>9401271</x:v>
      </x:c>
      <x:c r="D172" s="102"/>
      <x:c r="E172" s="102" t="str">
        <x:v>COMP_GFS</x:v>
      </x:c>
      <x:c r="F172" s="102" t="str">
        <x:v>Containership</x:v>
      </x:c>
      <x:c r="G172" s="102" t="str">
        <x:v>GFS Ship Management published fleet</x:v>
      </x:c>
      <x:c r="H172" s="102" t="str">
        <x:v>Cyprus</x:v>
      </x:c>
      <x:c r="I172" s="102" t="n">
        <x:v>2009</x:v>
      </x:c>
      <x:c r="J172" s="108" t="n">
        <x:v>85622</x:v>
      </x:c>
      <x:c r="K172" s="102" t="str">
        <x:v>7,070 TEU</x:v>
      </x:c>
      <x:c r="L172" s="102"/>
      <x:c r="M172" s="102"/>
      <x:c r="N172" s="102" t="str">
        <x:v>Limassol</x:v>
      </x:c>
      <x:c r="O172" s="102"/>
      <x:c r="P172" s="102"/>
      <x:c r="Q172" s="102" t="str">
        <x:v>Damaged / post-incident assessment</x:v>
      </x:c>
      <x:c r="R172" s="102" t="str">
        <x:v>SRC_0179</x:v>
      </x:c>
      <x:c r="S172" s="102" t="str">
        <x:v>Beneficially owned by AD Ports Group and operated by Global Feeder Shipping at time of Iranian attack; AD Ports filing states vessel was brought safely to Khor Fakkan. Registry sources report DWT/TEU variants.</x:v>
      </x:c>
      <x:c r="T172" s="108" t="n">
        <x:v>75604</x:v>
      </x:c>
      <x:c r="U172" s="108" t="n">
        <x:v>47246</x:v>
      </x:c>
      <x:c r="V172" s="109" t="n">
        <x:v>304.12</x:v>
      </x:c>
      <x:c r="W172" s="109" t="n">
        <x:v>40</x:v>
      </x:c>
      <x:c r="X172" s="110" t="str">
        <x:v>210154000</x:v>
      </x:c>
      <x:c r="Y172" s="102" t="str">
        <x:v>5BWV6</x:v>
      </x:c>
      <x:c r="Z172" s="102" t="str">
        <x:v>FRENDALE NAVIGATION CO LTD</x:v>
      </x:c>
      <x:c r="AA172" s="102" t="str">
        <x:v>GFS Ship Management FZE</x:v>
      </x:c>
    </x:row>
    <x:row r="173">
      <x:c r="A173" s="102" t="str">
        <x:v>VESSEL_00172</x:v>
      </x:c>
      <x:c r="B173" s="102" t="str">
        <x:v>GFS GENESIS</x:v>
      </x:c>
      <x:c r="C173" s="110" t="str">
        <x:v>9704659</x:v>
      </x:c>
      <x:c r="D173" s="102"/>
      <x:c r="E173" s="102"/>
      <x:c r="F173" s="102" t="str">
        <x:v>Containership</x:v>
      </x:c>
      <x:c r="G173" s="102" t="str">
        <x:v>GFS Ship Management published fleet</x:v>
      </x:c>
      <x:c r="H173" s="102" t="str">
        <x:v>Singapore</x:v>
      </x:c>
      <x:c r="I173" s="102" t="n">
        <x:v>2015</x:v>
      </x:c>
      <x:c r="J173" s="108" t="n">
        <x:v>54285</x:v>
      </x:c>
      <x:c r="K173" s="102" t="str">
        <x:v>4,350 TEU</x:v>
      </x:c>
      <x:c r="L173" s="102"/>
      <x:c r="M173" s="102"/>
      <x:c r="N173" s="102"/>
      <x:c r="O173" s="102"/>
      <x:c r="P173" s="102"/>
      <x:c r="Q173" s="102" t="str">
        <x:v>Operating</x:v>
      </x:c>
      <x:c r="R173" s="102" t="str">
        <x:v>SRC_0179</x:v>
      </x:c>
      <x:c r="S173" s="102" t="str">
        <x:v>Official page contains a GT typography error ('4,4887'); normalized here to 44,887 based on context and cross-source fleet particulars.</x:v>
      </x:c>
      <x:c r="T173" s="108" t="n">
        <x:v>44887</x:v>
      </x:c>
      <x:c r="U173" s="108" t="n">
        <x:v>18100</x:v>
      </x:c>
      <x:c r="V173" s="109" t="n">
        <x:v>231.3</x:v>
      </x:c>
      <x:c r="W173" s="109"/>
      <x:c r="X173" s="110" t="str">
        <x:v>566446000</x:v>
      </x:c>
      <x:c r="Y173" s="102"/>
      <x:c r="Z173" s="102"/>
      <x:c r="AA173" s="102" t="str">
        <x:v>GFS Ship Management FZE</x:v>
      </x:c>
    </x:row>
    <x:row r="174">
      <x:c r="A174" s="102" t="str">
        <x:v>VESSEL_00173</x:v>
      </x:c>
      <x:c r="B174" s="102" t="str">
        <x:v>GFS PRECIOUS</x:v>
      </x:c>
      <x:c r="C174" s="110" t="str">
        <x:v>9436434</x:v>
      </x:c>
      <x:c r="D174" s="102"/>
      <x:c r="E174" s="102"/>
      <x:c r="F174" s="102" t="str">
        <x:v>Containership</x:v>
      </x:c>
      <x:c r="G174" s="102" t="str">
        <x:v>GFS Ship Management published fleet</x:v>
      </x:c>
      <x:c r="H174" s="102" t="str">
        <x:v>Singapore</x:v>
      </x:c>
      <x:c r="I174" s="102" t="n">
        <x:v>2008</x:v>
      </x:c>
      <x:c r="J174" s="108" t="n">
        <x:v>42060</x:v>
      </x:c>
      <x:c r="K174" s="102" t="str">
        <x:v>3,534 TEU</x:v>
      </x:c>
      <x:c r="L174" s="102"/>
      <x:c r="M174" s="102"/>
      <x:c r="N174" s="102"/>
      <x:c r="O174" s="102"/>
      <x:c r="P174" s="102"/>
      <x:c r="Q174" s="102" t="str">
        <x:v>Operating</x:v>
      </x:c>
      <x:c r="R174" s="102" t="str">
        <x:v>SRC_0179</x:v>
      </x:c>
      <x:c r="S174" s="102" t="str">
        <x:v>Published on GFS Ship Management fleet page; commercial operator and legal owner require current vessel-level reconciliation.</x:v>
      </x:c>
      <x:c r="T174" s="108" t="n">
        <x:v>35991</x:v>
      </x:c>
      <x:c r="U174" s="108"/>
      <x:c r="V174" s="109" t="n">
        <x:v>231</x:v>
      </x:c>
      <x:c r="W174" s="109"/>
      <x:c r="X174" s="110" t="str">
        <x:v>563164800</x:v>
      </x:c>
      <x:c r="Y174" s="102" t="str">
        <x:v>9V8223</x:v>
      </x:c>
      <x:c r="Z174" s="102"/>
      <x:c r="AA174" s="102" t="str">
        <x:v>GFS Ship Management FZE</x:v>
      </x:c>
    </x:row>
    <x:row r="175">
      <x:c r="A175" s="102" t="str">
        <x:v>VESSEL_00174</x:v>
      </x:c>
      <x:c r="B175" s="102" t="str">
        <x:v>GFS GISELLE</x:v>
      </x:c>
      <x:c r="C175" s="110" t="str">
        <x:v>9704661</x:v>
      </x:c>
      <x:c r="D175" s="102"/>
      <x:c r="E175" s="102"/>
      <x:c r="F175" s="102" t="str">
        <x:v>Containership</x:v>
      </x:c>
      <x:c r="G175" s="102" t="str">
        <x:v>GFS Ship Management published fleet</x:v>
      </x:c>
      <x:c r="H175" s="102" t="str">
        <x:v>Singapore</x:v>
      </x:c>
      <x:c r="I175" s="102" t="n">
        <x:v>2015</x:v>
      </x:c>
      <x:c r="J175" s="108" t="n">
        <x:v>54285</x:v>
      </x:c>
      <x:c r="K175" s="102" t="str">
        <x:v>4,400 TEU</x:v>
      </x:c>
      <x:c r="L175" s="102"/>
      <x:c r="M175" s="102"/>
      <x:c r="N175" s="102"/>
      <x:c r="O175" s="102"/>
      <x:c r="P175" s="102"/>
      <x:c r="Q175" s="102" t="str">
        <x:v>Operating</x:v>
      </x:c>
      <x:c r="R175" s="102" t="str">
        <x:v>SRC_0179</x:v>
      </x:c>
      <x:c r="S175" s="102" t="str">
        <x:v>Published on GFS Ship Management fleet page; commercial operator and legal owner require current vessel-level reconciliation.</x:v>
      </x:c>
      <x:c r="T175" s="108" t="n">
        <x:v>44887</x:v>
      </x:c>
      <x:c r="U175" s="108" t="n">
        <x:v>18100</x:v>
      </x:c>
      <x:c r="V175" s="109" t="n">
        <x:v>231.27</x:v>
      </x:c>
      <x:c r="W175" s="109"/>
      <x:c r="X175" s="110" t="str">
        <x:v>566456000</x:v>
      </x:c>
      <x:c r="Y175" s="102"/>
      <x:c r="Z175" s="102"/>
      <x:c r="AA175" s="102" t="str">
        <x:v>GFS Ship Management FZE</x:v>
      </x:c>
    </x:row>
    <x:row r="176">
      <x:c r="A176" s="102" t="str">
        <x:v>VESSEL_00175</x:v>
      </x:c>
      <x:c r="B176" s="102" t="str">
        <x:v>GFS RUBY</x:v>
      </x:c>
      <x:c r="C176" s="110" t="str">
        <x:v>9455909</x:v>
      </x:c>
      <x:c r="D176" s="102"/>
      <x:c r="E176" s="102"/>
      <x:c r="F176" s="102" t="str">
        <x:v>Containership</x:v>
      </x:c>
      <x:c r="G176" s="102" t="str">
        <x:v>GFS Ship Management published fleet</x:v>
      </x:c>
      <x:c r="H176" s="102" t="str">
        <x:v>Singapore</x:v>
      </x:c>
      <x:c r="I176" s="102" t="n">
        <x:v>2010</x:v>
      </x:c>
      <x:c r="J176" s="108" t="n">
        <x:v>23341.68</x:v>
      </x:c>
      <x:c r="K176" s="102" t="str">
        <x:v>1,740 TEU</x:v>
      </x:c>
      <x:c r="L176" s="102"/>
      <x:c r="M176" s="102"/>
      <x:c r="N176" s="102"/>
      <x:c r="O176" s="102"/>
      <x:c r="P176" s="102"/>
      <x:c r="Q176" s="102" t="str">
        <x:v>Operating</x:v>
      </x:c>
      <x:c r="R176" s="102" t="str">
        <x:v>SRC_0179</x:v>
      </x:c>
      <x:c r="S176" s="102" t="str">
        <x:v>Published on GFS Ship Management fleet page; commercial operator and legal owner require current vessel-level reconciliation.</x:v>
      </x:c>
      <x:c r="T176" s="108" t="n">
        <x:v>18321</x:v>
      </x:c>
      <x:c r="U176" s="108" t="n">
        <x:v>10202</x:v>
      </x:c>
      <x:c r="V176" s="109" t="n">
        <x:v>175.54</x:v>
      </x:c>
      <x:c r="W176" s="109"/>
      <x:c r="X176" s="110" t="str">
        <x:v>563115300</x:v>
      </x:c>
      <x:c r="Y176" s="102"/>
      <x:c r="Z176" s="102"/>
      <x:c r="AA176" s="102" t="str">
        <x:v>GFS Ship Management FZE</x:v>
      </x:c>
    </x:row>
    <x:row r="177">
      <x:c r="A177" s="102" t="str">
        <x:v>VESSEL_00176</x:v>
      </x:c>
      <x:c r="B177" s="102" t="str">
        <x:v>GFS PRESTIGE</x:v>
      </x:c>
      <x:c r="C177" s="110" t="str">
        <x:v>9303819</x:v>
      </x:c>
      <x:c r="D177" s="102"/>
      <x:c r="E177" s="102"/>
      <x:c r="F177" s="102" t="str">
        <x:v>Containership</x:v>
      </x:c>
      <x:c r="G177" s="102" t="str">
        <x:v>GFS Ship Management published fleet</x:v>
      </x:c>
      <x:c r="H177" s="102" t="str">
        <x:v>Singapore</x:v>
      </x:c>
      <x:c r="I177" s="102" t="n">
        <x:v>2007</x:v>
      </x:c>
      <x:c r="J177" s="108" t="n">
        <x:v>39266</x:v>
      </x:c>
      <x:c r="K177" s="102" t="str">
        <x:v>2,824 TEU</x:v>
      </x:c>
      <x:c r="L177" s="102"/>
      <x:c r="M177" s="102"/>
      <x:c r="N177" s="102"/>
      <x:c r="O177" s="102"/>
      <x:c r="P177" s="102"/>
      <x:c r="Q177" s="102" t="str">
        <x:v>Operating</x:v>
      </x:c>
      <x:c r="R177" s="102" t="str">
        <x:v>SRC_0179</x:v>
      </x:c>
      <x:c r="S177" s="102" t="str">
        <x:v>Published on GFS Ship Management fleet page; commercial operator and legal owner require current vessel-level reconciliation.</x:v>
      </x:c>
      <x:c r="T177" s="108" t="n">
        <x:v>28592</x:v>
      </x:c>
      <x:c r="U177" s="108" t="n">
        <x:v>14769</x:v>
      </x:c>
      <x:c r="V177" s="109" t="n">
        <x:v>222.15</x:v>
      </x:c>
      <x:c r="W177" s="109"/>
      <x:c r="X177" s="110" t="str">
        <x:v>563115900</x:v>
      </x:c>
      <x:c r="Y177" s="102" t="str">
        <x:v>9V5726</x:v>
      </x:c>
      <x:c r="Z177" s="102"/>
      <x:c r="AA177" s="102" t="str">
        <x:v>GFS Ship Management FZE</x:v>
      </x:c>
    </x:row>
    <x:row r="178">
      <x:c r="A178" s="102" t="str">
        <x:v>VESSEL_00177</x:v>
      </x:c>
      <x:c r="B178" s="102" t="str">
        <x:v>GFS PRIDE</x:v>
      </x:c>
      <x:c r="C178" s="110" t="str">
        <x:v>9349045</x:v>
      </x:c>
      <x:c r="D178" s="102"/>
      <x:c r="E178" s="102" t="str">
        <x:v>COMP_GFS</x:v>
      </x:c>
      <x:c r="F178" s="102" t="str">
        <x:v>Containership</x:v>
      </x:c>
      <x:c r="G178" s="102" t="str">
        <x:v>GFS Ship Management published fleet</x:v>
      </x:c>
      <x:c r="H178" s="102" t="str">
        <x:v>Singapore</x:v>
      </x:c>
      <x:c r="I178" s="102" t="n">
        <x:v>2008</x:v>
      </x:c>
      <x:c r="J178" s="108" t="n">
        <x:v>39446</x:v>
      </x:c>
      <x:c r="K178" s="102" t="str">
        <x:v>2,824 TEU</x:v>
      </x:c>
      <x:c r="L178" s="102"/>
      <x:c r="M178" s="102"/>
      <x:c r="N178" s="102"/>
      <x:c r="O178" s="102" t="str">
        <x:v>JJS / feeder service</x:v>
      </x:c>
      <x:c r="P178" s="102"/>
      <x:c r="Q178" s="102" t="str">
        <x:v>Operating</x:v>
      </x:c>
      <x:c r="R178" s="102" t="str">
        <x:v>SRC_0179</x:v>
      </x:c>
      <x:c r="S178" s="102" t="str">
        <x:v>GFS Ship Management took over the vessel in 2020 and official reporting identified its JJS service as operated by Global Feeder Shipping; current public fleet data continues to associate it with GFS.</x:v>
      </x:c>
      <x:c r="T178" s="108" t="n">
        <x:v>28340</x:v>
      </x:c>
      <x:c r="U178" s="108" t="n">
        <x:v>14289</x:v>
      </x:c>
      <x:c r="V178" s="109" t="n">
        <x:v>222.15</x:v>
      </x:c>
      <x:c r="W178" s="109" t="n">
        <x:v>30</x:v>
      </x:c>
      <x:c r="X178" s="110" t="str">
        <x:v>563115400</x:v>
      </x:c>
      <x:c r="Y178" s="102" t="str">
        <x:v>9V6902</x:v>
      </x:c>
      <x:c r="Z178" s="102"/>
      <x:c r="AA178" s="102" t="str">
        <x:v>GFS Ship Management FZE</x:v>
      </x:c>
    </x:row>
    <x:row r="179">
      <x:c r="A179" s="102" t="str">
        <x:v>VESSEL_00178</x:v>
      </x:c>
      <x:c r="B179" s="102" t="str">
        <x:v>GFS RANNA</x:v>
      </x:c>
      <x:c r="C179" s="110" t="str">
        <x:v>9137569</x:v>
      </x:c>
      <x:c r="D179" s="102"/>
      <x:c r="E179" s="102"/>
      <x:c r="F179" s="102" t="str">
        <x:v>Containership</x:v>
      </x:c>
      <x:c r="G179" s="102" t="str">
        <x:v>GFS Ship Management published fleet</x:v>
      </x:c>
      <x:c r="H179" s="102" t="str">
        <x:v>St Vincent &amp; Grenadines</x:v>
      </x:c>
      <x:c r="I179" s="102" t="n">
        <x:v>1997</x:v>
      </x:c>
      <x:c r="J179" s="108" t="n">
        <x:v>24382</x:v>
      </x:c>
      <x:c r="K179" s="102" t="str">
        <x:v>1,659 TEU</x:v>
      </x:c>
      <x:c r="L179" s="102"/>
      <x:c r="M179" s="102"/>
      <x:c r="N179" s="102"/>
      <x:c r="O179" s="102"/>
      <x:c r="P179" s="102"/>
      <x:c r="Q179" s="102" t="str">
        <x:v>Operating</x:v>
      </x:c>
      <x:c r="R179" s="102" t="str">
        <x:v>SRC_0179</x:v>
      </x:c>
      <x:c r="S179" s="102" t="str">
        <x:v>Published on GFS Ship Management fleet page; commercial operator and legal owner require current vessel-level reconciliation.</x:v>
      </x:c>
      <x:c r="T179" s="108" t="n">
        <x:v>18602</x:v>
      </x:c>
      <x:c r="U179" s="108"/>
      <x:c r="V179" s="109" t="n">
        <x:v>193</x:v>
      </x:c>
      <x:c r="W179" s="109"/>
      <x:c r="X179" s="110" t="str">
        <x:v>377751000</x:v>
      </x:c>
      <x:c r="Y179" s="102" t="str">
        <x:v>J8B5561</x:v>
      </x:c>
      <x:c r="Z179" s="102"/>
      <x:c r="AA179" s="102" t="str">
        <x:v>GFS Ship Management FZE</x:v>
      </x:c>
    </x:row>
    <x:row r="180">
      <x:c r="A180" s="102" t="str">
        <x:v>VESSEL_00179</x:v>
      </x:c>
      <x:c r="B180" s="102" t="str">
        <x:v>GFS JADE</x:v>
      </x:c>
      <x:c r="C180" s="110" t="str">
        <x:v>9187863</x:v>
      </x:c>
      <x:c r="D180" s="102"/>
      <x:c r="E180" s="102"/>
      <x:c r="F180" s="102" t="str">
        <x:v>Containership</x:v>
      </x:c>
      <x:c r="G180" s="102" t="str">
        <x:v>GFS Ship Management published fleet</x:v>
      </x:c>
      <x:c r="H180" s="102" t="str">
        <x:v>St Vincent &amp; Grenadines</x:v>
      </x:c>
      <x:c r="I180" s="102" t="n">
        <x:v>1999</x:v>
      </x:c>
      <x:c r="J180" s="108" t="n">
        <x:v>34000</x:v>
      </x:c>
      <x:c r="K180" s="102" t="str">
        <x:v>2,452 TEU</x:v>
      </x:c>
      <x:c r="L180" s="102"/>
      <x:c r="M180" s="102"/>
      <x:c r="N180" s="102"/>
      <x:c r="O180" s="102"/>
      <x:c r="P180" s="102"/>
      <x:c r="Q180" s="102" t="str">
        <x:v>Operating</x:v>
      </x:c>
      <x:c r="R180" s="102" t="str">
        <x:v>SRC_0179</x:v>
      </x:c>
      <x:c r="S180" s="102" t="str">
        <x:v>Published on GFS Ship Management fleet page; commercial operator and legal owner require current vessel-level reconciliation.</x:v>
      </x:c>
      <x:c r="T180" s="108" t="n">
        <x:v>25535</x:v>
      </x:c>
      <x:c r="U180" s="108"/>
      <x:c r="V180" s="109" t="n">
        <x:v>199.85</x:v>
      </x:c>
      <x:c r="W180" s="109"/>
      <x:c r="X180" s="110" t="str">
        <x:v>377311000</x:v>
      </x:c>
      <x:c r="Y180" s="102" t="str">
        <x:v>J8B6169</x:v>
      </x:c>
      <x:c r="Z180" s="102"/>
      <x:c r="AA180" s="102" t="str">
        <x:v>GFS Ship Management FZE</x:v>
      </x:c>
    </x:row>
    <x:row r="181">
      <x:c r="A181" s="102" t="str">
        <x:v>VESSEL_00180</x:v>
      </x:c>
      <x:c r="B181" s="102" t="str">
        <x:v>GFS PERFECT</x:v>
      </x:c>
      <x:c r="C181" s="110" t="str">
        <x:v>9308039</x:v>
      </x:c>
      <x:c r="D181" s="102"/>
      <x:c r="E181" s="102"/>
      <x:c r="F181" s="102" t="str">
        <x:v>Containership</x:v>
      </x:c>
      <x:c r="G181" s="102" t="str">
        <x:v>GFS Ship Management published fleet</x:v>
      </x:c>
      <x:c r="H181" s="102" t="str">
        <x:v>Singapore</x:v>
      </x:c>
      <x:c r="I181" s="102" t="n">
        <x:v>2007</x:v>
      </x:c>
      <x:c r="J181" s="108" t="n">
        <x:v>42950</x:v>
      </x:c>
      <x:c r="K181" s="102" t="str">
        <x:v>3,451 TEU</x:v>
      </x:c>
      <x:c r="L181" s="102"/>
      <x:c r="M181" s="102"/>
      <x:c r="N181" s="102"/>
      <x:c r="O181" s="102"/>
      <x:c r="P181" s="102"/>
      <x:c r="Q181" s="102" t="str">
        <x:v>Operating</x:v>
      </x:c>
      <x:c r="R181" s="102" t="str">
        <x:v>SRC_0179</x:v>
      </x:c>
      <x:c r="S181" s="102" t="str">
        <x:v>Published on GFS Ship Management fleet page; commercial operator and legal owner require current vessel-level reconciliation.</x:v>
      </x:c>
      <x:c r="T181" s="108" t="n">
        <x:v>36483</x:v>
      </x:c>
      <x:c r="U181" s="108"/>
      <x:c r="V181" s="109" t="n">
        <x:v>238.87</x:v>
      </x:c>
      <x:c r="W181" s="109"/>
      <x:c r="X181" s="110" t="str">
        <x:v>563127400</x:v>
      </x:c>
      <x:c r="Y181" s="102" t="str">
        <x:v>9V7054</x:v>
      </x:c>
      <x:c r="Z181" s="102"/>
      <x:c r="AA181" s="102" t="str">
        <x:v>GFS Ship Management FZE</x:v>
      </x:c>
    </x:row>
    <x:row r="182">
      <x:c r="A182" s="102" t="str">
        <x:v>VESSEL_00181</x:v>
      </x:c>
      <x:c r="B182" s="102" t="str">
        <x:v>GFS PEARL</x:v>
      </x:c>
      <x:c r="C182" s="110" t="str">
        <x:v>9320051</x:v>
      </x:c>
      <x:c r="D182" s="102"/>
      <x:c r="E182" s="102"/>
      <x:c r="F182" s="102" t="str">
        <x:v>Containership</x:v>
      </x:c>
      <x:c r="G182" s="102" t="str">
        <x:v>GFS Ship Management published fleet</x:v>
      </x:c>
      <x:c r="H182" s="102" t="str">
        <x:v>Cyprus</x:v>
      </x:c>
      <x:c r="I182" s="102" t="n">
        <x:v>2006</x:v>
      </x:c>
      <x:c r="J182" s="108" t="n">
        <x:v>37929</x:v>
      </x:c>
      <x:c r="K182" s="102" t="str">
        <x:v>2,741 TEU</x:v>
      </x:c>
      <x:c r="L182" s="102"/>
      <x:c r="M182" s="102"/>
      <x:c r="N182" s="102"/>
      <x:c r="O182" s="102"/>
      <x:c r="P182" s="102"/>
      <x:c r="Q182" s="102" t="str">
        <x:v>Operating</x:v>
      </x:c>
      <x:c r="R182" s="102" t="str">
        <x:v>SRC_0179</x:v>
      </x:c>
      <x:c r="S182" s="102" t="str">
        <x:v>Published on GFS Ship Management fleet page; commercial operator and legal owner require current vessel-level reconciliation.</x:v>
      </x:c>
      <x:c r="T182" s="108" t="n">
        <x:v>27971</x:v>
      </x:c>
      <x:c r="U182" s="108"/>
      <x:c r="V182" s="109" t="n">
        <x:v>221.62</x:v>
      </x:c>
      <x:c r="W182" s="109"/>
      <x:c r="X182" s="110" t="str">
        <x:v>210142000</x:v>
      </x:c>
      <x:c r="Y182" s="102" t="str">
        <x:v>5BRP5</x:v>
      </x:c>
      <x:c r="Z182" s="102"/>
      <x:c r="AA182" s="102" t="str">
        <x:v>GFS Ship Management FZE</x:v>
      </x:c>
    </x:row>
    <x:row r="183">
      <x:c r="A183" s="102" t="str">
        <x:v>VESSEL_00182</x:v>
      </x:c>
      <x:c r="B183" s="102" t="str">
        <x:v>GFS JUNO</x:v>
      </x:c>
      <x:c r="C183" s="110" t="str">
        <x:v>9187875</x:v>
      </x:c>
      <x:c r="D183" s="102"/>
      <x:c r="E183" s="102"/>
      <x:c r="F183" s="102" t="str">
        <x:v>Containership</x:v>
      </x:c>
      <x:c r="G183" s="102" t="str">
        <x:v>GFS Ship Management published fleet</x:v>
      </x:c>
      <x:c r="H183" s="102" t="str">
        <x:v>St Vincent &amp; Grenadines</x:v>
      </x:c>
      <x:c r="I183" s="102" t="n">
        <x:v>2000</x:v>
      </x:c>
      <x:c r="J183" s="108" t="n">
        <x:v>34000</x:v>
      </x:c>
      <x:c r="K183" s="102" t="str">
        <x:v>2,452 TEU</x:v>
      </x:c>
      <x:c r="L183" s="102"/>
      <x:c r="M183" s="102"/>
      <x:c r="N183" s="102"/>
      <x:c r="O183" s="102"/>
      <x:c r="P183" s="102"/>
      <x:c r="Q183" s="102" t="str">
        <x:v>Operating</x:v>
      </x:c>
      <x:c r="R183" s="102" t="str">
        <x:v>SRC_0179</x:v>
      </x:c>
      <x:c r="S183" s="102" t="str">
        <x:v>Published on GFS Ship Management fleet page; commercial operator and legal owner require current vessel-level reconciliation.</x:v>
      </x:c>
      <x:c r="T183" s="108" t="n">
        <x:v>25535</x:v>
      </x:c>
      <x:c r="U183" s="108"/>
      <x:c r="V183" s="109" t="n">
        <x:v>199.85</x:v>
      </x:c>
      <x:c r="W183" s="109"/>
      <x:c r="X183" s="110" t="str">
        <x:v>375751000</x:v>
      </x:c>
      <x:c r="Y183" s="102" t="str">
        <x:v>J8B6097</x:v>
      </x:c>
      <x:c r="Z183" s="102"/>
      <x:c r="AA183" s="102" t="str">
        <x:v>GFS Ship Management FZE</x:v>
      </x:c>
    </x:row>
    <x:row r="184">
      <x:c r="A184" s="102" t="str">
        <x:v>VESSEL_00183</x:v>
      </x:c>
      <x:c r="B184" s="102" t="str">
        <x:v>GFS PRIME</x:v>
      </x:c>
      <x:c r="C184" s="110" t="str">
        <x:v>9311749</x:v>
      </x:c>
      <x:c r="D184" s="102"/>
      <x:c r="E184" s="102"/>
      <x:c r="F184" s="102" t="str">
        <x:v>Containership</x:v>
      </x:c>
      <x:c r="G184" s="102" t="str">
        <x:v>GFS Ship Management published fleet</x:v>
      </x:c>
      <x:c r="H184" s="102" t="str">
        <x:v>Cyprus</x:v>
      </x:c>
      <x:c r="I184" s="102" t="n">
        <x:v>2006</x:v>
      </x:c>
      <x:c r="J184" s="108" t="n">
        <x:v>39228</x:v>
      </x:c>
      <x:c r="K184" s="102" t="str">
        <x:v>2,824 TEU</x:v>
      </x:c>
      <x:c r="L184" s="102"/>
      <x:c r="M184" s="102"/>
      <x:c r="N184" s="102"/>
      <x:c r="O184" s="102"/>
      <x:c r="P184" s="102"/>
      <x:c r="Q184" s="102" t="str">
        <x:v>Operating</x:v>
      </x:c>
      <x:c r="R184" s="102" t="str">
        <x:v>SRC_0179</x:v>
      </x:c>
      <x:c r="S184" s="102" t="str">
        <x:v>Published on GFS Ship Management fleet page; LOA differs across secondary vessel sources, so official GFS figure retained.</x:v>
      </x:c>
      <x:c r="T184" s="108" t="n">
        <x:v>28911</x:v>
      </x:c>
      <x:c r="U184" s="108" t="n">
        <x:v>15023</x:v>
      </x:c>
      <x:c r="V184" s="109" t="n">
        <x:v>212.2</x:v>
      </x:c>
      <x:c r="W184" s="109"/>
      <x:c r="X184" s="110" t="str">
        <x:v>209849000</x:v>
      </x:c>
      <x:c r="Y184" s="102"/>
      <x:c r="Z184" s="102"/>
      <x:c r="AA184" s="102" t="str">
        <x:v>GFS Ship Management FZE</x:v>
      </x:c>
    </x:row>
    <x:row r="185">
      <x:c r="A185" s="102" t="str">
        <x:v>VESSEL_00184</x:v>
      </x:c>
      <x:c r="B185" s="102" t="str">
        <x:v>GFS SAPPHIRE</x:v>
      </x:c>
      <x:c r="C185" s="110" t="str">
        <x:v>9330927</x:v>
      </x:c>
      <x:c r="D185" s="102"/>
      <x:c r="E185" s="102"/>
      <x:c r="F185" s="102" t="str">
        <x:v>Containership</x:v>
      </x:c>
      <x:c r="G185" s="102" t="str">
        <x:v>GFS Ship Management published fleet</x:v>
      </x:c>
      <x:c r="H185" s="102" t="str">
        <x:v>Malta</x:v>
      </x:c>
      <x:c r="I185" s="102" t="n">
        <x:v>2007</x:v>
      </x:c>
      <x:c r="J185" s="108" t="n">
        <x:v>20250</x:v>
      </x:c>
      <x:c r="K185" s="102" t="str">
        <x:v>1,440 TEU</x:v>
      </x:c>
      <x:c r="L185" s="102"/>
      <x:c r="M185" s="102"/>
      <x:c r="N185" s="102"/>
      <x:c r="O185" s="102"/>
      <x:c r="P185" s="102"/>
      <x:c r="Q185" s="102" t="str">
        <x:v>Operating</x:v>
      </x:c>
      <x:c r="R185" s="102" t="str">
        <x:v>SRC_0179</x:v>
      </x:c>
      <x:c r="S185" s="102" t="str">
        <x:v>Published on GFS Ship Management fleet page; commercial operator and legal owner require current vessel-level reconciliation.</x:v>
      </x:c>
      <x:c r="T185" s="108" t="n">
        <x:v>15995</x:v>
      </x:c>
      <x:c r="U185" s="108" t="n">
        <x:v>6251</x:v>
      </x:c>
      <x:c r="V185" s="109" t="n">
        <x:v>170.15</x:v>
      </x:c>
      <x:c r="W185" s="109"/>
      <x:c r="X185" s="110" t="str">
        <x:v>249197000</x:v>
      </x:c>
      <x:c r="Y185" s="102" t="str">
        <x:v>9HA6159</x:v>
      </x:c>
      <x:c r="Z185" s="102"/>
      <x:c r="AA185" s="102" t="str">
        <x:v>GFS Ship Management FZE</x:v>
      </x:c>
    </x:row>
    <x:row r="186">
      <x:c r="A186" s="102" t="str">
        <x:v>VESSEL_00185</x:v>
      </x:c>
      <x:c r="B186" s="102" t="str">
        <x:v>SIGYN W</x:v>
      </x:c>
      <x:c r="C186" s="110" t="str">
        <x:v>9754446</x:v>
      </x:c>
      <x:c r="D186" s="102"/>
      <x:c r="E186" s="102"/>
      <x:c r="F186" s="102" t="str">
        <x:v>Container / liner vessel</x:v>
      </x:c>
      <x:c r="G186" s="102" t="str">
        <x:v>Current carrier schedule seed</x:v>
      </x:c>
      <x:c r="H186" s="102"/>
      <x:c r="I186" s="102"/>
      <x:c r="J186" s="102"/>
      <x:c r="K186" s="102"/>
      <x:c r="L186" s="102"/>
      <x:c r="M186" s="102"/>
      <x:c r="N186" s="102"/>
      <x:c r="O186" s="102"/>
      <x:c r="P186" s="102"/>
      <x:c r="Q186" s="102" t="str">
        <x:v>Operating / schedule-observed</x:v>
      </x:c>
      <x:c r="R186" s="102" t="str">
        <x:v>SRC_0191</x:v>
      </x:c>
      <x:c r="S186" s="102" t="str">
        <x:v>Observed in CMA CGM schedule. This establishes service/deployment evidence only; legal owner, beneficial owner, technical manager and actual vessel operator are not inferred from the schedule.</x:v>
      </x:c>
      <x:c r="T186" s="102"/>
      <x:c r="U186" s="102"/>
      <x:c r="V186" s="102"/>
      <x:c r="W186" s="102"/>
      <x:c r="X186" s="110"/>
      <x:c r="Y186" s="102"/>
      <x:c r="Z186" s="102"/>
      <x:c r="AA186" s="102"/>
    </x:row>
    <x:row r="187">
      <x:c r="A187" s="102" t="str">
        <x:v>VESSEL_00186</x:v>
      </x:c>
      <x:c r="B187" s="102" t="str">
        <x:v>KOI</x:v>
      </x:c>
      <x:c r="C187" s="110" t="str">
        <x:v>9461489</x:v>
      </x:c>
      <x:c r="D187" s="102"/>
      <x:c r="E187" s="102"/>
      <x:c r="F187" s="102" t="str">
        <x:v>Container / liner vessel</x:v>
      </x:c>
      <x:c r="G187" s="102" t="str">
        <x:v>Current carrier schedule seed</x:v>
      </x:c>
      <x:c r="H187" s="102"/>
      <x:c r="I187" s="102"/>
      <x:c r="J187" s="102"/>
      <x:c r="K187" s="102"/>
      <x:c r="L187" s="102"/>
      <x:c r="M187" s="102"/>
      <x:c r="N187" s="102"/>
      <x:c r="O187" s="102"/>
      <x:c r="P187" s="102"/>
      <x:c r="Q187" s="102" t="str">
        <x:v>Operating / schedule-observed</x:v>
      </x:c>
      <x:c r="R187" s="102" t="str">
        <x:v>SRC_0191</x:v>
      </x:c>
      <x:c r="S187" s="102" t="str">
        <x:v>Observed in CMA CGM schedule. This establishes service/deployment evidence only; legal owner, beneficial owner, technical manager and actual vessel operator are not inferred from the schedule.</x:v>
      </x:c>
      <x:c r="T187" s="102"/>
      <x:c r="U187" s="102"/>
      <x:c r="V187" s="102"/>
      <x:c r="W187" s="102"/>
      <x:c r="X187" s="110"/>
      <x:c r="Y187" s="102"/>
      <x:c r="Z187" s="102"/>
      <x:c r="AA187" s="102"/>
    </x:row>
    <x:row r="188">
      <x:c r="A188" s="102" t="str">
        <x:v>VESSEL_00187</x:v>
      </x:c>
      <x:c r="B188" s="102" t="str">
        <x:v>CMA CGM AMBER</x:v>
      </x:c>
      <x:c r="C188" s="110" t="str">
        <x:v>9350381</x:v>
      </x:c>
      <x:c r="D188" s="102"/>
      <x:c r="E188" s="102"/>
      <x:c r="F188" s="102" t="str">
        <x:v>Container / liner vessel</x:v>
      </x:c>
      <x:c r="G188" s="102" t="str">
        <x:v>Current carrier schedule seed</x:v>
      </x:c>
      <x:c r="H188" s="102"/>
      <x:c r="I188" s="102"/>
      <x:c r="J188" s="102"/>
      <x:c r="K188" s="102"/>
      <x:c r="L188" s="102"/>
      <x:c r="M188" s="102"/>
      <x:c r="N188" s="102"/>
      <x:c r="O188" s="102"/>
      <x:c r="P188" s="102"/>
      <x:c r="Q188" s="102" t="str">
        <x:v>Operating / schedule-observed</x:v>
      </x:c>
      <x:c r="R188" s="102" t="str">
        <x:v>SRC_0191</x:v>
      </x:c>
      <x:c r="S188" s="102" t="str">
        <x:v>Observed in CMA CGM schedule. This establishes service/deployment evidence only; legal owner, beneficial owner, technical manager and actual vessel operator are not inferred from the schedule.</x:v>
      </x:c>
      <x:c r="T188" s="102"/>
      <x:c r="U188" s="102"/>
      <x:c r="V188" s="102"/>
      <x:c r="W188" s="102"/>
      <x:c r="X188" s="110"/>
      <x:c r="Y188" s="102"/>
      <x:c r="Z188" s="102"/>
      <x:c r="AA188" s="102"/>
    </x:row>
    <x:row r="189">
      <x:c r="A189" s="102" t="str">
        <x:v>VESSEL_00188</x:v>
      </x:c>
      <x:c r="B189" s="102" t="str">
        <x:v>CMA CGM SORBONNE</x:v>
      </x:c>
      <x:c r="C189" s="110" t="str">
        <x:v>9839210</x:v>
      </x:c>
      <x:c r="D189" s="102"/>
      <x:c r="E189" s="102"/>
      <x:c r="F189" s="102" t="str">
        <x:v>Container / liner vessel</x:v>
      </x:c>
      <x:c r="G189" s="102" t="str">
        <x:v>Current carrier schedule seed</x:v>
      </x:c>
      <x:c r="H189" s="102"/>
      <x:c r="I189" s="102"/>
      <x:c r="J189" s="102"/>
      <x:c r="K189" s="102"/>
      <x:c r="L189" s="102"/>
      <x:c r="M189" s="102"/>
      <x:c r="N189" s="102"/>
      <x:c r="O189" s="102"/>
      <x:c r="P189" s="102"/>
      <x:c r="Q189" s="102" t="str">
        <x:v>Operating / schedule-observed</x:v>
      </x:c>
      <x:c r="R189" s="102" t="str">
        <x:v>SRC_0191</x:v>
      </x:c>
      <x:c r="S189" s="102" t="str">
        <x:v>Observed in CMA CGM schedule. This establishes service/deployment evidence only; legal owner, beneficial owner, technical manager and actual vessel operator are not inferred from the schedule.</x:v>
      </x:c>
      <x:c r="T189" s="102"/>
      <x:c r="U189" s="102"/>
      <x:c r="V189" s="102"/>
      <x:c r="W189" s="102"/>
      <x:c r="X189" s="110"/>
      <x:c r="Y189" s="102"/>
      <x:c r="Z189" s="102"/>
      <x:c r="AA189" s="102"/>
    </x:row>
    <x:row r="190">
      <x:c r="A190" s="102" t="str">
        <x:v>VESSEL_00189</x:v>
      </x:c>
      <x:c r="B190" s="102" t="str">
        <x:v>CMA CGM MEKONG</x:v>
      </x:c>
      <x:c r="C190" s="110" t="str">
        <x:v>9718105</x:v>
      </x:c>
      <x:c r="D190" s="102"/>
      <x:c r="E190" s="102"/>
      <x:c r="F190" s="102" t="str">
        <x:v>Container / liner vessel</x:v>
      </x:c>
      <x:c r="G190" s="102" t="str">
        <x:v>Current carrier schedule seed</x:v>
      </x:c>
      <x:c r="H190" s="102"/>
      <x:c r="I190" s="102"/>
      <x:c r="J190" s="102"/>
      <x:c r="K190" s="102"/>
      <x:c r="L190" s="102"/>
      <x:c r="M190" s="102"/>
      <x:c r="N190" s="102"/>
      <x:c r="O190" s="102"/>
      <x:c r="P190" s="102"/>
      <x:c r="Q190" s="102" t="str">
        <x:v>Operating / schedule-observed</x:v>
      </x:c>
      <x:c r="R190" s="102" t="str">
        <x:v>SRC_0191</x:v>
      </x:c>
      <x:c r="S190" s="102" t="str">
        <x:v>Observed in CMA CGM schedule. This establishes service/deployment evidence only; legal owner, beneficial owner, technical manager and actual vessel operator are not inferred from the schedule.</x:v>
      </x:c>
      <x:c r="T190" s="102"/>
      <x:c r="U190" s="102"/>
      <x:c r="V190" s="102"/>
      <x:c r="W190" s="102"/>
      <x:c r="X190" s="110"/>
      <x:c r="Y190" s="102"/>
      <x:c r="Z190" s="102"/>
      <x:c r="AA190" s="102"/>
    </x:row>
    <x:row r="191">
      <x:c r="A191" s="102" t="str">
        <x:v>VESSEL_00190</x:v>
      </x:c>
      <x:c r="B191" s="102" t="str">
        <x:v>MSC UTMOST VIII</x:v>
      </x:c>
      <x:c r="C191" s="110" t="str">
        <x:v>9302621</x:v>
      </x:c>
      <x:c r="D191" s="102"/>
      <x:c r="E191" s="102"/>
      <x:c r="F191" s="102" t="str">
        <x:v>Container / liner vessel</x:v>
      </x:c>
      <x:c r="G191" s="102" t="str">
        <x:v>Current carrier schedule seed</x:v>
      </x:c>
      <x:c r="H191" s="102"/>
      <x:c r="I191" s="102"/>
      <x:c r="J191" s="102"/>
      <x:c r="K191" s="102"/>
      <x:c r="L191" s="102"/>
      <x:c r="M191" s="102"/>
      <x:c r="N191" s="102"/>
      <x:c r="O191" s="102"/>
      <x:c r="P191" s="102"/>
      <x:c r="Q191" s="102" t="str">
        <x:v>Operating / schedule-observed</x:v>
      </x:c>
      <x:c r="R191" s="102" t="str">
        <x:v>SRC_0192</x:v>
      </x:c>
      <x:c r="S191" s="102" t="str">
        <x:v>Observed in MSC schedule. This establishes service/deployment evidence only; legal owner, beneficial owner, technical manager and actual vessel operator are not inferred from the schedule.</x:v>
      </x:c>
      <x:c r="T191" s="102"/>
      <x:c r="U191" s="102"/>
      <x:c r="V191" s="102"/>
      <x:c r="W191" s="102"/>
      <x:c r="X191" s="110"/>
      <x:c r="Y191" s="102"/>
      <x:c r="Z191" s="102"/>
      <x:c r="AA191" s="102"/>
    </x:row>
    <x:row r="192">
      <x:c r="A192" s="102" t="str">
        <x:v>VESSEL_00191</x:v>
      </x:c>
      <x:c r="B192" s="102" t="str">
        <x:v>MSC TARA III</x:v>
      </x:c>
      <x:c r="C192" s="110" t="str">
        <x:v>9259381</x:v>
      </x:c>
      <x:c r="D192" s="102"/>
      <x:c r="E192" s="102"/>
      <x:c r="F192" s="102" t="str">
        <x:v>Container / liner vessel</x:v>
      </x:c>
      <x:c r="G192" s="102" t="str">
        <x:v>Current carrier schedule seed</x:v>
      </x:c>
      <x:c r="H192" s="102"/>
      <x:c r="I192" s="102"/>
      <x:c r="J192" s="102"/>
      <x:c r="K192" s="102"/>
      <x:c r="L192" s="102"/>
      <x:c r="M192" s="102"/>
      <x:c r="N192" s="102"/>
      <x:c r="O192" s="102"/>
      <x:c r="P192" s="102"/>
      <x:c r="Q192" s="102" t="str">
        <x:v>Operating / schedule-observed</x:v>
      </x:c>
      <x:c r="R192" s="102" t="str">
        <x:v>SRC_0192</x:v>
      </x:c>
      <x:c r="S192" s="102" t="str">
        <x:v>Observed in MSC schedule. This establishes service/deployment evidence only; legal owner, beneficial owner, technical manager and actual vessel operator are not inferred from the schedule.</x:v>
      </x:c>
      <x:c r="T192" s="102"/>
      <x:c r="U192" s="102"/>
      <x:c r="V192" s="102"/>
      <x:c r="W192" s="102"/>
      <x:c r="X192" s="110"/>
      <x:c r="Y192" s="102"/>
      <x:c r="Z192" s="102"/>
      <x:c r="AA192" s="102"/>
    </x:row>
    <x:row r="193">
      <x:c r="A193" s="102" t="str">
        <x:v>VESSEL_00192</x:v>
      </x:c>
      <x:c r="B193" s="102" t="str">
        <x:v>MSC KAYLA</x:v>
      </x:c>
      <x:c r="C193" s="110" t="str">
        <x:v>9242637</x:v>
      </x:c>
      <x:c r="D193" s="102"/>
      <x:c r="E193" s="102"/>
      <x:c r="F193" s="102" t="str">
        <x:v>Container / liner vessel</x:v>
      </x:c>
      <x:c r="G193" s="102" t="str">
        <x:v>Current carrier schedule seed</x:v>
      </x:c>
      <x:c r="H193" s="102"/>
      <x:c r="I193" s="102"/>
      <x:c r="J193" s="102"/>
      <x:c r="K193" s="102"/>
      <x:c r="L193" s="102"/>
      <x:c r="M193" s="102"/>
      <x:c r="N193" s="102"/>
      <x:c r="O193" s="102"/>
      <x:c r="P193" s="102"/>
      <x:c r="Q193" s="102" t="str">
        <x:v>Operating / schedule-observed</x:v>
      </x:c>
      <x:c r="R193" s="102" t="str">
        <x:v>SRC_0192</x:v>
      </x:c>
      <x:c r="S193" s="102" t="str">
        <x:v>Observed in MSC schedule. This establishes service/deployment evidence only; legal owner, beneficial owner, technical manager and actual vessel operator are not inferred from the schedule.</x:v>
      </x:c>
      <x:c r="T193" s="102"/>
      <x:c r="U193" s="102"/>
      <x:c r="V193" s="102"/>
      <x:c r="W193" s="102"/>
      <x:c r="X193" s="110"/>
      <x:c r="Y193" s="102"/>
      <x:c r="Z193" s="102"/>
      <x:c r="AA193" s="102"/>
    </x:row>
    <x:row r="194">
      <x:c r="A194" s="102" t="str">
        <x:v>VESSEL_00193</x:v>
      </x:c>
      <x:c r="B194" s="102" t="str">
        <x:v>MSC JENNY II</x:v>
      </x:c>
      <x:c r="C194" s="110" t="str">
        <x:v>9000742</x:v>
      </x:c>
      <x:c r="D194" s="102"/>
      <x:c r="E194" s="102"/>
      <x:c r="F194" s="102" t="str">
        <x:v>Container / liner vessel</x:v>
      </x:c>
      <x:c r="G194" s="102" t="str">
        <x:v>Current carrier schedule seed</x:v>
      </x:c>
      <x:c r="H194" s="102"/>
      <x:c r="I194" s="102"/>
      <x:c r="J194" s="102"/>
      <x:c r="K194" s="102"/>
      <x:c r="L194" s="102"/>
      <x:c r="M194" s="102"/>
      <x:c r="N194" s="102"/>
      <x:c r="O194" s="102"/>
      <x:c r="P194" s="102"/>
      <x:c r="Q194" s="102" t="str">
        <x:v>Operating / schedule-observed</x:v>
      </x:c>
      <x:c r="R194" s="102" t="str">
        <x:v>SRC_0192</x:v>
      </x:c>
      <x:c r="S194" s="102" t="str">
        <x:v>Observed in MSC schedule. This establishes service/deployment evidence only; legal owner, beneficial owner, technical manager and actual vessel operator are not inferred from the schedule.</x:v>
      </x:c>
      <x:c r="T194" s="102"/>
      <x:c r="U194" s="102"/>
      <x:c r="V194" s="102"/>
      <x:c r="W194" s="102"/>
      <x:c r="X194" s="110"/>
      <x:c r="Y194" s="102"/>
      <x:c r="Z194" s="102"/>
      <x:c r="AA194" s="102"/>
    </x:row>
    <x:row r="195">
      <x:c r="A195" s="102" t="str">
        <x:v>VESSEL_00194</x:v>
      </x:c>
      <x:c r="B195" s="102" t="str">
        <x:v>MSC SHANGHAI V</x:v>
      </x:c>
      <x:c r="C195" s="110" t="str">
        <x:v>9231822</x:v>
      </x:c>
      <x:c r="D195" s="102"/>
      <x:c r="E195" s="102"/>
      <x:c r="F195" s="102" t="str">
        <x:v>Container / liner vessel</x:v>
      </x:c>
      <x:c r="G195" s="102" t="str">
        <x:v>Current carrier schedule seed</x:v>
      </x:c>
      <x:c r="H195" s="102"/>
      <x:c r="I195" s="102"/>
      <x:c r="J195" s="102"/>
      <x:c r="K195" s="102"/>
      <x:c r="L195" s="102"/>
      <x:c r="M195" s="102"/>
      <x:c r="N195" s="102"/>
      <x:c r="O195" s="102"/>
      <x:c r="P195" s="102"/>
      <x:c r="Q195" s="102" t="str">
        <x:v>Operating / schedule-observed</x:v>
      </x:c>
      <x:c r="R195" s="102" t="str">
        <x:v>SRC_0192</x:v>
      </x:c>
      <x:c r="S195" s="102" t="str">
        <x:v>Observed in MSC schedule. This establishes service/deployment evidence only; legal owner, beneficial owner, technical manager and actual vessel operator are not inferred from the schedule.</x:v>
      </x:c>
      <x:c r="T195" s="102"/>
      <x:c r="U195" s="102"/>
      <x:c r="V195" s="102"/>
      <x:c r="W195" s="102"/>
      <x:c r="X195" s="110"/>
      <x:c r="Y195" s="102"/>
      <x:c r="Z195" s="102"/>
      <x:c r="AA195" s="102"/>
    </x:row>
    <x:row r="196">
      <x:c r="A196" s="102" t="str">
        <x:v>VESSEL_00195</x:v>
      </x:c>
      <x:c r="B196" s="102" t="str">
        <x:v>MAERSK SANA</x:v>
      </x:c>
      <x:c r="C196" s="110" t="str">
        <x:v>9289922</x:v>
      </x:c>
      <x:c r="D196" s="102"/>
      <x:c r="E196" s="102"/>
      <x:c r="F196" s="102" t="str">
        <x:v>Container / liner vessel</x:v>
      </x:c>
      <x:c r="G196" s="102" t="str">
        <x:v>Current carrier schedule seed</x:v>
      </x:c>
      <x:c r="H196" s="102"/>
      <x:c r="I196" s="102"/>
      <x:c r="J196" s="102"/>
      <x:c r="K196" s="102"/>
      <x:c r="L196" s="102"/>
      <x:c r="M196" s="102"/>
      <x:c r="N196" s="102"/>
      <x:c r="O196" s="102"/>
      <x:c r="P196" s="102"/>
      <x:c r="Q196" s="102" t="str">
        <x:v>Operating / schedule-observed</x:v>
      </x:c>
      <x:c r="R196" s="102" t="str">
        <x:v>SRC_0193</x:v>
      </x:c>
      <x:c r="S196" s="102" t="str">
        <x:v>Observed in Maersk schedule. This establishes service/deployment evidence only; legal owner, beneficial owner, technical manager and actual vessel operator are not inferred from the schedule.</x:v>
      </x:c>
      <x:c r="T196" s="102"/>
      <x:c r="U196" s="102"/>
      <x:c r="V196" s="102"/>
      <x:c r="W196" s="102"/>
      <x:c r="X196" s="110"/>
      <x:c r="Y196" s="102"/>
      <x:c r="Z196" s="102"/>
      <x:c r="AA196" s="102"/>
    </x:row>
    <x:row r="197">
      <x:c r="A197" s="102" t="str">
        <x:v>VESSEL_00196</x:v>
      </x:c>
      <x:c r="B197" s="102" t="str">
        <x:v>MAERSK STOCKHOLM</x:v>
      </x:c>
      <x:c r="C197" s="110" t="str">
        <x:v>9352042</x:v>
      </x:c>
      <x:c r="D197" s="102"/>
      <x:c r="E197" s="102"/>
      <x:c r="F197" s="102" t="str">
        <x:v>Container / liner vessel</x:v>
      </x:c>
      <x:c r="G197" s="102" t="str">
        <x:v>Current carrier schedule seed</x:v>
      </x:c>
      <x:c r="H197" s="102"/>
      <x:c r="I197" s="102"/>
      <x:c r="J197" s="102"/>
      <x:c r="K197" s="102"/>
      <x:c r="L197" s="102"/>
      <x:c r="M197" s="102"/>
      <x:c r="N197" s="102"/>
      <x:c r="O197" s="102"/>
      <x:c r="P197" s="102"/>
      <x:c r="Q197" s="102" t="str">
        <x:v>Operating / schedule-observed</x:v>
      </x:c>
      <x:c r="R197" s="102" t="str">
        <x:v>SRC_0193</x:v>
      </x:c>
      <x:c r="S197" s="102" t="str">
        <x:v>Observed in Maersk schedule. This establishes service/deployment evidence only; legal owner, beneficial owner, technical manager and actual vessel operator are not inferred from the schedule.</x:v>
      </x:c>
      <x:c r="T197" s="102"/>
      <x:c r="U197" s="102"/>
      <x:c r="V197" s="102"/>
      <x:c r="W197" s="102"/>
      <x:c r="X197" s="110"/>
      <x:c r="Y197" s="102"/>
      <x:c r="Z197" s="102"/>
      <x:c r="AA197" s="102"/>
    </x:row>
    <x:row r="198">
      <x:c r="A198" s="102" t="str">
        <x:v>VESSEL_00197</x:v>
      </x:c>
      <x:c r="B198" s="102" t="str">
        <x:v>ADRIAN MAERSK</x:v>
      </x:c>
      <x:c r="C198" s="110" t="str">
        <x:v>9948815</x:v>
      </x:c>
      <x:c r="D198" s="102"/>
      <x:c r="E198" s="102"/>
      <x:c r="F198" s="102" t="str">
        <x:v>Container / liner vessel</x:v>
      </x:c>
      <x:c r="G198" s="102" t="str">
        <x:v>Current carrier schedule seed</x:v>
      </x:c>
      <x:c r="H198" s="102"/>
      <x:c r="I198" s="102"/>
      <x:c r="J198" s="102"/>
      <x:c r="K198" s="102"/>
      <x:c r="L198" s="102"/>
      <x:c r="M198" s="102"/>
      <x:c r="N198" s="102"/>
      <x:c r="O198" s="102"/>
      <x:c r="P198" s="102"/>
      <x:c r="Q198" s="102" t="str">
        <x:v>Operating / schedule-observed</x:v>
      </x:c>
      <x:c r="R198" s="102" t="str">
        <x:v>SRC_0193</x:v>
      </x:c>
      <x:c r="S198" s="102" t="str">
        <x:v>Observed in Maersk schedule. This establishes service/deployment evidence only; legal owner, beneficial owner, technical manager and actual vessel operator are not inferred from the schedule.</x:v>
      </x:c>
      <x:c r="T198" s="102"/>
      <x:c r="U198" s="102"/>
      <x:c r="V198" s="102"/>
      <x:c r="W198" s="102"/>
      <x:c r="X198" s="110"/>
      <x:c r="Y198" s="102"/>
      <x:c r="Z198" s="102"/>
      <x:c r="AA198" s="102"/>
    </x:row>
    <x:row r="199">
      <x:c r="A199" s="102" t="str">
        <x:v>VESSEL_00198</x:v>
      </x:c>
      <x:c r="B199" s="102" t="str">
        <x:v>BSG BONAIRE</x:v>
      </x:c>
      <x:c r="C199" s="110" t="str">
        <x:v>9303766</x:v>
      </x:c>
      <x:c r="D199" s="102"/>
      <x:c r="E199" s="102"/>
      <x:c r="F199" s="102" t="str">
        <x:v>Container / liner vessel</x:v>
      </x:c>
      <x:c r="G199" s="102" t="str">
        <x:v>Current carrier schedule seed</x:v>
      </x:c>
      <x:c r="H199" s="102"/>
      <x:c r="I199" s="102"/>
      <x:c r="J199" s="102"/>
      <x:c r="K199" s="102"/>
      <x:c r="L199" s="102"/>
      <x:c r="M199" s="102"/>
      <x:c r="N199" s="102"/>
      <x:c r="O199" s="102"/>
      <x:c r="P199" s="102"/>
      <x:c r="Q199" s="102" t="str">
        <x:v>Operating / schedule-observed</x:v>
      </x:c>
      <x:c r="R199" s="102" t="str">
        <x:v>SRC_0193</x:v>
      </x:c>
      <x:c r="S199" s="102" t="str">
        <x:v>Observed in Maersk schedule. This establishes service/deployment evidence only; legal owner, beneficial owner, technical manager and actual vessel operator are not inferred from the schedule.</x:v>
      </x:c>
      <x:c r="T199" s="102"/>
      <x:c r="U199" s="102"/>
      <x:c r="V199" s="102"/>
      <x:c r="W199" s="102"/>
      <x:c r="X199" s="110"/>
      <x:c r="Y199" s="102"/>
      <x:c r="Z199" s="102"/>
      <x:c r="AA199" s="102"/>
    </x:row>
    <x:row r="200">
      <x:c r="A200" s="102" t="str">
        <x:v>VESSEL_00199</x:v>
      </x:c>
      <x:c r="B200" s="102" t="str">
        <x:v>AS SIMONE</x:v>
      </x:c>
      <x:c r="C200" s="110" t="str">
        <x:v>9813814</x:v>
      </x:c>
      <x:c r="D200" s="102"/>
      <x:c r="E200" s="102"/>
      <x:c r="F200" s="102" t="str">
        <x:v>Container / liner vessel</x:v>
      </x:c>
      <x:c r="G200" s="102" t="str">
        <x:v>Current carrier schedule seed</x:v>
      </x:c>
      <x:c r="H200" s="102"/>
      <x:c r="I200" s="102"/>
      <x:c r="J200" s="102"/>
      <x:c r="K200" s="102"/>
      <x:c r="L200" s="102"/>
      <x:c r="M200" s="102"/>
      <x:c r="N200" s="102"/>
      <x:c r="O200" s="102"/>
      <x:c r="P200" s="102"/>
      <x:c r="Q200" s="102" t="str">
        <x:v>Operating / schedule-observed</x:v>
      </x:c>
      <x:c r="R200" s="102" t="str">
        <x:v>SRC_0193</x:v>
      </x:c>
      <x:c r="S200" s="102" t="str">
        <x:v>Observed in Maersk schedule. This establishes service/deployment evidence only; legal owner, beneficial owner, technical manager and actual vessel operator are not inferred from the schedule.</x:v>
      </x:c>
      <x:c r="T200" s="102"/>
      <x:c r="U200" s="102"/>
      <x:c r="V200" s="102"/>
      <x:c r="W200" s="102"/>
      <x:c r="X200" s="110"/>
      <x:c r="Y200" s="102"/>
      <x:c r="Z200" s="102"/>
      <x:c r="AA200" s="102"/>
    </x:row>
    <x:row r="201">
      <x:c r="A201" s="102" t="str">
        <x:v>VESSEL_00200</x:v>
      </x:c>
      <x:c r="B201" s="102" t="str">
        <x:v>XIN FEI ZHOU</x:v>
      </x:c>
      <x:c r="C201" s="110" t="str">
        <x:v>9337937</x:v>
      </x:c>
      <x:c r="D201" s="102"/>
      <x:c r="E201" s="102"/>
      <x:c r="F201" s="102" t="str">
        <x:v>Container / liner vessel</x:v>
      </x:c>
      <x:c r="G201" s="102" t="str">
        <x:v>Current carrier schedule seed</x:v>
      </x:c>
      <x:c r="H201" s="102"/>
      <x:c r="I201" s="102"/>
      <x:c r="J201" s="102"/>
      <x:c r="K201" s="102"/>
      <x:c r="L201" s="102"/>
      <x:c r="M201" s="102"/>
      <x:c r="N201" s="102"/>
      <x:c r="O201" s="102"/>
      <x:c r="P201" s="102"/>
      <x:c r="Q201" s="102" t="str">
        <x:v>Operating / schedule-observed</x:v>
      </x:c>
      <x:c r="R201" s="102" t="str">
        <x:v>SRC_0194</x:v>
      </x:c>
      <x:c r="S201" s="102" t="str">
        <x:v>Observed in COSCO schedule. This establishes service/deployment evidence only; legal owner, beneficial owner, technical manager and actual vessel operator are not inferred from the schedule.</x:v>
      </x:c>
      <x:c r="T201" s="102"/>
      <x:c r="U201" s="102"/>
      <x:c r="V201" s="102"/>
      <x:c r="W201" s="102"/>
      <x:c r="X201" s="110"/>
      <x:c r="Y201" s="102"/>
      <x:c r="Z201" s="102"/>
      <x:c r="AA201" s="102"/>
    </x:row>
    <x:row r="202">
      <x:c r="A202" s="102" t="str">
        <x:v>VESSEL_00201</x:v>
      </x:c>
      <x:c r="B202" s="102" t="str">
        <x:v>XIN TAI CANG</x:v>
      </x:c>
      <x:c r="C202" s="110" t="str">
        <x:v>9320465</x:v>
      </x:c>
      <x:c r="D202" s="102"/>
      <x:c r="E202" s="102"/>
      <x:c r="F202" s="102" t="str">
        <x:v>Container / liner vessel</x:v>
      </x:c>
      <x:c r="G202" s="102" t="str">
        <x:v>Current carrier schedule seed</x:v>
      </x:c>
      <x:c r="H202" s="102"/>
      <x:c r="I202" s="102"/>
      <x:c r="J202" s="102"/>
      <x:c r="K202" s="102"/>
      <x:c r="L202" s="102"/>
      <x:c r="M202" s="102"/>
      <x:c r="N202" s="102"/>
      <x:c r="O202" s="102"/>
      <x:c r="P202" s="102"/>
      <x:c r="Q202" s="102" t="str">
        <x:v>Operating / schedule-observed</x:v>
      </x:c>
      <x:c r="R202" s="102" t="str">
        <x:v>SRC_0194</x:v>
      </x:c>
      <x:c r="S202" s="102" t="str">
        <x:v>Observed in COSCO schedule. This establishes service/deployment evidence only; legal owner, beneficial owner, technical manager and actual vessel operator are not inferred from the schedule.</x:v>
      </x:c>
      <x:c r="T202" s="102"/>
      <x:c r="U202" s="102"/>
      <x:c r="V202" s="102"/>
      <x:c r="W202" s="102"/>
      <x:c r="X202" s="110"/>
      <x:c r="Y202" s="102"/>
      <x:c r="Z202" s="102"/>
      <x:c r="AA202" s="102"/>
    </x:row>
    <x:row r="203">
      <x:c r="A203" s="102" t="str">
        <x:v>VESSEL_00202</x:v>
      </x:c>
      <x:c r="B203" s="102" t="str">
        <x:v>SEASMILE</x:v>
      </x:c>
      <x:c r="C203" s="110" t="str">
        <x:v>9632820</x:v>
      </x:c>
      <x:c r="D203" s="102"/>
      <x:c r="E203" s="102"/>
      <x:c r="F203" s="102" t="str">
        <x:v>Container / liner vessel</x:v>
      </x:c>
      <x:c r="G203" s="102" t="str">
        <x:v>Current carrier schedule seed</x:v>
      </x:c>
      <x:c r="H203" s="102"/>
      <x:c r="I203" s="102"/>
      <x:c r="J203" s="102"/>
      <x:c r="K203" s="102"/>
      <x:c r="L203" s="102"/>
      <x:c r="M203" s="102"/>
      <x:c r="N203" s="102"/>
      <x:c r="O203" s="102"/>
      <x:c r="P203" s="102"/>
      <x:c r="Q203" s="102" t="str">
        <x:v>Operating / schedule-observed</x:v>
      </x:c>
      <x:c r="R203" s="102" t="str">
        <x:v>SRC_0194</x:v>
      </x:c>
      <x:c r="S203" s="102" t="str">
        <x:v>Observed in COSCO schedule. This establishes service/deployment evidence only; legal owner, beneficial owner, technical manager and actual vessel operator are not inferred from the schedule.</x:v>
      </x:c>
      <x:c r="T203" s="102"/>
      <x:c r="U203" s="102"/>
      <x:c r="V203" s="102"/>
      <x:c r="W203" s="102"/>
      <x:c r="X203" s="110"/>
      <x:c r="Y203" s="102"/>
      <x:c r="Z203" s="102"/>
      <x:c r="AA203" s="102"/>
    </x:row>
    <x:row r="204">
      <x:c r="A204" s="102" t="str">
        <x:v>VESSEL_00203</x:v>
      </x:c>
      <x:c r="B204" s="102" t="str">
        <x:v>HANSA BREITENBURG</x:v>
      </x:c>
      <x:c r="C204" s="110" t="str">
        <x:v>9155391</x:v>
      </x:c>
      <x:c r="D204" s="102"/>
      <x:c r="E204" s="102"/>
      <x:c r="F204" s="102" t="str">
        <x:v>Container / liner vessel</x:v>
      </x:c>
      <x:c r="G204" s="102" t="str">
        <x:v>Current carrier schedule seed</x:v>
      </x:c>
      <x:c r="H204" s="102"/>
      <x:c r="I204" s="102"/>
      <x:c r="J204" s="102"/>
      <x:c r="K204" s="102"/>
      <x:c r="L204" s="102"/>
      <x:c r="M204" s="102"/>
      <x:c r="N204" s="102"/>
      <x:c r="O204" s="102"/>
      <x:c r="P204" s="102"/>
      <x:c r="Q204" s="102" t="str">
        <x:v>Operating / schedule-observed</x:v>
      </x:c>
      <x:c r="R204" s="102" t="str">
        <x:v>SRC_0194</x:v>
      </x:c>
      <x:c r="S204" s="102" t="str">
        <x:v>Observed in COSCO schedule. This establishes service/deployment evidence only; legal owner, beneficial owner, technical manager and actual vessel operator are not inferred from the schedule.</x:v>
      </x:c>
      <x:c r="T204" s="102"/>
      <x:c r="U204" s="102"/>
      <x:c r="V204" s="102"/>
      <x:c r="W204" s="102"/>
      <x:c r="X204" s="110"/>
      <x:c r="Y204" s="102"/>
      <x:c r="Z204" s="102"/>
      <x:c r="AA204" s="102"/>
    </x:row>
    <x:row r="205">
      <x:c r="A205" s="102" t="str">
        <x:v>VESSEL_00204</x:v>
      </x:c>
      <x:c r="B205" s="102" t="str">
        <x:v>SMC COLUMBUS</x:v>
      </x:c>
      <x:c r="C205" s="110" t="str">
        <x:v>9961556</x:v>
      </x:c>
      <x:c r="D205" s="102"/>
      <x:c r="E205" s="102"/>
      <x:c r="F205" s="102" t="str">
        <x:v>Container / liner vessel</x:v>
      </x:c>
      <x:c r="G205" s="102" t="str">
        <x:v>Current carrier schedule seed</x:v>
      </x:c>
      <x:c r="H205" s="102"/>
      <x:c r="I205" s="102"/>
      <x:c r="J205" s="102"/>
      <x:c r="K205" s="102"/>
      <x:c r="L205" s="102"/>
      <x:c r="M205" s="102"/>
      <x:c r="N205" s="102"/>
      <x:c r="O205" s="102"/>
      <x:c r="P205" s="102"/>
      <x:c r="Q205" s="102" t="str">
        <x:v>Operating / schedule-observed</x:v>
      </x:c>
      <x:c r="R205" s="102" t="str">
        <x:v>SRC_0194</x:v>
      </x:c>
      <x:c r="S205" s="102" t="str">
        <x:v>Observed in COSCO schedule. This establishes service/deployment evidence only; legal owner, beneficial owner, technical manager and actual vessel operator are not inferred from the schedule.</x:v>
      </x:c>
      <x:c r="T205" s="102"/>
      <x:c r="U205" s="102"/>
      <x:c r="V205" s="102"/>
      <x:c r="W205" s="102"/>
      <x:c r="X205" s="110"/>
      <x:c r="Y205" s="102"/>
      <x:c r="Z205" s="102"/>
      <x:c r="AA205" s="102"/>
    </x:row>
    <x:row r="206">
      <x:c r="A206" s="102" t="str">
        <x:v>VESSEL_00205</x:v>
      </x:c>
      <x:c r="B206" s="102" t="str">
        <x:v>EVER FAR</x:v>
      </x:c>
      <x:c r="C206" s="110" t="str">
        <x:v>9850862</x:v>
      </x:c>
      <x:c r="D206" s="102"/>
      <x:c r="E206" s="102"/>
      <x:c r="F206" s="102" t="str">
        <x:v>Container / liner vessel</x:v>
      </x:c>
      <x:c r="G206" s="102" t="str">
        <x:v>Current carrier schedule seed</x:v>
      </x:c>
      <x:c r="H206" s="102"/>
      <x:c r="I206" s="102"/>
      <x:c r="J206" s="102"/>
      <x:c r="K206" s="102"/>
      <x:c r="L206" s="102"/>
      <x:c r="M206" s="102"/>
      <x:c r="N206" s="102"/>
      <x:c r="O206" s="102"/>
      <x:c r="P206" s="102"/>
      <x:c r="Q206" s="102" t="str">
        <x:v>Operating / schedule-observed</x:v>
      </x:c>
      <x:c r="R206" s="102" t="str">
        <x:v>SRC_0195</x:v>
      </x:c>
      <x:c r="S206" s="102" t="str">
        <x:v>Observed in Evergreen schedule. This establishes service/deployment evidence only; legal owner, beneficial owner, technical manager and actual vessel operator are not inferred from the schedule.</x:v>
      </x:c>
      <x:c r="T206" s="102"/>
      <x:c r="U206" s="102"/>
      <x:c r="V206" s="102"/>
      <x:c r="W206" s="102"/>
      <x:c r="X206" s="110"/>
      <x:c r="Y206" s="102"/>
      <x:c r="Z206" s="102"/>
      <x:c r="AA206" s="102"/>
    </x:row>
    <x:row r="207">
      <x:c r="A207" s="102" t="str">
        <x:v>VESSEL_00206</x:v>
      </x:c>
      <x:c r="B207" s="102" t="str">
        <x:v>EVER BEFIT</x:v>
      </x:c>
      <x:c r="C207" s="110" t="str">
        <x:v>9784128</x:v>
      </x:c>
      <x:c r="D207" s="102"/>
      <x:c r="E207" s="102"/>
      <x:c r="F207" s="102" t="str">
        <x:v>Container / liner vessel</x:v>
      </x:c>
      <x:c r="G207" s="102" t="str">
        <x:v>Current carrier schedule seed</x:v>
      </x:c>
      <x:c r="H207" s="102"/>
      <x:c r="I207" s="102"/>
      <x:c r="J207" s="102"/>
      <x:c r="K207" s="102"/>
      <x:c r="L207" s="102"/>
      <x:c r="M207" s="102"/>
      <x:c r="N207" s="102"/>
      <x:c r="O207" s="102"/>
      <x:c r="P207" s="102"/>
      <x:c r="Q207" s="102" t="str">
        <x:v>Operating / schedule-observed</x:v>
      </x:c>
      <x:c r="R207" s="102" t="str">
        <x:v>SRC_0195</x:v>
      </x:c>
      <x:c r="S207" s="102" t="str">
        <x:v>Observed in Evergreen schedule. This establishes service/deployment evidence only; legal owner, beneficial owner, technical manager and actual vessel operator are not inferred from the schedule.</x:v>
      </x:c>
      <x:c r="T207" s="102"/>
      <x:c r="U207" s="102"/>
      <x:c r="V207" s="102"/>
      <x:c r="W207" s="102"/>
      <x:c r="X207" s="110"/>
      <x:c r="Y207" s="102"/>
      <x:c r="Z207" s="102"/>
      <x:c r="AA207" s="102"/>
    </x:row>
    <x:row r="208">
      <x:c r="A208" s="102" t="str">
        <x:v>VESSEL_00207</x:v>
      </x:c>
      <x:c r="B208" s="102" t="str">
        <x:v>EVER LINKING</x:v>
      </x:c>
      <x:c r="C208" s="110" t="str">
        <x:v>9629043</x:v>
      </x:c>
      <x:c r="D208" s="102"/>
      <x:c r="E208" s="102"/>
      <x:c r="F208" s="102" t="str">
        <x:v>Container / liner vessel</x:v>
      </x:c>
      <x:c r="G208" s="102" t="str">
        <x:v>Current carrier schedule seed</x:v>
      </x:c>
      <x:c r="H208" s="102"/>
      <x:c r="I208" s="102"/>
      <x:c r="J208" s="102"/>
      <x:c r="K208" s="102"/>
      <x:c r="L208" s="102"/>
      <x:c r="M208" s="102"/>
      <x:c r="N208" s="102"/>
      <x:c r="O208" s="102"/>
      <x:c r="P208" s="102"/>
      <x:c r="Q208" s="102" t="str">
        <x:v>Operating / schedule-observed</x:v>
      </x:c>
      <x:c r="R208" s="102" t="str">
        <x:v>SRC_0195</x:v>
      </x:c>
      <x:c r="S208" s="102" t="str">
        <x:v>Observed in Evergreen schedule. This establishes service/deployment evidence only; legal owner, beneficial owner, technical manager and actual vessel operator are not inferred from the schedule.</x:v>
      </x:c>
      <x:c r="T208" s="102"/>
      <x:c r="U208" s="102"/>
      <x:c r="V208" s="102"/>
      <x:c r="W208" s="102"/>
      <x:c r="X208" s="110"/>
      <x:c r="Y208" s="102"/>
      <x:c r="Z208" s="102"/>
      <x:c r="AA208" s="102"/>
    </x:row>
    <x:row r="209">
      <x:c r="A209" s="102" t="str">
        <x:v>VESSEL_00208</x:v>
      </x:c>
      <x:c r="B209" s="102" t="str">
        <x:v>EVER MEMO</x:v>
      </x:c>
      <x:c r="C209" s="110" t="str">
        <x:v>9935272</x:v>
      </x:c>
      <x:c r="D209" s="102"/>
      <x:c r="E209" s="102"/>
      <x:c r="F209" s="102" t="str">
        <x:v>Container / liner vessel</x:v>
      </x:c>
      <x:c r="G209" s="102" t="str">
        <x:v>Current carrier schedule seed</x:v>
      </x:c>
      <x:c r="H209" s="102"/>
      <x:c r="I209" s="102"/>
      <x:c r="J209" s="102"/>
      <x:c r="K209" s="102"/>
      <x:c r="L209" s="102"/>
      <x:c r="M209" s="102"/>
      <x:c r="N209" s="102"/>
      <x:c r="O209" s="102"/>
      <x:c r="P209" s="102"/>
      <x:c r="Q209" s="102" t="str">
        <x:v>Operating / schedule-observed</x:v>
      </x:c>
      <x:c r="R209" s="102" t="str">
        <x:v>SRC_0195</x:v>
      </x:c>
      <x:c r="S209" s="102" t="str">
        <x:v>Observed in Evergreen schedule. This establishes service/deployment evidence only; legal owner, beneficial owner, technical manager and actual vessel operator are not inferred from the schedule.</x:v>
      </x:c>
      <x:c r="T209" s="102"/>
      <x:c r="U209" s="102"/>
      <x:c r="V209" s="102"/>
      <x:c r="W209" s="102"/>
      <x:c r="X209" s="110"/>
      <x:c r="Y209" s="102"/>
      <x:c r="Z209" s="102"/>
      <x:c r="AA209" s="102"/>
    </x:row>
    <x:row r="210">
      <x:c r="A210" s="102" t="str">
        <x:v>VESSEL_00209</x:v>
      </x:c>
      <x:c r="B210" s="102" t="str">
        <x:v>NORTHERN PRACTISE</x:v>
      </x:c>
      <x:c r="C210" s="110" t="str">
        <x:v>9450301</x:v>
      </x:c>
      <x:c r="D210" s="102"/>
      <x:c r="E210" s="102"/>
      <x:c r="F210" s="102" t="str">
        <x:v>Container / liner vessel</x:v>
      </x:c>
      <x:c r="G210" s="102" t="str">
        <x:v>Current carrier schedule seed</x:v>
      </x:c>
      <x:c r="H210" s="102"/>
      <x:c r="I210" s="102"/>
      <x:c r="J210" s="102"/>
      <x:c r="K210" s="102"/>
      <x:c r="L210" s="102"/>
      <x:c r="M210" s="102"/>
      <x:c r="N210" s="102"/>
      <x:c r="O210" s="102"/>
      <x:c r="P210" s="102"/>
      <x:c r="Q210" s="102" t="str">
        <x:v>Operating / schedule-observed</x:v>
      </x:c>
      <x:c r="R210" s="102" t="str">
        <x:v>SRC_0195</x:v>
      </x:c>
      <x:c r="S210" s="102" t="str">
        <x:v>Observed in Evergreen schedule. This establishes service/deployment evidence only; legal owner, beneficial owner, technical manager and actual vessel operator are not inferred from the schedule.</x:v>
      </x:c>
      <x:c r="T210" s="102"/>
      <x:c r="U210" s="102"/>
      <x:c r="V210" s="102"/>
      <x:c r="W210" s="102"/>
      <x:c r="X210" s="110"/>
      <x:c r="Y210" s="102"/>
      <x:c r="Z210" s="102"/>
      <x:c r="AA210" s="102"/>
    </x:row>
    <x:row r="211">
      <x:c r="A211" s="102" t="str">
        <x:v>VESSEL_00210</x:v>
      </x:c>
      <x:c r="B211" s="102" t="str">
        <x:v>VALPARAISO EXPRESS</x:v>
      </x:c>
      <x:c r="C211" s="110" t="str">
        <x:v>9777589</x:v>
      </x:c>
      <x:c r="D211" s="102"/>
      <x:c r="E211" s="102"/>
      <x:c r="F211" s="102" t="str">
        <x:v>Container / liner vessel</x:v>
      </x:c>
      <x:c r="G211" s="102" t="str">
        <x:v>Current carrier schedule seed</x:v>
      </x:c>
      <x:c r="H211" s="102"/>
      <x:c r="I211" s="102"/>
      <x:c r="J211" s="102"/>
      <x:c r="K211" s="102"/>
      <x:c r="L211" s="102"/>
      <x:c r="M211" s="102"/>
      <x:c r="N211" s="102"/>
      <x:c r="O211" s="102"/>
      <x:c r="P211" s="102"/>
      <x:c r="Q211" s="102" t="str">
        <x:v>Operating / schedule-observed</x:v>
      </x:c>
      <x:c r="R211" s="102" t="str">
        <x:v>SRC_0196</x:v>
      </x:c>
      <x:c r="S211" s="102" t="str">
        <x:v>Observed in Hapag-Lloyd schedule. This establishes service/deployment evidence only; legal owner, beneficial owner, technical manager and actual vessel operator are not inferred from the schedule.</x:v>
      </x:c>
      <x:c r="T211" s="102"/>
      <x:c r="U211" s="102"/>
      <x:c r="V211" s="102"/>
      <x:c r="W211" s="102"/>
      <x:c r="X211" s="110"/>
      <x:c r="Y211" s="102"/>
      <x:c r="Z211" s="102"/>
      <x:c r="AA211" s="102"/>
    </x:row>
    <x:row r="212">
      <x:c r="A212" s="102" t="str">
        <x:v>VESSEL_00211</x:v>
      </x:c>
      <x:c r="B212" s="102" t="str">
        <x:v>SALERNO EXPRESS</x:v>
      </x:c>
      <x:c r="C212" s="110" t="str">
        <x:v>9439761</x:v>
      </x:c>
      <x:c r="D212" s="102"/>
      <x:c r="E212" s="102"/>
      <x:c r="F212" s="102" t="str">
        <x:v>Container / liner vessel</x:v>
      </x:c>
      <x:c r="G212" s="102" t="str">
        <x:v>Current carrier schedule seed</x:v>
      </x:c>
      <x:c r="H212" s="102"/>
      <x:c r="I212" s="102"/>
      <x:c r="J212" s="102"/>
      <x:c r="K212" s="102"/>
      <x:c r="L212" s="102"/>
      <x:c r="M212" s="102"/>
      <x:c r="N212" s="102"/>
      <x:c r="O212" s="102"/>
      <x:c r="P212" s="102"/>
      <x:c r="Q212" s="102" t="str">
        <x:v>Operating / schedule-observed</x:v>
      </x:c>
      <x:c r="R212" s="102" t="str">
        <x:v>SRC_0196</x:v>
      </x:c>
      <x:c r="S212" s="102" t="str">
        <x:v>Observed in Hapag-Lloyd schedule. This establishes service/deployment evidence only; legal owner, beneficial owner, technical manager and actual vessel operator are not inferred from the schedule.</x:v>
      </x:c>
      <x:c r="T212" s="102"/>
      <x:c r="U212" s="102"/>
      <x:c r="V212" s="102"/>
      <x:c r="W212" s="102"/>
      <x:c r="X212" s="110"/>
      <x:c r="Y212" s="102"/>
      <x:c r="Z212" s="102"/>
      <x:c r="AA212" s="102"/>
    </x:row>
    <x:row r="213">
      <x:c r="A213" s="102" t="str">
        <x:v>VESSEL_00212</x:v>
      </x:c>
      <x:c r="B213" s="102" t="str">
        <x:v>CARTAGENA EXPRESS</x:v>
      </x:c>
      <x:c r="C213" s="110" t="str">
        <x:v>9777618</x:v>
      </x:c>
      <x:c r="D213" s="102"/>
      <x:c r="E213" s="102"/>
      <x:c r="F213" s="102" t="str">
        <x:v>Container / liner vessel</x:v>
      </x:c>
      <x:c r="G213" s="102" t="str">
        <x:v>Current carrier schedule seed</x:v>
      </x:c>
      <x:c r="H213" s="102"/>
      <x:c r="I213" s="102"/>
      <x:c r="J213" s="102"/>
      <x:c r="K213" s="102"/>
      <x:c r="L213" s="102"/>
      <x:c r="M213" s="102"/>
      <x:c r="N213" s="102"/>
      <x:c r="O213" s="102"/>
      <x:c r="P213" s="102"/>
      <x:c r="Q213" s="102" t="str">
        <x:v>Operating / schedule-observed</x:v>
      </x:c>
      <x:c r="R213" s="102" t="str">
        <x:v>SRC_0196</x:v>
      </x:c>
      <x:c r="S213" s="102" t="str">
        <x:v>Observed in Hapag-Lloyd schedule. This establishes service/deployment evidence only; legal owner, beneficial owner, technical manager and actual vessel operator are not inferred from the schedule.</x:v>
      </x:c>
      <x:c r="T213" s="102"/>
      <x:c r="U213" s="102"/>
      <x:c r="V213" s="102"/>
      <x:c r="W213" s="102"/>
      <x:c r="X213" s="110"/>
      <x:c r="Y213" s="102"/>
      <x:c r="Z213" s="102"/>
      <x:c r="AA213" s="102"/>
    </x:row>
    <x:row r="214">
      <x:c r="A214" s="102" t="str">
        <x:v>VESSEL_00213</x:v>
      </x:c>
      <x:c r="B214" s="102" t="str">
        <x:v>DAMIETTA EXPRESS</x:v>
      </x:c>
      <x:c r="C214" s="110" t="str">
        <x:v>9543108</x:v>
      </x:c>
      <x:c r="D214" s="102"/>
      <x:c r="E214" s="102"/>
      <x:c r="F214" s="102" t="str">
        <x:v>Container / liner vessel</x:v>
      </x:c>
      <x:c r="G214" s="102" t="str">
        <x:v>Current carrier schedule seed</x:v>
      </x:c>
      <x:c r="H214" s="102"/>
      <x:c r="I214" s="102"/>
      <x:c r="J214" s="102"/>
      <x:c r="K214" s="102"/>
      <x:c r="L214" s="102"/>
      <x:c r="M214" s="102"/>
      <x:c r="N214" s="102"/>
      <x:c r="O214" s="102"/>
      <x:c r="P214" s="102"/>
      <x:c r="Q214" s="102" t="str">
        <x:v>Operating / schedule-observed</x:v>
      </x:c>
      <x:c r="R214" s="102" t="str">
        <x:v>SRC_0196</x:v>
      </x:c>
      <x:c r="S214" s="102" t="str">
        <x:v>Observed in Hapag-Lloyd schedule. This establishes service/deployment evidence only; legal owner, beneficial owner, technical manager and actual vessel operator are not inferred from the schedule.</x:v>
      </x:c>
      <x:c r="T214" s="102"/>
      <x:c r="U214" s="102"/>
      <x:c r="V214" s="102"/>
      <x:c r="W214" s="102"/>
      <x:c r="X214" s="110"/>
      <x:c r="Y214" s="102"/>
      <x:c r="Z214" s="102"/>
      <x:c r="AA214" s="102"/>
    </x:row>
    <x:row r="215">
      <x:c r="A215" s="102" t="str">
        <x:v>VESSEL_00214</x:v>
      </x:c>
      <x:c r="B215" s="102" t="str">
        <x:v>AL NASRIYAH</x:v>
      </x:c>
      <x:c r="C215" s="110" t="str">
        <x:v>9708849</x:v>
      </x:c>
      <x:c r="D215" s="102"/>
      <x:c r="E215" s="102"/>
      <x:c r="F215" s="102" t="str">
        <x:v>Container / liner vessel</x:v>
      </x:c>
      <x:c r="G215" s="102" t="str">
        <x:v>Current carrier schedule seed</x:v>
      </x:c>
      <x:c r="H215" s="102"/>
      <x:c r="I215" s="102"/>
      <x:c r="J215" s="102"/>
      <x:c r="K215" s="102"/>
      <x:c r="L215" s="102"/>
      <x:c r="M215" s="102"/>
      <x:c r="N215" s="102"/>
      <x:c r="O215" s="102"/>
      <x:c r="P215" s="102"/>
      <x:c r="Q215" s="102" t="str">
        <x:v>Operating / schedule-observed</x:v>
      </x:c>
      <x:c r="R215" s="102" t="str">
        <x:v>SRC_0196</x:v>
      </x:c>
      <x:c r="S215" s="102" t="str">
        <x:v>Observed in Hapag-Lloyd schedule. This establishes service/deployment evidence only; legal owner, beneficial owner, technical manager and actual vessel operator are not inferred from the schedule.</x:v>
      </x:c>
      <x:c r="T215" s="102"/>
      <x:c r="U215" s="102"/>
      <x:c r="V215" s="102"/>
      <x:c r="W215" s="102"/>
      <x:c r="X215" s="110"/>
      <x:c r="Y215" s="102"/>
      <x:c r="Z215" s="102"/>
      <x:c r="AA215" s="102"/>
    </x:row>
    <x:row r="216">
      <x:c r="A216" s="102" t="str">
        <x:v>VESSEL_00215</x:v>
      </x:c>
      <x:c r="B216" s="102" t="str">
        <x:v>NYK FUJI</x:v>
      </x:c>
      <x:c r="C216" s="110" t="str">
        <x:v>9482938</x:v>
      </x:c>
      <x:c r="D216" s="102"/>
      <x:c r="E216" s="102"/>
      <x:c r="F216" s="102" t="str">
        <x:v>Container / liner vessel</x:v>
      </x:c>
      <x:c r="G216" s="102" t="str">
        <x:v>Current carrier schedule seed</x:v>
      </x:c>
      <x:c r="H216" s="102"/>
      <x:c r="I216" s="102"/>
      <x:c r="J216" s="102"/>
      <x:c r="K216" s="102"/>
      <x:c r="L216" s="102"/>
      <x:c r="M216" s="102"/>
      <x:c r="N216" s="102"/>
      <x:c r="O216" s="102"/>
      <x:c r="P216" s="102"/>
      <x:c r="Q216" s="102" t="str">
        <x:v>Operating / schedule-observed</x:v>
      </x:c>
      <x:c r="R216" s="102" t="str">
        <x:v>SRC_0197</x:v>
      </x:c>
      <x:c r="S216" s="102" t="str">
        <x:v>Observed in ONE schedule. This establishes service/deployment evidence only; legal owner, beneficial owner, technical manager and actual vessel operator are not inferred from the schedule.</x:v>
      </x:c>
      <x:c r="T216" s="102"/>
      <x:c r="U216" s="102"/>
      <x:c r="V216" s="102"/>
      <x:c r="W216" s="102"/>
      <x:c r="X216" s="110"/>
      <x:c r="Y216" s="102"/>
      <x:c r="Z216" s="102"/>
      <x:c r="AA216" s="102"/>
    </x:row>
    <x:row r="217">
      <x:c r="A217" s="102" t="str">
        <x:v>VESSEL_00216</x:v>
      </x:c>
      <x:c r="B217" s="102" t="str">
        <x:v>ONE SPHERE</x:v>
      </x:c>
      <x:c r="C217" s="110" t="str">
        <x:v>9975624</x:v>
      </x:c>
      <x:c r="D217" s="102"/>
      <x:c r="E217" s="102"/>
      <x:c r="F217" s="102" t="str">
        <x:v>Container / liner vessel</x:v>
      </x:c>
      <x:c r="G217" s="102" t="str">
        <x:v>Current carrier schedule seed</x:v>
      </x:c>
      <x:c r="H217" s="102"/>
      <x:c r="I217" s="102"/>
      <x:c r="J217" s="102"/>
      <x:c r="K217" s="102"/>
      <x:c r="L217" s="102"/>
      <x:c r="M217" s="102"/>
      <x:c r="N217" s="102"/>
      <x:c r="O217" s="102"/>
      <x:c r="P217" s="102"/>
      <x:c r="Q217" s="102" t="str">
        <x:v>Operating / schedule-observed</x:v>
      </x:c>
      <x:c r="R217" s="102" t="str">
        <x:v>SRC_0197</x:v>
      </x:c>
      <x:c r="S217" s="102" t="str">
        <x:v>Observed in ONE schedule. This establishes service/deployment evidence only; legal owner, beneficial owner, technical manager and actual vessel operator are not inferred from the schedule.</x:v>
      </x:c>
      <x:c r="T217" s="102"/>
      <x:c r="U217" s="102"/>
      <x:c r="V217" s="102"/>
      <x:c r="W217" s="102"/>
      <x:c r="X217" s="110"/>
      <x:c r="Y217" s="102"/>
      <x:c r="Z217" s="102"/>
      <x:c r="AA217" s="102"/>
    </x:row>
    <x:row r="218">
      <x:c r="A218" s="102" t="str">
        <x:v>VESSEL_00217</x:v>
      </x:c>
      <x:c r="B218" s="102" t="str">
        <x:v>NYK VENUS</x:v>
      </x:c>
      <x:c r="C218" s="110" t="str">
        <x:v>9312793</x:v>
      </x:c>
      <x:c r="D218" s="102"/>
      <x:c r="E218" s="102"/>
      <x:c r="F218" s="102" t="str">
        <x:v>Container / liner vessel</x:v>
      </x:c>
      <x:c r="G218" s="102" t="str">
        <x:v>Current carrier schedule seed</x:v>
      </x:c>
      <x:c r="H218" s="102"/>
      <x:c r="I218" s="102"/>
      <x:c r="J218" s="102"/>
      <x:c r="K218" s="102"/>
      <x:c r="L218" s="102"/>
      <x:c r="M218" s="102"/>
      <x:c r="N218" s="102"/>
      <x:c r="O218" s="102"/>
      <x:c r="P218" s="102"/>
      <x:c r="Q218" s="102" t="str">
        <x:v>Operating / schedule-observed</x:v>
      </x:c>
      <x:c r="R218" s="102" t="str">
        <x:v>SRC_0197</x:v>
      </x:c>
      <x:c r="S218" s="102" t="str">
        <x:v>Observed in ONE schedule. This establishes service/deployment evidence only; legal owner, beneficial owner, technical manager and actual vessel operator are not inferred from the schedule.</x:v>
      </x:c>
      <x:c r="T218" s="102"/>
      <x:c r="U218" s="102"/>
      <x:c r="V218" s="102"/>
      <x:c r="W218" s="102"/>
      <x:c r="X218" s="110"/>
      <x:c r="Y218" s="102"/>
      <x:c r="Z218" s="102"/>
      <x:c r="AA218" s="102"/>
    </x:row>
    <x:row r="219">
      <x:c r="A219" s="102" t="str">
        <x:v>VESSEL_00218</x:v>
      </x:c>
      <x:c r="B219" s="102" t="str">
        <x:v>ONE MODERN</x:v>
      </x:c>
      <x:c r="C219" s="110" t="str">
        <x:v>9475636</x:v>
      </x:c>
      <x:c r="D219" s="102"/>
      <x:c r="E219" s="102"/>
      <x:c r="F219" s="102" t="str">
        <x:v>Container / liner vessel</x:v>
      </x:c>
      <x:c r="G219" s="102" t="str">
        <x:v>Current carrier schedule seed</x:v>
      </x:c>
      <x:c r="H219" s="102"/>
      <x:c r="I219" s="102"/>
      <x:c r="J219" s="102"/>
      <x:c r="K219" s="102"/>
      <x:c r="L219" s="102"/>
      <x:c r="M219" s="102"/>
      <x:c r="N219" s="102"/>
      <x:c r="O219" s="102"/>
      <x:c r="P219" s="102"/>
      <x:c r="Q219" s="102" t="str">
        <x:v>Operating / schedule-observed</x:v>
      </x:c>
      <x:c r="R219" s="102" t="str">
        <x:v>SRC_0197</x:v>
      </x:c>
      <x:c r="S219" s="102" t="str">
        <x:v>Observed in ONE schedule. This establishes service/deployment evidence only; legal owner, beneficial owner, technical manager and actual vessel operator are not inferred from the schedule.</x:v>
      </x:c>
      <x:c r="T219" s="102"/>
      <x:c r="U219" s="102"/>
      <x:c r="V219" s="102"/>
      <x:c r="W219" s="102"/>
      <x:c r="X219" s="110"/>
      <x:c r="Y219" s="102"/>
      <x:c r="Z219" s="102"/>
      <x:c r="AA219" s="102"/>
    </x:row>
    <x:row r="220">
      <x:c r="A220" s="102" t="str">
        <x:v>VESSEL_00219</x:v>
      </x:c>
      <x:c r="B220" s="102" t="str">
        <x:v>ONE MILLAU</x:v>
      </x:c>
      <x:c r="C220" s="110" t="str">
        <x:v>9706736</x:v>
      </x:c>
      <x:c r="D220" s="102"/>
      <x:c r="E220" s="102"/>
      <x:c r="F220" s="102" t="str">
        <x:v>Container / liner vessel</x:v>
      </x:c>
      <x:c r="G220" s="102" t="str">
        <x:v>Current carrier schedule seed</x:v>
      </x:c>
      <x:c r="H220" s="102"/>
      <x:c r="I220" s="102"/>
      <x:c r="J220" s="102"/>
      <x:c r="K220" s="102"/>
      <x:c r="L220" s="102"/>
      <x:c r="M220" s="102"/>
      <x:c r="N220" s="102"/>
      <x:c r="O220" s="102"/>
      <x:c r="P220" s="102"/>
      <x:c r="Q220" s="102" t="str">
        <x:v>Operating / schedule-observed</x:v>
      </x:c>
      <x:c r="R220" s="102" t="str">
        <x:v>SRC_0197</x:v>
      </x:c>
      <x:c r="S220" s="102" t="str">
        <x:v>Observed in ONE schedule. This establishes service/deployment evidence only; legal owner, beneficial owner, technical manager and actual vessel operator are not inferred from the schedule.</x:v>
      </x:c>
      <x:c r="T220" s="102"/>
      <x:c r="U220" s="102"/>
      <x:c r="V220" s="102"/>
      <x:c r="W220" s="102"/>
      <x:c r="X220" s="110"/>
      <x:c r="Y220" s="102"/>
      <x:c r="Z220" s="102"/>
      <x:c r="AA220" s="102"/>
    </x:row>
    <x:row r="221">
      <x:c r="A221" s="102" t="str">
        <x:v>VESSEL_00220</x:v>
      </x:c>
      <x:c r="B221" s="102" t="str">
        <x:v>IBN AL ABBAR</x:v>
      </x:c>
      <x:c r="C221" s="110" t="str">
        <x:v>9194490</x:v>
      </x:c>
      <x:c r="D221" s="102"/>
      <x:c r="E221" s="102"/>
      <x:c r="F221" s="102" t="str">
        <x:v>Container / liner vessel</x:v>
      </x:c>
      <x:c r="G221" s="102" t="str">
        <x:v>Current carrier schedule seed</x:v>
      </x:c>
      <x:c r="H221" s="102"/>
      <x:c r="I221" s="102"/>
      <x:c r="J221" s="102"/>
      <x:c r="K221" s="102"/>
      <x:c r="L221" s="102"/>
      <x:c r="M221" s="102"/>
      <x:c r="N221" s="102"/>
      <x:c r="O221" s="102"/>
      <x:c r="P221" s="102"/>
      <x:c r="Q221" s="102" t="str">
        <x:v>Operating / schedule-observed</x:v>
      </x:c>
      <x:c r="R221" s="102" t="str">
        <x:v>SRC_0198</x:v>
      </x:c>
      <x:c r="S221" s="102" t="str">
        <x:v>Observed in Yang Ming schedule. This establishes service/deployment evidence only; legal owner, beneficial owner, technical manager and actual vessel operator are not inferred from the schedule.</x:v>
      </x:c>
      <x:c r="T221" s="102"/>
      <x:c r="U221" s="102"/>
      <x:c r="V221" s="102"/>
      <x:c r="W221" s="102"/>
      <x:c r="X221" s="110"/>
      <x:c r="Y221" s="102"/>
      <x:c r="Z221" s="102"/>
      <x:c r="AA221" s="102"/>
    </x:row>
    <x:row r="222">
      <x:c r="A222" s="102" t="str">
        <x:v>VESSEL_00221</x:v>
      </x:c>
      <x:c r="B222" s="102" t="str">
        <x:v>YM CAPACITY</x:v>
      </x:c>
      <x:c r="C222" s="110" t="str">
        <x:v>9864540</x:v>
      </x:c>
      <x:c r="D222" s="102"/>
      <x:c r="E222" s="102"/>
      <x:c r="F222" s="102" t="str">
        <x:v>Container / liner vessel</x:v>
      </x:c>
      <x:c r="G222" s="102" t="str">
        <x:v>Current carrier schedule seed</x:v>
      </x:c>
      <x:c r="H222" s="102"/>
      <x:c r="I222" s="102"/>
      <x:c r="J222" s="102"/>
      <x:c r="K222" s="102"/>
      <x:c r="L222" s="102"/>
      <x:c r="M222" s="102"/>
      <x:c r="N222" s="102"/>
      <x:c r="O222" s="102"/>
      <x:c r="P222" s="102"/>
      <x:c r="Q222" s="102" t="str">
        <x:v>Operating / schedule-observed</x:v>
      </x:c>
      <x:c r="R222" s="102" t="str">
        <x:v>SRC_0198</x:v>
      </x:c>
      <x:c r="S222" s="102" t="str">
        <x:v>Observed in Yang Ming schedule. This establishes service/deployment evidence only; legal owner, beneficial owner, technical manager and actual vessel operator are not inferred from the schedule.</x:v>
      </x:c>
      <x:c r="T222" s="102"/>
      <x:c r="U222" s="102"/>
      <x:c r="V222" s="102"/>
      <x:c r="W222" s="102"/>
      <x:c r="X222" s="110"/>
      <x:c r="Y222" s="102"/>
      <x:c r="Z222" s="102"/>
      <x:c r="AA222" s="102"/>
    </x:row>
    <x:row r="223">
      <x:c r="A223" s="102" t="str">
        <x:v>VESSEL_00222</x:v>
      </x:c>
      <x:c r="B223" s="102" t="str">
        <x:v>YM INCEPTION</x:v>
      </x:c>
      <x:c r="C223" s="110" t="str">
        <x:v>9319155</x:v>
      </x:c>
      <x:c r="D223" s="102"/>
      <x:c r="E223" s="102"/>
      <x:c r="F223" s="102" t="str">
        <x:v>Container / liner vessel</x:v>
      </x:c>
      <x:c r="G223" s="102" t="str">
        <x:v>Current carrier schedule seed</x:v>
      </x:c>
      <x:c r="H223" s="102"/>
      <x:c r="I223" s="102"/>
      <x:c r="J223" s="102"/>
      <x:c r="K223" s="102"/>
      <x:c r="L223" s="102"/>
      <x:c r="M223" s="102"/>
      <x:c r="N223" s="102"/>
      <x:c r="O223" s="102"/>
      <x:c r="P223" s="102"/>
      <x:c r="Q223" s="102" t="str">
        <x:v>Operating / schedule-observed</x:v>
      </x:c>
      <x:c r="R223" s="102" t="str">
        <x:v>SRC_0198</x:v>
      </x:c>
      <x:c r="S223" s="102" t="str">
        <x:v>Observed in Yang Ming schedule. This establishes service/deployment evidence only; legal owner, beneficial owner, technical manager and actual vessel operator are not inferred from the schedule.</x:v>
      </x:c>
      <x:c r="T223" s="102"/>
      <x:c r="U223" s="102"/>
      <x:c r="V223" s="102"/>
      <x:c r="W223" s="102"/>
      <x:c r="X223" s="110"/>
      <x:c r="Y223" s="102"/>
      <x:c r="Z223" s="102"/>
      <x:c r="AA223" s="102"/>
    </x:row>
    <x:row r="224">
      <x:c r="A224" s="102" t="str">
        <x:v>VESSEL_00223</x:v>
      </x:c>
      <x:c r="B224" s="102" t="str">
        <x:v>YM EXCELLENCE</x:v>
      </x:c>
      <x:c r="C224" s="110" t="str">
        <x:v>9496616</x:v>
      </x:c>
      <x:c r="D224" s="102"/>
      <x:c r="E224" s="102"/>
      <x:c r="F224" s="102" t="str">
        <x:v>Container / liner vessel</x:v>
      </x:c>
      <x:c r="G224" s="102" t="str">
        <x:v>Current carrier schedule seed</x:v>
      </x:c>
      <x:c r="H224" s="102"/>
      <x:c r="I224" s="102"/>
      <x:c r="J224" s="102"/>
      <x:c r="K224" s="102"/>
      <x:c r="L224" s="102"/>
      <x:c r="M224" s="102"/>
      <x:c r="N224" s="102"/>
      <x:c r="O224" s="102"/>
      <x:c r="P224" s="102"/>
      <x:c r="Q224" s="102" t="str">
        <x:v>Operating / schedule-observed</x:v>
      </x:c>
      <x:c r="R224" s="102" t="str">
        <x:v>SRC_0198</x:v>
      </x:c>
      <x:c r="S224" s="102" t="str">
        <x:v>Observed in Yang Ming schedule. This establishes service/deployment evidence only; legal owner, beneficial owner, technical manager and actual vessel operator are not inferred from the schedule.</x:v>
      </x:c>
      <x:c r="T224" s="102"/>
      <x:c r="U224" s="102"/>
      <x:c r="V224" s="102"/>
      <x:c r="W224" s="102"/>
      <x:c r="X224" s="110"/>
      <x:c r="Y224" s="102"/>
      <x:c r="Z224" s="102"/>
      <x:c r="AA224" s="102"/>
    </x:row>
    <x:row r="225">
      <x:c r="A225" s="102" t="str">
        <x:v>VESSEL_00224</x:v>
      </x:c>
      <x:c r="B225" s="102" t="str">
        <x:v>YM IMMENSE</x:v>
      </x:c>
      <x:c r="C225" s="110" t="str">
        <x:v>9319131</x:v>
      </x:c>
      <x:c r="D225" s="102"/>
      <x:c r="E225" s="102"/>
      <x:c r="F225" s="102" t="str">
        <x:v>Container / liner vessel</x:v>
      </x:c>
      <x:c r="G225" s="102" t="str">
        <x:v>Current carrier schedule seed</x:v>
      </x:c>
      <x:c r="H225" s="102"/>
      <x:c r="I225" s="102"/>
      <x:c r="J225" s="102"/>
      <x:c r="K225" s="102"/>
      <x:c r="L225" s="102"/>
      <x:c r="M225" s="102"/>
      <x:c r="N225" s="102"/>
      <x:c r="O225" s="102"/>
      <x:c r="P225" s="102"/>
      <x:c r="Q225" s="102" t="str">
        <x:v>Operating / schedule-observed</x:v>
      </x:c>
      <x:c r="R225" s="102" t="str">
        <x:v>SRC_0198</x:v>
      </x:c>
      <x:c r="S225" s="102" t="str">
        <x:v>Observed in Yang Ming schedule. This establishes service/deployment evidence only; legal owner, beneficial owner, technical manager and actual vessel operator are not inferred from the schedule.</x:v>
      </x:c>
      <x:c r="T225" s="102"/>
      <x:c r="U225" s="102"/>
      <x:c r="V225" s="102"/>
      <x:c r="W225" s="102"/>
      <x:c r="X225" s="110"/>
      <x:c r="Y225" s="102"/>
      <x:c r="Z225" s="102"/>
      <x:c r="AA225" s="102"/>
    </x:row>
    <x:row r="226">
      <x:c r="A226" s="102" t="str">
        <x:v>VESSEL_00225</x:v>
      </x:c>
      <x:c r="B226" s="102" t="str">
        <x:v>HMM VANCOUVER</x:v>
      </x:c>
      <x:c r="C226" s="110" t="str">
        <x:v>9463085</x:v>
      </x:c>
      <x:c r="D226" s="102"/>
      <x:c r="E226" s="102"/>
      <x:c r="F226" s="102" t="str">
        <x:v>Container / liner vessel</x:v>
      </x:c>
      <x:c r="G226" s="102" t="str">
        <x:v>Current carrier schedule seed</x:v>
      </x:c>
      <x:c r="H226" s="102"/>
      <x:c r="I226" s="102"/>
      <x:c r="J226" s="102"/>
      <x:c r="K226" s="102"/>
      <x:c r="L226" s="102"/>
      <x:c r="M226" s="102"/>
      <x:c r="N226" s="102"/>
      <x:c r="O226" s="102"/>
      <x:c r="P226" s="102"/>
      <x:c r="Q226" s="102" t="str">
        <x:v>Operating / schedule-observed</x:v>
      </x:c>
      <x:c r="R226" s="102" t="str">
        <x:v>SRC_0199</x:v>
      </x:c>
      <x:c r="S226" s="102" t="str">
        <x:v>Observed in HMM schedule. This establishes service/deployment evidence only; legal owner, beneficial owner, technical manager and actual vessel operator are not inferred from the schedule.</x:v>
      </x:c>
      <x:c r="T226" s="102"/>
      <x:c r="U226" s="102"/>
      <x:c r="V226" s="102"/>
      <x:c r="W226" s="102"/>
      <x:c r="X226" s="110"/>
      <x:c r="Y226" s="102"/>
      <x:c r="Z226" s="102"/>
      <x:c r="AA226" s="102"/>
    </x:row>
    <x:row r="227">
      <x:c r="A227" s="102" t="str">
        <x:v>VESSEL_00226</x:v>
      </x:c>
      <x:c r="B227" s="102" t="str">
        <x:v>HMM EMERALD</x:v>
      </x:c>
      <x:c r="C227" s="110" t="str">
        <x:v>9944493</x:v>
      </x:c>
      <x:c r="D227" s="102"/>
      <x:c r="E227" s="102"/>
      <x:c r="F227" s="102" t="str">
        <x:v>Container / liner vessel</x:v>
      </x:c>
      <x:c r="G227" s="102" t="str">
        <x:v>Current carrier schedule seed</x:v>
      </x:c>
      <x:c r="H227" s="102"/>
      <x:c r="I227" s="102"/>
      <x:c r="J227" s="102"/>
      <x:c r="K227" s="102"/>
      <x:c r="L227" s="102"/>
      <x:c r="M227" s="102"/>
      <x:c r="N227" s="102"/>
      <x:c r="O227" s="102"/>
      <x:c r="P227" s="102"/>
      <x:c r="Q227" s="102" t="str">
        <x:v>Operating / schedule-observed</x:v>
      </x:c>
      <x:c r="R227" s="102" t="str">
        <x:v>SRC_0199</x:v>
      </x:c>
      <x:c r="S227" s="102" t="str">
        <x:v>Observed in HMM schedule. This establishes service/deployment evidence only; legal owner, beneficial owner, technical manager and actual vessel operator are not inferred from the schedule.</x:v>
      </x:c>
      <x:c r="T227" s="102"/>
      <x:c r="U227" s="102"/>
      <x:c r="V227" s="102"/>
      <x:c r="W227" s="102"/>
      <x:c r="X227" s="110"/>
      <x:c r="Y227" s="102"/>
      <x:c r="Z227" s="102"/>
      <x:c r="AA227" s="102"/>
    </x:row>
    <x:row r="228">
      <x:c r="A228" s="102" t="str">
        <x:v>VESSEL_00227</x:v>
      </x:c>
      <x:c r="B228" s="102" t="str">
        <x:v>HMM HARMONY</x:v>
      </x:c>
      <x:c r="C228" s="110" t="str">
        <x:v>9981142</x:v>
      </x:c>
      <x:c r="D228" s="102"/>
      <x:c r="E228" s="102"/>
      <x:c r="F228" s="102" t="str">
        <x:v>Container / liner vessel</x:v>
      </x:c>
      <x:c r="G228" s="102" t="str">
        <x:v>Current carrier schedule seed</x:v>
      </x:c>
      <x:c r="H228" s="102"/>
      <x:c r="I228" s="102"/>
      <x:c r="J228" s="102"/>
      <x:c r="K228" s="102"/>
      <x:c r="L228" s="102"/>
      <x:c r="M228" s="102"/>
      <x:c r="N228" s="102"/>
      <x:c r="O228" s="102"/>
      <x:c r="P228" s="102"/>
      <x:c r="Q228" s="102" t="str">
        <x:v>Operating / schedule-observed</x:v>
      </x:c>
      <x:c r="R228" s="102" t="str">
        <x:v>SRC_0199</x:v>
      </x:c>
      <x:c r="S228" s="102" t="str">
        <x:v>Observed in HMM schedule. This establishes service/deployment evidence only; legal owner, beneficial owner, technical manager and actual vessel operator are not inferred from the schedule.</x:v>
      </x:c>
      <x:c r="T228" s="102"/>
      <x:c r="U228" s="102"/>
      <x:c r="V228" s="102"/>
      <x:c r="W228" s="102"/>
      <x:c r="X228" s="110"/>
      <x:c r="Y228" s="102"/>
      <x:c r="Z228" s="102"/>
      <x:c r="AA228" s="102"/>
    </x:row>
    <x:row r="229">
      <x:c r="A229" s="102" t="str">
        <x:v>VESSEL_00228</x:v>
      </x:c>
      <x:c r="B229" s="102" t="str">
        <x:v>SKY RAINBOW</x:v>
      </x:c>
      <x:c r="C229" s="110" t="str">
        <x:v>9925722</x:v>
      </x:c>
      <x:c r="D229" s="102"/>
      <x:c r="E229" s="102"/>
      <x:c r="F229" s="102" t="str">
        <x:v>Container / liner vessel</x:v>
      </x:c>
      <x:c r="G229" s="102" t="str">
        <x:v>Current carrier schedule seed</x:v>
      </x:c>
      <x:c r="H229" s="102"/>
      <x:c r="I229" s="102"/>
      <x:c r="J229" s="102"/>
      <x:c r="K229" s="102"/>
      <x:c r="L229" s="102"/>
      <x:c r="M229" s="102"/>
      <x:c r="N229" s="102"/>
      <x:c r="O229" s="102"/>
      <x:c r="P229" s="102"/>
      <x:c r="Q229" s="102" t="str">
        <x:v>Operating / schedule-observed</x:v>
      </x:c>
      <x:c r="R229" s="102" t="str">
        <x:v>SRC_0199</x:v>
      </x:c>
      <x:c r="S229" s="102" t="str">
        <x:v>Observed in HMM schedule. This establishes service/deployment evidence only; legal owner, beneficial owner, technical manager and actual vessel operator are not inferred from the schedule.</x:v>
      </x:c>
      <x:c r="T229" s="102"/>
      <x:c r="U229" s="102"/>
      <x:c r="V229" s="102"/>
      <x:c r="W229" s="102"/>
      <x:c r="X229" s="110"/>
      <x:c r="Y229" s="102"/>
      <x:c r="Z229" s="102"/>
      <x:c r="AA229" s="102"/>
    </x:row>
    <x:row r="230">
      <x:c r="A230" s="102" t="str">
        <x:v>VESSEL_00229</x:v>
      </x:c>
      <x:c r="B230" s="102" t="str">
        <x:v>HMM SKY</x:v>
      </x:c>
      <x:c r="C230" s="110" t="str">
        <x:v>9976599</x:v>
      </x:c>
      <x:c r="D230" s="102"/>
      <x:c r="E230" s="102"/>
      <x:c r="F230" s="102" t="str">
        <x:v>Container / liner vessel</x:v>
      </x:c>
      <x:c r="G230" s="102" t="str">
        <x:v>Current carrier schedule seed</x:v>
      </x:c>
      <x:c r="H230" s="102"/>
      <x:c r="I230" s="102"/>
      <x:c r="J230" s="102"/>
      <x:c r="K230" s="102"/>
      <x:c r="L230" s="102"/>
      <x:c r="M230" s="102"/>
      <x:c r="N230" s="102"/>
      <x:c r="O230" s="102"/>
      <x:c r="P230" s="102"/>
      <x:c r="Q230" s="102" t="str">
        <x:v>Operating / schedule-observed</x:v>
      </x:c>
      <x:c r="R230" s="102" t="str">
        <x:v>SRC_0199</x:v>
      </x:c>
      <x:c r="S230" s="102" t="str">
        <x:v>Observed in HMM schedule. This establishes service/deployment evidence only; legal owner, beneficial owner, technical manager and actual vessel operator are not inferred from the schedule.</x:v>
      </x:c>
      <x:c r="T230" s="102"/>
      <x:c r="U230" s="102"/>
      <x:c r="V230" s="102"/>
      <x:c r="W230" s="102"/>
      <x:c r="X230" s="110"/>
      <x:c r="Y230" s="102"/>
      <x:c r="Z230" s="102"/>
      <x:c r="AA230" s="102"/>
    </x:row>
    <x:row r="231">
      <x:c r="A231" s="102" t="str">
        <x:v>VESSEL_00230</x:v>
      </x:c>
      <x:c r="B231" s="102" t="str">
        <x:v>KOTA SANTOS</x:v>
      </x:c>
      <x:c r="C231" s="110" t="str">
        <x:v>9293765</x:v>
      </x:c>
      <x:c r="D231" s="102"/>
      <x:c r="E231" s="102"/>
      <x:c r="F231" s="102" t="str">
        <x:v>Container / liner vessel</x:v>
      </x:c>
      <x:c r="G231" s="102" t="str">
        <x:v>Current carrier schedule seed</x:v>
      </x:c>
      <x:c r="H231" s="102"/>
      <x:c r="I231" s="102"/>
      <x:c r="J231" s="102"/>
      <x:c r="K231" s="102"/>
      <x:c r="L231" s="102"/>
      <x:c r="M231" s="102"/>
      <x:c r="N231" s="102"/>
      <x:c r="O231" s="102"/>
      <x:c r="P231" s="102"/>
      <x:c r="Q231" s="102" t="str">
        <x:v>Operating / schedule-observed</x:v>
      </x:c>
      <x:c r="R231" s="102" t="str">
        <x:v>SRC_0200</x:v>
      </x:c>
      <x:c r="S231" s="102" t="str">
        <x:v>Observed in PIL schedule. This establishes service/deployment evidence only; legal owner, beneficial owner, technical manager and actual vessel operator are not inferred from the schedule.</x:v>
      </x:c>
      <x:c r="T231" s="102"/>
      <x:c r="U231" s="102"/>
      <x:c r="V231" s="102"/>
      <x:c r="W231" s="102"/>
      <x:c r="X231" s="110"/>
      <x:c r="Y231" s="102"/>
      <x:c r="Z231" s="102"/>
      <x:c r="AA231" s="102"/>
    </x:row>
    <x:row r="232">
      <x:c r="A232" s="102" t="str">
        <x:v>VESSEL_00231</x:v>
      </x:c>
      <x:c r="B232" s="102" t="str">
        <x:v>KOTA SABAS</x:v>
      </x:c>
      <x:c r="C232" s="110" t="str">
        <x:v>9645451</x:v>
      </x:c>
      <x:c r="D232" s="102"/>
      <x:c r="E232" s="102"/>
      <x:c r="F232" s="102" t="str">
        <x:v>Container / liner vessel</x:v>
      </x:c>
      <x:c r="G232" s="102" t="str">
        <x:v>Current carrier schedule seed</x:v>
      </x:c>
      <x:c r="H232" s="102"/>
      <x:c r="I232" s="102"/>
      <x:c r="J232" s="102"/>
      <x:c r="K232" s="102"/>
      <x:c r="L232" s="102"/>
      <x:c r="M232" s="102"/>
      <x:c r="N232" s="102"/>
      <x:c r="O232" s="102"/>
      <x:c r="P232" s="102"/>
      <x:c r="Q232" s="102" t="str">
        <x:v>Operating / schedule-observed</x:v>
      </x:c>
      <x:c r="R232" s="102" t="str">
        <x:v>SRC_0200</x:v>
      </x:c>
      <x:c r="S232" s="102" t="str">
        <x:v>Observed in PIL schedule. This establishes service/deployment evidence only; legal owner, beneficial owner, technical manager and actual vessel operator are not inferred from the schedule.</x:v>
      </x:c>
      <x:c r="T232" s="102"/>
      <x:c r="U232" s="102"/>
      <x:c r="V232" s="102"/>
      <x:c r="W232" s="102"/>
      <x:c r="X232" s="110"/>
      <x:c r="Y232" s="102"/>
      <x:c r="Z232" s="102"/>
      <x:c r="AA232" s="102"/>
    </x:row>
    <x:row r="233">
      <x:c r="A233" s="102" t="str">
        <x:v>VESSEL_00232</x:v>
      </x:c>
      <x:c r="B233" s="102" t="str">
        <x:v>KOTA GAYA</x:v>
      </x:c>
      <x:c r="C233" s="110" t="str">
        <x:v>9616802</x:v>
      </x:c>
      <x:c r="D233" s="102"/>
      <x:c r="E233" s="102"/>
      <x:c r="F233" s="102" t="str">
        <x:v>Container / liner vessel</x:v>
      </x:c>
      <x:c r="G233" s="102" t="str">
        <x:v>Current carrier schedule seed</x:v>
      </x:c>
      <x:c r="H233" s="102"/>
      <x:c r="I233" s="102"/>
      <x:c r="J233" s="102"/>
      <x:c r="K233" s="102"/>
      <x:c r="L233" s="102"/>
      <x:c r="M233" s="102"/>
      <x:c r="N233" s="102"/>
      <x:c r="O233" s="102"/>
      <x:c r="P233" s="102"/>
      <x:c r="Q233" s="102" t="str">
        <x:v>Operating / schedule-observed</x:v>
      </x:c>
      <x:c r="R233" s="102" t="str">
        <x:v>SRC_0200</x:v>
      </x:c>
      <x:c r="S233" s="102" t="str">
        <x:v>Observed in PIL schedule. This establishes service/deployment evidence only; legal owner, beneficial owner, technical manager and actual vessel operator are not inferred from the schedule.</x:v>
      </x:c>
      <x:c r="T233" s="102"/>
      <x:c r="U233" s="102"/>
      <x:c r="V233" s="102"/>
      <x:c r="W233" s="102"/>
      <x:c r="X233" s="110"/>
      <x:c r="Y233" s="102"/>
      <x:c r="Z233" s="102"/>
      <x:c r="AA233" s="102"/>
    </x:row>
    <x:row r="234">
      <x:c r="A234" s="102" t="str">
        <x:v>VESSEL_00233</x:v>
      </x:c>
      <x:c r="B234" s="102" t="str">
        <x:v>SINAR PANGANDARAN</x:v>
      </x:c>
      <x:c r="C234" s="110" t="str">
        <x:v>1033779</x:v>
      </x:c>
      <x:c r="D234" s="102"/>
      <x:c r="E234" s="102"/>
      <x:c r="F234" s="102" t="str">
        <x:v>Container / liner vessel</x:v>
      </x:c>
      <x:c r="G234" s="102" t="str">
        <x:v>Current carrier schedule seed</x:v>
      </x:c>
      <x:c r="H234" s="102"/>
      <x:c r="I234" s="102"/>
      <x:c r="J234" s="102"/>
      <x:c r="K234" s="102"/>
      <x:c r="L234" s="102"/>
      <x:c r="M234" s="102"/>
      <x:c r="N234" s="102"/>
      <x:c r="O234" s="102"/>
      <x:c r="P234" s="102"/>
      <x:c r="Q234" s="102" t="str">
        <x:v>Operating / schedule-observed</x:v>
      </x:c>
      <x:c r="R234" s="102" t="str">
        <x:v>SRC_0200</x:v>
      </x:c>
      <x:c r="S234" s="102" t="str">
        <x:v>Observed in PIL schedule. This establishes service/deployment evidence only; legal owner, beneficial owner, technical manager and actual vessel operator are not inferred from the schedule.</x:v>
      </x:c>
      <x:c r="T234" s="102"/>
      <x:c r="U234" s="102"/>
      <x:c r="V234" s="102"/>
      <x:c r="W234" s="102"/>
      <x:c r="X234" s="110"/>
      <x:c r="Y234" s="102"/>
      <x:c r="Z234" s="102"/>
      <x:c r="AA234" s="102"/>
    </x:row>
    <x:row r="235">
      <x:c r="A235" s="102" t="str">
        <x:v>VESSEL_00234</x:v>
      </x:c>
      <x:c r="B235" s="102" t="str">
        <x:v>KOTA SEMPENA</x:v>
      </x:c>
      <x:c r="C235" s="110" t="str">
        <x:v>9681273</x:v>
      </x:c>
      <x:c r="D235" s="102"/>
      <x:c r="E235" s="102"/>
      <x:c r="F235" s="102" t="str">
        <x:v>Container / liner vessel</x:v>
      </x:c>
      <x:c r="G235" s="102" t="str">
        <x:v>Current carrier schedule seed</x:v>
      </x:c>
      <x:c r="H235" s="102"/>
      <x:c r="I235" s="102"/>
      <x:c r="J235" s="102"/>
      <x:c r="K235" s="102"/>
      <x:c r="L235" s="102"/>
      <x:c r="M235" s="102"/>
      <x:c r="N235" s="102"/>
      <x:c r="O235" s="102"/>
      <x:c r="P235" s="102"/>
      <x:c r="Q235" s="102" t="str">
        <x:v>Operating / schedule-observed</x:v>
      </x:c>
      <x:c r="R235" s="102" t="str">
        <x:v>SRC_0200</x:v>
      </x:c>
      <x:c r="S235" s="102" t="str">
        <x:v>Observed in PIL schedule. This establishes service/deployment evidence only; legal owner, beneficial owner, technical manager and actual vessel operator are not inferred from the schedule.</x:v>
      </x:c>
      <x:c r="T235" s="102"/>
      <x:c r="U235" s="102"/>
      <x:c r="V235" s="102"/>
      <x:c r="W235" s="102"/>
      <x:c r="X235" s="110"/>
      <x:c r="Y235" s="102"/>
      <x:c r="Z235" s="102"/>
      <x:c r="AA235" s="102"/>
    </x:row>
    <x:row r="236">
      <x:c r="A236" s="102" t="str">
        <x:v>VESSEL_00235</x:v>
      </x:c>
      <x:c r="B236" s="102" t="str">
        <x:v>WAN HAI 283</x:v>
      </x:c>
      <x:c r="C236" s="110" t="str">
        <x:v>9871311</x:v>
      </x:c>
      <x:c r="D236" s="102"/>
      <x:c r="E236" s="102"/>
      <x:c r="F236" s="102" t="str">
        <x:v>Container / liner vessel</x:v>
      </x:c>
      <x:c r="G236" s="102" t="str">
        <x:v>Current carrier schedule seed</x:v>
      </x:c>
      <x:c r="H236" s="102"/>
      <x:c r="I236" s="102"/>
      <x:c r="J236" s="102"/>
      <x:c r="K236" s="102"/>
      <x:c r="L236" s="102"/>
      <x:c r="M236" s="102"/>
      <x:c r="N236" s="102"/>
      <x:c r="O236" s="102"/>
      <x:c r="P236" s="102"/>
      <x:c r="Q236" s="102" t="str">
        <x:v>Operating / schedule-observed</x:v>
      </x:c>
      <x:c r="R236" s="102" t="str">
        <x:v>SRC_0201</x:v>
      </x:c>
      <x:c r="S236" s="102" t="str">
        <x:v>Observed in Wan Hai schedule. This establishes service/deployment evidence only; legal owner, beneficial owner, technical manager and actual vessel operator are not inferred from the schedule.</x:v>
      </x:c>
      <x:c r="T236" s="102"/>
      <x:c r="U236" s="102"/>
      <x:c r="V236" s="102"/>
      <x:c r="W236" s="102"/>
      <x:c r="X236" s="110"/>
      <x:c r="Y236" s="102"/>
      <x:c r="Z236" s="102"/>
      <x:c r="AA236" s="102"/>
    </x:row>
    <x:row r="237">
      <x:c r="A237" s="102" t="str">
        <x:v>VESSEL_00236</x:v>
      </x:c>
      <x:c r="B237" s="102" t="str">
        <x:v>WAN HAI 358</x:v>
      </x:c>
      <x:c r="C237" s="110" t="str">
        <x:v>9554080</x:v>
      </x:c>
      <x:c r="D237" s="102"/>
      <x:c r="E237" s="102"/>
      <x:c r="F237" s="102" t="str">
        <x:v>Container / liner vessel</x:v>
      </x:c>
      <x:c r="G237" s="102" t="str">
        <x:v>Current carrier schedule seed</x:v>
      </x:c>
      <x:c r="H237" s="102"/>
      <x:c r="I237" s="102"/>
      <x:c r="J237" s="102"/>
      <x:c r="K237" s="102"/>
      <x:c r="L237" s="102"/>
      <x:c r="M237" s="102"/>
      <x:c r="N237" s="102"/>
      <x:c r="O237" s="102"/>
      <x:c r="P237" s="102"/>
      <x:c r="Q237" s="102" t="str">
        <x:v>Operating / schedule-observed</x:v>
      </x:c>
      <x:c r="R237" s="102" t="str">
        <x:v>SRC_0201</x:v>
      </x:c>
      <x:c r="S237" s="102" t="str">
        <x:v>Observed in Wan Hai schedule. This establishes service/deployment evidence only; legal owner, beneficial owner, technical manager and actual vessel operator are not inferred from the schedule.</x:v>
      </x:c>
      <x:c r="T237" s="102"/>
      <x:c r="U237" s="102"/>
      <x:c r="V237" s="102"/>
      <x:c r="W237" s="102"/>
      <x:c r="X237" s="110"/>
      <x:c r="Y237" s="102"/>
      <x:c r="Z237" s="102"/>
      <x:c r="AA237" s="102"/>
    </x:row>
    <x:row r="238">
      <x:c r="A238" s="102" t="str">
        <x:v>VESSEL_00237</x:v>
      </x:c>
      <x:c r="B238" s="102" t="str">
        <x:v>WAN HAI 177</x:v>
      </x:c>
      <x:c r="C238" s="110" t="str">
        <x:v>9555137</x:v>
      </x:c>
      <x:c r="D238" s="102"/>
      <x:c r="E238" s="102"/>
      <x:c r="F238" s="102" t="str">
        <x:v>Container / liner vessel</x:v>
      </x:c>
      <x:c r="G238" s="102" t="str">
        <x:v>Current carrier schedule seed</x:v>
      </x:c>
      <x:c r="H238" s="102"/>
      <x:c r="I238" s="102"/>
      <x:c r="J238" s="102"/>
      <x:c r="K238" s="102"/>
      <x:c r="L238" s="102"/>
      <x:c r="M238" s="102"/>
      <x:c r="N238" s="102"/>
      <x:c r="O238" s="102"/>
      <x:c r="P238" s="102"/>
      <x:c r="Q238" s="102" t="str">
        <x:v>Operating / schedule-observed</x:v>
      </x:c>
      <x:c r="R238" s="102" t="str">
        <x:v>SRC_0201</x:v>
      </x:c>
      <x:c r="S238" s="102" t="str">
        <x:v>Observed in Wan Hai schedule. This establishes service/deployment evidence only; legal owner, beneficial owner, technical manager and actual vessel operator are not inferred from the schedule.</x:v>
      </x:c>
      <x:c r="T238" s="102"/>
      <x:c r="U238" s="102"/>
      <x:c r="V238" s="102"/>
      <x:c r="W238" s="102"/>
      <x:c r="X238" s="110"/>
      <x:c r="Y238" s="102"/>
      <x:c r="Z238" s="102"/>
      <x:c r="AA238" s="102"/>
    </x:row>
    <x:row r="239">
      <x:c r="A239" s="102" t="str">
        <x:v>VESSEL_00238</x:v>
      </x:c>
      <x:c r="B239" s="102" t="str">
        <x:v>WAN HAI 333</x:v>
      </x:c>
      <x:c r="C239" s="110" t="str">
        <x:v>9951379</x:v>
      </x:c>
      <x:c r="D239" s="102"/>
      <x:c r="E239" s="102"/>
      <x:c r="F239" s="102" t="str">
        <x:v>Container / liner vessel</x:v>
      </x:c>
      <x:c r="G239" s="102" t="str">
        <x:v>Current carrier schedule seed</x:v>
      </x:c>
      <x:c r="H239" s="102"/>
      <x:c r="I239" s="102"/>
      <x:c r="J239" s="102"/>
      <x:c r="K239" s="102"/>
      <x:c r="L239" s="102"/>
      <x:c r="M239" s="102"/>
      <x:c r="N239" s="102"/>
      <x:c r="O239" s="102"/>
      <x:c r="P239" s="102"/>
      <x:c r="Q239" s="102" t="str">
        <x:v>Operating / schedule-observed</x:v>
      </x:c>
      <x:c r="R239" s="102" t="str">
        <x:v>SRC_0201</x:v>
      </x:c>
      <x:c r="S239" s="102" t="str">
        <x:v>Observed in Wan Hai schedule. This establishes service/deployment evidence only; legal owner, beneficial owner, technical manager and actual vessel operator are not inferred from the schedule.</x:v>
      </x:c>
      <x:c r="T239" s="102"/>
      <x:c r="U239" s="102"/>
      <x:c r="V239" s="102"/>
      <x:c r="W239" s="102"/>
      <x:c r="X239" s="110"/>
      <x:c r="Y239" s="102"/>
      <x:c r="Z239" s="102"/>
      <x:c r="AA239" s="102"/>
    </x:row>
    <x:row r="240">
      <x:c r="A240" s="102" t="str">
        <x:v>VESSEL_00239</x:v>
      </x:c>
      <x:c r="B240" s="102" t="str">
        <x:v>WAN HAI 101</x:v>
      </x:c>
      <x:c r="C240" s="110" t="str">
        <x:v>9493298</x:v>
      </x:c>
      <x:c r="D240" s="102"/>
      <x:c r="E240" s="102"/>
      <x:c r="F240" s="102" t="str">
        <x:v>Container / liner vessel</x:v>
      </x:c>
      <x:c r="G240" s="102" t="str">
        <x:v>Current carrier schedule seed</x:v>
      </x:c>
      <x:c r="H240" s="102"/>
      <x:c r="I240" s="102"/>
      <x:c r="J240" s="102"/>
      <x:c r="K240" s="102"/>
      <x:c r="L240" s="102"/>
      <x:c r="M240" s="102"/>
      <x:c r="N240" s="102"/>
      <x:c r="O240" s="102"/>
      <x:c r="P240" s="102"/>
      <x:c r="Q240" s="102" t="str">
        <x:v>Operating / schedule-observed</x:v>
      </x:c>
      <x:c r="R240" s="102" t="str">
        <x:v>SRC_0201</x:v>
      </x:c>
      <x:c r="S240" s="102" t="str">
        <x:v>Observed in Wan Hai schedule. This establishes service/deployment evidence only; legal owner, beneficial owner, technical manager and actual vessel operator are not inferred from the schedule.</x:v>
      </x:c>
      <x:c r="T240" s="102"/>
      <x:c r="U240" s="102"/>
      <x:c r="V240" s="102"/>
      <x:c r="W240" s="102"/>
      <x:c r="X240" s="110"/>
      <x:c r="Y240" s="102"/>
      <x:c r="Z240" s="102"/>
      <x:c r="AA240" s="102"/>
    </x:row>
    <x:row r="241">
      <x:c r="A241" s="102" t="str">
        <x:v>VESSEL_00240</x:v>
      </x:c>
      <x:c r="B241" s="102" t="str">
        <x:v>ZIM EMERALD</x:v>
      </x:c>
      <x:c r="C241" s="110" t="str">
        <x:v>9967976</x:v>
      </x:c>
      <x:c r="D241" s="102"/>
      <x:c r="E241" s="102"/>
      <x:c r="F241" s="102" t="str">
        <x:v>Container / liner vessel</x:v>
      </x:c>
      <x:c r="G241" s="102" t="str">
        <x:v>Current carrier schedule seed</x:v>
      </x:c>
      <x:c r="H241" s="102"/>
      <x:c r="I241" s="102"/>
      <x:c r="J241" s="102"/>
      <x:c r="K241" s="102"/>
      <x:c r="L241" s="102"/>
      <x:c r="M241" s="102"/>
      <x:c r="N241" s="102"/>
      <x:c r="O241" s="102"/>
      <x:c r="P241" s="102"/>
      <x:c r="Q241" s="102" t="str">
        <x:v>Operating / schedule-observed</x:v>
      </x:c>
      <x:c r="R241" s="102" t="str">
        <x:v>SRC_0202</x:v>
      </x:c>
      <x:c r="S241" s="102" t="str">
        <x:v>Observed in ZIM schedule. This establishes service/deployment evidence only; legal owner, beneficial owner, technical manager and actual vessel operator are not inferred from the schedule.</x:v>
      </x:c>
      <x:c r="T241" s="102"/>
      <x:c r="U241" s="102"/>
      <x:c r="V241" s="102"/>
      <x:c r="W241" s="102"/>
      <x:c r="X241" s="110"/>
      <x:c r="Y241" s="102"/>
      <x:c r="Z241" s="102"/>
      <x:c r="AA241" s="102"/>
    </x:row>
    <x:row r="242">
      <x:c r="A242" s="102" t="str">
        <x:v>VESSEL_00241</x:v>
      </x:c>
      <x:c r="B242" s="102" t="str">
        <x:v>CARMEL I</x:v>
      </x:c>
      <x:c r="C242" s="110" t="str">
        <x:v>9395927</x:v>
      </x:c>
      <x:c r="D242" s="102"/>
      <x:c r="E242" s="102"/>
      <x:c r="F242" s="102" t="str">
        <x:v>Container / liner vessel</x:v>
      </x:c>
      <x:c r="G242" s="102" t="str">
        <x:v>Current carrier schedule seed</x:v>
      </x:c>
      <x:c r="H242" s="102"/>
      <x:c r="I242" s="102"/>
      <x:c r="J242" s="102"/>
      <x:c r="K242" s="102"/>
      <x:c r="L242" s="102"/>
      <x:c r="M242" s="102"/>
      <x:c r="N242" s="102"/>
      <x:c r="O242" s="102"/>
      <x:c r="P242" s="102"/>
      <x:c r="Q242" s="102" t="str">
        <x:v>Operating / schedule-observed</x:v>
      </x:c>
      <x:c r="R242" s="102" t="str">
        <x:v>SRC_0202</x:v>
      </x:c>
      <x:c r="S242" s="102" t="str">
        <x:v>Observed in ZIM schedule. This establishes service/deployment evidence only; legal owner, beneficial owner, technical manager and actual vessel operator are not inferred from the schedule.</x:v>
      </x:c>
      <x:c r="T242" s="102"/>
      <x:c r="U242" s="102"/>
      <x:c r="V242" s="102"/>
      <x:c r="W242" s="102"/>
      <x:c r="X242" s="110"/>
      <x:c r="Y242" s="102"/>
      <x:c r="Z242" s="102"/>
      <x:c r="AA242" s="102"/>
    </x:row>
    <x:row r="243">
      <x:c r="A243" s="102" t="str">
        <x:v>VESSEL_00242</x:v>
      </x:c>
      <x:c r="B243" s="102" t="str">
        <x:v>MARLA BULL</x:v>
      </x:c>
      <x:c r="C243" s="110" t="str">
        <x:v>9932945</x:v>
      </x:c>
      <x:c r="D243" s="102"/>
      <x:c r="E243" s="102"/>
      <x:c r="F243" s="102" t="str">
        <x:v>Container / liner vessel</x:v>
      </x:c>
      <x:c r="G243" s="102" t="str">
        <x:v>Current carrier schedule seed</x:v>
      </x:c>
      <x:c r="H243" s="102"/>
      <x:c r="I243" s="102"/>
      <x:c r="J243" s="102"/>
      <x:c r="K243" s="102"/>
      <x:c r="L243" s="102"/>
      <x:c r="M243" s="102"/>
      <x:c r="N243" s="102"/>
      <x:c r="O243" s="102"/>
      <x:c r="P243" s="102"/>
      <x:c r="Q243" s="102" t="str">
        <x:v>Operating / schedule-observed</x:v>
      </x:c>
      <x:c r="R243" s="102" t="str">
        <x:v>SRC_0202</x:v>
      </x:c>
      <x:c r="S243" s="102" t="str">
        <x:v>Observed in ZIM schedule. This establishes service/deployment evidence only; legal owner, beneficial owner, technical manager and actual vessel operator are not inferred from the schedule.</x:v>
      </x:c>
      <x:c r="T243" s="102"/>
      <x:c r="U243" s="102"/>
      <x:c r="V243" s="102"/>
      <x:c r="W243" s="102"/>
      <x:c r="X243" s="110"/>
      <x:c r="Y243" s="102"/>
      <x:c r="Z243" s="102"/>
      <x:c r="AA243" s="102"/>
    </x:row>
    <x:row r="244">
      <x:c r="A244" s="102" t="str">
        <x:v>VESSEL_00243</x:v>
      </x:c>
      <x:c r="B244" s="102" t="str">
        <x:v>ZIM CHINA</x:v>
      </x:c>
      <x:c r="C244" s="110" t="str">
        <x:v>9389382</x:v>
      </x:c>
      <x:c r="D244" s="102"/>
      <x:c r="E244" s="102"/>
      <x:c r="F244" s="102" t="str">
        <x:v>Container / liner vessel</x:v>
      </x:c>
      <x:c r="G244" s="102" t="str">
        <x:v>Current carrier schedule seed</x:v>
      </x:c>
      <x:c r="H244" s="102"/>
      <x:c r="I244" s="102"/>
      <x:c r="J244" s="102"/>
      <x:c r="K244" s="102"/>
      <x:c r="L244" s="102"/>
      <x:c r="M244" s="102"/>
      <x:c r="N244" s="102"/>
      <x:c r="O244" s="102"/>
      <x:c r="P244" s="102"/>
      <x:c r="Q244" s="102" t="str">
        <x:v>Operating / schedule-observed</x:v>
      </x:c>
      <x:c r="R244" s="102" t="str">
        <x:v>SRC_0202</x:v>
      </x:c>
      <x:c r="S244" s="102" t="str">
        <x:v>Observed in ZIM schedule. This establishes service/deployment evidence only; legal owner, beneficial owner, technical manager and actual vessel operator are not inferred from the schedule.</x:v>
      </x:c>
      <x:c r="T244" s="102"/>
      <x:c r="U244" s="102"/>
      <x:c r="V244" s="102"/>
      <x:c r="W244" s="102"/>
      <x:c r="X244" s="110"/>
      <x:c r="Y244" s="102"/>
      <x:c r="Z244" s="102"/>
      <x:c r="AA244" s="102"/>
    </x:row>
    <x:row r="245">
      <x:c r="A245" s="102" t="str">
        <x:v>VESSEL_00244</x:v>
      </x:c>
      <x:c r="B245" s="102" t="str">
        <x:v>MTT SANDAKAN</x:v>
      </x:c>
      <x:c r="C245" s="110" t="str">
        <x:v>9872248</x:v>
      </x:c>
      <x:c r="D245" s="102"/>
      <x:c r="E245" s="102"/>
      <x:c r="F245" s="102" t="str">
        <x:v>Container / liner vessel</x:v>
      </x:c>
      <x:c r="G245" s="102" t="str">
        <x:v>Current carrier schedule seed</x:v>
      </x:c>
      <x:c r="H245" s="102"/>
      <x:c r="I245" s="102"/>
      <x:c r="J245" s="102"/>
      <x:c r="K245" s="102"/>
      <x:c r="L245" s="102"/>
      <x:c r="M245" s="102"/>
      <x:c r="N245" s="102"/>
      <x:c r="O245" s="102"/>
      <x:c r="P245" s="102"/>
      <x:c r="Q245" s="102" t="str">
        <x:v>Operating / schedule-observed</x:v>
      </x:c>
      <x:c r="R245" s="102" t="str">
        <x:v>SRC_0202</x:v>
      </x:c>
      <x:c r="S245" s="102" t="str">
        <x:v>Observed in ZIM schedule. This establishes service/deployment evidence only; legal owner, beneficial owner, technical manager and actual vessel operator are not inferred from the schedule.</x:v>
      </x:c>
      <x:c r="T245" s="102"/>
      <x:c r="U245" s="102"/>
      <x:c r="V245" s="102"/>
      <x:c r="W245" s="102"/>
      <x:c r="X245" s="110"/>
      <x:c r="Y245" s="102"/>
      <x:c r="Z245" s="102"/>
      <x:c r="AA245" s="102"/>
    </x:row>
    <x:row r="246">
      <x:c r="A246" s="102" t="str">
        <x:v>VESSEL_00245</x:v>
      </x:c>
      <x:c r="B246" s="102" t="str">
        <x:v>MARBURG</x:v>
      </x:c>
      <x:c r="C246" s="110" t="str">
        <x:v>9387592</x:v>
      </x:c>
      <x:c r="D246" s="102"/>
      <x:c r="E246" s="102"/>
      <x:c r="F246" s="102" t="str">
        <x:v>Container / liner vessel</x:v>
      </x:c>
      <x:c r="G246" s="102" t="str">
        <x:v>Current carrier schedule seed</x:v>
      </x:c>
      <x:c r="H246" s="102"/>
      <x:c r="I246" s="102"/>
      <x:c r="J246" s="102"/>
      <x:c r="K246" s="102"/>
      <x:c r="L246" s="102"/>
      <x:c r="M246" s="102"/>
      <x:c r="N246" s="102"/>
      <x:c r="O246" s="102"/>
      <x:c r="P246" s="102"/>
      <x:c r="Q246" s="102" t="str">
        <x:v>Operating / schedule-observed</x:v>
      </x:c>
      <x:c r="R246" s="102" t="str">
        <x:v>SRC_0203</x:v>
      </x:c>
      <x:c r="S246" s="102" t="str">
        <x:v>Observed in Unifeeder schedule. This establishes service/deployment evidence only; legal owner, beneficial owner, technical manager and actual vessel operator are not inferred from the schedule.</x:v>
      </x:c>
      <x:c r="T246" s="102"/>
      <x:c r="U246" s="102"/>
      <x:c r="V246" s="102"/>
      <x:c r="W246" s="102"/>
      <x:c r="X246" s="110"/>
      <x:c r="Y246" s="102"/>
      <x:c r="Z246" s="102"/>
      <x:c r="AA246" s="102"/>
    </x:row>
    <x:row r="247">
      <x:c r="A247" s="102" t="str">
        <x:v>VESSEL_00246</x:v>
      </x:c>
      <x:c r="B247" s="102" t="str">
        <x:v>ELBSKY</x:v>
      </x:c>
      <x:c r="C247" s="110" t="str">
        <x:v>9412531</x:v>
      </x:c>
      <x:c r="D247" s="102"/>
      <x:c r="E247" s="102"/>
      <x:c r="F247" s="102" t="str">
        <x:v>Container / liner vessel</x:v>
      </x:c>
      <x:c r="G247" s="102" t="str">
        <x:v>Current carrier schedule seed</x:v>
      </x:c>
      <x:c r="H247" s="102"/>
      <x:c r="I247" s="102"/>
      <x:c r="J247" s="102"/>
      <x:c r="K247" s="102"/>
      <x:c r="L247" s="102"/>
      <x:c r="M247" s="102"/>
      <x:c r="N247" s="102"/>
      <x:c r="O247" s="102"/>
      <x:c r="P247" s="102"/>
      <x:c r="Q247" s="102" t="str">
        <x:v>Operating / schedule-observed</x:v>
      </x:c>
      <x:c r="R247" s="102" t="str">
        <x:v>SRC_0203</x:v>
      </x:c>
      <x:c r="S247" s="102" t="str">
        <x:v>Observed in Unifeeder schedule. This establishes service/deployment evidence only; legal owner, beneficial owner, technical manager and actual vessel operator are not inferred from the schedule.</x:v>
      </x:c>
      <x:c r="T247" s="102"/>
      <x:c r="U247" s="102"/>
      <x:c r="V247" s="102"/>
      <x:c r="W247" s="102"/>
      <x:c r="X247" s="110"/>
      <x:c r="Y247" s="102"/>
      <x:c r="Z247" s="102"/>
      <x:c r="AA247" s="102"/>
    </x:row>
    <x:row r="248">
      <x:c r="A248" s="102" t="str">
        <x:v>VESSEL_00247</x:v>
      </x:c>
      <x:c r="B248" s="102" t="str">
        <x:v>JUDITH</x:v>
      </x:c>
      <x:c r="C248" s="110" t="str">
        <x:v>9359260</x:v>
      </x:c>
      <x:c r="D248" s="102"/>
      <x:c r="E248" s="102"/>
      <x:c r="F248" s="102" t="str">
        <x:v>Container / liner vessel</x:v>
      </x:c>
      <x:c r="G248" s="102" t="str">
        <x:v>Current carrier schedule seed</x:v>
      </x:c>
      <x:c r="H248" s="102"/>
      <x:c r="I248" s="102"/>
      <x:c r="J248" s="102"/>
      <x:c r="K248" s="102"/>
      <x:c r="L248" s="102"/>
      <x:c r="M248" s="102"/>
      <x:c r="N248" s="102"/>
      <x:c r="O248" s="102"/>
      <x:c r="P248" s="102"/>
      <x:c r="Q248" s="102" t="str">
        <x:v>Operating / schedule-observed</x:v>
      </x:c>
      <x:c r="R248" s="102" t="str">
        <x:v>SRC_0203</x:v>
      </x:c>
      <x:c r="S248" s="102" t="str">
        <x:v>Observed in Unifeeder schedule. This establishes service/deployment evidence only; legal owner, beneficial owner, technical manager and actual vessel operator are not inferred from the schedule.</x:v>
      </x:c>
      <x:c r="T248" s="102"/>
      <x:c r="U248" s="102"/>
      <x:c r="V248" s="102"/>
      <x:c r="W248" s="102"/>
      <x:c r="X248" s="110"/>
      <x:c r="Y248" s="102"/>
      <x:c r="Z248" s="102"/>
      <x:c r="AA248" s="102"/>
    </x:row>
    <x:row r="249">
      <x:c r="A249" s="102" t="str">
        <x:v>VESSEL_00248</x:v>
      </x:c>
      <x:c r="B249" s="102" t="str">
        <x:v>ELBSUMMER</x:v>
      </x:c>
      <x:c r="C249" s="110" t="str">
        <x:v>9386718</x:v>
      </x:c>
      <x:c r="D249" s="102"/>
      <x:c r="E249" s="102"/>
      <x:c r="F249" s="102" t="str">
        <x:v>Container / liner vessel</x:v>
      </x:c>
      <x:c r="G249" s="102" t="str">
        <x:v>Current carrier schedule seed</x:v>
      </x:c>
      <x:c r="H249" s="102"/>
      <x:c r="I249" s="102"/>
      <x:c r="J249" s="102"/>
      <x:c r="K249" s="102"/>
      <x:c r="L249" s="102"/>
      <x:c r="M249" s="102"/>
      <x:c r="N249" s="102"/>
      <x:c r="O249" s="102"/>
      <x:c r="P249" s="102"/>
      <x:c r="Q249" s="102" t="str">
        <x:v>Operating / schedule-observed</x:v>
      </x:c>
      <x:c r="R249" s="102" t="str">
        <x:v>SRC_0203</x:v>
      </x:c>
      <x:c r="S249" s="102" t="str">
        <x:v>Observed in Unifeeder schedule. This establishes service/deployment evidence only; legal owner, beneficial owner, technical manager and actual vessel operator are not inferred from the schedule.</x:v>
      </x:c>
      <x:c r="T249" s="102"/>
      <x:c r="U249" s="102"/>
      <x:c r="V249" s="102"/>
      <x:c r="W249" s="102"/>
      <x:c r="X249" s="110"/>
      <x:c r="Y249" s="102"/>
      <x:c r="Z249" s="102"/>
      <x:c r="AA249" s="102"/>
    </x:row>
    <x:row r="250">
      <x:c r="A250" s="102" t="str">
        <x:v>VESSEL_00249</x:v>
      </x:c>
      <x:c r="B250" s="102" t="str">
        <x:v>SAN PEDRO</x:v>
      </x:c>
      <x:c r="C250" s="110" t="str">
        <x:v>9625281</x:v>
      </x:c>
      <x:c r="D250" s="102"/>
      <x:c r="E250" s="102"/>
      <x:c r="F250" s="102" t="str">
        <x:v>Container / liner vessel</x:v>
      </x:c>
      <x:c r="G250" s="102" t="str">
        <x:v>Current carrier schedule seed</x:v>
      </x:c>
      <x:c r="H250" s="102"/>
      <x:c r="I250" s="102"/>
      <x:c r="J250" s="102"/>
      <x:c r="K250" s="102"/>
      <x:c r="L250" s="102"/>
      <x:c r="M250" s="102"/>
      <x:c r="N250" s="102"/>
      <x:c r="O250" s="102"/>
      <x:c r="P250" s="102"/>
      <x:c r="Q250" s="102" t="str">
        <x:v>Operating / schedule-observed</x:v>
      </x:c>
      <x:c r="R250" s="102" t="str">
        <x:v>SRC_0204</x:v>
      </x:c>
      <x:c r="S250" s="102" t="str">
        <x:v>Observed in SeaLead schedule. This establishes service/deployment evidence only; legal owner, beneficial owner, technical manager and actual vessel operator are not inferred from the schedule.</x:v>
      </x:c>
      <x:c r="T250" s="102"/>
      <x:c r="U250" s="102"/>
      <x:c r="V250" s="102"/>
      <x:c r="W250" s="102"/>
      <x:c r="X250" s="110"/>
      <x:c r="Y250" s="102"/>
      <x:c r="Z250" s="102"/>
      <x:c r="AA250" s="102"/>
    </x:row>
    <x:row r="251">
      <x:c r="A251" s="102" t="str">
        <x:v>VESSEL_00250</x:v>
      </x:c>
      <x:c r="B251" s="102" t="str">
        <x:v>REN JIAN 8</x:v>
      </x:c>
      <x:c r="C251" s="110" t="str">
        <x:v>9326756</x:v>
      </x:c>
      <x:c r="D251" s="102"/>
      <x:c r="E251" s="102"/>
      <x:c r="F251" s="102" t="str">
        <x:v>Container / liner vessel</x:v>
      </x:c>
      <x:c r="G251" s="102" t="str">
        <x:v>Current carrier schedule seed</x:v>
      </x:c>
      <x:c r="H251" s="102"/>
      <x:c r="I251" s="102"/>
      <x:c r="J251" s="102"/>
      <x:c r="K251" s="102"/>
      <x:c r="L251" s="102"/>
      <x:c r="M251" s="102"/>
      <x:c r="N251" s="102"/>
      <x:c r="O251" s="102"/>
      <x:c r="P251" s="102"/>
      <x:c r="Q251" s="102" t="str">
        <x:v>Operating / schedule-observed</x:v>
      </x:c>
      <x:c r="R251" s="102" t="str">
        <x:v>SRC_0204</x:v>
      </x:c>
      <x:c r="S251" s="102" t="str">
        <x:v>Observed in SeaLead schedule. This establishes service/deployment evidence only; legal owner, beneficial owner, technical manager and actual vessel operator are not inferred from the schedule.</x:v>
      </x:c>
      <x:c r="T251" s="102"/>
      <x:c r="U251" s="102"/>
      <x:c r="V251" s="102"/>
      <x:c r="W251" s="102"/>
      <x:c r="X251" s="110"/>
      <x:c r="Y251" s="102"/>
      <x:c r="Z251" s="102"/>
      <x:c r="AA251" s="102"/>
    </x:row>
    <x:row r="252">
      <x:c r="A252" s="102" t="str">
        <x:v>VESSEL_00251</x:v>
      </x:c>
      <x:c r="B252" s="102" t="str">
        <x:v>ZHONG GU YIN CHUAN</x:v>
      </x:c>
      <x:c r="C252" s="110" t="str">
        <x:v>9938913</x:v>
      </x:c>
      <x:c r="D252" s="102"/>
      <x:c r="E252" s="102"/>
      <x:c r="F252" s="102" t="str">
        <x:v>Container / liner vessel</x:v>
      </x:c>
      <x:c r="G252" s="102" t="str">
        <x:v>Current carrier schedule seed</x:v>
      </x:c>
      <x:c r="H252" s="102"/>
      <x:c r="I252" s="102"/>
      <x:c r="J252" s="102"/>
      <x:c r="K252" s="102"/>
      <x:c r="L252" s="102"/>
      <x:c r="M252" s="102"/>
      <x:c r="N252" s="102"/>
      <x:c r="O252" s="102"/>
      <x:c r="P252" s="102"/>
      <x:c r="Q252" s="102" t="str">
        <x:v>Operating / schedule-observed</x:v>
      </x:c>
      <x:c r="R252" s="102" t="str">
        <x:v>SRC_0204</x:v>
      </x:c>
      <x:c r="S252" s="102" t="str">
        <x:v>Observed in SeaLead schedule. This establishes service/deployment evidence only; legal owner, beneficial owner, technical manager and actual vessel operator are not inferred from the schedule.</x:v>
      </x:c>
      <x:c r="T252" s="102"/>
      <x:c r="U252" s="102"/>
      <x:c r="V252" s="102"/>
      <x:c r="W252" s="102"/>
      <x:c r="X252" s="110"/>
      <x:c r="Y252" s="102"/>
      <x:c r="Z252" s="102"/>
      <x:c r="AA252" s="102"/>
    </x:row>
    <x:row r="253">
      <x:c r="A253" s="102" t="str">
        <x:v>VESSEL_00252</x:v>
      </x:c>
      <x:c r="B253" s="102" t="str">
        <x:v>MARINA VOYAGER</x:v>
      </x:c>
      <x:c r="C253" s="110" t="str">
        <x:v>9400813</x:v>
      </x:c>
      <x:c r="D253" s="102"/>
      <x:c r="E253" s="102"/>
      <x:c r="F253" s="102" t="str">
        <x:v>Container / liner vessel</x:v>
      </x:c>
      <x:c r="G253" s="102" t="str">
        <x:v>Current carrier schedule seed</x:v>
      </x:c>
      <x:c r="H253" s="102"/>
      <x:c r="I253" s="102"/>
      <x:c r="J253" s="102"/>
      <x:c r="K253" s="102"/>
      <x:c r="L253" s="102"/>
      <x:c r="M253" s="102"/>
      <x:c r="N253" s="102"/>
      <x:c r="O253" s="102"/>
      <x:c r="P253" s="102"/>
      <x:c r="Q253" s="102" t="str">
        <x:v>Operating / schedule-observed</x:v>
      </x:c>
      <x:c r="R253" s="102" t="str">
        <x:v>SRC_0204</x:v>
      </x:c>
      <x:c r="S253" s="102" t="str">
        <x:v>Observed in SeaLead schedule. This establishes service/deployment evidence only; legal owner, beneficial owner, technical manager and actual vessel operator are not inferred from the schedule.</x:v>
      </x:c>
      <x:c r="T253" s="102"/>
      <x:c r="U253" s="102"/>
      <x:c r="V253" s="102"/>
      <x:c r="W253" s="102"/>
      <x:c r="X253" s="110"/>
      <x:c r="Y253" s="102"/>
      <x:c r="Z253" s="102"/>
      <x:c r="AA253" s="102"/>
    </x:row>
    <x:row r="254">
      <x:c r="A254" s="102" t="str">
        <x:v>VESSEL_00253</x:v>
      </x:c>
      <x:c r="B254" s="102" t="str">
        <x:v>ESL SHEKOU</x:v>
      </x:c>
      <x:c r="C254" s="110" t="str">
        <x:v>9290945</x:v>
      </x:c>
      <x:c r="D254" s="102"/>
      <x:c r="E254" s="102"/>
      <x:c r="F254" s="102" t="str">
        <x:v>Container / liner vessel</x:v>
      </x:c>
      <x:c r="G254" s="102" t="str">
        <x:v>Current carrier schedule seed</x:v>
      </x:c>
      <x:c r="H254" s="102"/>
      <x:c r="I254" s="102"/>
      <x:c r="J254" s="102"/>
      <x:c r="K254" s="102"/>
      <x:c r="L254" s="102"/>
      <x:c r="M254" s="102"/>
      <x:c r="N254" s="102"/>
      <x:c r="O254" s="102"/>
      <x:c r="P254" s="102"/>
      <x:c r="Q254" s="102" t="str">
        <x:v>Operating / schedule-observed</x:v>
      </x:c>
      <x:c r="R254" s="102" t="str">
        <x:v>SRC_0205</x:v>
      </x:c>
      <x:c r="S254" s="102" t="str">
        <x:v>Observed in Emirates Shipping Line schedule. This establishes service/deployment evidence only; legal owner, beneficial owner, technical manager and actual vessel operator are not inferred from the schedule.</x:v>
      </x:c>
      <x:c r="T254" s="102"/>
      <x:c r="U254" s="102"/>
      <x:c r="V254" s="102"/>
      <x:c r="W254" s="102"/>
      <x:c r="X254" s="110"/>
      <x:c r="Y254" s="102"/>
      <x:c r="Z254" s="102"/>
      <x:c r="AA254" s="102"/>
    </x:row>
    <x:row r="255">
      <x:c r="A255" s="102" t="str">
        <x:v>VESSEL_00254</x:v>
      </x:c>
      <x:c r="B255" s="102" t="str">
        <x:v>ESL WASL</x:v>
      </x:c>
      <x:c r="C255" s="110" t="str">
        <x:v>9400071</x:v>
      </x:c>
      <x:c r="D255" s="102"/>
      <x:c r="E255" s="102"/>
      <x:c r="F255" s="102" t="str">
        <x:v>Container / liner vessel</x:v>
      </x:c>
      <x:c r="G255" s="102" t="str">
        <x:v>Current carrier schedule seed</x:v>
      </x:c>
      <x:c r="H255" s="102"/>
      <x:c r="I255" s="102"/>
      <x:c r="J255" s="102"/>
      <x:c r="K255" s="102"/>
      <x:c r="L255" s="102"/>
      <x:c r="M255" s="102"/>
      <x:c r="N255" s="102"/>
      <x:c r="O255" s="102"/>
      <x:c r="P255" s="102"/>
      <x:c r="Q255" s="102" t="str">
        <x:v>Operating / schedule-observed</x:v>
      </x:c>
      <x:c r="R255" s="102" t="str">
        <x:v>SRC_0205</x:v>
      </x:c>
      <x:c r="S255" s="102" t="str">
        <x:v>Observed in Emirates Shipping Line schedule. This establishes service/deployment evidence only; legal owner, beneficial owner, technical manager and actual vessel operator are not inferred from the schedule.</x:v>
      </x:c>
      <x:c r="T255" s="102"/>
      <x:c r="U255" s="102"/>
      <x:c r="V255" s="102"/>
      <x:c r="W255" s="102"/>
      <x:c r="X255" s="110"/>
      <x:c r="Y255" s="102"/>
      <x:c r="Z255" s="102"/>
      <x:c r="AA255" s="102"/>
    </x:row>
    <x:row r="256">
      <x:c r="A256" s="102" t="str">
        <x:v>VESSEL_00255</x:v>
      </x:c>
      <x:c r="B256" s="102" t="str">
        <x:v>ZHONG GU KUN MING</x:v>
      </x:c>
      <x:c r="C256" s="110" t="str">
        <x:v>9933858</x:v>
      </x:c>
      <x:c r="D256" s="102"/>
      <x:c r="E256" s="102"/>
      <x:c r="F256" s="102" t="str">
        <x:v>Container / liner vessel</x:v>
      </x:c>
      <x:c r="G256" s="102" t="str">
        <x:v>Current carrier schedule seed</x:v>
      </x:c>
      <x:c r="H256" s="102"/>
      <x:c r="I256" s="102"/>
      <x:c r="J256" s="102"/>
      <x:c r="K256" s="102"/>
      <x:c r="L256" s="102"/>
      <x:c r="M256" s="102"/>
      <x:c r="N256" s="102"/>
      <x:c r="O256" s="102"/>
      <x:c r="P256" s="102"/>
      <x:c r="Q256" s="102" t="str">
        <x:v>Operating / schedule-observed</x:v>
      </x:c>
      <x:c r="R256" s="102" t="str">
        <x:v>SRC_0205</x:v>
      </x:c>
      <x:c r="S256" s="102" t="str">
        <x:v>Observed in Emirates Shipping Line schedule. This establishes service/deployment evidence only; legal owner, beneficial owner, technical manager and actual vessel operator are not inferred from the schedule.</x:v>
      </x:c>
      <x:c r="T256" s="102"/>
      <x:c r="U256" s="102"/>
      <x:c r="V256" s="102"/>
      <x:c r="W256" s="102"/>
      <x:c r="X256" s="110"/>
      <x:c r="Y256" s="102"/>
      <x:c r="Z256" s="102"/>
      <x:c r="AA256" s="102"/>
    </x:row>
    <x:row r="257">
      <x:c r="A257" s="102" t="str">
        <x:v>VESSEL_00256</x:v>
      </x:c>
      <x:c r="B257" s="102" t="str">
        <x:v>BRIGHT</x:v>
      </x:c>
      <x:c r="C257" s="110" t="str">
        <x:v>9778399</x:v>
      </x:c>
      <x:c r="D257" s="102"/>
      <x:c r="E257" s="102"/>
      <x:c r="F257" s="102" t="str">
        <x:v>Container / liner vessel</x:v>
      </x:c>
      <x:c r="G257" s="102" t="str">
        <x:v>Current carrier schedule seed</x:v>
      </x:c>
      <x:c r="H257" s="102"/>
      <x:c r="I257" s="102"/>
      <x:c r="J257" s="102"/>
      <x:c r="K257" s="102"/>
      <x:c r="L257" s="102"/>
      <x:c r="M257" s="102"/>
      <x:c r="N257" s="102"/>
      <x:c r="O257" s="102"/>
      <x:c r="P257" s="102"/>
      <x:c r="Q257" s="102" t="str">
        <x:v>Operating / schedule-observed</x:v>
      </x:c>
      <x:c r="R257" s="102" t="str">
        <x:v>SRC_0205</x:v>
      </x:c>
      <x:c r="S257" s="102" t="str">
        <x:v>Observed in Emirates Shipping Line schedule. This establishes service/deployment evidence only; legal owner, beneficial owner, technical manager and actual vessel operator are not inferred from the schedule.</x:v>
      </x:c>
      <x:c r="T257" s="102"/>
      <x:c r="U257" s="102"/>
      <x:c r="V257" s="102"/>
      <x:c r="W257" s="102"/>
      <x:c r="X257" s="110"/>
      <x:c r="Y257" s="102"/>
      <x:c r="Z257" s="102"/>
      <x:c r="AA257" s="102"/>
    </x:row>
    <x:row r="258">
      <x:c r="A258" s="102" t="str">
        <x:v>VESSEL_00257</x:v>
      </x:c>
      <x:c r="B258" s="102" t="str">
        <x:v>TROUPER</x:v>
      </x:c>
      <x:c r="C258" s="110" t="str">
        <x:v>9326952</x:v>
      </x:c>
      <x:c r="D258" s="102"/>
      <x:c r="E258" s="102"/>
      <x:c r="F258" s="102" t="str">
        <x:v>Container / liner vessel</x:v>
      </x:c>
      <x:c r="G258" s="102" t="str">
        <x:v>Current carrier schedule seed</x:v>
      </x:c>
      <x:c r="H258" s="102"/>
      <x:c r="I258" s="102"/>
      <x:c r="J258" s="102"/>
      <x:c r="K258" s="102"/>
      <x:c r="L258" s="102"/>
      <x:c r="M258" s="102"/>
      <x:c r="N258" s="102"/>
      <x:c r="O258" s="102"/>
      <x:c r="P258" s="102"/>
      <x:c r="Q258" s="102" t="str">
        <x:v>Operating / schedule-observed</x:v>
      </x:c>
      <x:c r="R258" s="102" t="str">
        <x:v>SRC_0206</x:v>
      </x:c>
      <x:c r="S258" s="102" t="str">
        <x:v>Observed in X-Press Feeders schedule. This establishes service/deployment evidence only; legal owner, beneficial owner, technical manager and actual vessel operator are not inferred from the schedule.</x:v>
      </x:c>
      <x:c r="T258" s="102"/>
      <x:c r="U258" s="102"/>
      <x:c r="V258" s="102"/>
      <x:c r="W258" s="102"/>
      <x:c r="X258" s="110"/>
      <x:c r="Y258" s="102"/>
      <x:c r="Z258" s="102"/>
      <x:c r="AA258" s="102"/>
    </x:row>
    <x:row r="259">
      <x:c r="A259" s="102" t="str">
        <x:v>VESSEL_00258</x:v>
      </x:c>
      <x:c r="B259" s="102" t="str">
        <x:v>X PRESS ANGLESEY</x:v>
      </x:c>
      <x:c r="C259" s="110" t="str">
        <x:v>9623843</x:v>
      </x:c>
      <x:c r="D259" s="102"/>
      <x:c r="E259" s="102"/>
      <x:c r="F259" s="102" t="str">
        <x:v>Container / liner vessel</x:v>
      </x:c>
      <x:c r="G259" s="102" t="str">
        <x:v>Current carrier schedule seed</x:v>
      </x:c>
      <x:c r="H259" s="102"/>
      <x:c r="I259" s="102"/>
      <x:c r="J259" s="102"/>
      <x:c r="K259" s="102"/>
      <x:c r="L259" s="102"/>
      <x:c r="M259" s="102"/>
      <x:c r="N259" s="102"/>
      <x:c r="O259" s="102"/>
      <x:c r="P259" s="102"/>
      <x:c r="Q259" s="102" t="str">
        <x:v>Operating / schedule-observed</x:v>
      </x:c>
      <x:c r="R259" s="102" t="str">
        <x:v>SRC_0206</x:v>
      </x:c>
      <x:c r="S259" s="102" t="str">
        <x:v>Observed in X-Press Feeders schedule. This establishes service/deployment evidence only; legal owner, beneficial owner, technical manager and actual vessel operator are not inferred from the schedule.</x:v>
      </x:c>
      <x:c r="T259" s="102"/>
      <x:c r="U259" s="102"/>
      <x:c r="V259" s="102"/>
      <x:c r="W259" s="102"/>
      <x:c r="X259" s="110"/>
      <x:c r="Y259" s="102"/>
      <x:c r="Z259" s="102"/>
      <x:c r="AA259" s="102"/>
    </x:row>
    <x:row r="260">
      <x:c r="A260" s="102" t="str">
        <x:v>VESSEL_00259</x:v>
      </x:c>
      <x:c r="B260" s="102" t="str">
        <x:v>SKY LIGHT</x:v>
      </x:c>
      <x:c r="C260" s="110" t="str">
        <x:v>9118513</x:v>
      </x:c>
      <x:c r="D260" s="102"/>
      <x:c r="E260" s="102"/>
      <x:c r="F260" s="102" t="str">
        <x:v>Container / liner vessel</x:v>
      </x:c>
      <x:c r="G260" s="102" t="str">
        <x:v>Current carrier schedule seed</x:v>
      </x:c>
      <x:c r="H260" s="102"/>
      <x:c r="I260" s="102"/>
      <x:c r="J260" s="102"/>
      <x:c r="K260" s="102"/>
      <x:c r="L260" s="102"/>
      <x:c r="M260" s="102"/>
      <x:c r="N260" s="102"/>
      <x:c r="O260" s="102"/>
      <x:c r="P260" s="102"/>
      <x:c r="Q260" s="102" t="str">
        <x:v>Operating / schedule-observed</x:v>
      </x:c>
      <x:c r="R260" s="102" t="str">
        <x:v>SRC_0206</x:v>
      </x:c>
      <x:c r="S260" s="102" t="str">
        <x:v>Observed in X-Press Feeders schedule. This establishes service/deployment evidence only; legal owner, beneficial owner, technical manager and actual vessel operator are not inferred from the schedule.</x:v>
      </x:c>
      <x:c r="T260" s="102"/>
      <x:c r="U260" s="102"/>
      <x:c r="V260" s="102"/>
      <x:c r="W260" s="102"/>
      <x:c r="X260" s="110"/>
      <x:c r="Y260" s="102"/>
      <x:c r="Z260" s="102"/>
      <x:c r="AA260" s="102"/>
    </x:row>
    <x:row r="261">
      <x:c r="A261" s="102" t="str">
        <x:v>VESSEL_00260</x:v>
      </x:c>
      <x:c r="B261" s="102" t="str">
        <x:v>GOLDEN STAR 1</x:v>
      </x:c>
      <x:c r="C261" s="110" t="str">
        <x:v>8952857</x:v>
      </x:c>
      <x:c r="D261" s="102"/>
      <x:c r="E261" s="102"/>
      <x:c r="F261" s="102" t="str">
        <x:v>Container / liner vessel</x:v>
      </x:c>
      <x:c r="G261" s="102" t="str">
        <x:v>Current carrier schedule seed</x:v>
      </x:c>
      <x:c r="H261" s="102"/>
      <x:c r="I261" s="102"/>
      <x:c r="J261" s="102"/>
      <x:c r="K261" s="102"/>
      <x:c r="L261" s="102"/>
      <x:c r="M261" s="102"/>
      <x:c r="N261" s="102"/>
      <x:c r="O261" s="102"/>
      <x:c r="P261" s="102"/>
      <x:c r="Q261" s="102" t="str">
        <x:v>Operating / schedule-observed</x:v>
      </x:c>
      <x:c r="R261" s="102" t="str">
        <x:v>SRC_0206</x:v>
      </x:c>
      <x:c r="S261" s="102" t="str">
        <x:v>Observed in X-Press Feeders schedule. This establishes service/deployment evidence only; legal owner, beneficial owner, technical manager and actual vessel operator are not inferred from the schedule.</x:v>
      </x:c>
      <x:c r="T261" s="102"/>
      <x:c r="U261" s="102"/>
      <x:c r="V261" s="102"/>
      <x:c r="W261" s="102"/>
      <x:c r="X261" s="110"/>
      <x:c r="Y261" s="102"/>
      <x:c r="Z261" s="102"/>
      <x:c r="AA261" s="102"/>
    </x:row>
    <x:row r="262">
      <x:c r="A262" s="102" t="str">
        <x:v>VESSEL_00261</x:v>
      </x:c>
      <x:c r="B262" s="102" t="str">
        <x:v>SSF VALENCE</x:v>
      </x:c>
      <x:c r="C262" s="110" t="str">
        <x:v>9304693</x:v>
      </x:c>
      <x:c r="D262" s="102"/>
      <x:c r="E262" s="102"/>
      <x:c r="F262" s="102" t="str">
        <x:v>Container / liner vessel</x:v>
      </x:c>
      <x:c r="G262" s="102" t="str">
        <x:v>Current carrier schedule seed</x:v>
      </x:c>
      <x:c r="H262" s="102"/>
      <x:c r="I262" s="102"/>
      <x:c r="J262" s="102"/>
      <x:c r="K262" s="102"/>
      <x:c r="L262" s="102"/>
      <x:c r="M262" s="102"/>
      <x:c r="N262" s="102"/>
      <x:c r="O262" s="102"/>
      <x:c r="P262" s="102"/>
      <x:c r="Q262" s="102" t="str">
        <x:v>Operating / schedule-observed</x:v>
      </x:c>
      <x:c r="R262" s="102" t="str">
        <x:v>SRC_0207</x:v>
      </x:c>
      <x:c r="S262" s="102" t="str">
        <x:v>Observed in Global Feeder Shipping schedule. This establishes service/deployment evidence only; legal owner, beneficial owner, technical manager and actual vessel operator are not inferred from the schedule.</x:v>
      </x:c>
      <x:c r="T262" s="102"/>
      <x:c r="U262" s="102"/>
      <x:c r="V262" s="102"/>
      <x:c r="W262" s="102"/>
      <x:c r="X262" s="110"/>
      <x:c r="Y262" s="102"/>
      <x:c r="Z262" s="102"/>
      <x:c r="AA262" s="102"/>
    </x:row>
    <x:row r="263">
      <x:c r="A263" s="102" t="str">
        <x:v>VESSEL_00262</x:v>
      </x:c>
      <x:c r="B263" s="102" t="str">
        <x:v>SM MANALI</x:v>
      </x:c>
      <x:c r="C263" s="110" t="str">
        <x:v>9303742</x:v>
      </x:c>
      <x:c r="D263" s="102"/>
      <x:c r="E263" s="102"/>
      <x:c r="F263" s="102" t="str">
        <x:v>Container / liner vessel</x:v>
      </x:c>
      <x:c r="G263" s="102" t="str">
        <x:v>Current carrier schedule seed</x:v>
      </x:c>
      <x:c r="H263" s="102"/>
      <x:c r="I263" s="102"/>
      <x:c r="J263" s="102"/>
      <x:c r="K263" s="102"/>
      <x:c r="L263" s="102"/>
      <x:c r="M263" s="102"/>
      <x:c r="N263" s="102"/>
      <x:c r="O263" s="102"/>
      <x:c r="P263" s="102"/>
      <x:c r="Q263" s="102" t="str">
        <x:v>Operating / schedule-observed</x:v>
      </x:c>
      <x:c r="R263" s="102" t="str">
        <x:v>SRC_0207</x:v>
      </x:c>
      <x:c r="S263" s="102" t="str">
        <x:v>Observed in Global Feeder Shipping schedule. This establishes service/deployment evidence only; legal owner, beneficial owner, technical manager and actual vessel operator are not inferred from the schedule.</x:v>
      </x:c>
      <x:c r="T263" s="102"/>
      <x:c r="U263" s="102"/>
      <x:c r="V263" s="102"/>
      <x:c r="W263" s="102"/>
      <x:c r="X263" s="110"/>
      <x:c r="Y263" s="102"/>
      <x:c r="Z263" s="102"/>
      <x:c r="AA263" s="102"/>
    </x:row>
    <x:row r="264">
      <x:c r="A264" s="102" t="str">
        <x:v>VESSEL_00263</x:v>
      </x:c>
      <x:c r="B264" s="102" t="str">
        <x:v>REMAH</x:v>
      </x:c>
      <x:c r="C264" s="110" t="str">
        <x:v>9947720</x:v>
      </x:c>
      <x:c r="D264" s="102"/>
      <x:c r="E264" s="102"/>
      <x:c r="F264" s="102" t="str">
        <x:v>Container / liner vessel</x:v>
      </x:c>
      <x:c r="G264" s="102" t="str">
        <x:v>Current carrier schedule seed</x:v>
      </x:c>
      <x:c r="H264" s="102"/>
      <x:c r="I264" s="102"/>
      <x:c r="J264" s="102"/>
      <x:c r="K264" s="102"/>
      <x:c r="L264" s="102"/>
      <x:c r="M264" s="102"/>
      <x:c r="N264" s="102"/>
      <x:c r="O264" s="102"/>
      <x:c r="P264" s="102"/>
      <x:c r="Q264" s="102" t="str">
        <x:v>Operating / schedule-observed</x:v>
      </x:c>
      <x:c r="R264" s="102" t="str">
        <x:v>SRC_0207</x:v>
      </x:c>
      <x:c r="S264" s="102" t="str">
        <x:v>Observed in Global Feeder Shipping schedule. This establishes service/deployment evidence only; legal owner, beneficial owner, technical manager and actual vessel operator are not inferred from the schedule.</x:v>
      </x:c>
      <x:c r="T264" s="102"/>
      <x:c r="U264" s="102"/>
      <x:c r="V264" s="102"/>
      <x:c r="W264" s="102"/>
      <x:c r="X264" s="110"/>
      <x:c r="Y264" s="102"/>
      <x:c r="Z264" s="102"/>
      <x:c r="AA264" s="102"/>
    </x:row>
    <x:row r="265">
      <x:c r="A265" s="102" t="str">
        <x:v>VESSEL_00264</x:v>
      </x:c>
      <x:c r="B265" s="102" t="str">
        <x:v>MIRROR</x:v>
      </x:c>
      <x:c r="C265" s="110" t="str">
        <x:v>9328041</x:v>
      </x:c>
      <x:c r="D265" s="102"/>
      <x:c r="E265" s="102"/>
      <x:c r="F265" s="102" t="str">
        <x:v>Container / liner vessel</x:v>
      </x:c>
      <x:c r="G265" s="102" t="str">
        <x:v>Current carrier schedule seed</x:v>
      </x:c>
      <x:c r="H265" s="102"/>
      <x:c r="I265" s="102"/>
      <x:c r="J265" s="102"/>
      <x:c r="K265" s="102"/>
      <x:c r="L265" s="102"/>
      <x:c r="M265" s="102"/>
      <x:c r="N265" s="102"/>
      <x:c r="O265" s="102"/>
      <x:c r="P265" s="102"/>
      <x:c r="Q265" s="102" t="str">
        <x:v>Operating / schedule-observed</x:v>
      </x:c>
      <x:c r="R265" s="102" t="str">
        <x:v>SRC_0207</x:v>
      </x:c>
      <x:c r="S265" s="102" t="str">
        <x:v>Observed in Global Feeder Shipping schedule. This establishes service/deployment evidence only; legal owner, beneficial owner, technical manager and actual vessel operator are not inferred from the schedule.</x:v>
      </x:c>
      <x:c r="T265" s="102"/>
      <x:c r="U265" s="102"/>
      <x:c r="V265" s="102"/>
      <x:c r="W265" s="102"/>
      <x:c r="X265" s="110"/>
      <x:c r="Y265" s="102"/>
      <x:c r="Z265" s="102"/>
      <x:c r="AA265" s="102"/>
    </x:row>
    <x:row r="266">
      <x:c r="A266" s="102" t="str">
        <x:v>VESSEL_00265</x:v>
      </x:c>
      <x:c r="B266" s="102" t="str">
        <x:v>HUA DA 610</x:v>
      </x:c>
      <x:c r="C266" s="110" t="str">
        <x:v>1077385</x:v>
      </x:c>
      <x:c r="D266" s="102"/>
      <x:c r="E266" s="102"/>
      <x:c r="F266" s="102" t="str">
        <x:v>Container / liner vessel</x:v>
      </x:c>
      <x:c r="G266" s="102" t="str">
        <x:v>Current carrier schedule seed</x:v>
      </x:c>
      <x:c r="H266" s="102"/>
      <x:c r="I266" s="102"/>
      <x:c r="J266" s="102"/>
      <x:c r="K266" s="102"/>
      <x:c r="L266" s="102"/>
      <x:c r="M266" s="102"/>
      <x:c r="N266" s="102"/>
      <x:c r="O266" s="102"/>
      <x:c r="P266" s="102"/>
      <x:c r="Q266" s="102" t="str">
        <x:v>Operating / schedule-observed</x:v>
      </x:c>
      <x:c r="R266" s="102" t="str">
        <x:v>SRC_0208</x:v>
      </x:c>
      <x:c r="S266" s="102" t="str">
        <x:v>Observed in SAFEEN Feeders schedule. This establishes service/deployment evidence only; legal owner, beneficial owner, technical manager and actual vessel operator are not inferred from the schedule.</x:v>
      </x:c>
      <x:c r="T266" s="102"/>
      <x:c r="U266" s="102"/>
      <x:c r="V266" s="102"/>
      <x:c r="W266" s="102"/>
      <x:c r="X266" s="110"/>
      <x:c r="Y266" s="102"/>
      <x:c r="Z266" s="102"/>
      <x:c r="AA266" s="102"/>
    </x:row>
    <x:row r="267">
      <x:c r="A267" s="102" t="str">
        <x:v>VESSEL_00266</x:v>
      </x:c>
      <x:c r="B267" s="102" t="str">
        <x:v>AL BATEEN</x:v>
      </x:c>
      <x:c r="C267" s="110" t="str">
        <x:v>9668984</x:v>
      </x:c>
      <x:c r="D267" s="102"/>
      <x:c r="E267" s="102"/>
      <x:c r="F267" s="102" t="str">
        <x:v>Container / liner vessel</x:v>
      </x:c>
      <x:c r="G267" s="102" t="str">
        <x:v>Current carrier schedule seed</x:v>
      </x:c>
      <x:c r="H267" s="102"/>
      <x:c r="I267" s="102"/>
      <x:c r="J267" s="102"/>
      <x:c r="K267" s="102"/>
      <x:c r="L267" s="102"/>
      <x:c r="M267" s="102"/>
      <x:c r="N267" s="102"/>
      <x:c r="O267" s="102"/>
      <x:c r="P267" s="102"/>
      <x:c r="Q267" s="102" t="str">
        <x:v>Operating / schedule-observed</x:v>
      </x:c>
      <x:c r="R267" s="102" t="str">
        <x:v>SRC_0208</x:v>
      </x:c>
      <x:c r="S267" s="102" t="str">
        <x:v>Observed in SAFEEN Feeders schedule. This establishes service/deployment evidence only; legal owner, beneficial owner, technical manager and actual vessel operator are not inferred from the schedule.</x:v>
      </x:c>
      <x:c r="T267" s="102"/>
      <x:c r="U267" s="102"/>
      <x:c r="V267" s="102"/>
      <x:c r="W267" s="102"/>
      <x:c r="X267" s="110"/>
      <x:c r="Y267" s="102"/>
      <x:c r="Z267" s="102"/>
      <x:c r="AA267" s="102"/>
    </x:row>
    <x:row r="268">
      <x:c r="A268" s="102" t="str">
        <x:v>VESSEL_00267</x:v>
      </x:c>
      <x:c r="B268" s="102" t="str">
        <x:v>SAFEEN PRIZE</x:v>
      </x:c>
      <x:c r="C268" s="110" t="str">
        <x:v>9603594</x:v>
      </x:c>
      <x:c r="D268" s="102"/>
      <x:c r="E268" s="102"/>
      <x:c r="F268" s="102" t="str">
        <x:v>Container / liner vessel</x:v>
      </x:c>
      <x:c r="G268" s="102" t="str">
        <x:v>Current carrier schedule seed</x:v>
      </x:c>
      <x:c r="H268" s="102"/>
      <x:c r="I268" s="102"/>
      <x:c r="J268" s="102"/>
      <x:c r="K268" s="102"/>
      <x:c r="L268" s="102"/>
      <x:c r="M268" s="102"/>
      <x:c r="N268" s="102"/>
      <x:c r="O268" s="102"/>
      <x:c r="P268" s="102"/>
      <x:c r="Q268" s="102" t="str">
        <x:v>Operating / schedule-observed</x:v>
      </x:c>
      <x:c r="R268" s="102" t="str">
        <x:v>SRC_0208</x:v>
      </x:c>
      <x:c r="S268" s="102" t="str">
        <x:v>Observed in SAFEEN Feeders schedule. This establishes service/deployment evidence only; legal owner, beneficial owner, technical manager and actual vessel operator are not inferred from the schedule.</x:v>
      </x:c>
      <x:c r="T268" s="102"/>
      <x:c r="U268" s="102"/>
      <x:c r="V268" s="102"/>
      <x:c r="W268" s="102"/>
      <x:c r="X268" s="110"/>
      <x:c r="Y268" s="102"/>
      <x:c r="Z268" s="102"/>
      <x:c r="AA268" s="102"/>
    </x:row>
    <x:row r="269">
      <x:c r="A269" s="102" t="str">
        <x:v>VESSEL_00268</x:v>
      </x:c>
      <x:c r="B269" s="102" t="str">
        <x:v>SSF DREAM</x:v>
      </x:c>
      <x:c r="C269" s="110" t="str">
        <x:v>9346005</x:v>
      </x:c>
      <x:c r="D269" s="102"/>
      <x:c r="E269" s="102"/>
      <x:c r="F269" s="102" t="str">
        <x:v>Container / liner vessel</x:v>
      </x:c>
      <x:c r="G269" s="102" t="str">
        <x:v>Current carrier schedule seed</x:v>
      </x:c>
      <x:c r="H269" s="102"/>
      <x:c r="I269" s="102"/>
      <x:c r="J269" s="102"/>
      <x:c r="K269" s="102"/>
      <x:c r="L269" s="102"/>
      <x:c r="M269" s="102"/>
      <x:c r="N269" s="102"/>
      <x:c r="O269" s="102"/>
      <x:c r="P269" s="102"/>
      <x:c r="Q269" s="102" t="str">
        <x:v>Operating / schedule-observed</x:v>
      </x:c>
      <x:c r="R269" s="102" t="str">
        <x:v>SRC_0208</x:v>
      </x:c>
      <x:c r="S269" s="102" t="str">
        <x:v>Observed in SAFEEN Feeders schedule. This establishes service/deployment evidence only; legal owner, beneficial owner, technical manager and actual vessel operator are not inferred from the schedule.</x:v>
      </x:c>
      <x:c r="T269" s="102"/>
      <x:c r="U269" s="102"/>
      <x:c r="V269" s="102"/>
      <x:c r="W269" s="102"/>
      <x:c r="X269" s="110"/>
      <x:c r="Y269" s="102"/>
      <x:c r="Z269" s="102"/>
      <x:c r="AA269" s="102"/>
    </x:row>
    <x:row r="270">
      <x:c r="A270" s="102" t="str">
        <x:v>VESSEL_00269</x:v>
      </x:c>
      <x:c r="B270" s="102" t="str">
        <x:v>GFS LETO</x:v>
      </x:c>
      <x:c r="C270" s="110" t="str">
        <x:v>9346562</x:v>
      </x:c>
      <x:c r="D270" s="102"/>
      <x:c r="E270" s="102"/>
      <x:c r="F270" s="102" t="str">
        <x:v>Containership</x:v>
      </x:c>
      <x:c r="G270" s="102" t="str">
        <x:v>GFS registry / named-vessel seed</x:v>
      </x:c>
      <x:c r="H270" s="102"/>
      <x:c r="I270" s="102"/>
      <x:c r="J270" s="102"/>
      <x:c r="K270" s="102"/>
      <x:c r="L270" s="102"/>
      <x:c r="M270" s="102"/>
      <x:c r="N270" s="102"/>
      <x:c r="O270" s="102"/>
      <x:c r="P270" s="102"/>
      <x:c r="Q270" s="102" t="str">
        <x:v>Operating / registry-observed</x:v>
      </x:c>
      <x:c r="R270" s="102" t="str">
        <x:v>SRC_0209</x:v>
      </x:c>
      <x:c r="S270" s="102" t="str">
        <x:v>GFS-named vessel registry seed; current legal owner, manager and commercial deployment require reconciliation.</x:v>
      </x:c>
      <x:c r="T270" s="102"/>
      <x:c r="U270" s="102"/>
      <x:c r="V270" s="102"/>
      <x:c r="W270" s="102"/>
      <x:c r="X270" s="110"/>
      <x:c r="Y270" s="102" t="str">
        <x:v>5BWF6</x:v>
      </x:c>
      <x:c r="Z270" s="102"/>
      <x:c r="AA270" s="102"/>
    </x:row>
    <x:row r="271">
      <x:c r="A271" s="102" t="str">
        <x:v>VESSEL_00270</x:v>
      </x:c>
      <x:c r="B271" s="102" t="str">
        <x:v>GFS LYSA</x:v>
      </x:c>
      <x:c r="C271" s="110" t="str">
        <x:v>9368730</x:v>
      </x:c>
      <x:c r="D271" s="102"/>
      <x:c r="E271" s="102"/>
      <x:c r="F271" s="102" t="str">
        <x:v>Containership</x:v>
      </x:c>
      <x:c r="G271" s="102" t="str">
        <x:v>GFS registry / named-vessel seed</x:v>
      </x:c>
      <x:c r="H271" s="102"/>
      <x:c r="I271" s="102"/>
      <x:c r="J271" s="102"/>
      <x:c r="K271" s="102"/>
      <x:c r="L271" s="102"/>
      <x:c r="M271" s="102"/>
      <x:c r="N271" s="102"/>
      <x:c r="O271" s="102"/>
      <x:c r="P271" s="102"/>
      <x:c r="Q271" s="102" t="str">
        <x:v>Operating / registry-observed</x:v>
      </x:c>
      <x:c r="R271" s="102" t="str">
        <x:v>SRC_0209</x:v>
      </x:c>
      <x:c r="S271" s="102" t="str">
        <x:v>GFS-named vessel registry seed; current legal owner, manager and commercial deployment require reconciliation.</x:v>
      </x:c>
      <x:c r="T271" s="102"/>
      <x:c r="U271" s="102"/>
      <x:c r="V271" s="102"/>
      <x:c r="W271" s="102"/>
      <x:c r="X271" s="110"/>
      <x:c r="Y271" s="102" t="str">
        <x:v>5BYT6</x:v>
      </x:c>
      <x:c r="Z271" s="102"/>
      <x:c r="AA271" s="102"/>
    </x:row>
    <x:row r="272">
      <x:c r="A272" s="102" t="str">
        <x:v>VESSEL_00271</x:v>
      </x:c>
      <x:c r="B272" s="102" t="str">
        <x:v>GFS MARINE 01</x:v>
      </x:c>
      <x:c r="C272" s="110" t="str">
        <x:v>9586368</x:v>
      </x:c>
      <x:c r="D272" s="102"/>
      <x:c r="E272" s="102"/>
      <x:c r="F272" s="102" t="str">
        <x:v>Deck cargo / multipurpose</x:v>
      </x:c>
      <x:c r="G272" s="102" t="str">
        <x:v>GFS registry / named-vessel seed</x:v>
      </x:c>
      <x:c r="H272" s="102"/>
      <x:c r="I272" s="102"/>
      <x:c r="J272" s="102"/>
      <x:c r="K272" s="102"/>
      <x:c r="L272" s="102"/>
      <x:c r="M272" s="102"/>
      <x:c r="N272" s="102"/>
      <x:c r="O272" s="102"/>
      <x:c r="P272" s="102"/>
      <x:c r="Q272" s="102" t="str">
        <x:v>Operating / registry-observed</x:v>
      </x:c>
      <x:c r="R272" s="102" t="str">
        <x:v>SRC_0209</x:v>
      </x:c>
      <x:c r="S272" s="102" t="str">
        <x:v>GFS-named non-container vessel registry seed; role in current GFS group fleet requires reconciliation.</x:v>
      </x:c>
      <x:c r="T272" s="102"/>
      <x:c r="U272" s="102"/>
      <x:c r="V272" s="102"/>
      <x:c r="W272" s="102"/>
      <x:c r="X272" s="110"/>
      <x:c r="Y272" s="102" t="str">
        <x:v>P2V5596</x:v>
      </x:c>
      <x:c r="Z272" s="102"/>
      <x:c r="AA272" s="102"/>
    </x:row>
    <x:row r="273">
      <x:c r="A273" s="102" t="str">
        <x:v>VESSEL_00272</x:v>
      </x:c>
      <x:c r="B273" s="102" t="str">
        <x:v>GFS RHEA</x:v>
      </x:c>
      <x:c r="C273" s="110" t="str">
        <x:v>9373486</x:v>
      </x:c>
      <x:c r="D273" s="102" t="str">
        <x:v>COMP_GFS</x:v>
      </x:c>
      <x:c r="E273" s="102"/>
      <x:c r="F273" s="102" t="str">
        <x:v>Containership</x:v>
      </x:c>
      <x:c r="G273" s="102" t="str">
        <x:v>GFS registry / named-vessel seed</x:v>
      </x:c>
      <x:c r="H273" s="102" t="str">
        <x:v>Cyprus</x:v>
      </x:c>
      <x:c r="I273" s="102" t="n">
        <x:v>2007</x:v>
      </x:c>
      <x:c r="J273" s="102" t="n">
        <x:v>23664</x:v>
      </x:c>
      <x:c r="K273" s="102" t="str">
        <x:v>1,732 TEU</x:v>
      </x:c>
      <x:c r="L273" s="102"/>
      <x:c r="M273" s="102"/>
      <x:c r="N273" s="102"/>
      <x:c r="O273" s="102"/>
      <x:c r="P273" s="102"/>
      <x:c r="Q273" s="102" t="str">
        <x:v>Operating / registry-observed</x:v>
      </x:c>
      <x:c r="R273" s="102" t="str">
        <x:v>SRC_0210</x:v>
      </x:c>
      <x:c r="S273" s="102" t="str">
        <x:v>ShipVault current particulars; ownership/company-role mapping recorded separately from commercial deployment.</x:v>
      </x:c>
      <x:c r="T273" s="102" t="n">
        <x:v>18480</x:v>
      </x:c>
      <x:c r="U273" s="102"/>
      <x:c r="V273" s="102" t="n">
        <x:v>176.88</x:v>
      </x:c>
      <x:c r="W273" s="102" t="n">
        <x:v>27.4</x:v>
      </x:c>
      <x:c r="X273" s="110" t="str">
        <x:v>210639000</x:v>
      </x:c>
      <x:c r="Y273" s="102" t="str">
        <x:v>5BWE6</x:v>
      </x:c>
      <x:c r="Z273" s="102" t="str">
        <x:v>Global Feeder Shipping (GFS)</x:v>
      </x:c>
      <x:c r="AA273" s="102"/>
    </x:row>
    <x:row r="274">
      <x:c r="A274" s="102" t="str">
        <x:v>VESSEL_00273</x:v>
      </x:c>
      <x:c r="B274" s="102" t="str">
        <x:v>GFS RHINE</x:v>
      </x:c>
      <x:c r="C274" s="110" t="str">
        <x:v>9435234</x:v>
      </x:c>
      <x:c r="D274" s="102"/>
      <x:c r="E274" s="102"/>
      <x:c r="F274" s="102" t="str">
        <x:v>Containership</x:v>
      </x:c>
      <x:c r="G274" s="102" t="str">
        <x:v>GFS registry / named-vessel seed</x:v>
      </x:c>
      <x:c r="H274" s="102"/>
      <x:c r="I274" s="102"/>
      <x:c r="J274" s="102"/>
      <x:c r="K274" s="102"/>
      <x:c r="L274" s="102"/>
      <x:c r="M274" s="102"/>
      <x:c r="N274" s="102"/>
      <x:c r="O274" s="102"/>
      <x:c r="P274" s="102"/>
      <x:c r="Q274" s="102" t="str">
        <x:v>Operating / registry-observed</x:v>
      </x:c>
      <x:c r="R274" s="102" t="str">
        <x:v>SRC_0209</x:v>
      </x:c>
      <x:c r="S274" s="102" t="str">
        <x:v>GFS-named vessel registry seed; current legal owner, manager and commercial deployment require reconciliation.</x:v>
      </x:c>
      <x:c r="T274" s="102"/>
      <x:c r="U274" s="102"/>
      <x:c r="V274" s="102"/>
      <x:c r="W274" s="102"/>
      <x:c r="X274" s="110"/>
      <x:c r="Y274" s="102" t="str">
        <x:v>5BLZ2</x:v>
      </x:c>
      <x:c r="Z274" s="102"/>
      <x:c r="AA274" s="102"/>
    </x:row>
    <x:row r="275">
      <x:c r="A275" s="102" t="str">
        <x:v>VESSEL_00274</x:v>
      </x:c>
      <x:c r="B275" s="102" t="str">
        <x:v>Baie Comeau</x:v>
      </x:c>
      <x:c r="C275" s="110" t="str">
        <x:v>9639892</x:v>
      </x:c>
      <x:c r="D275" s="102" t="str">
        <x:v>COMP_CSL_CANADA</x:v>
      </x:c>
      <x:c r="E275" s="102" t="str">
        <x:v>COMP_CSL_CANADA</x:v>
      </x:c>
      <x:c r="F275" s="102" t="str">
        <x:v>Self-unloading bulk carrier</x:v>
      </x:c>
      <x:c r="G275" s="102" t="str">
        <x:v>Seawaymax</x:v>
      </x:c>
      <x:c r="H275" s="102" t="str">
        <x:v>Canada</x:v>
      </x:c>
      <x:c r="I275" s="102" t="str">
        <x:v>2013</x:v>
      </x:c>
      <x:c r="J275" s="102" t="str">
        <x:v>34400</x:v>
      </x:c>
      <x:c r="K275" s="102"/>
      <x:c r="L275" s="102"/>
      <x:c r="M275" s="102"/>
      <x:c r="N275" s="102"/>
      <x:c r="O275" s="102" t="str">
        <x:v>Great Lakes / St. Lawrence dry bulk</x:v>
      </x:c>
      <x:c r="P275" s="102"/>
      <x:c r="Q275" s="102" t="str">
        <x:v>Operating</x:v>
      </x:c>
      <x:c r="R275" s="102" t="str">
        <x:v>SRC_0153</x:v>
      </x:c>
      <x:c r="S275" s="102" t="str">
        <x:v>Current CSL regional fleet association verified in 2026; IMO from regulator/current public vessel identity evidence.</x:v>
      </x:c>
      <x:c r="T275" s="102"/>
      <x:c r="U275" s="102"/>
      <x:c r="V275" s="102"/>
      <x:c r="W275" s="102"/>
      <x:c r="X275" s="110"/>
      <x:c r="Y275" s="102"/>
      <x:c r="Z275" s="102"/>
      <x:c r="AA275" s="102"/>
    </x:row>
    <x:row r="276">
      <x:c r="A276" s="102" t="str">
        <x:v>VESSEL_00275</x:v>
      </x:c>
      <x:c r="B276" s="102" t="str">
        <x:v>Baie St. Paul</x:v>
      </x:c>
      <x:c r="C276" s="110" t="str">
        <x:v>9601027</x:v>
      </x:c>
      <x:c r="D276" s="102" t="str">
        <x:v>COMP_CSL_CANADA</x:v>
      </x:c>
      <x:c r="E276" s="102" t="str">
        <x:v>COMP_CSL_CANADA</x:v>
      </x:c>
      <x:c r="F276" s="102" t="str">
        <x:v>Self-unloading bulk carrier</x:v>
      </x:c>
      <x:c r="G276" s="102" t="str">
        <x:v>Seawaymax</x:v>
      </x:c>
      <x:c r="H276" s="102" t="str">
        <x:v>Canada</x:v>
      </x:c>
      <x:c r="I276" s="102" t="str">
        <x:v>2012</x:v>
      </x:c>
      <x:c r="J276" s="102" t="str">
        <x:v>35250</x:v>
      </x:c>
      <x:c r="K276" s="102"/>
      <x:c r="L276" s="102"/>
      <x:c r="M276" s="102"/>
      <x:c r="N276" s="102"/>
      <x:c r="O276" s="102" t="str">
        <x:v>Great Lakes / St. Lawrence dry bulk</x:v>
      </x:c>
      <x:c r="P276" s="102"/>
      <x:c r="Q276" s="102" t="str">
        <x:v>Operating</x:v>
      </x:c>
      <x:c r="R276" s="102" t="str">
        <x:v>SRC_0153</x:v>
      </x:c>
      <x:c r="S276" s="102" t="str">
        <x:v>Current CSL regional fleet association verified in 2026; IMO from regulator/current public vessel identity evidence.</x:v>
      </x:c>
      <x:c r="T276" s="102"/>
      <x:c r="U276" s="102"/>
      <x:c r="V276" s="102"/>
      <x:c r="W276" s="102"/>
      <x:c r="X276" s="110"/>
      <x:c r="Y276" s="102"/>
      <x:c r="Z276" s="102"/>
      <x:c r="AA276" s="102"/>
    </x:row>
    <x:row r="277">
      <x:c r="A277" s="102" t="str">
        <x:v>VESSEL_00276</x:v>
      </x:c>
      <x:c r="B277" s="102" t="str">
        <x:v>CSL Assiniboine</x:v>
      </x:c>
      <x:c r="C277" s="110" t="str">
        <x:v>7413218</x:v>
      </x:c>
      <x:c r="D277" s="102" t="str">
        <x:v>COMP_CSL_CANADA</x:v>
      </x:c>
      <x:c r="E277" s="102" t="str">
        <x:v>COMP_CSL_CANADA</x:v>
      </x:c>
      <x:c r="F277" s="102" t="str">
        <x:v>Self-unloading bulk carrier</x:v>
      </x:c>
      <x:c r="G277" s="102" t="str">
        <x:v>Seawaymax</x:v>
      </x:c>
      <x:c r="H277" s="102" t="str">
        <x:v>Canada</x:v>
      </x:c>
      <x:c r="I277" s="102" t="str">
        <x:v>1977</x:v>
      </x:c>
      <x:c r="J277" s="102" t="str">
        <x:v>36050</x:v>
      </x:c>
      <x:c r="K277" s="102"/>
      <x:c r="L277" s="102"/>
      <x:c r="M277" s="102"/>
      <x:c r="N277" s="102"/>
      <x:c r="O277" s="102" t="str">
        <x:v>Great Lakes / St. Lawrence dry bulk</x:v>
      </x:c>
      <x:c r="P277" s="102"/>
      <x:c r="Q277" s="102" t="str">
        <x:v>Operating</x:v>
      </x:c>
      <x:c r="R277" s="102" t="str">
        <x:v>SRC_0153</x:v>
      </x:c>
      <x:c r="S277" s="102" t="str">
        <x:v>Current CSL regional fleet association verified in 2026; IMO from regulator/current public vessel identity evidence.</x:v>
      </x:c>
      <x:c r="T277" s="102"/>
      <x:c r="U277" s="102"/>
      <x:c r="V277" s="102"/>
      <x:c r="W277" s="102"/>
      <x:c r="X277" s="110"/>
      <x:c r="Y277" s="102"/>
      <x:c r="Z277" s="102"/>
      <x:c r="AA277" s="102"/>
    </x:row>
    <x:row r="278">
      <x:c r="A278" s="102" t="str">
        <x:v>VESSEL_00277</x:v>
      </x:c>
      <x:c r="B278" s="102" t="str">
        <x:v>CSL Laurentien</x:v>
      </x:c>
      <x:c r="C278" s="110" t="str">
        <x:v>7423108</x:v>
      </x:c>
      <x:c r="D278" s="102" t="str">
        <x:v>COMP_CSL_CANADA</x:v>
      </x:c>
      <x:c r="E278" s="102" t="str">
        <x:v>COMP_CSL_CANADA</x:v>
      </x:c>
      <x:c r="F278" s="102" t="str">
        <x:v>Self-unloading bulk carrier</x:v>
      </x:c>
      <x:c r="G278" s="102" t="str">
        <x:v>Seawaymax</x:v>
      </x:c>
      <x:c r="H278" s="102" t="str">
        <x:v>Canada</x:v>
      </x:c>
      <x:c r="I278" s="102" t="str">
        <x:v>1977</x:v>
      </x:c>
      <x:c r="J278" s="102" t="str">
        <x:v>37200</x:v>
      </x:c>
      <x:c r="K278" s="102"/>
      <x:c r="L278" s="102"/>
      <x:c r="M278" s="102"/>
      <x:c r="N278" s="102"/>
      <x:c r="O278" s="102" t="str">
        <x:v>Great Lakes / St. Lawrence dry bulk</x:v>
      </x:c>
      <x:c r="P278" s="102"/>
      <x:c r="Q278" s="102" t="str">
        <x:v>Operating</x:v>
      </x:c>
      <x:c r="R278" s="102" t="str">
        <x:v>SRC_0153</x:v>
      </x:c>
      <x:c r="S278" s="102" t="str">
        <x:v>Current CSL regional fleet association verified in 2026; IMO from regulator/current public vessel identity evidence.</x:v>
      </x:c>
      <x:c r="T278" s="102"/>
      <x:c r="U278" s="102"/>
      <x:c r="V278" s="102"/>
      <x:c r="W278" s="102"/>
      <x:c r="X278" s="110"/>
      <x:c r="Y278" s="102"/>
      <x:c r="Z278" s="102"/>
      <x:c r="AA278" s="102"/>
    </x:row>
    <x:row r="279">
      <x:c r="A279" s="102" t="str">
        <x:v>VESSEL_00278</x:v>
      </x:c>
      <x:c r="B279" s="102" t="str">
        <x:v>CSL Niagara</x:v>
      </x:c>
      <x:c r="C279" s="110" t="str">
        <x:v>7128423</x:v>
      </x:c>
      <x:c r="D279" s="102" t="str">
        <x:v>COMP_CSL_CANADA</x:v>
      </x:c>
      <x:c r="E279" s="102" t="str">
        <x:v>COMP_CSL_CANADA</x:v>
      </x:c>
      <x:c r="F279" s="102" t="str">
        <x:v>Self-unloading bulk carrier</x:v>
      </x:c>
      <x:c r="G279" s="102" t="str">
        <x:v>Seawaymax</x:v>
      </x:c>
      <x:c r="H279" s="102" t="str">
        <x:v>Canada</x:v>
      </x:c>
      <x:c r="I279" s="102" t="str">
        <x:v>1972</x:v>
      </x:c>
      <x:c r="J279" s="102" t="str">
        <x:v>37200</x:v>
      </x:c>
      <x:c r="K279" s="102"/>
      <x:c r="L279" s="102"/>
      <x:c r="M279" s="102"/>
      <x:c r="N279" s="102"/>
      <x:c r="O279" s="102" t="str">
        <x:v>Great Lakes / St. Lawrence dry bulk</x:v>
      </x:c>
      <x:c r="P279" s="102"/>
      <x:c r="Q279" s="102" t="str">
        <x:v>Operating</x:v>
      </x:c>
      <x:c r="R279" s="102" t="str">
        <x:v>SRC_0153</x:v>
      </x:c>
      <x:c r="S279" s="102" t="str">
        <x:v>Current CSL regional fleet association verified in 2026; IMO from regulator/current public vessel identity evidence.</x:v>
      </x:c>
      <x:c r="T279" s="102"/>
      <x:c r="U279" s="102"/>
      <x:c r="V279" s="102"/>
      <x:c r="W279" s="102"/>
      <x:c r="X279" s="110"/>
      <x:c r="Y279" s="102"/>
      <x:c r="Z279" s="102"/>
      <x:c r="AA279" s="102"/>
    </x:row>
    <x:row r="280">
      <x:c r="A280" s="102" t="str">
        <x:v>VESSEL_00279</x:v>
      </x:c>
      <x:c r="B280" s="102" t="str">
        <x:v>CSL Tadoussac</x:v>
      </x:c>
      <x:c r="C280" s="110" t="str">
        <x:v>6918716</x:v>
      </x:c>
      <x:c r="D280" s="102" t="str">
        <x:v>COMP_CSL_CANADA</x:v>
      </x:c>
      <x:c r="E280" s="102" t="str">
        <x:v>COMP_CSL_CANADA</x:v>
      </x:c>
      <x:c r="F280" s="102" t="str">
        <x:v>Self-unloading bulk carrier</x:v>
      </x:c>
      <x:c r="G280" s="102" t="str">
        <x:v>Seawaymax</x:v>
      </x:c>
      <x:c r="H280" s="102" t="str">
        <x:v>Canada</x:v>
      </x:c>
      <x:c r="I280" s="102" t="str">
        <x:v>1969</x:v>
      </x:c>
      <x:c r="J280" s="102" t="str">
        <x:v>29630</x:v>
      </x:c>
      <x:c r="K280" s="102"/>
      <x:c r="L280" s="102"/>
      <x:c r="M280" s="102"/>
      <x:c r="N280" s="102"/>
      <x:c r="O280" s="102" t="str">
        <x:v>Great Lakes / St. Lawrence dry bulk</x:v>
      </x:c>
      <x:c r="P280" s="102"/>
      <x:c r="Q280" s="102" t="str">
        <x:v>Operating</x:v>
      </x:c>
      <x:c r="R280" s="102" t="str">
        <x:v>SRC_0153</x:v>
      </x:c>
      <x:c r="S280" s="102" t="str">
        <x:v>Current CSL regional fleet association verified in 2026; IMO from regulator/current public vessel identity evidence.</x:v>
      </x:c>
      <x:c r="T280" s="102"/>
      <x:c r="U280" s="102"/>
      <x:c r="V280" s="102"/>
      <x:c r="W280" s="102"/>
      <x:c r="X280" s="110"/>
      <x:c r="Y280" s="102"/>
      <x:c r="Z280" s="102"/>
      <x:c r="AA280" s="102"/>
    </x:row>
    <x:row r="281">
      <x:c r="A281" s="102" t="str">
        <x:v>VESSEL_00280</x:v>
      </x:c>
      <x:c r="B281" s="102" t="str">
        <x:v>Frontenac</x:v>
      </x:c>
      <x:c r="C281" s="110" t="str">
        <x:v>6804848</x:v>
      </x:c>
      <x:c r="D281" s="102" t="str">
        <x:v>COMP_CSL_CANADA</x:v>
      </x:c>
      <x:c r="E281" s="102" t="str">
        <x:v>COMP_CSL_CANADA</x:v>
      </x:c>
      <x:c r="F281" s="102" t="str">
        <x:v>Self-unloading bulk carrier</x:v>
      </x:c>
      <x:c r="G281" s="102" t="str">
        <x:v>Seawaymax</x:v>
      </x:c>
      <x:c r="H281" s="102" t="str">
        <x:v>Canada</x:v>
      </x:c>
      <x:c r="I281" s="102" t="str">
        <x:v>1968</x:v>
      </x:c>
      <x:c r="J281" s="102" t="str">
        <x:v>26325</x:v>
      </x:c>
      <x:c r="K281" s="102"/>
      <x:c r="L281" s="102"/>
      <x:c r="M281" s="102"/>
      <x:c r="N281" s="102"/>
      <x:c r="O281" s="102" t="str">
        <x:v>Great Lakes / St. Lawrence dry bulk</x:v>
      </x:c>
      <x:c r="P281" s="102"/>
      <x:c r="Q281" s="102" t="str">
        <x:v>Operating</x:v>
      </x:c>
      <x:c r="R281" s="102" t="str">
        <x:v>SRC_0153</x:v>
      </x:c>
      <x:c r="S281" s="102" t="str">
        <x:v>Current CSL regional fleet association verified in 2026; IMO from regulator/current public vessel identity evidence.</x:v>
      </x:c>
      <x:c r="T281" s="102"/>
      <x:c r="U281" s="102"/>
      <x:c r="V281" s="102"/>
      <x:c r="W281" s="102"/>
      <x:c r="X281" s="110"/>
      <x:c r="Y281" s="102"/>
      <x:c r="Z281" s="102"/>
      <x:c r="AA281" s="102"/>
    </x:row>
    <x:row r="282">
      <x:c r="A282" s="102" t="str">
        <x:v>VESSEL_00281</x:v>
      </x:c>
      <x:c r="B282" s="102" t="str">
        <x:v>Nukumi</x:v>
      </x:c>
      <x:c r="C282" s="110" t="str">
        <x:v>9914711</x:v>
      </x:c>
      <x:c r="D282" s="102" t="str">
        <x:v>COMP_CSL_CANADA</x:v>
      </x:c>
      <x:c r="E282" s="102" t="str">
        <x:v>COMP_CSL_CANADA</x:v>
      </x:c>
      <x:c r="F282" s="102" t="str">
        <x:v>Self-unloading bulk carrier</x:v>
      </x:c>
      <x:c r="G282" s="102" t="str">
        <x:v>Diesel-electric / Seawaymax</x:v>
      </x:c>
      <x:c r="H282" s="102" t="str">
        <x:v>Canada</x:v>
      </x:c>
      <x:c r="I282" s="102" t="str">
        <x:v>2021</x:v>
      </x:c>
      <x:c r="J282" s="102" t="str">
        <x:v>32085.7</x:v>
      </x:c>
      <x:c r="K282" s="102"/>
      <x:c r="L282" s="102"/>
      <x:c r="M282" s="102"/>
      <x:c r="N282" s="102"/>
      <x:c r="O282" s="102" t="str">
        <x:v>Salt / Great Lakes and Eastern Canada</x:v>
      </x:c>
      <x:c r="P282" s="102"/>
      <x:c r="Q282" s="102" t="str">
        <x:v>Operating</x:v>
      </x:c>
      <x:c r="R282" s="102" t="str">
        <x:v>SRC_0169</x:v>
      </x:c>
      <x:c r="S282" s="102" t="str">
        <x:v>Current CSL regional fleet association verified in 2026; IMO from regulator/current public vessel identity evidence.</x:v>
      </x:c>
      <x:c r="T282" s="102"/>
      <x:c r="U282" s="102"/>
      <x:c r="V282" s="102"/>
      <x:c r="W282" s="102"/>
      <x:c r="X282" s="110"/>
      <x:c r="Y282" s="102"/>
      <x:c r="Z282" s="102"/>
      <x:c r="AA282" s="102"/>
    </x:row>
    <x:row r="283">
      <x:c r="A283" s="102" t="str">
        <x:v>VESSEL_00282</x:v>
      </x:c>
      <x:c r="B283" s="102" t="str">
        <x:v>Rt. Hon. Paul J. Martin</x:v>
      </x:c>
      <x:c r="C283" s="110" t="str">
        <x:v>7324405</x:v>
      </x:c>
      <x:c r="D283" s="102" t="str">
        <x:v>COMP_CSL_CANADA</x:v>
      </x:c>
      <x:c r="E283" s="102" t="str">
        <x:v>COMP_CSL_CANADA</x:v>
      </x:c>
      <x:c r="F283" s="102" t="str">
        <x:v>Self-unloading bulk carrier</x:v>
      </x:c>
      <x:c r="G283" s="102" t="str">
        <x:v>Seawaymax</x:v>
      </x:c>
      <x:c r="H283" s="102" t="str">
        <x:v>Canada</x:v>
      </x:c>
      <x:c r="I283" s="102" t="str">
        <x:v>1973</x:v>
      </x:c>
      <x:c r="J283" s="102" t="str">
        <x:v>37200</x:v>
      </x:c>
      <x:c r="K283" s="102"/>
      <x:c r="L283" s="102"/>
      <x:c r="M283" s="102"/>
      <x:c r="N283" s="102"/>
      <x:c r="O283" s="102" t="str">
        <x:v>Great Lakes / St. Lawrence dry bulk</x:v>
      </x:c>
      <x:c r="P283" s="102"/>
      <x:c r="Q283" s="102" t="str">
        <x:v>Operating</x:v>
      </x:c>
      <x:c r="R283" s="102" t="str">
        <x:v>SRC_0153</x:v>
      </x:c>
      <x:c r="S283" s="102" t="str">
        <x:v>Current CSL regional fleet association verified in 2026; IMO from regulator/current public vessel identity evidence.</x:v>
      </x:c>
      <x:c r="T283" s="102"/>
      <x:c r="U283" s="102"/>
      <x:c r="V283" s="102"/>
      <x:c r="W283" s="102"/>
      <x:c r="X283" s="110"/>
      <x:c r="Y283" s="102"/>
      <x:c r="Z283" s="102"/>
      <x:c r="AA283" s="102"/>
    </x:row>
    <x:row r="284">
      <x:c r="A284" s="102" t="str">
        <x:v>VESSEL_00283</x:v>
      </x:c>
      <x:c r="B284" s="102" t="str">
        <x:v>Thunder Bay</x:v>
      </x:c>
      <x:c r="C284" s="110" t="str">
        <x:v>9601039</x:v>
      </x:c>
      <x:c r="D284" s="102" t="str">
        <x:v>COMP_CSL_CANADA</x:v>
      </x:c>
      <x:c r="E284" s="102" t="str">
        <x:v>COMP_CSL_CANADA</x:v>
      </x:c>
      <x:c r="F284" s="102" t="str">
        <x:v>Self-unloading bulk carrier</x:v>
      </x:c>
      <x:c r="G284" s="102" t="str">
        <x:v>Trillium / Seawaymax</x:v>
      </x:c>
      <x:c r="H284" s="102" t="str">
        <x:v>Canada</x:v>
      </x:c>
      <x:c r="I284" s="102" t="str">
        <x:v>2013</x:v>
      </x:c>
      <x:c r="J284" s="102" t="str">
        <x:v>35250</x:v>
      </x:c>
      <x:c r="K284" s="102"/>
      <x:c r="L284" s="102"/>
      <x:c r="M284" s="102"/>
      <x:c r="N284" s="102"/>
      <x:c r="O284" s="102" t="str">
        <x:v>Great Lakes / St. Lawrence dry bulk</x:v>
      </x:c>
      <x:c r="P284" s="102"/>
      <x:c r="Q284" s="102" t="str">
        <x:v>Operating</x:v>
      </x:c>
      <x:c r="R284" s="102" t="str">
        <x:v>SRC_0153</x:v>
      </x:c>
      <x:c r="S284" s="102" t="str">
        <x:v>Current CSL regional fleet association verified in 2026; IMO from regulator/current public vessel identity evidence.</x:v>
      </x:c>
      <x:c r="T284" s="102"/>
      <x:c r="U284" s="102"/>
      <x:c r="V284" s="102"/>
      <x:c r="W284" s="102"/>
      <x:c r="X284" s="110"/>
      <x:c r="Y284" s="102"/>
      <x:c r="Z284" s="102"/>
      <x:c r="AA284" s="102"/>
    </x:row>
    <x:row r="285">
      <x:c r="A285" s="102" t="str">
        <x:v>VESSEL_00284</x:v>
      </x:c>
      <x:c r="B285" s="102" t="str">
        <x:v>Whitefish Bay</x:v>
      </x:c>
      <x:c r="C285" s="110" t="str">
        <x:v>9639880</x:v>
      </x:c>
      <x:c r="D285" s="102" t="str">
        <x:v>COMP_CSL_CANADA</x:v>
      </x:c>
      <x:c r="E285" s="102" t="str">
        <x:v>COMP_CSL_CANADA</x:v>
      </x:c>
      <x:c r="F285" s="102" t="str">
        <x:v>Self-unloading bulk carrier</x:v>
      </x:c>
      <x:c r="G285" s="102" t="str">
        <x:v>Trillium / Seawaymax</x:v>
      </x:c>
      <x:c r="H285" s="102" t="str">
        <x:v>Canada</x:v>
      </x:c>
      <x:c r="I285" s="102" t="str">
        <x:v>2013</x:v>
      </x:c>
      <x:c r="J285" s="102" t="str">
        <x:v>34400</x:v>
      </x:c>
      <x:c r="K285" s="102"/>
      <x:c r="L285" s="102"/>
      <x:c r="M285" s="102"/>
      <x:c r="N285" s="102"/>
      <x:c r="O285" s="102" t="str">
        <x:v>Great Lakes / St. Lawrence dry bulk</x:v>
      </x:c>
      <x:c r="P285" s="102"/>
      <x:c r="Q285" s="102" t="str">
        <x:v>Operating</x:v>
      </x:c>
      <x:c r="R285" s="102" t="str">
        <x:v>SRC_0153</x:v>
      </x:c>
      <x:c r="S285" s="102" t="str">
        <x:v>Current CSL regional fleet association verified in 2026; IMO from regulator/current public vessel identity evidence.</x:v>
      </x:c>
      <x:c r="T285" s="102"/>
      <x:c r="U285" s="102"/>
      <x:c r="V285" s="102"/>
      <x:c r="W285" s="102"/>
      <x:c r="X285" s="110"/>
      <x:c r="Y285" s="102"/>
      <x:c r="Z285" s="102"/>
      <x:c r="AA285" s="102"/>
    </x:row>
    <x:row r="286">
      <x:c r="A286" s="102" t="str">
        <x:v>VESSEL_00285</x:v>
      </x:c>
      <x:c r="B286" s="102" t="str">
        <x:v>CSL St-Laurent</x:v>
      </x:c>
      <x:c r="C286" s="110" t="str">
        <x:v>9665281</x:v>
      </x:c>
      <x:c r="D286" s="102" t="str">
        <x:v>COMP_CSL_CANADA</x:v>
      </x:c>
      <x:c r="E286" s="102" t="str">
        <x:v>COMP_CSL_CANADA</x:v>
      </x:c>
      <x:c r="F286" s="102" t="str">
        <x:v>Gearless bulk carrier</x:v>
      </x:c>
      <x:c r="G286" s="102" t="str">
        <x:v>Trillium / Seawaymax</x:v>
      </x:c>
      <x:c r="H286" s="102" t="str">
        <x:v>Canada</x:v>
      </x:c>
      <x:c r="I286" s="102" t="str">
        <x:v>2014</x:v>
      </x:c>
      <x:c r="J286" s="102" t="str">
        <x:v>34425</x:v>
      </x:c>
      <x:c r="K286" s="102"/>
      <x:c r="L286" s="102"/>
      <x:c r="M286" s="102"/>
      <x:c r="N286" s="102"/>
      <x:c r="O286" s="102" t="str">
        <x:v>Great Lakes / St. Lawrence grain and dry bulk</x:v>
      </x:c>
      <x:c r="P286" s="102"/>
      <x:c r="Q286" s="102" t="str">
        <x:v>Operating</x:v>
      </x:c>
      <x:c r="R286" s="102" t="str">
        <x:v>SRC_0153</x:v>
      </x:c>
      <x:c r="S286" s="102" t="str">
        <x:v>Current CSL regional fleet association verified in 2026; IMO from regulator/current public vessel identity evidence.</x:v>
      </x:c>
      <x:c r="T286" s="102"/>
      <x:c r="U286" s="102"/>
      <x:c r="V286" s="102"/>
      <x:c r="W286" s="102"/>
      <x:c r="X286" s="110"/>
      <x:c r="Y286" s="102"/>
      <x:c r="Z286" s="102"/>
      <x:c r="AA286" s="102"/>
    </x:row>
    <x:row r="287">
      <x:c r="A287" s="102" t="str">
        <x:v>VESSEL_00286</x:v>
      </x:c>
      <x:c r="B287" s="102" t="str">
        <x:v>CSL Welland</x:v>
      </x:c>
      <x:c r="C287" s="110" t="str">
        <x:v>9665279</x:v>
      </x:c>
      <x:c r="D287" s="102" t="str">
        <x:v>COMP_CSL_CANADA</x:v>
      </x:c>
      <x:c r="E287" s="102" t="str">
        <x:v>COMP_CSL_CANADA</x:v>
      </x:c>
      <x:c r="F287" s="102" t="str">
        <x:v>Gearless bulk carrier</x:v>
      </x:c>
      <x:c r="G287" s="102" t="str">
        <x:v>Trillium / Seawaymax</x:v>
      </x:c>
      <x:c r="H287" s="102" t="str">
        <x:v>Canada</x:v>
      </x:c>
      <x:c r="I287" s="102" t="str">
        <x:v>2014</x:v>
      </x:c>
      <x:c r="J287" s="102" t="str">
        <x:v>35425</x:v>
      </x:c>
      <x:c r="K287" s="102"/>
      <x:c r="L287" s="102"/>
      <x:c r="M287" s="102"/>
      <x:c r="N287" s="102"/>
      <x:c r="O287" s="102" t="str">
        <x:v>Great Lakes / St. Lawrence grain and dry bulk</x:v>
      </x:c>
      <x:c r="P287" s="102"/>
      <x:c r="Q287" s="102" t="str">
        <x:v>Operating</x:v>
      </x:c>
      <x:c r="R287" s="102" t="str">
        <x:v>SRC_0153</x:v>
      </x:c>
      <x:c r="S287" s="102" t="str">
        <x:v>Current CSL regional fleet association verified in 2026; IMO from regulator/current public vessel identity evidence.</x:v>
      </x:c>
      <x:c r="T287" s="102"/>
      <x:c r="U287" s="102"/>
      <x:c r="V287" s="102"/>
      <x:c r="W287" s="102"/>
      <x:c r="X287" s="110"/>
      <x:c r="Y287" s="102"/>
      <x:c r="Z287" s="102"/>
      <x:c r="AA287" s="102"/>
    </x:row>
    <x:row r="288">
      <x:c r="A288" s="102" t="str">
        <x:v>VESSEL_00287</x:v>
      </x:c>
      <x:c r="B288" s="102" t="str">
        <x:v>Ferbec</x:v>
      </x:c>
      <x:c r="C288" s="110" t="str">
        <x:v>9259848</x:v>
      </x:c>
      <x:c r="D288" s="102" t="str">
        <x:v>COMP_CSL_CANADA</x:v>
      </x:c>
      <x:c r="E288" s="102" t="str">
        <x:v>COMP_CSL_CANADA</x:v>
      </x:c>
      <x:c r="F288" s="102" t="str">
        <x:v>Gearless bulk carrier</x:v>
      </x:c>
      <x:c r="G288" s="102" t="str">
        <x:v>Handymax</x:v>
      </x:c>
      <x:c r="H288" s="102" t="str">
        <x:v>Canada</x:v>
      </x:c>
      <x:c r="I288" s="102" t="str">
        <x:v>2002</x:v>
      </x:c>
      <x:c r="J288" s="102" t="str">
        <x:v>51209</x:v>
      </x:c>
      <x:c r="K288" s="102"/>
      <x:c r="L288" s="102"/>
      <x:c r="M288" s="102"/>
      <x:c r="N288" s="102"/>
      <x:c r="O288" s="102" t="str">
        <x:v>Gulf / St. Lawrence steel trades</x:v>
      </x:c>
      <x:c r="P288" s="102"/>
      <x:c r="Q288" s="102" t="str">
        <x:v>Operating</x:v>
      </x:c>
      <x:c r="R288" s="102" t="str">
        <x:v>SRC_0153</x:v>
      </x:c>
      <x:c r="S288" s="102" t="str">
        <x:v>Current CSL regional fleet association verified in 2026; IMO from regulator/current public vessel identity evidence.</x:v>
      </x:c>
      <x:c r="T288" s="102"/>
      <x:c r="U288" s="102"/>
      <x:c r="V288" s="102"/>
      <x:c r="W288" s="102"/>
      <x:c r="X288" s="110"/>
      <x:c r="Y288" s="102"/>
      <x:c r="Z288" s="102"/>
      <x:c r="AA288" s="102"/>
    </x:row>
    <x:row r="289">
      <x:c r="A289" s="102" t="str">
        <x:v>VESSEL_00288</x:v>
      </x:c>
      <x:c r="B289" s="102" t="str">
        <x:v>Oakglen</x:v>
      </x:c>
      <x:c r="C289" s="110" t="str">
        <x:v>7901148</x:v>
      </x:c>
      <x:c r="D289" s="102" t="str">
        <x:v>COMP_CSL_CANADA</x:v>
      </x:c>
      <x:c r="E289" s="102" t="str">
        <x:v>COMP_CSL_CANADA</x:v>
      </x:c>
      <x:c r="F289" s="102" t="str">
        <x:v>Gearless bulk carrier</x:v>
      </x:c>
      <x:c r="G289" s="102" t="str">
        <x:v>Seawaymax</x:v>
      </x:c>
      <x:c r="H289" s="102" t="str">
        <x:v>Canada</x:v>
      </x:c>
      <x:c r="I289" s="102"/>
      <x:c r="J289" s="102" t="str">
        <x:v>34540</x:v>
      </x:c>
      <x:c r="K289" s="102"/>
      <x:c r="L289" s="102"/>
      <x:c r="M289" s="102"/>
      <x:c r="N289" s="102"/>
      <x:c r="O289" s="102" t="str">
        <x:v>Great Lakes / St. Lawrence dry bulk</x:v>
      </x:c>
      <x:c r="P289" s="102"/>
      <x:c r="Q289" s="102" t="str">
        <x:v>Operating</x:v>
      </x:c>
      <x:c r="R289" s="102" t="str">
        <x:v>SRC_0153</x:v>
      </x:c>
      <x:c r="S289" s="102" t="str">
        <x:v>Current CSL regional fleet association verified in 2026; IMO from regulator/current public vessel identity evidence.</x:v>
      </x:c>
      <x:c r="T289" s="102"/>
      <x:c r="U289" s="102"/>
      <x:c r="V289" s="102"/>
      <x:c r="W289" s="102"/>
      <x:c r="X289" s="110"/>
      <x:c r="Y289" s="102"/>
      <x:c r="Z289" s="102"/>
      <x:c r="AA289" s="102"/>
    </x:row>
    <x:row r="290">
      <x:c r="A290" s="102" t="str">
        <x:v>VESSEL_00289</x:v>
      </x:c>
      <x:c r="B290" s="102" t="str">
        <x:v>Spruceglen</x:v>
      </x:c>
      <x:c r="C290" s="110" t="str">
        <x:v>8119261</x:v>
      </x:c>
      <x:c r="D290" s="102" t="str">
        <x:v>COMP_CSL_CANADA</x:v>
      </x:c>
      <x:c r="E290" s="102" t="str">
        <x:v>COMP_CSL_CANADA</x:v>
      </x:c>
      <x:c r="F290" s="102" t="str">
        <x:v>Gearless bulk carrier</x:v>
      </x:c>
      <x:c r="G290" s="102" t="str">
        <x:v>Seawaymax</x:v>
      </x:c>
      <x:c r="H290" s="102" t="str">
        <x:v>Canada</x:v>
      </x:c>
      <x:c r="I290" s="102"/>
      <x:c r="J290" s="102" t="str">
        <x:v>34150</x:v>
      </x:c>
      <x:c r="K290" s="102"/>
      <x:c r="L290" s="102"/>
      <x:c r="M290" s="102"/>
      <x:c r="N290" s="102"/>
      <x:c r="O290" s="102" t="str">
        <x:v>Great Lakes / St. Lawrence dry bulk</x:v>
      </x:c>
      <x:c r="P290" s="102"/>
      <x:c r="Q290" s="102" t="str">
        <x:v>Operating</x:v>
      </x:c>
      <x:c r="R290" s="102" t="str">
        <x:v>SRC_0153</x:v>
      </x:c>
      <x:c r="S290" s="102" t="str">
        <x:v>Current CSL regional fleet association verified in 2026; IMO from regulator/current public vessel identity evidence.</x:v>
      </x:c>
      <x:c r="T290" s="102"/>
      <x:c r="U290" s="102"/>
      <x:c r="V290" s="102"/>
      <x:c r="W290" s="102"/>
      <x:c r="X290" s="110"/>
      <x:c r="Y290" s="102"/>
      <x:c r="Z290" s="102"/>
      <x:c r="AA290" s="102"/>
    </x:row>
    <x:row r="291">
      <x:c r="A291" s="102" t="str">
        <x:v>VESSEL_00290</x:v>
      </x:c>
      <x:c r="B291" s="102" t="str">
        <x:v>Tamarack</x:v>
      </x:c>
      <x:c r="C291" s="110" t="str">
        <x:v>1037153</x:v>
      </x:c>
      <x:c r="D291" s="102" t="str">
        <x:v>COMP_EUREKA_SHIPPING</x:v>
      </x:c>
      <x:c r="E291" s="102" t="str">
        <x:v>COMP_CSL_CANADA</x:v>
      </x:c>
      <x:c r="F291" s="102" t="str">
        <x:v>Cement carrier</x:v>
      </x:c>
      <x:c r="G291" s="102" t="str">
        <x:v>Mechanical / pneumatic cement</x:v>
      </x:c>
      <x:c r="H291" s="102" t="str">
        <x:v>Canada</x:v>
      </x:c>
      <x:c r="I291" s="102" t="str">
        <x:v>2025</x:v>
      </x:c>
      <x:c r="J291" s="102" t="str">
        <x:v>12500</x:v>
      </x:c>
      <x:c r="K291" s="102"/>
      <x:c r="L291" s="102"/>
      <x:c r="M291" s="102"/>
      <x:c r="N291" s="102"/>
      <x:c r="O291" s="102" t="str">
        <x:v>Great Lakes / St. Lawrence cement</x:v>
      </x:c>
      <x:c r="P291" s="102"/>
      <x:c r="Q291" s="102" t="str">
        <x:v>Operating</x:v>
      </x:c>
      <x:c r="R291" s="102" t="str">
        <x:v>SRC_0170</x:v>
      </x:c>
      <x:c r="S291" s="102" t="str">
        <x:v>Current CSL regional fleet association verified in 2026; IMO from regulator/current public vessel identity evidence.</x:v>
      </x:c>
      <x:c r="T291" s="102"/>
      <x:c r="U291" s="102"/>
      <x:c r="V291" s="102"/>
      <x:c r="W291" s="102"/>
      <x:c r="X291" s="110"/>
      <x:c r="Y291" s="102"/>
      <x:c r="Z291" s="102"/>
      <x:c r="AA291" s="102"/>
    </x:row>
    <x:row r="292">
      <x:c r="A292" s="102" t="str">
        <x:v>VESSEL_00291</x:v>
      </x:c>
      <x:c r="B292" s="102" t="str">
        <x:v>Algoma Guardian</x:v>
      </x:c>
      <x:c r="C292" s="110" t="str">
        <x:v>8505850</x:v>
      </x:c>
      <x:c r="D292" s="102" t="str">
        <x:v>COMP_ALGOMA</x:v>
      </x:c>
      <x:c r="E292" s="102" t="str">
        <x:v>COMP_ALGOMA</x:v>
      </x:c>
      <x:c r="F292" s="102" t="str">
        <x:v>Bulk carrier</x:v>
      </x:c>
      <x:c r="G292" s="102"/>
      <x:c r="H292" s="102" t="str">
        <x:v>Canada</x:v>
      </x:c>
      <x:c r="I292" s="102"/>
      <x:c r="J292" s="102"/>
      <x:c r="K292" s="102"/>
      <x:c r="L292" s="102"/>
      <x:c r="M292" s="102"/>
      <x:c r="N292" s="102"/>
      <x:c r="O292" s="102" t="str">
        <x:v>Great Lakes dry bulk</x:v>
      </x:c>
      <x:c r="P292" s="102"/>
      <x:c r="Q292" s="102" t="str">
        <x:v>2023 regulator-recorded; current status to verify</x:v>
      </x:c>
      <x:c r="R292" s="102" t="str">
        <x:v>SRC_0167</x:v>
      </x:c>
      <x:c r="S292" s="102" t="str">
        <x:v>Government identity evidence from 2023. Algoma's current segment structure is confirmed, but individual current operating status still requires reconciliation.</x:v>
      </x:c>
      <x:c r="T292" s="102"/>
      <x:c r="U292" s="102"/>
      <x:c r="V292" s="102"/>
      <x:c r="W292" s="102"/>
      <x:c r="X292" s="110"/>
      <x:c r="Y292" s="102"/>
      <x:c r="Z292" s="102"/>
      <x:c r="AA292" s="102"/>
    </x:row>
    <x:row r="293">
      <x:c r="A293" s="102" t="str">
        <x:v>VESSEL_00292</x:v>
      </x:c>
      <x:c r="B293" s="102" t="str">
        <x:v>Algoma Harvester</x:v>
      </x:c>
      <x:c r="C293" s="110" t="str">
        <x:v>9613939</x:v>
      </x:c>
      <x:c r="D293" s="102" t="str">
        <x:v>COMP_ALGOMA</x:v>
      </x:c>
      <x:c r="E293" s="102" t="str">
        <x:v>COMP_ALGOMA</x:v>
      </x:c>
      <x:c r="F293" s="102" t="str">
        <x:v>Bulk carrier</x:v>
      </x:c>
      <x:c r="G293" s="102"/>
      <x:c r="H293" s="102" t="str">
        <x:v>Canada</x:v>
      </x:c>
      <x:c r="I293" s="102"/>
      <x:c r="J293" s="102"/>
      <x:c r="K293" s="102"/>
      <x:c r="L293" s="102"/>
      <x:c r="M293" s="102"/>
      <x:c r="N293" s="102"/>
      <x:c r="O293" s="102" t="str">
        <x:v>Great Lakes dry bulk</x:v>
      </x:c>
      <x:c r="P293" s="102"/>
      <x:c r="Q293" s="102" t="str">
        <x:v>2023 regulator-recorded; current status to verify</x:v>
      </x:c>
      <x:c r="R293" s="102" t="str">
        <x:v>SRC_0167</x:v>
      </x:c>
      <x:c r="S293" s="102" t="str">
        <x:v>Government identity evidence from 2023. Algoma's current segment structure is confirmed, but individual current operating status still requires reconciliation.</x:v>
      </x:c>
      <x:c r="T293" s="102"/>
      <x:c r="U293" s="102"/>
      <x:c r="V293" s="102"/>
      <x:c r="W293" s="102"/>
      <x:c r="X293" s="110"/>
      <x:c r="Y293" s="102"/>
      <x:c r="Z293" s="102"/>
      <x:c r="AA293" s="102"/>
    </x:row>
    <x:row r="294">
      <x:c r="A294" s="102" t="str">
        <x:v>VESSEL_00293</x:v>
      </x:c>
      <x:c r="B294" s="102" t="str">
        <x:v>Algoma Innovator</x:v>
      </x:c>
      <x:c r="C294" s="110" t="str">
        <x:v>9773375</x:v>
      </x:c>
      <x:c r="D294" s="102" t="str">
        <x:v>COMP_ALGOMA</x:v>
      </x:c>
      <x:c r="E294" s="102" t="str">
        <x:v>COMP_ALGOMA</x:v>
      </x:c>
      <x:c r="F294" s="102" t="str">
        <x:v>Bulk carrier</x:v>
      </x:c>
      <x:c r="G294" s="102"/>
      <x:c r="H294" s="102" t="str">
        <x:v>Canada</x:v>
      </x:c>
      <x:c r="I294" s="102"/>
      <x:c r="J294" s="102"/>
      <x:c r="K294" s="102"/>
      <x:c r="L294" s="102"/>
      <x:c r="M294" s="102"/>
      <x:c r="N294" s="102"/>
      <x:c r="O294" s="102" t="str">
        <x:v>Great Lakes dry bulk</x:v>
      </x:c>
      <x:c r="P294" s="102"/>
      <x:c r="Q294" s="102" t="str">
        <x:v>2023 regulator-recorded; current status to verify</x:v>
      </x:c>
      <x:c r="R294" s="102" t="str">
        <x:v>SRC_0167</x:v>
      </x:c>
      <x:c r="S294" s="102" t="str">
        <x:v>Government identity evidence from 2023. Algoma's current segment structure is confirmed, but individual current operating status still requires reconciliation.</x:v>
      </x:c>
      <x:c r="T294" s="102"/>
      <x:c r="U294" s="102"/>
      <x:c r="V294" s="102"/>
      <x:c r="W294" s="102"/>
      <x:c r="X294" s="110"/>
      <x:c r="Y294" s="102"/>
      <x:c r="Z294" s="102"/>
      <x:c r="AA294" s="102"/>
    </x:row>
    <x:row r="295">
      <x:c r="A295" s="102" t="str">
        <x:v>VESSEL_00294</x:v>
      </x:c>
      <x:c r="B295" s="102" t="str">
        <x:v>Algoma Intrepid</x:v>
      </x:c>
      <x:c r="C295" s="110" t="str">
        <x:v>9773387</x:v>
      </x:c>
      <x:c r="D295" s="102" t="str">
        <x:v>COMP_ALGOMA</x:v>
      </x:c>
      <x:c r="E295" s="102" t="str">
        <x:v>COMP_ALGOMA</x:v>
      </x:c>
      <x:c r="F295" s="102" t="str">
        <x:v>Bulk carrier</x:v>
      </x:c>
      <x:c r="G295" s="102"/>
      <x:c r="H295" s="102" t="str">
        <x:v>Canada</x:v>
      </x:c>
      <x:c r="I295" s="102"/>
      <x:c r="J295" s="102"/>
      <x:c r="K295" s="102"/>
      <x:c r="L295" s="102"/>
      <x:c r="M295" s="102"/>
      <x:c r="N295" s="102"/>
      <x:c r="O295" s="102" t="str">
        <x:v>Great Lakes dry bulk</x:v>
      </x:c>
      <x:c r="P295" s="102"/>
      <x:c r="Q295" s="102" t="str">
        <x:v>2023 regulator-recorded; current status to verify</x:v>
      </x:c>
      <x:c r="R295" s="102" t="str">
        <x:v>SRC_0167</x:v>
      </x:c>
      <x:c r="S295" s="102" t="str">
        <x:v>Government identity evidence from 2023. Algoma's current segment structure is confirmed, but individual current operating status still requires reconciliation.</x:v>
      </x:c>
      <x:c r="T295" s="102"/>
      <x:c r="U295" s="102"/>
      <x:c r="V295" s="102"/>
      <x:c r="W295" s="102"/>
      <x:c r="X295" s="110"/>
      <x:c r="Y295" s="102"/>
      <x:c r="Z295" s="102"/>
      <x:c r="AA295" s="102"/>
    </x:row>
    <x:row r="296">
      <x:c r="A296" s="102" t="str">
        <x:v>VESSEL_00295</x:v>
      </x:c>
      <x:c r="B296" s="102" t="str">
        <x:v>Algoma Mariner</x:v>
      </x:c>
      <x:c r="C296" s="110" t="str">
        <x:v>9587893</x:v>
      </x:c>
      <x:c r="D296" s="102" t="str">
        <x:v>COMP_ALGOMA</x:v>
      </x:c>
      <x:c r="E296" s="102" t="str">
        <x:v>COMP_ALGOMA</x:v>
      </x:c>
      <x:c r="F296" s="102" t="str">
        <x:v>Bulk carrier</x:v>
      </x:c>
      <x:c r="G296" s="102"/>
      <x:c r="H296" s="102" t="str">
        <x:v>Canada</x:v>
      </x:c>
      <x:c r="I296" s="102"/>
      <x:c r="J296" s="102"/>
      <x:c r="K296" s="102"/>
      <x:c r="L296" s="102"/>
      <x:c r="M296" s="102"/>
      <x:c r="N296" s="102"/>
      <x:c r="O296" s="102" t="str">
        <x:v>Great Lakes dry bulk / oceangoing capable</x:v>
      </x:c>
      <x:c r="P296" s="102"/>
      <x:c r="Q296" s="102" t="str">
        <x:v>2023 regulator-recorded; current status to verify</x:v>
      </x:c>
      <x:c r="R296" s="102" t="str">
        <x:v>SRC_0167</x:v>
      </x:c>
      <x:c r="S296" s="102" t="str">
        <x:v>Government identity evidence from 2023. Algoma's current segment structure is confirmed, but individual current operating status still requires reconciliation.</x:v>
      </x:c>
      <x:c r="T296" s="102"/>
      <x:c r="U296" s="102"/>
      <x:c r="V296" s="102"/>
      <x:c r="W296" s="102"/>
      <x:c r="X296" s="110"/>
      <x:c r="Y296" s="102"/>
      <x:c r="Z296" s="102"/>
      <x:c r="AA296" s="102"/>
    </x:row>
    <x:row r="297">
      <x:c r="A297" s="102" t="str">
        <x:v>VESSEL_00296</x:v>
      </x:c>
      <x:c r="B297" s="102" t="str">
        <x:v>Algoma Niagara</x:v>
      </x:c>
      <x:c r="C297" s="110" t="str">
        <x:v>9619270</x:v>
      </x:c>
      <x:c r="D297" s="102" t="str">
        <x:v>COMP_ALGOMA</x:v>
      </x:c>
      <x:c r="E297" s="102" t="str">
        <x:v>COMP_ALGOMA</x:v>
      </x:c>
      <x:c r="F297" s="102" t="str">
        <x:v>Bulk carrier</x:v>
      </x:c>
      <x:c r="G297" s="102"/>
      <x:c r="H297" s="102" t="str">
        <x:v>Canada</x:v>
      </x:c>
      <x:c r="I297" s="102"/>
      <x:c r="J297" s="102"/>
      <x:c r="K297" s="102"/>
      <x:c r="L297" s="102"/>
      <x:c r="M297" s="102"/>
      <x:c r="N297" s="102"/>
      <x:c r="O297" s="102" t="str">
        <x:v>Great Lakes dry bulk</x:v>
      </x:c>
      <x:c r="P297" s="102"/>
      <x:c r="Q297" s="102" t="str">
        <x:v>2023 regulator-recorded; current status to verify</x:v>
      </x:c>
      <x:c r="R297" s="102" t="str">
        <x:v>SRC_0167</x:v>
      </x:c>
      <x:c r="S297" s="102" t="str">
        <x:v>Government identity evidence from 2023. Algoma's current segment structure is confirmed, but individual current operating status still requires reconciliation.</x:v>
      </x:c>
      <x:c r="T297" s="102"/>
      <x:c r="U297" s="102"/>
      <x:c r="V297" s="102"/>
      <x:c r="W297" s="102"/>
      <x:c r="X297" s="110"/>
      <x:c r="Y297" s="102"/>
      <x:c r="Z297" s="102"/>
      <x:c r="AA297" s="102"/>
    </x:row>
    <x:row r="298">
      <x:c r="A298" s="102" t="str">
        <x:v>VESSEL_00297</x:v>
      </x:c>
      <x:c r="B298" s="102" t="str">
        <x:v>Algoma Sault</x:v>
      </x:c>
      <x:c r="C298" s="110" t="str">
        <x:v>9619282</x:v>
      </x:c>
      <x:c r="D298" s="102" t="str">
        <x:v>COMP_ALGOMA</x:v>
      </x:c>
      <x:c r="E298" s="102" t="str">
        <x:v>COMP_ALGOMA</x:v>
      </x:c>
      <x:c r="F298" s="102" t="str">
        <x:v>Bulk carrier</x:v>
      </x:c>
      <x:c r="G298" s="102"/>
      <x:c r="H298" s="102" t="str">
        <x:v>Canada</x:v>
      </x:c>
      <x:c r="I298" s="102"/>
      <x:c r="J298" s="102"/>
      <x:c r="K298" s="102"/>
      <x:c r="L298" s="102"/>
      <x:c r="M298" s="102"/>
      <x:c r="N298" s="102"/>
      <x:c r="O298" s="102" t="str">
        <x:v>Great Lakes dry bulk</x:v>
      </x:c>
      <x:c r="P298" s="102"/>
      <x:c r="Q298" s="102" t="str">
        <x:v>2023 regulator-recorded; current status to verify</x:v>
      </x:c>
      <x:c r="R298" s="102" t="str">
        <x:v>SRC_0167</x:v>
      </x:c>
      <x:c r="S298" s="102" t="str">
        <x:v>Government identity evidence from 2023. Algoma's current segment structure is confirmed, but individual current operating status still requires reconciliation.</x:v>
      </x:c>
      <x:c r="T298" s="102"/>
      <x:c r="U298" s="102"/>
      <x:c r="V298" s="102"/>
      <x:c r="W298" s="102"/>
      <x:c r="X298" s="110"/>
      <x:c r="Y298" s="102"/>
      <x:c r="Z298" s="102"/>
      <x:c r="AA298" s="102"/>
    </x:row>
    <x:row r="299">
      <x:c r="A299" s="102" t="str">
        <x:v>VESSEL_00298</x:v>
      </x:c>
      <x:c r="B299" s="102" t="str">
        <x:v>Algoma Strongfield</x:v>
      </x:c>
      <x:c r="C299" s="110" t="str">
        <x:v>9613953</x:v>
      </x:c>
      <x:c r="D299" s="102" t="str">
        <x:v>COMP_ALGOMA</x:v>
      </x:c>
      <x:c r="E299" s="102" t="str">
        <x:v>COMP_ALGOMA</x:v>
      </x:c>
      <x:c r="F299" s="102" t="str">
        <x:v>Bulk carrier</x:v>
      </x:c>
      <x:c r="G299" s="102"/>
      <x:c r="H299" s="102" t="str">
        <x:v>Canada</x:v>
      </x:c>
      <x:c r="I299" s="102"/>
      <x:c r="J299" s="102"/>
      <x:c r="K299" s="102"/>
      <x:c r="L299" s="102"/>
      <x:c r="M299" s="102"/>
      <x:c r="N299" s="102"/>
      <x:c r="O299" s="102" t="str">
        <x:v>Great Lakes dry bulk</x:v>
      </x:c>
      <x:c r="P299" s="102"/>
      <x:c r="Q299" s="102" t="str">
        <x:v>2023 regulator-recorded; current status to verify</x:v>
      </x:c>
      <x:c r="R299" s="102" t="str">
        <x:v>SRC_0167</x:v>
      </x:c>
      <x:c r="S299" s="102" t="str">
        <x:v>Government identity evidence from 2023. Algoma's current segment structure is confirmed, but individual current operating status still requires reconciliation.</x:v>
      </x:c>
      <x:c r="T299" s="102"/>
      <x:c r="U299" s="102"/>
      <x:c r="V299" s="102"/>
      <x:c r="W299" s="102"/>
      <x:c r="X299" s="110"/>
      <x:c r="Y299" s="102"/>
      <x:c r="Z299" s="102"/>
      <x:c r="AA299" s="102"/>
    </x:row>
    <x:row r="300">
      <x:c r="A300" s="102" t="str">
        <x:v>VESSEL_00299</x:v>
      </x:c>
      <x:c r="B300" s="102" t="str">
        <x:v>Algoma Transport</x:v>
      </x:c>
      <x:c r="C300" s="110" t="str">
        <x:v>7711737</x:v>
      </x:c>
      <x:c r="D300" s="102" t="str">
        <x:v>COMP_ALGOMA</x:v>
      </x:c>
      <x:c r="E300" s="102" t="str">
        <x:v>COMP_ALGOMA</x:v>
      </x:c>
      <x:c r="F300" s="102" t="str">
        <x:v>Bulk carrier</x:v>
      </x:c>
      <x:c r="G300" s="102"/>
      <x:c r="H300" s="102" t="str">
        <x:v>Canada</x:v>
      </x:c>
      <x:c r="I300" s="102"/>
      <x:c r="J300" s="102"/>
      <x:c r="K300" s="102"/>
      <x:c r="L300" s="102"/>
      <x:c r="M300" s="102"/>
      <x:c r="N300" s="102"/>
      <x:c r="O300" s="102" t="str">
        <x:v>Great Lakes dry bulk</x:v>
      </x:c>
      <x:c r="P300" s="102"/>
      <x:c r="Q300" s="102" t="str">
        <x:v>2023 regulator-recorded; current status to verify</x:v>
      </x:c>
      <x:c r="R300" s="102" t="str">
        <x:v>SRC_0167</x:v>
      </x:c>
      <x:c r="S300" s="102" t="str">
        <x:v>Government identity evidence from 2023. Algoma's current segment structure is confirmed, but individual current operating status still requires reconciliation.</x:v>
      </x:c>
      <x:c r="T300" s="102"/>
      <x:c r="U300" s="102"/>
      <x:c r="V300" s="102"/>
      <x:c r="W300" s="102"/>
      <x:c r="X300" s="110"/>
      <x:c r="Y300" s="102"/>
      <x:c r="Z300" s="102"/>
      <x:c r="AA300" s="102"/>
    </x:row>
    <x:row r="301">
      <x:c r="A301" s="102" t="str">
        <x:v>VESSEL_00300</x:v>
      </x:c>
      <x:c r="B301" s="102" t="str">
        <x:v>Capt. Henry Jackman</x:v>
      </x:c>
      <x:c r="C301" s="110" t="str">
        <x:v>9619294</x:v>
      </x:c>
      <x:c r="D301" s="102" t="str">
        <x:v>COMP_ALGOMA</x:v>
      </x:c>
      <x:c r="E301" s="102" t="str">
        <x:v>COMP_ALGOMA</x:v>
      </x:c>
      <x:c r="F301" s="102" t="str">
        <x:v>Bulk carrier</x:v>
      </x:c>
      <x:c r="G301" s="102"/>
      <x:c r="H301" s="102" t="str">
        <x:v>Canada</x:v>
      </x:c>
      <x:c r="I301" s="102"/>
      <x:c r="J301" s="102"/>
      <x:c r="K301" s="102"/>
      <x:c r="L301" s="102"/>
      <x:c r="M301" s="102"/>
      <x:c r="N301" s="102"/>
      <x:c r="O301" s="102" t="str">
        <x:v>Great Lakes dry bulk</x:v>
      </x:c>
      <x:c r="P301" s="102"/>
      <x:c r="Q301" s="102" t="str">
        <x:v>2023 regulator-recorded; current status to verify</x:v>
      </x:c>
      <x:c r="R301" s="102" t="str">
        <x:v>SRC_0167</x:v>
      </x:c>
      <x:c r="S301" s="102" t="str">
        <x:v>Government identity evidence from 2023. Algoma's current segment structure is confirmed, but individual current operating status still requires reconciliation.</x:v>
      </x:c>
      <x:c r="T301" s="102"/>
      <x:c r="U301" s="102"/>
      <x:c r="V301" s="102"/>
      <x:c r="W301" s="102"/>
      <x:c r="X301" s="110"/>
      <x:c r="Y301" s="102"/>
      <x:c r="Z301" s="102"/>
      <x:c r="AA301" s="102"/>
    </x:row>
    <x:row r="302">
      <x:c r="A302" s="102" t="str">
        <x:v>VESSEL_00301</x:v>
      </x:c>
      <x:c r="B302" s="102" t="str">
        <x:v>G3 Marquis</x:v>
      </x:c>
      <x:c r="C302" s="110" t="str">
        <x:v>9613941</x:v>
      </x:c>
      <x:c r="D302" s="102" t="str">
        <x:v>COMP_ALGOMA</x:v>
      </x:c>
      <x:c r="E302" s="102" t="str">
        <x:v>COMP_ALGOMA</x:v>
      </x:c>
      <x:c r="F302" s="102" t="str">
        <x:v>Bulk carrier</x:v>
      </x:c>
      <x:c r="G302" s="102"/>
      <x:c r="H302" s="102" t="str">
        <x:v>Canada</x:v>
      </x:c>
      <x:c r="I302" s="102"/>
      <x:c r="J302" s="102"/>
      <x:c r="K302" s="102"/>
      <x:c r="L302" s="102"/>
      <x:c r="M302" s="102"/>
      <x:c r="N302" s="102"/>
      <x:c r="O302" s="102" t="str">
        <x:v>Great Lakes dry bulk</x:v>
      </x:c>
      <x:c r="P302" s="102"/>
      <x:c r="Q302" s="102" t="str">
        <x:v>2023 regulator-recorded; current status to verify</x:v>
      </x:c>
      <x:c r="R302" s="102" t="str">
        <x:v>SRC_0167</x:v>
      </x:c>
      <x:c r="S302" s="102" t="str">
        <x:v>Government identity evidence from 2023. Algoma's current segment structure is confirmed, but individual current operating status still requires reconciliation.</x:v>
      </x:c>
      <x:c r="T302" s="102"/>
      <x:c r="U302" s="102"/>
      <x:c r="V302" s="102"/>
      <x:c r="W302" s="102"/>
      <x:c r="X302" s="110"/>
      <x:c r="Y302" s="102"/>
      <x:c r="Z302" s="102"/>
      <x:c r="AA302" s="102"/>
    </x:row>
    <x:row r="303">
      <x:c r="A303" s="102" t="str">
        <x:v>VESSEL_00302</x:v>
      </x:c>
      <x:c r="B303" s="102" t="str">
        <x:v>John D Leitch</x:v>
      </x:c>
      <x:c r="C303" s="110" t="str">
        <x:v>6714586</x:v>
      </x:c>
      <x:c r="D303" s="102" t="str">
        <x:v>COMP_ALGOMA</x:v>
      </x:c>
      <x:c r="E303" s="102" t="str">
        <x:v>COMP_ALGOMA</x:v>
      </x:c>
      <x:c r="F303" s="102" t="str">
        <x:v>Bulk carrier</x:v>
      </x:c>
      <x:c r="G303" s="102"/>
      <x:c r="H303" s="102" t="str">
        <x:v>Canada</x:v>
      </x:c>
      <x:c r="I303" s="102"/>
      <x:c r="J303" s="102"/>
      <x:c r="K303" s="102"/>
      <x:c r="L303" s="102"/>
      <x:c r="M303" s="102"/>
      <x:c r="N303" s="102"/>
      <x:c r="O303" s="102" t="str">
        <x:v>Great Lakes dry bulk</x:v>
      </x:c>
      <x:c r="P303" s="102"/>
      <x:c r="Q303" s="102" t="str">
        <x:v>2023 regulator-recorded; current status to verify</x:v>
      </x:c>
      <x:c r="R303" s="102" t="str">
        <x:v>SRC_0167</x:v>
      </x:c>
      <x:c r="S303" s="102" t="str">
        <x:v>Government identity evidence from 2023. Algoma's current segment structure is confirmed, but individual current operating status still requires reconciliation.</x:v>
      </x:c>
      <x:c r="T303" s="102"/>
      <x:c r="U303" s="102"/>
      <x:c r="V303" s="102"/>
      <x:c r="W303" s="102"/>
      <x:c r="X303" s="110"/>
      <x:c r="Y303" s="102"/>
      <x:c r="Z303" s="102"/>
      <x:c r="AA303" s="102"/>
    </x:row>
    <x:row r="304">
      <x:c r="A304" s="102" t="str">
        <x:v>VESSEL_00303</x:v>
      </x:c>
      <x:c r="B304" s="102" t="str">
        <x:v>Radcliffe R Latimer</x:v>
      </x:c>
      <x:c r="C304" s="110" t="str">
        <x:v>7711725</x:v>
      </x:c>
      <x:c r="D304" s="102" t="str">
        <x:v>COMP_ALGOMA</x:v>
      </x:c>
      <x:c r="E304" s="102" t="str">
        <x:v>COMP_ALGOMA</x:v>
      </x:c>
      <x:c r="F304" s="102" t="str">
        <x:v>Bulk carrier</x:v>
      </x:c>
      <x:c r="G304" s="102"/>
      <x:c r="H304" s="102" t="str">
        <x:v>Canada</x:v>
      </x:c>
      <x:c r="I304" s="102"/>
      <x:c r="J304" s="102"/>
      <x:c r="K304" s="102"/>
      <x:c r="L304" s="102"/>
      <x:c r="M304" s="102"/>
      <x:c r="N304" s="102"/>
      <x:c r="O304" s="102" t="str">
        <x:v>Great Lakes dry bulk</x:v>
      </x:c>
      <x:c r="P304" s="102"/>
      <x:c r="Q304" s="102" t="str">
        <x:v>2023 regulator-recorded; current status to verify</x:v>
      </x:c>
      <x:c r="R304" s="102" t="str">
        <x:v>SRC_0167</x:v>
      </x:c>
      <x:c r="S304" s="102" t="str">
        <x:v>Government identity evidence from 2023. Algoma's current segment structure is confirmed, but individual current operating status still requires reconciliation.</x:v>
      </x:c>
      <x:c r="T304" s="102"/>
      <x:c r="U304" s="102"/>
      <x:c r="V304" s="102"/>
      <x:c r="W304" s="102"/>
      <x:c r="X304" s="110"/>
      <x:c r="Y304" s="102"/>
      <x:c r="Z304" s="102"/>
      <x:c r="AA304" s="102"/>
    </x:row>
    <x:row r="305">
      <x:c r="A305" s="102" t="str">
        <x:v>VESSEL_00304</x:v>
      </x:c>
      <x:c r="B305" s="102" t="str">
        <x:v>Tim S Dool</x:v>
      </x:c>
      <x:c r="C305" s="110" t="str">
        <x:v>6800919</x:v>
      </x:c>
      <x:c r="D305" s="102" t="str">
        <x:v>COMP_ALGOMA</x:v>
      </x:c>
      <x:c r="E305" s="102" t="str">
        <x:v>COMP_ALGOMA</x:v>
      </x:c>
      <x:c r="F305" s="102" t="str">
        <x:v>Bulk carrier</x:v>
      </x:c>
      <x:c r="G305" s="102"/>
      <x:c r="H305" s="102" t="str">
        <x:v>Canada</x:v>
      </x:c>
      <x:c r="I305" s="102"/>
      <x:c r="J305" s="102"/>
      <x:c r="K305" s="102"/>
      <x:c r="L305" s="102"/>
      <x:c r="M305" s="102"/>
      <x:c r="N305" s="102"/>
      <x:c r="O305" s="102" t="str">
        <x:v>Great Lakes dry bulk</x:v>
      </x:c>
      <x:c r="P305" s="102"/>
      <x:c r="Q305" s="102" t="str">
        <x:v>2023 regulator-recorded; current status to verify</x:v>
      </x:c>
      <x:c r="R305" s="102" t="str">
        <x:v>SRC_0167</x:v>
      </x:c>
      <x:c r="S305" s="102" t="str">
        <x:v>Government identity evidence from 2023. Algoma's current segment structure is confirmed, but individual current operating status still requires reconciliation.</x:v>
      </x:c>
      <x:c r="T305" s="102"/>
      <x:c r="U305" s="102"/>
      <x:c r="V305" s="102"/>
      <x:c r="W305" s="102"/>
      <x:c r="X305" s="110"/>
      <x:c r="Y305" s="102"/>
      <x:c r="Z305" s="102"/>
      <x:c r="AA305" s="102"/>
    </x:row>
    <x:row r="306">
      <x:c r="A306" s="102" t="str">
        <x:v>VESSEL_00305</x:v>
      </x:c>
      <x:c r="B306" s="102" t="str">
        <x:v>Algonova</x:v>
      </x:c>
      <x:c r="C306" s="110" t="str">
        <x:v>9378589</x:v>
      </x:c>
      <x:c r="D306" s="102" t="str">
        <x:v>COMP_ALGOMA</x:v>
      </x:c>
      <x:c r="E306" s="102" t="str">
        <x:v>COMP_ALGOMA</x:v>
      </x:c>
      <x:c r="F306" s="102" t="str">
        <x:v>Product tanker</x:v>
      </x:c>
      <x:c r="G306" s="102"/>
      <x:c r="H306" s="102" t="str">
        <x:v>Canada</x:v>
      </x:c>
      <x:c r="I306" s="102"/>
      <x:c r="J306" s="102"/>
      <x:c r="K306" s="102"/>
      <x:c r="L306" s="102"/>
      <x:c r="M306" s="102"/>
      <x:c r="N306" s="102"/>
      <x:c r="O306" s="102" t="str">
        <x:v>Canada product tanker service</x:v>
      </x:c>
      <x:c r="P306" s="102"/>
      <x:c r="Q306" s="102" t="str">
        <x:v>2023 regulator-recorded; current status to verify</x:v>
      </x:c>
      <x:c r="R306" s="102" t="str">
        <x:v>SRC_0167</x:v>
      </x:c>
      <x:c r="S306" s="102" t="str">
        <x:v>Government identity evidence from 2023. Algoma's current segment structure is confirmed, but individual current operating status still requires reconciliation.</x:v>
      </x:c>
      <x:c r="T306" s="102"/>
      <x:c r="U306" s="102"/>
      <x:c r="V306" s="102"/>
      <x:c r="W306" s="102"/>
      <x:c r="X306" s="110"/>
      <x:c r="Y306" s="102"/>
      <x:c r="Z306" s="102"/>
      <x:c r="AA306" s="102"/>
    </x:row>
    <x:row r="307">
      <x:c r="A307" s="102" t="str">
        <x:v>VESSEL_00306</x:v>
      </x:c>
      <x:c r="B307" s="102" t="str">
        <x:v>Algoscotia</x:v>
      </x:c>
      <x:c r="C307" s="110" t="str">
        <x:v>9273222</x:v>
      </x:c>
      <x:c r="D307" s="102" t="str">
        <x:v>COMP_ALGOMA</x:v>
      </x:c>
      <x:c r="E307" s="102" t="str">
        <x:v>COMP_ALGOMA</x:v>
      </x:c>
      <x:c r="F307" s="102" t="str">
        <x:v>Product tanker</x:v>
      </x:c>
      <x:c r="G307" s="102"/>
      <x:c r="H307" s="102" t="str">
        <x:v>Canada</x:v>
      </x:c>
      <x:c r="I307" s="102"/>
      <x:c r="J307" s="102"/>
      <x:c r="K307" s="102"/>
      <x:c r="L307" s="102"/>
      <x:c r="M307" s="102"/>
      <x:c r="N307" s="102"/>
      <x:c r="O307" s="102" t="str">
        <x:v>Canada product tanker service</x:v>
      </x:c>
      <x:c r="P307" s="102"/>
      <x:c r="Q307" s="102" t="str">
        <x:v>2023 regulator-recorded; current status to verify</x:v>
      </x:c>
      <x:c r="R307" s="102" t="str">
        <x:v>SRC_0167</x:v>
      </x:c>
      <x:c r="S307" s="102" t="str">
        <x:v>Government identity evidence from 2023. Algoma's current segment structure is confirmed, but individual current operating status still requires reconciliation.</x:v>
      </x:c>
      <x:c r="T307" s="102"/>
      <x:c r="U307" s="102"/>
      <x:c r="V307" s="102"/>
      <x:c r="W307" s="102"/>
      <x:c r="X307" s="110"/>
      <x:c r="Y307" s="102"/>
      <x:c r="Z307" s="102"/>
      <x:c r="AA307" s="102"/>
    </x:row>
    <x:row r="308">
      <x:c r="A308" s="102" t="str">
        <x:v>VESSEL_00307</x:v>
      </x:c>
      <x:c r="B308" s="102" t="str">
        <x:v>Algosea</x:v>
      </x:c>
      <x:c r="C308" s="110" t="str">
        <x:v>9127198</x:v>
      </x:c>
      <x:c r="D308" s="102" t="str">
        <x:v>COMP_ALGOMA</x:v>
      </x:c>
      <x:c r="E308" s="102" t="str">
        <x:v>COMP_ALGOMA</x:v>
      </x:c>
      <x:c r="F308" s="102" t="str">
        <x:v>Product tanker</x:v>
      </x:c>
      <x:c r="G308" s="102"/>
      <x:c r="H308" s="102" t="str">
        <x:v>Canada</x:v>
      </x:c>
      <x:c r="I308" s="102"/>
      <x:c r="J308" s="102"/>
      <x:c r="K308" s="102"/>
      <x:c r="L308" s="102"/>
      <x:c r="M308" s="102"/>
      <x:c r="N308" s="102"/>
      <x:c r="O308" s="102" t="str">
        <x:v>Canada product tanker service</x:v>
      </x:c>
      <x:c r="P308" s="102"/>
      <x:c r="Q308" s="102" t="str">
        <x:v>2023 regulator-recorded; current status to verify</x:v>
      </x:c>
      <x:c r="R308" s="102" t="str">
        <x:v>SRC_0167</x:v>
      </x:c>
      <x:c r="S308" s="102" t="str">
        <x:v>Government identity evidence from 2023. Algoma's current segment structure is confirmed, but individual current operating status still requires reconciliation.</x:v>
      </x:c>
      <x:c r="T308" s="102"/>
      <x:c r="U308" s="102"/>
      <x:c r="V308" s="102"/>
      <x:c r="W308" s="102"/>
      <x:c r="X308" s="110"/>
      <x:c r="Y308" s="102"/>
      <x:c r="Z308" s="102"/>
      <x:c r="AA308" s="102"/>
    </x:row>
    <x:row r="309">
      <x:c r="A309" s="102" t="str">
        <x:v>VESSEL_00308</x:v>
      </x:c>
      <x:c r="B309" s="102" t="str">
        <x:v>Algoterra</x:v>
      </x:c>
      <x:c r="C309" s="110" t="str">
        <x:v>9442249</x:v>
      </x:c>
      <x:c r="D309" s="102" t="str">
        <x:v>COMP_ALGOMA</x:v>
      </x:c>
      <x:c r="E309" s="102" t="str">
        <x:v>COMP_ALGOMA</x:v>
      </x:c>
      <x:c r="F309" s="102" t="str">
        <x:v>Product tanker</x:v>
      </x:c>
      <x:c r="G309" s="102"/>
      <x:c r="H309" s="102" t="str">
        <x:v>Canada</x:v>
      </x:c>
      <x:c r="I309" s="102"/>
      <x:c r="J309" s="102"/>
      <x:c r="K309" s="102"/>
      <x:c r="L309" s="102"/>
      <x:c r="M309" s="102"/>
      <x:c r="N309" s="102"/>
      <x:c r="O309" s="102" t="str">
        <x:v>Canada product tanker service</x:v>
      </x:c>
      <x:c r="P309" s="102"/>
      <x:c r="Q309" s="102" t="str">
        <x:v>2023 regulator-recorded; current status to verify</x:v>
      </x:c>
      <x:c r="R309" s="102" t="str">
        <x:v>SRC_0167</x:v>
      </x:c>
      <x:c r="S309" s="102" t="str">
        <x:v>Government identity evidence from 2023. Algoma's current segment structure is confirmed, but individual current operating status still requires reconciliation.</x:v>
      </x:c>
      <x:c r="T309" s="102"/>
      <x:c r="U309" s="102"/>
      <x:c r="V309" s="102"/>
      <x:c r="W309" s="102"/>
      <x:c r="X309" s="110"/>
      <x:c r="Y309" s="102"/>
      <x:c r="Z309" s="102"/>
      <x:c r="AA309" s="102"/>
    </x:row>
    <x:row r="310">
      <x:c r="A310" s="102" t="str">
        <x:v>VESSEL_00309</x:v>
      </x:c>
      <x:c r="B310" s="102" t="str">
        <x:v>Algotitan</x:v>
      </x:c>
      <x:c r="C310" s="110" t="str">
        <x:v>9333802</x:v>
      </x:c>
      <x:c r="D310" s="102" t="str">
        <x:v>COMP_ALGOMA</x:v>
      </x:c>
      <x:c r="E310" s="102" t="str">
        <x:v>COMP_ALGOMA</x:v>
      </x:c>
      <x:c r="F310" s="102" t="str">
        <x:v>Product tanker</x:v>
      </x:c>
      <x:c r="G310" s="102"/>
      <x:c r="H310" s="102" t="str">
        <x:v>Canada</x:v>
      </x:c>
      <x:c r="I310" s="102"/>
      <x:c r="J310" s="102"/>
      <x:c r="K310" s="102"/>
      <x:c r="L310" s="102"/>
      <x:c r="M310" s="102"/>
      <x:c r="N310" s="102"/>
      <x:c r="O310" s="102" t="str">
        <x:v>Canada product tanker service</x:v>
      </x:c>
      <x:c r="P310" s="102"/>
      <x:c r="Q310" s="102" t="str">
        <x:v>2023 regulator-recorded; current status to verify</x:v>
      </x:c>
      <x:c r="R310" s="102" t="str">
        <x:v>SRC_0167</x:v>
      </x:c>
      <x:c r="S310" s="102" t="str">
        <x:v>Government identity evidence from 2023. Algoma's current segment structure is confirmed, but individual current operating status still requires reconciliation.</x:v>
      </x:c>
      <x:c r="T310" s="102"/>
      <x:c r="U310" s="102"/>
      <x:c r="V310" s="102"/>
      <x:c r="W310" s="102"/>
      <x:c r="X310" s="110"/>
      <x:c r="Y310" s="102"/>
      <x:c r="Z310" s="102"/>
      <x:c r="AA310" s="102"/>
    </x:row>
    <x:row r="311">
      <x:c r="A311" s="102" t="str">
        <x:v>VESSEL_00310</x:v>
      </x:c>
      <x:c r="B311" s="102" t="str">
        <x:v>Algoma Bear</x:v>
      </x:c>
      <x:c r="C311" s="110" t="str">
        <x:v>9619309</x:v>
      </x:c>
      <x:c r="D311" s="102" t="str">
        <x:v>COMP_ALGOMA</x:v>
      </x:c>
      <x:c r="E311" s="102" t="str">
        <x:v>COMP_ALGOMA</x:v>
      </x:c>
      <x:c r="F311" s="102" t="str">
        <x:v>Self-unloading bulk carrier</x:v>
      </x:c>
      <x:c r="G311" s="102" t="str">
        <x:v>Equinox / Seawaymax</x:v>
      </x:c>
      <x:c r="H311" s="102" t="str">
        <x:v>Canada</x:v>
      </x:c>
      <x:c r="I311" s="102" t="str">
        <x:v>2024</x:v>
      </x:c>
      <x:c r="J311" s="102" t="str">
        <x:v>29749</x:v>
      </x:c>
      <x:c r="K311" s="102"/>
      <x:c r="L311" s="102"/>
      <x:c r="M311" s="102"/>
      <x:c r="N311" s="102"/>
      <x:c r="O311" s="102" t="str">
        <x:v>Great Lakes dry bulk</x:v>
      </x:c>
      <x:c r="P311" s="102"/>
      <x:c r="Q311" s="102" t="str">
        <x:v>Operating</x:v>
      </x:c>
      <x:c r="R311" s="102" t="str">
        <x:v>SRC_0174</x:v>
      </x:c>
      <x:c r="S311" s="102" t="str">
        <x:v>Current Algoma fleet/program evidence with owner/operator separation retained where available.</x:v>
      </x:c>
      <x:c r="T311" s="102"/>
      <x:c r="U311" s="102"/>
      <x:c r="V311" s="102"/>
      <x:c r="W311" s="102"/>
      <x:c r="X311" s="110"/>
      <x:c r="Y311" s="102"/>
      <x:c r="Z311" s="102"/>
      <x:c r="AA311" s="102"/>
    </x:row>
    <x:row r="312">
      <x:c r="A312" s="102" t="str">
        <x:v>VESSEL_00311</x:v>
      </x:c>
      <x:c r="B312" s="102" t="str">
        <x:v>Algoma Endeavour</x:v>
      </x:c>
      <x:c r="C312" s="110" t="str">
        <x:v>9790141</x:v>
      </x:c>
      <x:c r="D312" s="102" t="str">
        <x:v>COMP_ALGOMA</x:v>
      </x:c>
      <x:c r="E312" s="102" t="str">
        <x:v>COMP_ALGOMA</x:v>
      </x:c>
      <x:c r="F312" s="102" t="str">
        <x:v>Self-unloading bulk carrier</x:v>
      </x:c>
      <x:c r="G312" s="102" t="str">
        <x:v>Equinox / Seawaymax</x:v>
      </x:c>
      <x:c r="H312" s="102" t="str">
        <x:v>Canada</x:v>
      </x:c>
      <x:c r="I312" s="102" t="str">
        <x:v>2025</x:v>
      </x:c>
      <x:c r="J312" s="102" t="str">
        <x:v>35900</x:v>
      </x:c>
      <x:c r="K312" s="102"/>
      <x:c r="L312" s="102"/>
      <x:c r="M312" s="102"/>
      <x:c r="N312" s="102"/>
      <x:c r="O312" s="102" t="str">
        <x:v>Great Lakes dry bulk</x:v>
      </x:c>
      <x:c r="P312" s="102"/>
      <x:c r="Q312" s="102" t="str">
        <x:v>Operating</x:v>
      </x:c>
      <x:c r="R312" s="102" t="str">
        <x:v>SRC_0175</x:v>
      </x:c>
      <x:c r="S312" s="102" t="str">
        <x:v>Current Algoma fleet/program evidence with owner/operator separation retained where available.</x:v>
      </x:c>
      <x:c r="T312" s="102"/>
      <x:c r="U312" s="102"/>
      <x:c r="V312" s="102"/>
      <x:c r="W312" s="102"/>
      <x:c r="X312" s="110"/>
      <x:c r="Y312" s="102"/>
      <x:c r="Z312" s="102"/>
      <x:c r="AA312" s="102"/>
    </x:row>
    <x:row r="313">
      <x:c r="A313" s="102" t="str">
        <x:v>VESSEL_00312</x:v>
      </x:c>
      <x:c r="B313" s="102" t="str">
        <x:v>Algoma East Coast</x:v>
      </x:c>
      <x:c r="C313" s="110" t="str">
        <x:v>1022079</x:v>
      </x:c>
      <x:c r="D313" s="102" t="str">
        <x:v>COMP_FUNDY_TANKERS</x:v>
      </x:c>
      <x:c r="E313" s="102" t="str">
        <x:v>COMP_ALGOMA_TANKERS</x:v>
      </x:c>
      <x:c r="F313" s="102" t="str">
        <x:v>Chemical / product tanker</x:v>
      </x:c>
      <x:c r="G313" s="102" t="str">
        <x:v>Ice class 1B; methanol-ready</x:v>
      </x:c>
      <x:c r="H313" s="102" t="str">
        <x:v>Canada</x:v>
      </x:c>
      <x:c r="I313" s="102" t="str">
        <x:v>2025</x:v>
      </x:c>
      <x:c r="J313" s="102" t="str">
        <x:v>37242</x:v>
      </x:c>
      <x:c r="K313" s="102"/>
      <x:c r="L313" s="102"/>
      <x:c r="M313" s="102"/>
      <x:c r="N313" s="102"/>
      <x:c r="O313" s="102" t="str">
        <x:v>Atlantic Canada / U.S. East Coast</x:v>
      </x:c>
      <x:c r="P313" s="102"/>
      <x:c r="Q313" s="102" t="str">
        <x:v>Operating</x:v>
      </x:c>
      <x:c r="R313" s="102" t="str">
        <x:v>SRC_0172</x:v>
      </x:c>
      <x:c r="S313" s="102" t="str">
        <x:v>Current Algoma fleet/program evidence with owner/operator separation retained where available.</x:v>
      </x:c>
      <x:c r="T313" s="102"/>
      <x:c r="U313" s="102"/>
      <x:c r="V313" s="102"/>
      <x:c r="W313" s="102"/>
      <x:c r="X313" s="110"/>
      <x:c r="Y313" s="102"/>
      <x:c r="Z313" s="102"/>
      <x:c r="AA313" s="102"/>
    </x:row>
    <x:row r="314">
      <x:c r="A314" s="102" t="str">
        <x:v>VESSEL_00313</x:v>
      </x:c>
      <x:c r="B314" s="102" t="str">
        <x:v>Algoma Acadian</x:v>
      </x:c>
      <x:c r="C314" s="110" t="str">
        <x:v>1022081</x:v>
      </x:c>
      <x:c r="D314" s="102" t="str">
        <x:v>COMP_FUNDY_TANKERS</x:v>
      </x:c>
      <x:c r="E314" s="102" t="str">
        <x:v>COMP_ALGOMA_TANKERS</x:v>
      </x:c>
      <x:c r="F314" s="102" t="str">
        <x:v>Chemical / product tanker</x:v>
      </x:c>
      <x:c r="G314" s="102" t="str">
        <x:v>Ice class / methanol-ready sister vessel</x:v>
      </x:c>
      <x:c r="H314" s="102" t="str">
        <x:v>Canada</x:v>
      </x:c>
      <x:c r="I314" s="102" t="str">
        <x:v>2025</x:v>
      </x:c>
      <x:c r="J314" s="102" t="str">
        <x:v>37242</x:v>
      </x:c>
      <x:c r="K314" s="102"/>
      <x:c r="L314" s="102"/>
      <x:c r="M314" s="102"/>
      <x:c r="N314" s="102"/>
      <x:c r="O314" s="102" t="str">
        <x:v>Atlantic Canada / U.S. East Coast</x:v>
      </x:c>
      <x:c r="P314" s="102"/>
      <x:c r="Q314" s="102" t="str">
        <x:v>Operating</x:v>
      </x:c>
      <x:c r="R314" s="102" t="str">
        <x:v>SRC_0173</x:v>
      </x:c>
      <x:c r="S314" s="102" t="str">
        <x:v>Current Algoma fleet/program evidence with owner/operator separation retained where available.</x:v>
      </x:c>
      <x:c r="T314" s="102"/>
      <x:c r="U314" s="102"/>
      <x:c r="V314" s="102"/>
      <x:c r="W314" s="102"/>
      <x:c r="X314" s="110"/>
      <x:c r="Y314" s="102"/>
      <x:c r="Z314" s="102"/>
      <x:c r="AA314" s="102"/>
    </x:row>
    <x:row r="315">
      <x:c r="A315" s="102" t="str">
        <x:v>VESSEL_00314</x:v>
      </x:c>
      <x:c r="B315" s="102" t="str">
        <x:v>Mark W. Barker</x:v>
      </x:c>
      <x:c r="C315" s="110" t="str">
        <x:v>9962445</x:v>
      </x:c>
      <x:c r="D315" s="102" t="str">
        <x:v>COMP_INTERLAKE</x:v>
      </x:c>
      <x:c r="E315" s="102" t="str">
        <x:v>COMP_INTERLAKE</x:v>
      </x:c>
      <x:c r="F315" s="102" t="str">
        <x:v>Self-unloading bulk carrier</x:v>
      </x:c>
      <x:c r="G315" s="102" t="str">
        <x:v>Great Lakes laker</x:v>
      </x:c>
      <x:c r="H315" s="102" t="str">
        <x:v>United States</x:v>
      </x:c>
      <x:c r="I315" s="102" t="str">
        <x:v>2022</x:v>
      </x:c>
      <x:c r="J315" s="102"/>
      <x:c r="K315" s="102" t="str">
        <x:v>26,000 gross tons</x:v>
      </x:c>
      <x:c r="L315" s="102"/>
      <x:c r="M315" s="102"/>
      <x:c r="N315" s="102"/>
      <x:c r="O315" s="102" t="str">
        <x:v>Great Lakes bulk shipping</x:v>
      </x:c>
      <x:c r="P315" s="102"/>
      <x:c r="Q315" s="102" t="str">
        <x:v>Operating</x:v>
      </x:c>
      <x:c r="R315" s="102" t="str">
        <x:v>SRC_0156</x:v>
      </x:c>
      <x:c r="S315" s="102" t="str">
        <x:v>Current Interlake fleet membership verified; IMO cross-checked against regulator identity records.</x:v>
      </x:c>
      <x:c r="T315" s="102"/>
      <x:c r="U315" s="102"/>
      <x:c r="V315" s="102"/>
      <x:c r="W315" s="102"/>
      <x:c r="X315" s="110"/>
      <x:c r="Y315" s="102"/>
      <x:c r="Z315" s="102"/>
      <x:c r="AA315" s="102"/>
    </x:row>
    <x:row r="316">
      <x:c r="A316" s="102" t="str">
        <x:v>VESSEL_00315</x:v>
      </x:c>
      <x:c r="B316" s="102" t="str">
        <x:v>Paul R. Tregurtha</x:v>
      </x:c>
      <x:c r="C316" s="110" t="str">
        <x:v>7729057</x:v>
      </x:c>
      <x:c r="D316" s="102" t="str">
        <x:v>COMP_INTERLAKE</x:v>
      </x:c>
      <x:c r="E316" s="102" t="str">
        <x:v>COMP_INTERLAKE</x:v>
      </x:c>
      <x:c r="F316" s="102" t="str">
        <x:v>Self-unloading bulk carrier</x:v>
      </x:c>
      <x:c r="G316" s="102" t="str">
        <x:v>Great Lakes laker</x:v>
      </x:c>
      <x:c r="H316" s="102" t="str">
        <x:v>United States</x:v>
      </x:c>
      <x:c r="I316" s="102" t="str">
        <x:v>1981</x:v>
      </x:c>
      <x:c r="J316" s="102"/>
      <x:c r="K316" s="102" t="str">
        <x:v>68,000 gross tons</x:v>
      </x:c>
      <x:c r="L316" s="102"/>
      <x:c r="M316" s="102"/>
      <x:c r="N316" s="102"/>
      <x:c r="O316" s="102" t="str">
        <x:v>Great Lakes bulk shipping</x:v>
      </x:c>
      <x:c r="P316" s="102"/>
      <x:c r="Q316" s="102" t="str">
        <x:v>Operating</x:v>
      </x:c>
      <x:c r="R316" s="102" t="str">
        <x:v>SRC_0156</x:v>
      </x:c>
      <x:c r="S316" s="102" t="str">
        <x:v>Current Interlake fleet membership verified; IMO cross-checked against regulator identity records.</x:v>
      </x:c>
      <x:c r="T316" s="102"/>
      <x:c r="U316" s="102"/>
      <x:c r="V316" s="102"/>
      <x:c r="W316" s="102"/>
      <x:c r="X316" s="110"/>
      <x:c r="Y316" s="102"/>
      <x:c r="Z316" s="102"/>
      <x:c r="AA316" s="102"/>
    </x:row>
    <x:row r="317">
      <x:c r="A317" s="102" t="str">
        <x:v>VESSEL_00316</x:v>
      </x:c>
      <x:c r="B317" s="102" t="str">
        <x:v>James R. Barker</x:v>
      </x:c>
      <x:c r="C317" s="110" t="str">
        <x:v>7390260</x:v>
      </x:c>
      <x:c r="D317" s="102" t="str">
        <x:v>COMP_INTERLAKE</x:v>
      </x:c>
      <x:c r="E317" s="102" t="str">
        <x:v>COMP_INTERLAKE</x:v>
      </x:c>
      <x:c r="F317" s="102" t="str">
        <x:v>Self-unloading bulk carrier</x:v>
      </x:c>
      <x:c r="G317" s="102" t="str">
        <x:v>Great Lakes laker</x:v>
      </x:c>
      <x:c r="H317" s="102" t="str">
        <x:v>United States</x:v>
      </x:c>
      <x:c r="I317" s="102" t="str">
        <x:v>1976</x:v>
      </x:c>
      <x:c r="J317" s="102"/>
      <x:c r="K317" s="102" t="str">
        <x:v>63,300 gross tons</x:v>
      </x:c>
      <x:c r="L317" s="102"/>
      <x:c r="M317" s="102"/>
      <x:c r="N317" s="102"/>
      <x:c r="O317" s="102" t="str">
        <x:v>Great Lakes bulk shipping</x:v>
      </x:c>
      <x:c r="P317" s="102"/>
      <x:c r="Q317" s="102" t="str">
        <x:v>Operating</x:v>
      </x:c>
      <x:c r="R317" s="102" t="str">
        <x:v>SRC_0156</x:v>
      </x:c>
      <x:c r="S317" s="102" t="str">
        <x:v>Current Interlake fleet membership verified; IMO cross-checked against regulator identity records.</x:v>
      </x:c>
      <x:c r="T317" s="102"/>
      <x:c r="U317" s="102"/>
      <x:c r="V317" s="102"/>
      <x:c r="W317" s="102"/>
      <x:c r="X317" s="110"/>
      <x:c r="Y317" s="102"/>
      <x:c r="Z317" s="102"/>
      <x:c r="AA317" s="102"/>
    </x:row>
    <x:row r="318">
      <x:c r="A318" s="102" t="str">
        <x:v>VESSEL_00317</x:v>
      </x:c>
      <x:c r="B318" s="102" t="str">
        <x:v>Mesabi Miner</x:v>
      </x:c>
      <x:c r="C318" s="110" t="str">
        <x:v>7390272</x:v>
      </x:c>
      <x:c r="D318" s="102" t="str">
        <x:v>COMP_INTERLAKE</x:v>
      </x:c>
      <x:c r="E318" s="102" t="str">
        <x:v>COMP_INTERLAKE</x:v>
      </x:c>
      <x:c r="F318" s="102" t="str">
        <x:v>Self-unloading bulk carrier</x:v>
      </x:c>
      <x:c r="G318" s="102" t="str">
        <x:v>Great Lakes laker</x:v>
      </x:c>
      <x:c r="H318" s="102" t="str">
        <x:v>United States</x:v>
      </x:c>
      <x:c r="I318" s="102" t="str">
        <x:v>1977</x:v>
      </x:c>
      <x:c r="J318" s="102"/>
      <x:c r="K318" s="102" t="str">
        <x:v>63,300 gross tons</x:v>
      </x:c>
      <x:c r="L318" s="102"/>
      <x:c r="M318" s="102"/>
      <x:c r="N318" s="102"/>
      <x:c r="O318" s="102" t="str">
        <x:v>Great Lakes bulk shipping</x:v>
      </x:c>
      <x:c r="P318" s="102"/>
      <x:c r="Q318" s="102" t="str">
        <x:v>Operating</x:v>
      </x:c>
      <x:c r="R318" s="102" t="str">
        <x:v>SRC_0156</x:v>
      </x:c>
      <x:c r="S318" s="102" t="str">
        <x:v>Current Interlake fleet membership verified; IMO cross-checked against regulator identity records.</x:v>
      </x:c>
      <x:c r="T318" s="102"/>
      <x:c r="U318" s="102"/>
      <x:c r="V318" s="102"/>
      <x:c r="W318" s="102"/>
      <x:c r="X318" s="110"/>
      <x:c r="Y318" s="102"/>
      <x:c r="Z318" s="102"/>
      <x:c r="AA318" s="102"/>
    </x:row>
    <x:row r="319">
      <x:c r="A319" s="102" t="str">
        <x:v>VESSEL_00318</x:v>
      </x:c>
      <x:c r="B319" s="102" t="str">
        <x:v>Lee A. Tregurtha</x:v>
      </x:c>
      <x:c r="C319" s="110" t="str">
        <x:v>5385625</x:v>
      </x:c>
      <x:c r="D319" s="102" t="str">
        <x:v>COMP_INTERLAKE</x:v>
      </x:c>
      <x:c r="E319" s="102" t="str">
        <x:v>COMP_INTERLAKE</x:v>
      </x:c>
      <x:c r="F319" s="102" t="str">
        <x:v>Self-unloading bulk carrier</x:v>
      </x:c>
      <x:c r="G319" s="102" t="str">
        <x:v>Great Lakes laker</x:v>
      </x:c>
      <x:c r="H319" s="102" t="str">
        <x:v>United States</x:v>
      </x:c>
      <x:c r="I319" s="102" t="str">
        <x:v>1942</x:v>
      </x:c>
      <x:c r="J319" s="102"/>
      <x:c r="K319" s="102" t="str">
        <x:v>29,360 gross tons</x:v>
      </x:c>
      <x:c r="L319" s="102"/>
      <x:c r="M319" s="102"/>
      <x:c r="N319" s="102"/>
      <x:c r="O319" s="102" t="str">
        <x:v>Great Lakes bulk shipping</x:v>
      </x:c>
      <x:c r="P319" s="102"/>
      <x:c r="Q319" s="102" t="str">
        <x:v>Operating</x:v>
      </x:c>
      <x:c r="R319" s="102" t="str">
        <x:v>SRC_0156</x:v>
      </x:c>
      <x:c r="S319" s="102" t="str">
        <x:v>Current Interlake fleet membership verified; IMO cross-checked against regulator identity records.</x:v>
      </x:c>
      <x:c r="T319" s="102"/>
      <x:c r="U319" s="102"/>
      <x:c r="V319" s="102"/>
      <x:c r="W319" s="102"/>
      <x:c r="X319" s="110"/>
      <x:c r="Y319" s="102"/>
      <x:c r="Z319" s="102"/>
      <x:c r="AA319" s="102"/>
    </x:row>
    <x:row r="320">
      <x:c r="A320" s="102" t="str">
        <x:v>VESSEL_00319</x:v>
      </x:c>
      <x:c r="B320" s="102" t="str">
        <x:v>Honorable James L. Oberstar</x:v>
      </x:c>
      <x:c r="C320" s="110" t="str">
        <x:v>5322518</x:v>
      </x:c>
      <x:c r="D320" s="102" t="str">
        <x:v>COMP_INTERLAKE</x:v>
      </x:c>
      <x:c r="E320" s="102" t="str">
        <x:v>COMP_INTERLAKE</x:v>
      </x:c>
      <x:c r="F320" s="102" t="str">
        <x:v>Self-unloading bulk carrier</x:v>
      </x:c>
      <x:c r="G320" s="102" t="str">
        <x:v>Great Lakes laker</x:v>
      </x:c>
      <x:c r="H320" s="102" t="str">
        <x:v>United States</x:v>
      </x:c>
      <x:c r="I320" s="102" t="str">
        <x:v>1959</x:v>
      </x:c>
      <x:c r="J320" s="102"/>
      <x:c r="K320" s="102" t="str">
        <x:v>31,000 gross tons</x:v>
      </x:c>
      <x:c r="L320" s="102"/>
      <x:c r="M320" s="102"/>
      <x:c r="N320" s="102"/>
      <x:c r="O320" s="102" t="str">
        <x:v>Great Lakes bulk shipping</x:v>
      </x:c>
      <x:c r="P320" s="102"/>
      <x:c r="Q320" s="102" t="str">
        <x:v>Operating</x:v>
      </x:c>
      <x:c r="R320" s="102" t="str">
        <x:v>SRC_0156</x:v>
      </x:c>
      <x:c r="S320" s="102" t="str">
        <x:v>Current Interlake fleet membership verified; IMO cross-checked against regulator identity records.</x:v>
      </x:c>
      <x:c r="T320" s="102"/>
      <x:c r="U320" s="102"/>
      <x:c r="V320" s="102"/>
      <x:c r="W320" s="102"/>
      <x:c r="X320" s="110"/>
      <x:c r="Y320" s="102"/>
      <x:c r="Z320" s="102"/>
      <x:c r="AA320" s="102"/>
    </x:row>
    <x:row r="321">
      <x:c r="A321" s="102" t="str">
        <x:v>VESSEL_00320</x:v>
      </x:c>
      <x:c r="B321" s="102" t="str">
        <x:v>Kaye E. Barker</x:v>
      </x:c>
      <x:c r="C321" s="110" t="str">
        <x:v>5097450</x:v>
      </x:c>
      <x:c r="D321" s="102" t="str">
        <x:v>COMP_INTERLAKE</x:v>
      </x:c>
      <x:c r="E321" s="102" t="str">
        <x:v>COMP_INTERLAKE</x:v>
      </x:c>
      <x:c r="F321" s="102" t="str">
        <x:v>Self-unloading bulk carrier</x:v>
      </x:c>
      <x:c r="G321" s="102" t="str">
        <x:v>Great Lakes laker</x:v>
      </x:c>
      <x:c r="H321" s="102" t="str">
        <x:v>United States</x:v>
      </x:c>
      <x:c r="I321" s="102" t="str">
        <x:v>1952</x:v>
      </x:c>
      <x:c r="J321" s="102"/>
      <x:c r="K321" s="102" t="str">
        <x:v>25,900 gross tons</x:v>
      </x:c>
      <x:c r="L321" s="102"/>
      <x:c r="M321" s="102"/>
      <x:c r="N321" s="102"/>
      <x:c r="O321" s="102" t="str">
        <x:v>Great Lakes bulk shipping</x:v>
      </x:c>
      <x:c r="P321" s="102"/>
      <x:c r="Q321" s="102" t="str">
        <x:v>Operating</x:v>
      </x:c>
      <x:c r="R321" s="102" t="str">
        <x:v>SRC_0156</x:v>
      </x:c>
      <x:c r="S321" s="102" t="str">
        <x:v>Current Interlake fleet membership verified; IMO cross-checked against regulator identity records.</x:v>
      </x:c>
      <x:c r="T321" s="102"/>
      <x:c r="U321" s="102"/>
      <x:c r="V321" s="102"/>
      <x:c r="W321" s="102"/>
      <x:c r="X321" s="110"/>
      <x:c r="Y321" s="102"/>
      <x:c r="Z321" s="102"/>
      <x:c r="AA321" s="102"/>
    </x:row>
    <x:row r="322">
      <x:c r="A322" s="102" t="str">
        <x:v>VESSEL_00321</x:v>
      </x:c>
      <x:c r="B322" s="102" t="str">
        <x:v>Herbert C. Jackson</x:v>
      </x:c>
      <x:c r="C322" s="110" t="str">
        <x:v>5148417</x:v>
      </x:c>
      <x:c r="D322" s="102" t="str">
        <x:v>COMP_INTERLAKE</x:v>
      </x:c>
      <x:c r="E322" s="102" t="str">
        <x:v>COMP_INTERLAKE</x:v>
      </x:c>
      <x:c r="F322" s="102" t="str">
        <x:v>Self-unloading bulk carrier</x:v>
      </x:c>
      <x:c r="G322" s="102" t="str">
        <x:v>Great Lakes laker</x:v>
      </x:c>
      <x:c r="H322" s="102" t="str">
        <x:v>United States</x:v>
      </x:c>
      <x:c r="I322" s="102" t="str">
        <x:v>1959</x:v>
      </x:c>
      <x:c r="J322" s="102"/>
      <x:c r="K322" s="102" t="str">
        <x:v>24,800 gross tons</x:v>
      </x:c>
      <x:c r="L322" s="102"/>
      <x:c r="M322" s="102"/>
      <x:c r="N322" s="102"/>
      <x:c r="O322" s="102" t="str">
        <x:v>Great Lakes bulk shipping</x:v>
      </x:c>
      <x:c r="P322" s="102"/>
      <x:c r="Q322" s="102" t="str">
        <x:v>Operating</x:v>
      </x:c>
      <x:c r="R322" s="102" t="str">
        <x:v>SRC_0156</x:v>
      </x:c>
      <x:c r="S322" s="102" t="str">
        <x:v>Current Interlake fleet membership verified; IMO cross-checked against regulator identity records.</x:v>
      </x:c>
      <x:c r="T322" s="102"/>
      <x:c r="U322" s="102"/>
      <x:c r="V322" s="102"/>
      <x:c r="W322" s="102"/>
      <x:c r="X322" s="110"/>
      <x:c r="Y322" s="102"/>
      <x:c r="Z322" s="102"/>
      <x:c r="AA322" s="102"/>
    </x:row>
    <x:row r="323">
      <x:c r="A323" s="102" t="str">
        <x:v>VESSEL_00322</x:v>
      </x:c>
      <x:c r="B323" s="102" t="str">
        <x:v>Dorothy Ann</x:v>
      </x:c>
      <x:c r="C323" s="110" t="str">
        <x:v>8955732</x:v>
      </x:c>
      <x:c r="D323" s="102" t="str">
        <x:v>COMP_INTERLAKE</x:v>
      </x:c>
      <x:c r="E323" s="102" t="str">
        <x:v>COMP_INTERLAKE</x:v>
      </x:c>
      <x:c r="F323" s="102" t="str">
        <x:v>Tug</x:v>
      </x:c>
      <x:c r="G323" s="102" t="str">
        <x:v>Tug paired with Pathfinder barge</x:v>
      </x:c>
      <x:c r="H323" s="102" t="str">
        <x:v>United States</x:v>
      </x:c>
      <x:c r="I323" s="102"/>
      <x:c r="J323" s="102"/>
      <x:c r="K323" s="102"/>
      <x:c r="L323" s="102"/>
      <x:c r="M323" s="102"/>
      <x:c r="N323" s="102"/>
      <x:c r="O323" s="102" t="str">
        <x:v>Great Lakes bulk shipping</x:v>
      </x:c>
      <x:c r="P323" s="102"/>
      <x:c r="Q323" s="102" t="str">
        <x:v>Operating</x:v>
      </x:c>
      <x:c r="R323" s="102" t="str">
        <x:v>SRC_0156</x:v>
      </x:c>
      <x:c r="S323" s="102" t="str">
        <x:v>Current Interlake fleet membership verified; IMO cross-checked against regulator identity records.</x:v>
      </x:c>
      <x:c r="T323" s="102"/>
      <x:c r="U323" s="102"/>
      <x:c r="V323" s="102"/>
      <x:c r="W323" s="102"/>
      <x:c r="X323" s="110"/>
      <x:c r="Y323" s="102"/>
      <x:c r="Z323" s="102"/>
      <x:c r="AA323" s="102"/>
    </x:row>
    <x:row r="324">
      <x:c r="A324" s="102" t="str">
        <x:v>VESSEL_00323</x:v>
      </x:c>
      <x:c r="B324" s="102" t="str">
        <x:v>Stewart J. Cort</x:v>
      </x:c>
      <x:c r="C324" s="110" t="str">
        <x:v>7105495</x:v>
      </x:c>
      <x:c r="D324" s="102" t="str">
        <x:v>COMP_INTERLAKE</x:v>
      </x:c>
      <x:c r="E324" s="102" t="str">
        <x:v>COMP_INTERLAKE</x:v>
      </x:c>
      <x:c r="F324" s="102" t="str">
        <x:v>Self-unloading bulk carrier</x:v>
      </x:c>
      <x:c r="G324" s="102" t="str">
        <x:v>Great Lakes laker</x:v>
      </x:c>
      <x:c r="H324" s="102" t="str">
        <x:v>United States</x:v>
      </x:c>
      <x:c r="I324" s="102" t="str">
        <x:v>1972</x:v>
      </x:c>
      <x:c r="J324" s="102"/>
      <x:c r="K324" s="102" t="str">
        <x:v>58,000 gross tons</x:v>
      </x:c>
      <x:c r="L324" s="102"/>
      <x:c r="M324" s="102"/>
      <x:c r="N324" s="102"/>
      <x:c r="O324" s="102" t="str">
        <x:v>Great Lakes bulk shipping</x:v>
      </x:c>
      <x:c r="P324" s="102"/>
      <x:c r="Q324" s="102" t="str">
        <x:v>Operating</x:v>
      </x:c>
      <x:c r="R324" s="102" t="str">
        <x:v>SRC_0156</x:v>
      </x:c>
      <x:c r="S324" s="102" t="str">
        <x:v>Current Interlake fleet membership verified; IMO cross-checked against regulator identity records.</x:v>
      </x:c>
      <x:c r="T324" s="102"/>
      <x:c r="U324" s="102"/>
      <x:c r="V324" s="102"/>
      <x:c r="W324" s="102"/>
      <x:c r="X324" s="110"/>
      <x:c r="Y324" s="102"/>
      <x:c r="Z324" s="102"/>
      <x:c r="AA324" s="102"/>
    </x:row>
    <x:row r="325">
      <x:c r="A325" s="102" t="str">
        <x:v>VESSEL_00324</x:v>
      </x:c>
      <x:c r="B325" s="102" t="str">
        <x:v>American Century</x:v>
      </x:c>
      <x:c r="C325" s="110" t="str">
        <x:v>7923196</x:v>
      </x:c>
      <x:c r="D325" s="102" t="str">
        <x:v>COMP_ASC</x:v>
      </x:c>
      <x:c r="E325" s="102" t="str">
        <x:v>COMP_ASC</x:v>
      </x:c>
      <x:c r="F325" s="102" t="str">
        <x:v>Bulk carrier</x:v>
      </x:c>
      <x:c r="G325" s="102" t="str">
        <x:v>Great Lakes laker</x:v>
      </x:c>
      <x:c r="H325" s="102" t="str">
        <x:v>United States</x:v>
      </x:c>
      <x:c r="I325" s="102"/>
      <x:c r="J325" s="102"/>
      <x:c r="K325" s="102"/>
      <x:c r="L325" s="102"/>
      <x:c r="M325" s="102"/>
      <x:c r="N325" s="102"/>
      <x:c r="O325" s="102" t="str">
        <x:v>Great Lakes bulk shipping</x:v>
      </x:c>
      <x:c r="P325" s="102"/>
      <x:c r="Q325" s="102" t="str">
        <x:v>2023 regulator-recorded; current status to verify</x:v>
      </x:c>
      <x:c r="R325" s="102" t="str">
        <x:v>SRC_0167</x:v>
      </x:c>
      <x:c r="S325" s="102" t="str">
        <x:v>Regulator identity seed; current individual operating status requires Mainstay/ASC refresh.</x:v>
      </x:c>
      <x:c r="T325" s="102"/>
      <x:c r="U325" s="102"/>
      <x:c r="V325" s="102"/>
      <x:c r="W325" s="102"/>
      <x:c r="X325" s="110"/>
      <x:c r="Y325" s="102"/>
      <x:c r="Z325" s="102"/>
      <x:c r="AA325" s="102"/>
    </x:row>
    <x:row r="326">
      <x:c r="A326" s="102" t="str">
        <x:v>VESSEL_00325</x:v>
      </x:c>
      <x:c r="B326" s="102" t="str">
        <x:v>American Courage</x:v>
      </x:c>
      <x:c r="C326" s="110" t="str">
        <x:v>7634226</x:v>
      </x:c>
      <x:c r="D326" s="102" t="str">
        <x:v>COMP_ASC</x:v>
      </x:c>
      <x:c r="E326" s="102" t="str">
        <x:v>COMP_ASC</x:v>
      </x:c>
      <x:c r="F326" s="102" t="str">
        <x:v>Bulk carrier</x:v>
      </x:c>
      <x:c r="G326" s="102" t="str">
        <x:v>Great Lakes laker</x:v>
      </x:c>
      <x:c r="H326" s="102" t="str">
        <x:v>United States</x:v>
      </x:c>
      <x:c r="I326" s="102"/>
      <x:c r="J326" s="102"/>
      <x:c r="K326" s="102"/>
      <x:c r="L326" s="102"/>
      <x:c r="M326" s="102"/>
      <x:c r="N326" s="102"/>
      <x:c r="O326" s="102" t="str">
        <x:v>Great Lakes bulk shipping</x:v>
      </x:c>
      <x:c r="P326" s="102"/>
      <x:c r="Q326" s="102" t="str">
        <x:v>2023 regulator-recorded; current status to verify</x:v>
      </x:c>
      <x:c r="R326" s="102" t="str">
        <x:v>SRC_0167</x:v>
      </x:c>
      <x:c r="S326" s="102" t="str">
        <x:v>Regulator identity seed; current individual operating status requires Mainstay/ASC refresh.</x:v>
      </x:c>
      <x:c r="T326" s="102"/>
      <x:c r="U326" s="102"/>
      <x:c r="V326" s="102"/>
      <x:c r="W326" s="102"/>
      <x:c r="X326" s="110"/>
      <x:c r="Y326" s="102"/>
      <x:c r="Z326" s="102"/>
      <x:c r="AA326" s="102"/>
    </x:row>
    <x:row r="327">
      <x:c r="A327" s="102" t="str">
        <x:v>VESSEL_00326</x:v>
      </x:c>
      <x:c r="B327" s="102" t="str">
        <x:v>American Integrity</x:v>
      </x:c>
      <x:c r="C327" s="110" t="str">
        <x:v>7514696</x:v>
      </x:c>
      <x:c r="D327" s="102" t="str">
        <x:v>COMP_ASC</x:v>
      </x:c>
      <x:c r="E327" s="102" t="str">
        <x:v>COMP_ASC</x:v>
      </x:c>
      <x:c r="F327" s="102" t="str">
        <x:v>Bulk carrier</x:v>
      </x:c>
      <x:c r="G327" s="102" t="str">
        <x:v>Great Lakes laker</x:v>
      </x:c>
      <x:c r="H327" s="102" t="str">
        <x:v>United States</x:v>
      </x:c>
      <x:c r="I327" s="102"/>
      <x:c r="J327" s="102"/>
      <x:c r="K327" s="102"/>
      <x:c r="L327" s="102"/>
      <x:c r="M327" s="102"/>
      <x:c r="N327" s="102"/>
      <x:c r="O327" s="102" t="str">
        <x:v>Great Lakes bulk shipping</x:v>
      </x:c>
      <x:c r="P327" s="102"/>
      <x:c r="Q327" s="102" t="str">
        <x:v>2023 regulator-recorded; current status to verify</x:v>
      </x:c>
      <x:c r="R327" s="102" t="str">
        <x:v>SRC_0167</x:v>
      </x:c>
      <x:c r="S327" s="102" t="str">
        <x:v>Regulator identity seed; current individual operating status requires Mainstay/ASC refresh.</x:v>
      </x:c>
      <x:c r="T327" s="102"/>
      <x:c r="U327" s="102"/>
      <x:c r="V327" s="102"/>
      <x:c r="W327" s="102"/>
      <x:c r="X327" s="110"/>
      <x:c r="Y327" s="102"/>
      <x:c r="Z327" s="102"/>
      <x:c r="AA327" s="102"/>
    </x:row>
    <x:row r="328">
      <x:c r="A328" s="102" t="str">
        <x:v>VESSEL_00327</x:v>
      </x:c>
      <x:c r="B328" s="102" t="str">
        <x:v>American Mariner</x:v>
      </x:c>
      <x:c r="C328" s="110" t="str">
        <x:v>7812567</x:v>
      </x:c>
      <x:c r="D328" s="102" t="str">
        <x:v>COMP_ASC</x:v>
      </x:c>
      <x:c r="E328" s="102" t="str">
        <x:v>COMP_ASC</x:v>
      </x:c>
      <x:c r="F328" s="102" t="str">
        <x:v>Bulk carrier</x:v>
      </x:c>
      <x:c r="G328" s="102" t="str">
        <x:v>Great Lakes laker</x:v>
      </x:c>
      <x:c r="H328" s="102" t="str">
        <x:v>United States</x:v>
      </x:c>
      <x:c r="I328" s="102"/>
      <x:c r="J328" s="102"/>
      <x:c r="K328" s="102"/>
      <x:c r="L328" s="102"/>
      <x:c r="M328" s="102"/>
      <x:c r="N328" s="102"/>
      <x:c r="O328" s="102" t="str">
        <x:v>Great Lakes bulk shipping</x:v>
      </x:c>
      <x:c r="P328" s="102"/>
      <x:c r="Q328" s="102" t="str">
        <x:v>2023 regulator-recorded; current status to verify</x:v>
      </x:c>
      <x:c r="R328" s="102" t="str">
        <x:v>SRC_0167</x:v>
      </x:c>
      <x:c r="S328" s="102" t="str">
        <x:v>Regulator identity seed; current individual operating status requires Mainstay/ASC refresh.</x:v>
      </x:c>
      <x:c r="T328" s="102"/>
      <x:c r="U328" s="102"/>
      <x:c r="V328" s="102"/>
      <x:c r="W328" s="102"/>
      <x:c r="X328" s="110"/>
      <x:c r="Y328" s="102"/>
      <x:c r="Z328" s="102"/>
      <x:c r="AA328" s="102"/>
    </x:row>
    <x:row r="329">
      <x:c r="A329" s="102" t="str">
        <x:v>VESSEL_00328</x:v>
      </x:c>
      <x:c r="B329" s="102" t="str">
        <x:v>American Spirit</x:v>
      </x:c>
      <x:c r="C329" s="110" t="str">
        <x:v>7423392</x:v>
      </x:c>
      <x:c r="D329" s="102" t="str">
        <x:v>COMP_ASC</x:v>
      </x:c>
      <x:c r="E329" s="102" t="str">
        <x:v>COMP_ASC</x:v>
      </x:c>
      <x:c r="F329" s="102" t="str">
        <x:v>Bulk carrier</x:v>
      </x:c>
      <x:c r="G329" s="102" t="str">
        <x:v>Great Lakes laker</x:v>
      </x:c>
      <x:c r="H329" s="102" t="str">
        <x:v>United States</x:v>
      </x:c>
      <x:c r="I329" s="102"/>
      <x:c r="J329" s="102"/>
      <x:c r="K329" s="102"/>
      <x:c r="L329" s="102"/>
      <x:c r="M329" s="102"/>
      <x:c r="N329" s="102"/>
      <x:c r="O329" s="102" t="str">
        <x:v>Great Lakes bulk shipping</x:v>
      </x:c>
      <x:c r="P329" s="102"/>
      <x:c r="Q329" s="102" t="str">
        <x:v>2023 regulator-recorded; current status to verify</x:v>
      </x:c>
      <x:c r="R329" s="102" t="str">
        <x:v>SRC_0167</x:v>
      </x:c>
      <x:c r="S329" s="102" t="str">
        <x:v>Regulator identity seed; current individual operating status requires Mainstay/ASC refresh.</x:v>
      </x:c>
      <x:c r="T329" s="102"/>
      <x:c r="U329" s="102"/>
      <x:c r="V329" s="102"/>
      <x:c r="W329" s="102"/>
      <x:c r="X329" s="110"/>
      <x:c r="Y329" s="102"/>
      <x:c r="Z329" s="102"/>
      <x:c r="AA329" s="102"/>
    </x:row>
    <x:row r="330">
      <x:c r="A330" s="102" t="str">
        <x:v>VESSEL_00329</x:v>
      </x:c>
      <x:c r="B330" s="102" t="str">
        <x:v>Burns Harbor</x:v>
      </x:c>
      <x:c r="C330" s="110" t="str">
        <x:v>7514713</x:v>
      </x:c>
      <x:c r="D330" s="102" t="str">
        <x:v>COMP_ASC</x:v>
      </x:c>
      <x:c r="E330" s="102" t="str">
        <x:v>COMP_ASC</x:v>
      </x:c>
      <x:c r="F330" s="102" t="str">
        <x:v>Bulk carrier</x:v>
      </x:c>
      <x:c r="G330" s="102" t="str">
        <x:v>Great Lakes laker</x:v>
      </x:c>
      <x:c r="H330" s="102" t="str">
        <x:v>United States</x:v>
      </x:c>
      <x:c r="I330" s="102"/>
      <x:c r="J330" s="102"/>
      <x:c r="K330" s="102"/>
      <x:c r="L330" s="102"/>
      <x:c r="M330" s="102"/>
      <x:c r="N330" s="102"/>
      <x:c r="O330" s="102" t="str">
        <x:v>Great Lakes bulk shipping</x:v>
      </x:c>
      <x:c r="P330" s="102"/>
      <x:c r="Q330" s="102" t="str">
        <x:v>2023 regulator-recorded; current status to verify</x:v>
      </x:c>
      <x:c r="R330" s="102" t="str">
        <x:v>SRC_0167</x:v>
      </x:c>
      <x:c r="S330" s="102" t="str">
        <x:v>Regulator identity seed; current individual operating status requires Mainstay/ASC refresh.</x:v>
      </x:c>
      <x:c r="T330" s="102"/>
      <x:c r="U330" s="102"/>
      <x:c r="V330" s="102"/>
      <x:c r="W330" s="102"/>
      <x:c r="X330" s="110"/>
      <x:c r="Y330" s="102"/>
      <x:c r="Z330" s="102"/>
      <x:c r="AA330" s="102"/>
    </x:row>
    <x:row r="331">
      <x:c r="A331" s="102" t="str">
        <x:v>VESSEL_00330</x:v>
      </x:c>
      <x:c r="B331" s="102" t="str">
        <x:v>H. Lee White</x:v>
      </x:c>
      <x:c r="C331" s="110" t="str">
        <x:v>7366362</x:v>
      </x:c>
      <x:c r="D331" s="102" t="str">
        <x:v>COMP_ASC</x:v>
      </x:c>
      <x:c r="E331" s="102" t="str">
        <x:v>COMP_ASC</x:v>
      </x:c>
      <x:c r="F331" s="102" t="str">
        <x:v>Bulk carrier</x:v>
      </x:c>
      <x:c r="G331" s="102" t="str">
        <x:v>Great Lakes laker</x:v>
      </x:c>
      <x:c r="H331" s="102" t="str">
        <x:v>United States</x:v>
      </x:c>
      <x:c r="I331" s="102"/>
      <x:c r="J331" s="102"/>
      <x:c r="K331" s="102"/>
      <x:c r="L331" s="102"/>
      <x:c r="M331" s="102"/>
      <x:c r="N331" s="102"/>
      <x:c r="O331" s="102" t="str">
        <x:v>Great Lakes bulk shipping</x:v>
      </x:c>
      <x:c r="P331" s="102"/>
      <x:c r="Q331" s="102" t="str">
        <x:v>2023 regulator-recorded; current status to verify</x:v>
      </x:c>
      <x:c r="R331" s="102" t="str">
        <x:v>SRC_0167</x:v>
      </x:c>
      <x:c r="S331" s="102" t="str">
        <x:v>Regulator identity seed; current individual operating status requires Mainstay/ASC refresh.</x:v>
      </x:c>
      <x:c r="T331" s="102"/>
      <x:c r="U331" s="102"/>
      <x:c r="V331" s="102"/>
      <x:c r="W331" s="102"/>
      <x:c r="X331" s="110"/>
      <x:c r="Y331" s="102"/>
      <x:c r="Z331" s="102"/>
      <x:c r="AA331" s="102"/>
    </x:row>
    <x:row r="332">
      <x:c r="A332" s="102" t="str">
        <x:v>VESSEL_00331</x:v>
      </x:c>
      <x:c r="B332" s="102" t="str">
        <x:v>Indiana Harbor</x:v>
      </x:c>
      <x:c r="C332" s="110" t="str">
        <x:v>7514701</x:v>
      </x:c>
      <x:c r="D332" s="102" t="str">
        <x:v>COMP_ASC</x:v>
      </x:c>
      <x:c r="E332" s="102" t="str">
        <x:v>COMP_ASC</x:v>
      </x:c>
      <x:c r="F332" s="102" t="str">
        <x:v>Bulk carrier</x:v>
      </x:c>
      <x:c r="G332" s="102" t="str">
        <x:v>Great Lakes laker</x:v>
      </x:c>
      <x:c r="H332" s="102" t="str">
        <x:v>United States</x:v>
      </x:c>
      <x:c r="I332" s="102"/>
      <x:c r="J332" s="102"/>
      <x:c r="K332" s="102"/>
      <x:c r="L332" s="102"/>
      <x:c r="M332" s="102"/>
      <x:c r="N332" s="102"/>
      <x:c r="O332" s="102" t="str">
        <x:v>Great Lakes bulk shipping</x:v>
      </x:c>
      <x:c r="P332" s="102"/>
      <x:c r="Q332" s="102" t="str">
        <x:v>2023 regulator-recorded; current status to verify</x:v>
      </x:c>
      <x:c r="R332" s="102" t="str">
        <x:v>SRC_0167</x:v>
      </x:c>
      <x:c r="S332" s="102" t="str">
        <x:v>Regulator identity seed; current individual operating status requires Mainstay/ASC refresh.</x:v>
      </x:c>
      <x:c r="T332" s="102"/>
      <x:c r="U332" s="102"/>
      <x:c r="V332" s="102"/>
      <x:c r="W332" s="102"/>
      <x:c r="X332" s="110"/>
      <x:c r="Y332" s="102"/>
      <x:c r="Z332" s="102"/>
      <x:c r="AA332" s="102"/>
    </x:row>
    <x:row r="333">
      <x:c r="A333" s="102" t="str">
        <x:v>VESSEL_00332</x:v>
      </x:c>
      <x:c r="B333" s="102" t="str">
        <x:v>John J Boland</x:v>
      </x:c>
      <x:c r="C333" s="110" t="str">
        <x:v>7318901</x:v>
      </x:c>
      <x:c r="D333" s="102" t="str">
        <x:v>COMP_ASC</x:v>
      </x:c>
      <x:c r="E333" s="102" t="str">
        <x:v>COMP_ASC</x:v>
      </x:c>
      <x:c r="F333" s="102" t="str">
        <x:v>Bulk carrier</x:v>
      </x:c>
      <x:c r="G333" s="102" t="str">
        <x:v>Great Lakes laker</x:v>
      </x:c>
      <x:c r="H333" s="102" t="str">
        <x:v>United States</x:v>
      </x:c>
      <x:c r="I333" s="102"/>
      <x:c r="J333" s="102"/>
      <x:c r="K333" s="102"/>
      <x:c r="L333" s="102"/>
      <x:c r="M333" s="102"/>
      <x:c r="N333" s="102"/>
      <x:c r="O333" s="102" t="str">
        <x:v>Great Lakes bulk shipping</x:v>
      </x:c>
      <x:c r="P333" s="102"/>
      <x:c r="Q333" s="102" t="str">
        <x:v>2023 regulator-recorded; current status to verify</x:v>
      </x:c>
      <x:c r="R333" s="102" t="str">
        <x:v>SRC_0167</x:v>
      </x:c>
      <x:c r="S333" s="102" t="str">
        <x:v>Regulator identity seed; current individual operating status requires Mainstay/ASC refresh.</x:v>
      </x:c>
      <x:c r="T333" s="102"/>
      <x:c r="U333" s="102"/>
      <x:c r="V333" s="102"/>
      <x:c r="W333" s="102"/>
      <x:c r="X333" s="110"/>
      <x:c r="Y333" s="102"/>
      <x:c r="Z333" s="102"/>
      <x:c r="AA333" s="102"/>
    </x:row>
    <x:row r="334">
      <x:c r="A334" s="102" t="str">
        <x:v>VESSEL_00333</x:v>
      </x:c>
      <x:c r="B334" s="102" t="str">
        <x:v>Sam Laud</x:v>
      </x:c>
      <x:c r="C334" s="110" t="str">
        <x:v>7390210</x:v>
      </x:c>
      <x:c r="D334" s="102" t="str">
        <x:v>COMP_ASC</x:v>
      </x:c>
      <x:c r="E334" s="102" t="str">
        <x:v>COMP_ASC</x:v>
      </x:c>
      <x:c r="F334" s="102" t="str">
        <x:v>Bulk carrier</x:v>
      </x:c>
      <x:c r="G334" s="102" t="str">
        <x:v>Great Lakes laker</x:v>
      </x:c>
      <x:c r="H334" s="102" t="str">
        <x:v>United States</x:v>
      </x:c>
      <x:c r="I334" s="102"/>
      <x:c r="J334" s="102"/>
      <x:c r="K334" s="102"/>
      <x:c r="L334" s="102"/>
      <x:c r="M334" s="102"/>
      <x:c r="N334" s="102"/>
      <x:c r="O334" s="102" t="str">
        <x:v>Great Lakes bulk shipping</x:v>
      </x:c>
      <x:c r="P334" s="102"/>
      <x:c r="Q334" s="102" t="str">
        <x:v>2023 regulator-recorded; current status to verify</x:v>
      </x:c>
      <x:c r="R334" s="102" t="str">
        <x:v>SRC_0167</x:v>
      </x:c>
      <x:c r="S334" s="102" t="str">
        <x:v>Regulator identity seed; current individual operating status requires Mainstay/ASC refresh.</x:v>
      </x:c>
      <x:c r="T334" s="102"/>
      <x:c r="U334" s="102"/>
      <x:c r="V334" s="102"/>
      <x:c r="W334" s="102"/>
      <x:c r="X334" s="110"/>
      <x:c r="Y334" s="102"/>
      <x:c r="Z334" s="102"/>
      <x:c r="AA334" s="102"/>
    </x:row>
    <x:row r="335">
      <x:c r="A335" s="102" t="str">
        <x:v>VESSEL_00334</x:v>
      </x:c>
      <x:c r="B335" s="102" t="str">
        <x:v>Walter J. McCarthy Jr.</x:v>
      </x:c>
      <x:c r="C335" s="110" t="str">
        <x:v>7514684</x:v>
      </x:c>
      <x:c r="D335" s="102" t="str">
        <x:v>COMP_ASC</x:v>
      </x:c>
      <x:c r="E335" s="102" t="str">
        <x:v>COMP_ASC</x:v>
      </x:c>
      <x:c r="F335" s="102" t="str">
        <x:v>Bulk carrier</x:v>
      </x:c>
      <x:c r="G335" s="102" t="str">
        <x:v>Great Lakes laker</x:v>
      </x:c>
      <x:c r="H335" s="102" t="str">
        <x:v>United States</x:v>
      </x:c>
      <x:c r="I335" s="102"/>
      <x:c r="J335" s="102"/>
      <x:c r="K335" s="102"/>
      <x:c r="L335" s="102"/>
      <x:c r="M335" s="102"/>
      <x:c r="N335" s="102"/>
      <x:c r="O335" s="102" t="str">
        <x:v>Great Lakes bulk shipping</x:v>
      </x:c>
      <x:c r="P335" s="102"/>
      <x:c r="Q335" s="102" t="str">
        <x:v>2023 regulator-recorded; current status to verify</x:v>
      </x:c>
      <x:c r="R335" s="102" t="str">
        <x:v>SRC_0167</x:v>
      </x:c>
      <x:c r="S335" s="102" t="str">
        <x:v>Regulator identity seed; current individual operating status requires Mainstay/ASC refresh.</x:v>
      </x:c>
      <x:c r="T335" s="102"/>
      <x:c r="U335" s="102"/>
      <x:c r="V335" s="102"/>
      <x:c r="W335" s="102"/>
      <x:c r="X335" s="110"/>
      <x:c r="Y335" s="102"/>
      <x:c r="Z335" s="102"/>
      <x:c r="AA335" s="102"/>
    </x:row>
    <x:row r="336">
      <x:c r="A336" s="102" t="str">
        <x:v>VESSEL_00335</x:v>
      </x:c>
      <x:c r="B336" s="102" t="str">
        <x:v>Calumet</x:v>
      </x:c>
      <x:c r="C336" s="110" t="str">
        <x:v>7329314</x:v>
      </x:c>
      <x:c r="D336" s="102" t="str">
        <x:v>COMP_GRN</x:v>
      </x:c>
      <x:c r="E336" s="102" t="str">
        <x:v>COMP_GRN</x:v>
      </x:c>
      <x:c r="F336" s="102" t="str">
        <x:v>Bulk carrier</x:v>
      </x:c>
      <x:c r="G336" s="102" t="str">
        <x:v>Great Lakes</x:v>
      </x:c>
      <x:c r="H336" s="102" t="str">
        <x:v>United States</x:v>
      </x:c>
      <x:c r="I336" s="102"/>
      <x:c r="J336" s="102"/>
      <x:c r="K336" s="102"/>
      <x:c r="L336" s="102"/>
      <x:c r="M336" s="102"/>
      <x:c r="N336" s="102"/>
      <x:c r="O336" s="102" t="str">
        <x:v>Great Lakes bulk / tug operations</x:v>
      </x:c>
      <x:c r="P336" s="102"/>
      <x:c r="Q336" s="102" t="str">
        <x:v>2023 regulator-recorded; current status to verify</x:v>
      </x:c>
      <x:c r="R336" s="102" t="str">
        <x:v>SRC_0167</x:v>
      </x:c>
      <x:c r="S336" s="102" t="str">
        <x:v>Government identity seed; current operating status requires refresh.</x:v>
      </x:c>
      <x:c r="T336" s="102"/>
      <x:c r="U336" s="102"/>
      <x:c r="V336" s="102"/>
      <x:c r="W336" s="102"/>
      <x:c r="X336" s="110"/>
      <x:c r="Y336" s="102"/>
      <x:c r="Z336" s="102"/>
      <x:c r="AA336" s="102"/>
    </x:row>
    <x:row r="337">
      <x:c r="A337" s="102" t="str">
        <x:v>VESSEL_00336</x:v>
      </x:c>
      <x:c r="B337" s="102" t="str">
        <x:v>Defiance</x:v>
      </x:c>
      <x:c r="C337" s="110" t="str">
        <x:v>8109761</x:v>
      </x:c>
      <x:c r="D337" s="102" t="str">
        <x:v>COMP_GRN</x:v>
      </x:c>
      <x:c r="E337" s="102" t="str">
        <x:v>COMP_GRN</x:v>
      </x:c>
      <x:c r="F337" s="102" t="str">
        <x:v>Tug</x:v>
      </x:c>
      <x:c r="G337" s="102" t="str">
        <x:v>Great Lakes</x:v>
      </x:c>
      <x:c r="H337" s="102" t="str">
        <x:v>United States</x:v>
      </x:c>
      <x:c r="I337" s="102"/>
      <x:c r="J337" s="102"/>
      <x:c r="K337" s="102"/>
      <x:c r="L337" s="102"/>
      <x:c r="M337" s="102"/>
      <x:c r="N337" s="102"/>
      <x:c r="O337" s="102" t="str">
        <x:v>Great Lakes bulk / tug operations</x:v>
      </x:c>
      <x:c r="P337" s="102"/>
      <x:c r="Q337" s="102" t="str">
        <x:v>2023 regulator-recorded; current status to verify</x:v>
      </x:c>
      <x:c r="R337" s="102" t="str">
        <x:v>SRC_0167</x:v>
      </x:c>
      <x:c r="S337" s="102" t="str">
        <x:v>Government identity seed; current operating status requires refresh.</x:v>
      </x:c>
      <x:c r="T337" s="102"/>
      <x:c r="U337" s="102"/>
      <x:c r="V337" s="102"/>
      <x:c r="W337" s="102"/>
      <x:c r="X337" s="110"/>
      <x:c r="Y337" s="102"/>
      <x:c r="Z337" s="102"/>
      <x:c r="AA337" s="102"/>
    </x:row>
    <x:row r="338">
      <x:c r="A338" s="102" t="str">
        <x:v>VESSEL_00337</x:v>
      </x:c>
      <x:c r="B338" s="102" t="str">
        <x:v>Manitowoc</x:v>
      </x:c>
      <x:c r="C338" s="110" t="str">
        <x:v>7366398</x:v>
      </x:c>
      <x:c r="D338" s="102" t="str">
        <x:v>COMP_GRN</x:v>
      </x:c>
      <x:c r="E338" s="102" t="str">
        <x:v>COMP_GRN</x:v>
      </x:c>
      <x:c r="F338" s="102" t="str">
        <x:v>Bulk carrier</x:v>
      </x:c>
      <x:c r="G338" s="102" t="str">
        <x:v>Great Lakes</x:v>
      </x:c>
      <x:c r="H338" s="102" t="str">
        <x:v>United States</x:v>
      </x:c>
      <x:c r="I338" s="102"/>
      <x:c r="J338" s="102"/>
      <x:c r="K338" s="102"/>
      <x:c r="L338" s="102"/>
      <x:c r="M338" s="102"/>
      <x:c r="N338" s="102"/>
      <x:c r="O338" s="102" t="str">
        <x:v>Great Lakes bulk / tug operations</x:v>
      </x:c>
      <x:c r="P338" s="102"/>
      <x:c r="Q338" s="102" t="str">
        <x:v>2023 regulator-recorded; current status to verify</x:v>
      </x:c>
      <x:c r="R338" s="102" t="str">
        <x:v>SRC_0167</x:v>
      </x:c>
      <x:c r="S338" s="102" t="str">
        <x:v>Government identity seed; current operating status requires refresh.</x:v>
      </x:c>
      <x:c r="T338" s="102"/>
      <x:c r="U338" s="102"/>
      <x:c r="V338" s="102"/>
      <x:c r="W338" s="102"/>
      <x:c r="X338" s="110"/>
      <x:c r="Y338" s="102"/>
      <x:c r="Z338" s="102"/>
      <x:c r="AA338" s="102"/>
    </x:row>
    <x:row r="339">
      <x:c r="A339" s="102" t="str">
        <x:v>VESSEL_00338</x:v>
      </x:c>
      <x:c r="B339" s="102" t="str">
        <x:v>Menominee</x:v>
      </x:c>
      <x:c r="C339" s="110" t="str">
        <x:v>5336351</x:v>
      </x:c>
      <x:c r="D339" s="102" t="str">
        <x:v>COMP_GRN</x:v>
      </x:c>
      <x:c r="E339" s="102" t="str">
        <x:v>COMP_GRN</x:v>
      </x:c>
      <x:c r="F339" s="102" t="str">
        <x:v>Bulk carrier</x:v>
      </x:c>
      <x:c r="G339" s="102" t="str">
        <x:v>Great Lakes</x:v>
      </x:c>
      <x:c r="H339" s="102" t="str">
        <x:v>United States</x:v>
      </x:c>
      <x:c r="I339" s="102"/>
      <x:c r="J339" s="102"/>
      <x:c r="K339" s="102"/>
      <x:c r="L339" s="102"/>
      <x:c r="M339" s="102"/>
      <x:c r="N339" s="102"/>
      <x:c r="O339" s="102" t="str">
        <x:v>Great Lakes bulk / tug operations</x:v>
      </x:c>
      <x:c r="P339" s="102"/>
      <x:c r="Q339" s="102" t="str">
        <x:v>2023 regulator-recorded; current status to verify</x:v>
      </x:c>
      <x:c r="R339" s="102" t="str">
        <x:v>SRC_0167</x:v>
      </x:c>
      <x:c r="S339" s="102" t="str">
        <x:v>Government identity seed; current operating status requires refresh.</x:v>
      </x:c>
      <x:c r="T339" s="102"/>
      <x:c r="U339" s="102"/>
      <x:c r="V339" s="102"/>
      <x:c r="W339" s="102"/>
      <x:c r="X339" s="110"/>
      <x:c r="Y339" s="102"/>
      <x:c r="Z339" s="102"/>
      <x:c r="AA339" s="102"/>
    </x:row>
    <x:row r="340">
      <x:c r="A340" s="102" t="str">
        <x:v>VESSEL_00339</x:v>
      </x:c>
      <x:c r="B340" s="102" t="str">
        <x:v>Victory</x:v>
      </x:c>
      <x:c r="C340" s="110" t="str">
        <x:v>8003292</x:v>
      </x:c>
      <x:c r="D340" s="102" t="str">
        <x:v>COMP_GRN</x:v>
      </x:c>
      <x:c r="E340" s="102" t="str">
        <x:v>COMP_GRN</x:v>
      </x:c>
      <x:c r="F340" s="102" t="str">
        <x:v>Tug</x:v>
      </x:c>
      <x:c r="G340" s="102" t="str">
        <x:v>Great Lakes</x:v>
      </x:c>
      <x:c r="H340" s="102" t="str">
        <x:v>United States</x:v>
      </x:c>
      <x:c r="I340" s="102"/>
      <x:c r="J340" s="102"/>
      <x:c r="K340" s="102"/>
      <x:c r="L340" s="102"/>
      <x:c r="M340" s="102"/>
      <x:c r="N340" s="102"/>
      <x:c r="O340" s="102" t="str">
        <x:v>Great Lakes bulk / tug operations</x:v>
      </x:c>
      <x:c r="P340" s="102"/>
      <x:c r="Q340" s="102" t="str">
        <x:v>2023 regulator-recorded; current status to verify</x:v>
      </x:c>
      <x:c r="R340" s="102" t="str">
        <x:v>SRC_0167</x:v>
      </x:c>
      <x:c r="S340" s="102" t="str">
        <x:v>Government identity seed; current operating status requires refresh.</x:v>
      </x:c>
      <x:c r="T340" s="102"/>
      <x:c r="U340" s="102"/>
      <x:c r="V340" s="102"/>
      <x:c r="W340" s="102"/>
      <x:c r="X340" s="110"/>
      <x:c r="Y340" s="102"/>
      <x:c r="Z340" s="102"/>
      <x:c r="AA340" s="102"/>
    </x:row>
    <x:row r="341">
      <x:c r="A341" s="102" t="str">
        <x:v>VESSEL_00340</x:v>
      </x:c>
      <x:c r="B341" s="102" t="str">
        <x:v>Olive L Moore</x:v>
      </x:c>
      <x:c r="C341" s="110"/>
      <x:c r="D341" s="102" t="str">
        <x:v>COMP_GRN</x:v>
      </x:c>
      <x:c r="E341" s="102" t="str">
        <x:v>COMP_GRN</x:v>
      </x:c>
      <x:c r="F341" s="102" t="str">
        <x:v>Bulk carrier</x:v>
      </x:c>
      <x:c r="G341" s="102" t="str">
        <x:v>Great Lakes</x:v>
      </x:c>
      <x:c r="H341" s="102" t="str">
        <x:v>United States</x:v>
      </x:c>
      <x:c r="I341" s="102"/>
      <x:c r="J341" s="102"/>
      <x:c r="K341" s="102"/>
      <x:c r="L341" s="102"/>
      <x:c r="M341" s="102"/>
      <x:c r="N341" s="102"/>
      <x:c r="O341" s="102" t="str">
        <x:v>Great Lakes bulk / tug operations</x:v>
      </x:c>
      <x:c r="P341" s="102"/>
      <x:c r="Q341" s="102" t="str">
        <x:v>2023 regulator-recorded; IMO unresolved</x:v>
      </x:c>
      <x:c r="R341" s="102" t="str">
        <x:v>SRC_0167</x:v>
      </x:c>
      <x:c r="S341" s="102" t="str">
        <x:v>Michigan regulator report shows numeric identifier 2800309, but it fails the IMO checksum. Preserved in the national/official identifier field rather than treated as IMO.</x:v>
      </x:c>
      <x:c r="T341" s="102"/>
      <x:c r="U341" s="102"/>
      <x:c r="V341" s="102"/>
      <x:c r="W341" s="102"/>
      <x:c r="X341" s="110"/>
      <x:c r="Y341" s="102"/>
      <x:c r="Z341" s="102"/>
      <x:c r="AA341" s="102"/>
    </x:row>
    <x:row r="342">
      <x:c r="A342" s="102" t="str">
        <x:v>VESSEL_00341</x:v>
      </x:c>
      <x:c r="B342" s="102" t="str">
        <x:v>Ashtabula</x:v>
      </x:c>
      <x:c r="C342" s="110"/>
      <x:c r="D342" s="102" t="str">
        <x:v>COMP_GRN</x:v>
      </x:c>
      <x:c r="E342" s="102" t="str">
        <x:v>COMP_GRN</x:v>
      </x:c>
      <x:c r="F342" s="102" t="str">
        <x:v>Bulk carrier</x:v>
      </x:c>
      <x:c r="G342" s="102" t="str">
        <x:v>Great Lakes</x:v>
      </x:c>
      <x:c r="H342" s="102" t="str">
        <x:v>United States</x:v>
      </x:c>
      <x:c r="I342" s="102"/>
      <x:c r="J342" s="102"/>
      <x:c r="K342" s="102"/>
      <x:c r="L342" s="102"/>
      <x:c r="M342" s="102"/>
      <x:c r="N342" s="102"/>
      <x:c r="O342" s="102" t="str">
        <x:v>Great Lakes bulk / tug operations</x:v>
      </x:c>
      <x:c r="P342" s="102"/>
      <x:c r="Q342" s="102" t="str">
        <x:v>2023 regulator-recorded; IMO unresolved</x:v>
      </x:c>
      <x:c r="R342" s="102" t="str">
        <x:v>SRC_0167</x:v>
      </x:c>
      <x:c r="S342" s="102" t="str">
        <x:v>Michigan regulator report shows numeric identifier 646730, which is not a valid seven-digit IMO. Preserved as a national/official identifier pending reconciliation.</x:v>
      </x:c>
      <x:c r="T342" s="102"/>
      <x:c r="U342" s="102"/>
      <x:c r="V342" s="102"/>
      <x:c r="W342" s="102"/>
      <x:c r="X342" s="110"/>
      <x:c r="Y342" s="102"/>
      <x:c r="Z342" s="102"/>
      <x:c r="AA342" s="102"/>
    </x:row>
    <x:row r="343">
      <x:c r="A343" s="102" t="str">
        <x:v>VESSEL_00342</x:v>
      </x:c>
      <x:c r="B343" s="102" t="str">
        <x:v>Cuyahoga</x:v>
      </x:c>
      <x:c r="C343" s="110" t="str">
        <x:v>5166392</x:v>
      </x:c>
      <x:c r="D343" s="102" t="str">
        <x:v>COMP_LOWER_LAKES</x:v>
      </x:c>
      <x:c r="E343" s="102" t="str">
        <x:v>COMP_LOWER_LAKES</x:v>
      </x:c>
      <x:c r="F343" s="102" t="str">
        <x:v>Bulk carrier</x:v>
      </x:c>
      <x:c r="G343" s="102" t="str">
        <x:v>Great Lakes laker</x:v>
      </x:c>
      <x:c r="H343" s="102" t="str">
        <x:v>Canada</x:v>
      </x:c>
      <x:c r="I343" s="102"/>
      <x:c r="J343" s="102"/>
      <x:c r="K343" s="102"/>
      <x:c r="L343" s="102"/>
      <x:c r="M343" s="102"/>
      <x:c r="N343" s="102"/>
      <x:c r="O343" s="102" t="str">
        <x:v>Great Lakes bulk shipping</x:v>
      </x:c>
      <x:c r="P343" s="102"/>
      <x:c r="Q343" s="102" t="str">
        <x:v>2023 regulator-recorded; current status to verify</x:v>
      </x:c>
      <x:c r="R343" s="102" t="str">
        <x:v>SRC_0167</x:v>
      </x:c>
      <x:c r="S343" s="102" t="str">
        <x:v>Government identity seed; current operating status requires Lower Lakes refresh.</x:v>
      </x:c>
      <x:c r="T343" s="102"/>
      <x:c r="U343" s="102"/>
      <x:c r="V343" s="102"/>
      <x:c r="W343" s="102"/>
      <x:c r="X343" s="110"/>
      <x:c r="Y343" s="102"/>
      <x:c r="Z343" s="102"/>
      <x:c r="AA343" s="102"/>
    </x:row>
    <x:row r="344">
      <x:c r="A344" s="102" t="str">
        <x:v>VESSEL_00343</x:v>
      </x:c>
      <x:c r="B344" s="102" t="str">
        <x:v>Kaministiqua</x:v>
      </x:c>
      <x:c r="C344" s="110" t="str">
        <x:v>8119285</x:v>
      </x:c>
      <x:c r="D344" s="102" t="str">
        <x:v>COMP_LOWER_LAKES</x:v>
      </x:c>
      <x:c r="E344" s="102" t="str">
        <x:v>COMP_LOWER_LAKES</x:v>
      </x:c>
      <x:c r="F344" s="102" t="str">
        <x:v>Bulk carrier</x:v>
      </x:c>
      <x:c r="G344" s="102" t="str">
        <x:v>Great Lakes laker</x:v>
      </x:c>
      <x:c r="H344" s="102" t="str">
        <x:v>Canada</x:v>
      </x:c>
      <x:c r="I344" s="102"/>
      <x:c r="J344" s="102"/>
      <x:c r="K344" s="102"/>
      <x:c r="L344" s="102"/>
      <x:c r="M344" s="102"/>
      <x:c r="N344" s="102"/>
      <x:c r="O344" s="102" t="str">
        <x:v>Great Lakes bulk shipping</x:v>
      </x:c>
      <x:c r="P344" s="102"/>
      <x:c r="Q344" s="102" t="str">
        <x:v>2023 regulator-recorded; current status to verify</x:v>
      </x:c>
      <x:c r="R344" s="102" t="str">
        <x:v>SRC_0167</x:v>
      </x:c>
      <x:c r="S344" s="102" t="str">
        <x:v>Government identity seed; current operating status requires Lower Lakes refresh.</x:v>
      </x:c>
      <x:c r="T344" s="102"/>
      <x:c r="U344" s="102"/>
      <x:c r="V344" s="102"/>
      <x:c r="W344" s="102"/>
      <x:c r="X344" s="110"/>
      <x:c r="Y344" s="102"/>
      <x:c r="Z344" s="102"/>
      <x:c r="AA344" s="102"/>
    </x:row>
    <x:row r="345">
      <x:c r="A345" s="102" t="str">
        <x:v>VESSEL_00344</x:v>
      </x:c>
      <x:c r="B345" s="102" t="str">
        <x:v>Manitoulin</x:v>
      </x:c>
      <x:c r="C345" s="110" t="str">
        <x:v>8810918</x:v>
      </x:c>
      <x:c r="D345" s="102" t="str">
        <x:v>COMP_LOWER_LAKES</x:v>
      </x:c>
      <x:c r="E345" s="102" t="str">
        <x:v>COMP_LOWER_LAKES</x:v>
      </x:c>
      <x:c r="F345" s="102" t="str">
        <x:v>Bulk carrier</x:v>
      </x:c>
      <x:c r="G345" s="102" t="str">
        <x:v>Great Lakes laker</x:v>
      </x:c>
      <x:c r="H345" s="102" t="str">
        <x:v>Canada</x:v>
      </x:c>
      <x:c r="I345" s="102"/>
      <x:c r="J345" s="102"/>
      <x:c r="K345" s="102"/>
      <x:c r="L345" s="102"/>
      <x:c r="M345" s="102"/>
      <x:c r="N345" s="102"/>
      <x:c r="O345" s="102" t="str">
        <x:v>Great Lakes bulk shipping</x:v>
      </x:c>
      <x:c r="P345" s="102"/>
      <x:c r="Q345" s="102" t="str">
        <x:v>2023 regulator-recorded; current status to verify</x:v>
      </x:c>
      <x:c r="R345" s="102" t="str">
        <x:v>SRC_0167</x:v>
      </x:c>
      <x:c r="S345" s="102" t="str">
        <x:v>Government identity seed; current operating status requires Lower Lakes refresh.</x:v>
      </x:c>
      <x:c r="T345" s="102"/>
      <x:c r="U345" s="102"/>
      <x:c r="V345" s="102"/>
      <x:c r="W345" s="102"/>
      <x:c r="X345" s="110"/>
      <x:c r="Y345" s="102"/>
      <x:c r="Z345" s="102"/>
      <x:c r="AA345" s="102"/>
    </x:row>
    <x:row r="346">
      <x:c r="A346" s="102" t="str">
        <x:v>VESSEL_00345</x:v>
      </x:c>
      <x:c r="B346" s="102" t="str">
        <x:v>Michipicoten</x:v>
      </x:c>
      <x:c r="C346" s="110" t="str">
        <x:v>5102865</x:v>
      </x:c>
      <x:c r="D346" s="102" t="str">
        <x:v>COMP_LOWER_LAKES</x:v>
      </x:c>
      <x:c r="E346" s="102" t="str">
        <x:v>COMP_LOWER_LAKES</x:v>
      </x:c>
      <x:c r="F346" s="102" t="str">
        <x:v>Bulk carrier</x:v>
      </x:c>
      <x:c r="G346" s="102" t="str">
        <x:v>Great Lakes laker</x:v>
      </x:c>
      <x:c r="H346" s="102" t="str">
        <x:v>Canada</x:v>
      </x:c>
      <x:c r="I346" s="102"/>
      <x:c r="J346" s="102"/>
      <x:c r="K346" s="102"/>
      <x:c r="L346" s="102"/>
      <x:c r="M346" s="102"/>
      <x:c r="N346" s="102"/>
      <x:c r="O346" s="102" t="str">
        <x:v>Great Lakes bulk shipping</x:v>
      </x:c>
      <x:c r="P346" s="102"/>
      <x:c r="Q346" s="102" t="str">
        <x:v>2023 regulator-recorded; current status to verify</x:v>
      </x:c>
      <x:c r="R346" s="102" t="str">
        <x:v>SRC_0167</x:v>
      </x:c>
      <x:c r="S346" s="102" t="str">
        <x:v>Government identity seed; current operating status requires Lower Lakes refresh.</x:v>
      </x:c>
      <x:c r="T346" s="102"/>
      <x:c r="U346" s="102"/>
      <x:c r="V346" s="102"/>
      <x:c r="W346" s="102"/>
      <x:c r="X346" s="110"/>
      <x:c r="Y346" s="102"/>
      <x:c r="Z346" s="102"/>
      <x:c r="AA346" s="102"/>
    </x:row>
    <x:row r="347">
      <x:c r="A347" s="102" t="str">
        <x:v>VESSEL_00346</x:v>
      </x:c>
      <x:c r="B347" s="102" t="str">
        <x:v>Robert S. Pierson</x:v>
      </x:c>
      <x:c r="C347" s="110" t="str">
        <x:v>7366403</x:v>
      </x:c>
      <x:c r="D347" s="102" t="str">
        <x:v>COMP_LOWER_LAKES</x:v>
      </x:c>
      <x:c r="E347" s="102" t="str">
        <x:v>COMP_LOWER_LAKES</x:v>
      </x:c>
      <x:c r="F347" s="102" t="str">
        <x:v>Bulk carrier</x:v>
      </x:c>
      <x:c r="G347" s="102" t="str">
        <x:v>Great Lakes laker</x:v>
      </x:c>
      <x:c r="H347" s="102" t="str">
        <x:v>Canada</x:v>
      </x:c>
      <x:c r="I347" s="102"/>
      <x:c r="J347" s="102"/>
      <x:c r="K347" s="102"/>
      <x:c r="L347" s="102"/>
      <x:c r="M347" s="102"/>
      <x:c r="N347" s="102"/>
      <x:c r="O347" s="102" t="str">
        <x:v>Great Lakes bulk shipping</x:v>
      </x:c>
      <x:c r="P347" s="102"/>
      <x:c r="Q347" s="102" t="str">
        <x:v>2023 regulator-recorded; current status to verify</x:v>
      </x:c>
      <x:c r="R347" s="102" t="str">
        <x:v>SRC_0167</x:v>
      </x:c>
      <x:c r="S347" s="102" t="str">
        <x:v>Government identity seed; current operating status requires Lower Lakes refresh.</x:v>
      </x:c>
      <x:c r="T347" s="102"/>
      <x:c r="U347" s="102"/>
      <x:c r="V347" s="102"/>
      <x:c r="W347" s="102"/>
      <x:c r="X347" s="110"/>
      <x:c r="Y347" s="102"/>
      <x:c r="Z347" s="102"/>
      <x:c r="AA347" s="102"/>
    </x:row>
    <x:row r="348">
      <x:c r="A348" s="102" t="str">
        <x:v>VESSEL_00347</x:v>
      </x:c>
      <x:c r="B348" s="102" t="str">
        <x:v>Saginaw</x:v>
      </x:c>
      <x:c r="C348" s="110" t="str">
        <x:v>5173876</x:v>
      </x:c>
      <x:c r="D348" s="102" t="str">
        <x:v>COMP_LOWER_LAKES</x:v>
      </x:c>
      <x:c r="E348" s="102" t="str">
        <x:v>COMP_LOWER_LAKES</x:v>
      </x:c>
      <x:c r="F348" s="102" t="str">
        <x:v>Bulk carrier</x:v>
      </x:c>
      <x:c r="G348" s="102" t="str">
        <x:v>Great Lakes laker</x:v>
      </x:c>
      <x:c r="H348" s="102" t="str">
        <x:v>Canada</x:v>
      </x:c>
      <x:c r="I348" s="102"/>
      <x:c r="J348" s="102"/>
      <x:c r="K348" s="102"/>
      <x:c r="L348" s="102"/>
      <x:c r="M348" s="102"/>
      <x:c r="N348" s="102"/>
      <x:c r="O348" s="102" t="str">
        <x:v>Great Lakes bulk shipping</x:v>
      </x:c>
      <x:c r="P348" s="102"/>
      <x:c r="Q348" s="102" t="str">
        <x:v>2023 regulator-recorded; current status to verify</x:v>
      </x:c>
      <x:c r="R348" s="102" t="str">
        <x:v>SRC_0167</x:v>
      </x:c>
      <x:c r="S348" s="102" t="str">
        <x:v>Government identity seed; current operating status requires Lower Lakes refresh.</x:v>
      </x:c>
      <x:c r="T348" s="102"/>
      <x:c r="U348" s="102"/>
      <x:c r="V348" s="102"/>
      <x:c r="W348" s="102"/>
      <x:c r="X348" s="110"/>
      <x:c r="Y348" s="102"/>
      <x:c r="Z348" s="102"/>
      <x:c r="AA348" s="102"/>
    </x:row>
    <x:row r="349">
      <x:c r="A349" s="102" t="str">
        <x:v>VESSEL_00348</x:v>
      </x:c>
      <x:c r="B349" s="102" t="str">
        <x:v>Arthur M. Anderson</x:v>
      </x:c>
      <x:c r="C349" s="110" t="str">
        <x:v>5025691</x:v>
      </x:c>
      <x:c r="D349" s="102" t="str">
        <x:v>COMP_GREAT_LAKES_FLEET</x:v>
      </x:c>
      <x:c r="E349" s="102" t="str">
        <x:v>COMP_KEY_LAKES</x:v>
      </x:c>
      <x:c r="F349" s="102" t="str">
        <x:v>Bulk carrier</x:v>
      </x:c>
      <x:c r="G349" s="102" t="str">
        <x:v>Great Lakes Fleet / laker</x:v>
      </x:c>
      <x:c r="H349" s="102" t="str">
        <x:v>United States</x:v>
      </x:c>
      <x:c r="I349" s="102"/>
      <x:c r="J349" s="102"/>
      <x:c r="K349" s="102"/>
      <x:c r="L349" s="102"/>
      <x:c r="M349" s="102"/>
      <x:c r="N349" s="102"/>
      <x:c r="O349" s="102" t="str">
        <x:v>CN Great Lakes iron-ore / bulk supply chain</x:v>
      </x:c>
      <x:c r="P349" s="102"/>
      <x:c r="Q349" s="102" t="str">
        <x:v>2023 regulator-recorded; current status to verify</x:v>
      </x:c>
      <x:c r="R349" s="102" t="str">
        <x:v>SRC_0167</x:v>
      </x:c>
      <x:c r="S349" s="102" t="str">
        <x:v>Michigan regulator identifies Key Lakes as operator; CN confirms the current integrated Great Lakes Fleet role. Current individual vessel activity still requires refresh.</x:v>
      </x:c>
      <x:c r="T349" s="102"/>
      <x:c r="U349" s="102"/>
      <x:c r="V349" s="102"/>
      <x:c r="W349" s="102"/>
      <x:c r="X349" s="110"/>
      <x:c r="Y349" s="102"/>
      <x:c r="Z349" s="102"/>
      <x:c r="AA349" s="102"/>
    </x:row>
    <x:row r="350">
      <x:c r="A350" s="102" t="str">
        <x:v>VESSEL_00349</x:v>
      </x:c>
      <x:c r="B350" s="102" t="str">
        <x:v>Cason J. Callaway</x:v>
      </x:c>
      <x:c r="C350" s="110" t="str">
        <x:v>5065392</x:v>
      </x:c>
      <x:c r="D350" s="102" t="str">
        <x:v>COMP_GREAT_LAKES_FLEET</x:v>
      </x:c>
      <x:c r="E350" s="102" t="str">
        <x:v>COMP_KEY_LAKES</x:v>
      </x:c>
      <x:c r="F350" s="102" t="str">
        <x:v>Bulk carrier</x:v>
      </x:c>
      <x:c r="G350" s="102" t="str">
        <x:v>Great Lakes Fleet / laker</x:v>
      </x:c>
      <x:c r="H350" s="102" t="str">
        <x:v>United States</x:v>
      </x:c>
      <x:c r="I350" s="102"/>
      <x:c r="J350" s="102"/>
      <x:c r="K350" s="102"/>
      <x:c r="L350" s="102"/>
      <x:c r="M350" s="102"/>
      <x:c r="N350" s="102"/>
      <x:c r="O350" s="102" t="str">
        <x:v>CN Great Lakes iron-ore / bulk supply chain</x:v>
      </x:c>
      <x:c r="P350" s="102"/>
      <x:c r="Q350" s="102" t="str">
        <x:v>2023 regulator-recorded; current status to verify</x:v>
      </x:c>
      <x:c r="R350" s="102" t="str">
        <x:v>SRC_0167</x:v>
      </x:c>
      <x:c r="S350" s="102" t="str">
        <x:v>Michigan regulator identifies Key Lakes as operator; CN confirms the current integrated Great Lakes Fleet role. Current individual vessel activity still requires refresh.</x:v>
      </x:c>
      <x:c r="T350" s="102"/>
      <x:c r="U350" s="102"/>
      <x:c r="V350" s="102"/>
      <x:c r="W350" s="102"/>
      <x:c r="X350" s="110"/>
      <x:c r="Y350" s="102"/>
      <x:c r="Z350" s="102"/>
      <x:c r="AA350" s="102"/>
    </x:row>
    <x:row r="351">
      <x:c r="A351" s="102" t="str">
        <x:v>VESSEL_00350</x:v>
      </x:c>
      <x:c r="B351" s="102" t="str">
        <x:v>Edgar B. Speer</x:v>
      </x:c>
      <x:c r="C351" s="110" t="str">
        <x:v>7625952</x:v>
      </x:c>
      <x:c r="D351" s="102" t="str">
        <x:v>COMP_GREAT_LAKES_FLEET</x:v>
      </x:c>
      <x:c r="E351" s="102" t="str">
        <x:v>COMP_KEY_LAKES</x:v>
      </x:c>
      <x:c r="F351" s="102" t="str">
        <x:v>Bulk carrier</x:v>
      </x:c>
      <x:c r="G351" s="102" t="str">
        <x:v>Great Lakes Fleet / laker</x:v>
      </x:c>
      <x:c r="H351" s="102" t="str">
        <x:v>United States</x:v>
      </x:c>
      <x:c r="I351" s="102"/>
      <x:c r="J351" s="102"/>
      <x:c r="K351" s="102"/>
      <x:c r="L351" s="102"/>
      <x:c r="M351" s="102"/>
      <x:c r="N351" s="102"/>
      <x:c r="O351" s="102" t="str">
        <x:v>CN Great Lakes iron-ore / bulk supply chain</x:v>
      </x:c>
      <x:c r="P351" s="102"/>
      <x:c r="Q351" s="102" t="str">
        <x:v>2023 regulator-recorded; current status to verify</x:v>
      </x:c>
      <x:c r="R351" s="102" t="str">
        <x:v>SRC_0167</x:v>
      </x:c>
      <x:c r="S351" s="102" t="str">
        <x:v>Michigan regulator identifies Key Lakes as operator; CN confirms the current integrated Great Lakes Fleet role. Current individual vessel activity still requires refresh.</x:v>
      </x:c>
      <x:c r="T351" s="102"/>
      <x:c r="U351" s="102"/>
      <x:c r="V351" s="102"/>
      <x:c r="W351" s="102"/>
      <x:c r="X351" s="110"/>
      <x:c r="Y351" s="102"/>
      <x:c r="Z351" s="102"/>
      <x:c r="AA351" s="102"/>
    </x:row>
    <x:row r="352">
      <x:c r="A352" s="102" t="str">
        <x:v>VESSEL_00351</x:v>
      </x:c>
      <x:c r="B352" s="102" t="str">
        <x:v>Edwin H. Gott</x:v>
      </x:c>
      <x:c r="C352" s="110" t="str">
        <x:v>7606061</x:v>
      </x:c>
      <x:c r="D352" s="102" t="str">
        <x:v>COMP_GREAT_LAKES_FLEET</x:v>
      </x:c>
      <x:c r="E352" s="102" t="str">
        <x:v>COMP_KEY_LAKES</x:v>
      </x:c>
      <x:c r="F352" s="102" t="str">
        <x:v>Bulk carrier</x:v>
      </x:c>
      <x:c r="G352" s="102" t="str">
        <x:v>Great Lakes Fleet / laker</x:v>
      </x:c>
      <x:c r="H352" s="102" t="str">
        <x:v>United States</x:v>
      </x:c>
      <x:c r="I352" s="102"/>
      <x:c r="J352" s="102"/>
      <x:c r="K352" s="102"/>
      <x:c r="L352" s="102"/>
      <x:c r="M352" s="102"/>
      <x:c r="N352" s="102"/>
      <x:c r="O352" s="102" t="str">
        <x:v>CN Great Lakes iron-ore / bulk supply chain</x:v>
      </x:c>
      <x:c r="P352" s="102"/>
      <x:c r="Q352" s="102" t="str">
        <x:v>2023 regulator-recorded; current status to verify</x:v>
      </x:c>
      <x:c r="R352" s="102" t="str">
        <x:v>SRC_0167</x:v>
      </x:c>
      <x:c r="S352" s="102" t="str">
        <x:v>Michigan regulator identifies Key Lakes as operator; CN confirms the current integrated Great Lakes Fleet role. Current individual vessel activity still requires refresh.</x:v>
      </x:c>
      <x:c r="T352" s="102"/>
      <x:c r="U352" s="102"/>
      <x:c r="V352" s="102"/>
      <x:c r="W352" s="102"/>
      <x:c r="X352" s="110"/>
      <x:c r="Y352" s="102"/>
      <x:c r="Z352" s="102"/>
      <x:c r="AA352" s="102"/>
    </x:row>
    <x:row r="353">
      <x:c r="A353" s="102" t="str">
        <x:v>VESSEL_00352</x:v>
      </x:c>
      <x:c r="B353" s="102" t="str">
        <x:v>Great Republic</x:v>
      </x:c>
      <x:c r="C353" s="110" t="str">
        <x:v>7914236</x:v>
      </x:c>
      <x:c r="D353" s="102" t="str">
        <x:v>COMP_GREAT_LAKES_FLEET</x:v>
      </x:c>
      <x:c r="E353" s="102" t="str">
        <x:v>COMP_KEY_LAKES</x:v>
      </x:c>
      <x:c r="F353" s="102" t="str">
        <x:v>Bulk carrier</x:v>
      </x:c>
      <x:c r="G353" s="102" t="str">
        <x:v>Great Lakes Fleet / laker</x:v>
      </x:c>
      <x:c r="H353" s="102" t="str">
        <x:v>United States</x:v>
      </x:c>
      <x:c r="I353" s="102"/>
      <x:c r="J353" s="102"/>
      <x:c r="K353" s="102"/>
      <x:c r="L353" s="102"/>
      <x:c r="M353" s="102"/>
      <x:c r="N353" s="102"/>
      <x:c r="O353" s="102" t="str">
        <x:v>CN Great Lakes iron-ore / bulk supply chain</x:v>
      </x:c>
      <x:c r="P353" s="102"/>
      <x:c r="Q353" s="102" t="str">
        <x:v>2023 regulator-recorded; current status to verify</x:v>
      </x:c>
      <x:c r="R353" s="102" t="str">
        <x:v>SRC_0167</x:v>
      </x:c>
      <x:c r="S353" s="102" t="str">
        <x:v>Michigan regulator identifies Key Lakes as operator; CN confirms the current integrated Great Lakes Fleet role. Current individual vessel activity still requires refresh.</x:v>
      </x:c>
      <x:c r="T353" s="102"/>
      <x:c r="U353" s="102"/>
      <x:c r="V353" s="102"/>
      <x:c r="W353" s="102"/>
      <x:c r="X353" s="110"/>
      <x:c r="Y353" s="102"/>
      <x:c r="Z353" s="102"/>
      <x:c r="AA353" s="102"/>
    </x:row>
    <x:row r="354">
      <x:c r="A354" s="102" t="str">
        <x:v>VESSEL_00353</x:v>
      </x:c>
      <x:c r="B354" s="102" t="str">
        <x:v>John G. Munson</x:v>
      </x:c>
      <x:c r="C354" s="110" t="str">
        <x:v>5173670</x:v>
      </x:c>
      <x:c r="D354" s="102" t="str">
        <x:v>COMP_GREAT_LAKES_FLEET</x:v>
      </x:c>
      <x:c r="E354" s="102" t="str">
        <x:v>COMP_KEY_LAKES</x:v>
      </x:c>
      <x:c r="F354" s="102" t="str">
        <x:v>Bulk carrier</x:v>
      </x:c>
      <x:c r="G354" s="102" t="str">
        <x:v>Great Lakes Fleet / laker</x:v>
      </x:c>
      <x:c r="H354" s="102" t="str">
        <x:v>United States</x:v>
      </x:c>
      <x:c r="I354" s="102"/>
      <x:c r="J354" s="102"/>
      <x:c r="K354" s="102"/>
      <x:c r="L354" s="102"/>
      <x:c r="M354" s="102"/>
      <x:c r="N354" s="102"/>
      <x:c r="O354" s="102" t="str">
        <x:v>CN Great Lakes iron-ore / bulk supply chain</x:v>
      </x:c>
      <x:c r="P354" s="102"/>
      <x:c r="Q354" s="102" t="str">
        <x:v>2023 regulator-recorded; current status to verify</x:v>
      </x:c>
      <x:c r="R354" s="102" t="str">
        <x:v>SRC_0167</x:v>
      </x:c>
      <x:c r="S354" s="102" t="str">
        <x:v>Michigan regulator identifies Key Lakes as operator; CN confirms the current integrated Great Lakes Fleet role. Current individual vessel activity still requires refresh.</x:v>
      </x:c>
      <x:c r="T354" s="102"/>
      <x:c r="U354" s="102"/>
      <x:c r="V354" s="102"/>
      <x:c r="W354" s="102"/>
      <x:c r="X354" s="110"/>
      <x:c r="Y354" s="102"/>
      <x:c r="Z354" s="102"/>
      <x:c r="AA354" s="102"/>
    </x:row>
    <x:row r="355">
      <x:c r="A355" s="102" t="str">
        <x:v>VESSEL_00354</x:v>
      </x:c>
      <x:c r="B355" s="102" t="str">
        <x:v>Philip R. Clarke</x:v>
      </x:c>
      <x:c r="C355" s="110" t="str">
        <x:v>5277062</x:v>
      </x:c>
      <x:c r="D355" s="102" t="str">
        <x:v>COMP_GREAT_LAKES_FLEET</x:v>
      </x:c>
      <x:c r="E355" s="102" t="str">
        <x:v>COMP_KEY_LAKES</x:v>
      </x:c>
      <x:c r="F355" s="102" t="str">
        <x:v>Bulk carrier</x:v>
      </x:c>
      <x:c r="G355" s="102" t="str">
        <x:v>Great Lakes Fleet / laker</x:v>
      </x:c>
      <x:c r="H355" s="102" t="str">
        <x:v>United States</x:v>
      </x:c>
      <x:c r="I355" s="102"/>
      <x:c r="J355" s="102"/>
      <x:c r="K355" s="102"/>
      <x:c r="L355" s="102"/>
      <x:c r="M355" s="102"/>
      <x:c r="N355" s="102"/>
      <x:c r="O355" s="102" t="str">
        <x:v>CN Great Lakes iron-ore / bulk supply chain</x:v>
      </x:c>
      <x:c r="P355" s="102"/>
      <x:c r="Q355" s="102" t="str">
        <x:v>2023 regulator-recorded; current status to verify</x:v>
      </x:c>
      <x:c r="R355" s="102" t="str">
        <x:v>SRC_0167</x:v>
      </x:c>
      <x:c r="S355" s="102" t="str">
        <x:v>Michigan regulator identifies Key Lakes as operator; CN confirms the current integrated Great Lakes Fleet role. Current individual vessel activity still requires refresh.</x:v>
      </x:c>
      <x:c r="T355" s="102"/>
      <x:c r="U355" s="102"/>
      <x:c r="V355" s="102"/>
      <x:c r="W355" s="102"/>
      <x:c r="X355" s="110"/>
      <x:c r="Y355" s="102"/>
      <x:c r="Z355" s="102"/>
      <x:c r="AA355" s="102"/>
    </x:row>
    <x:row r="356">
      <x:c r="A356" s="102" t="str">
        <x:v>VESSEL_00355</x:v>
      </x:c>
      <x:c r="B356" s="102" t="str">
        <x:v>Presque Isle</x:v>
      </x:c>
      <x:c r="C356" s="110" t="str">
        <x:v>7303877</x:v>
      </x:c>
      <x:c r="D356" s="102" t="str">
        <x:v>COMP_GREAT_LAKES_FLEET</x:v>
      </x:c>
      <x:c r="E356" s="102" t="str">
        <x:v>COMP_KEY_LAKES</x:v>
      </x:c>
      <x:c r="F356" s="102" t="str">
        <x:v>Bulk carrier</x:v>
      </x:c>
      <x:c r="G356" s="102" t="str">
        <x:v>Great Lakes Fleet / laker</x:v>
      </x:c>
      <x:c r="H356" s="102" t="str">
        <x:v>United States</x:v>
      </x:c>
      <x:c r="I356" s="102"/>
      <x:c r="J356" s="102"/>
      <x:c r="K356" s="102"/>
      <x:c r="L356" s="102"/>
      <x:c r="M356" s="102"/>
      <x:c r="N356" s="102"/>
      <x:c r="O356" s="102" t="str">
        <x:v>CN Great Lakes iron-ore / bulk supply chain</x:v>
      </x:c>
      <x:c r="P356" s="102"/>
      <x:c r="Q356" s="102" t="str">
        <x:v>2023 regulator-recorded; current status to verify</x:v>
      </x:c>
      <x:c r="R356" s="102" t="str">
        <x:v>SRC_0167</x:v>
      </x:c>
      <x:c r="S356" s="102" t="str">
        <x:v>Michigan regulator identifies Key Lakes as operator; CN confirms the current integrated Great Lakes Fleet role. Current individual vessel activity still requires refresh.</x:v>
      </x:c>
      <x:c r="T356" s="102"/>
      <x:c r="U356" s="102"/>
      <x:c r="V356" s="102"/>
      <x:c r="W356" s="102"/>
      <x:c r="X356" s="110"/>
      <x:c r="Y356" s="102"/>
      <x:c r="Z356" s="102"/>
      <x:c r="AA356" s="102"/>
    </x:row>
    <x:row r="357">
      <x:c r="A357" s="102" t="str">
        <x:v>VESSEL_00356</x:v>
      </x:c>
      <x:c r="B357" s="102" t="str">
        <x:v>Roger Blough</x:v>
      </x:c>
      <x:c r="C357" s="110" t="str">
        <x:v>7222138</x:v>
      </x:c>
      <x:c r="D357" s="102" t="str">
        <x:v>COMP_GREAT_LAKES_FLEET</x:v>
      </x:c>
      <x:c r="E357" s="102" t="str">
        <x:v>COMP_KEY_LAKES</x:v>
      </x:c>
      <x:c r="F357" s="102" t="str">
        <x:v>Bulk carrier</x:v>
      </x:c>
      <x:c r="G357" s="102" t="str">
        <x:v>Great Lakes Fleet / laker</x:v>
      </x:c>
      <x:c r="H357" s="102" t="str">
        <x:v>United States</x:v>
      </x:c>
      <x:c r="I357" s="102"/>
      <x:c r="J357" s="102"/>
      <x:c r="K357" s="102"/>
      <x:c r="L357" s="102"/>
      <x:c r="M357" s="102"/>
      <x:c r="N357" s="102"/>
      <x:c r="O357" s="102" t="str">
        <x:v>CN Great Lakes iron-ore / bulk supply chain</x:v>
      </x:c>
      <x:c r="P357" s="102"/>
      <x:c r="Q357" s="102" t="str">
        <x:v>2023 regulator-recorded; current status to verify</x:v>
      </x:c>
      <x:c r="R357" s="102" t="str">
        <x:v>SRC_0167</x:v>
      </x:c>
      <x:c r="S357" s="102" t="str">
        <x:v>Michigan regulator identifies Key Lakes as operator; CN confirms the current integrated Great Lakes Fleet role. Current individual vessel activity still requires refresh.</x:v>
      </x:c>
      <x:c r="T357" s="102"/>
      <x:c r="U357" s="102"/>
      <x:c r="V357" s="102"/>
      <x:c r="W357" s="102"/>
      <x:c r="X357" s="110"/>
      <x:c r="Y357" s="102"/>
      <x:c r="Z357" s="102"/>
      <x:c r="AA357" s="102"/>
    </x:row>
    <x:row r="358">
      <x:c r="A358" s="102" t="str">
        <x:v>VESSEL_00357</x:v>
      </x:c>
      <x:c r="B358" s="102" t="str">
        <x:v>Badger</x:v>
      </x:c>
      <x:c r="C358" s="110" t="str">
        <x:v>5033583</x:v>
      </x:c>
      <x:c r="D358" s="102" t="str">
        <x:v>COMP_LAKE_MICHIGAN_CARFERRY</x:v>
      </x:c>
      <x:c r="E358" s="102" t="str">
        <x:v>COMP_LAKE_MICHIGAN_CARFERRY</x:v>
      </x:c>
      <x:c r="F358" s="102" t="str">
        <x:v>Passenger / vehicle ferry</x:v>
      </x:c>
      <x:c r="G358" s="102" t="str">
        <x:v>Lake Michigan car ferry</x:v>
      </x:c>
      <x:c r="H358" s="102" t="str">
        <x:v>United States</x:v>
      </x:c>
      <x:c r="I358" s="102"/>
      <x:c r="J358" s="102"/>
      <x:c r="K358" s="102"/>
      <x:c r="L358" s="102"/>
      <x:c r="M358" s="102"/>
      <x:c r="N358" s="102"/>
      <x:c r="O358" s="102" t="str">
        <x:v>Lake Michigan passenger / vehicle / freight crossing</x:v>
      </x:c>
      <x:c r="P358" s="102"/>
      <x:c r="Q358" s="102" t="str">
        <x:v>2023 regulator-recorded; current status to verify</x:v>
      </x:c>
      <x:c r="R358" s="102" t="str">
        <x:v>SRC_0167</x:v>
      </x:c>
      <x:c r="S358" s="102" t="str">
        <x:v>Great Lakes passenger-vessel identity; bridges the ferry and regional-system layers.</x:v>
      </x:c>
      <x:c r="T358" s="102"/>
      <x:c r="U358" s="102"/>
      <x:c r="V358" s="102"/>
      <x:c r="W358" s="102"/>
      <x:c r="X358" s="110"/>
      <x:c r="Y358" s="102"/>
      <x:c r="Z358" s="102"/>
      <x:c r="AA358" s="102"/>
    </x:row>
    <x:row r="359">
      <x:c r="A359" s="102" t="str">
        <x:v>VESSEL_00358</x:v>
      </x:c>
      <x:c r="B359" s="102" t="str">
        <x:v>Florence Spirit</x:v>
      </x:c>
      <x:c r="C359" s="110" t="str">
        <x:v>9314600</x:v>
      </x:c>
      <x:c r="D359" s="102" t="str">
        <x:v>COMP_MCKEIL</x:v>
      </x:c>
      <x:c r="E359" s="102" t="str">
        <x:v>COMP_MCKEIL</x:v>
      </x:c>
      <x:c r="F359" s="102" t="str">
        <x:v>Gearless bulk carrier</x:v>
      </x:c>
      <x:c r="G359" s="102" t="str">
        <x:v>Four-hold dry bulk</x:v>
      </x:c>
      <x:c r="H359" s="102" t="str">
        <x:v>Canada</x:v>
      </x:c>
      <x:c r="I359" s="102" t="str">
        <x:v>2004</x:v>
      </x:c>
      <x:c r="J359" s="102" t="str">
        <x:v>13500</x:v>
      </x:c>
      <x:c r="K359" s="102" t="str">
        <x:v>17,311 cbm</x:v>
      </x:c>
      <x:c r="L359" s="102"/>
      <x:c r="M359" s="102"/>
      <x:c r="N359" s="102"/>
      <x:c r="O359" s="102" t="str">
        <x:v>Great Lakes / St. Lawrence / unrestricted dry bulk</x:v>
      </x:c>
      <x:c r="P359" s="102"/>
      <x:c r="Q359" s="102" t="str">
        <x:v>Operating</x:v>
      </x:c>
      <x:c r="R359" s="102" t="str">
        <x:v>SRC_0177</x:v>
      </x:c>
      <x:c r="S359" s="102" t="str">
        <x:v>McKeil official profile provides IMO 9314600 and Canadian Official Number 839979.</x:v>
      </x:c>
      <x:c r="T359" s="102"/>
      <x:c r="U359" s="102"/>
      <x:c r="V359" s="102"/>
      <x:c r="W359" s="102"/>
      <x:c r="X359" s="110"/>
      <x:c r="Y359" s="102"/>
      <x:c r="Z359" s="102"/>
      <x:c r="AA359" s="102"/>
    </x:row>
  </x:sheetData>
  <x:pageMargins left="0.7" right="0.7" top="0.75" bottom="0.75" header="0.3" footer="0.3"/>
  <x:tableParts count="1">
    <x:tablePart xmlns:r="http://schemas.openxmlformats.org/officeDocument/2006/relationships" r:id="Rc88241ab47c14ca0"/>
  </x:tableParts>
</x:worksheet>
</file>

<file path=xl/worksheets/sheet10.xml><?xml version="1.0" encoding="utf-8"?>
<x:worksheet xmlns:x="http://schemas.openxmlformats.org/spreadsheetml/2006/main">
  <x:sheetFormatPr defaultRowHeight="15"/>
  <x:cols>
    <x:col min="1" max="1" width="18" hidden="0" customWidth="1"/>
    <x:col min="2" max="2" width="24" hidden="0" customWidth="1"/>
    <x:col min="3" max="3" width="18" hidden="0" customWidth="1"/>
    <x:col min="4" max="4" width="18" hidden="0" customWidth="1"/>
    <x:col min="5" max="5" width="18" hidden="0" customWidth="1"/>
    <x:col min="6" max="6" width="18" hidden="0" customWidth="1"/>
    <x:col min="7" max="7" width="34" hidden="0" customWidth="1"/>
    <x:col min="8" max="8" width="32" hidden="0" customWidth="1"/>
    <x:col min="9" max="9" width="18" hidden="0" customWidth="1"/>
  </x:cols>
  <x:sheetData>
    <x:row r="1">
      <x:c r="A1" s="36" t="str">
        <x:v>Fleet ID</x:v>
      </x:c>
      <x:c r="B1" s="36" t="str">
        <x:v>Company ID</x:v>
      </x:c>
      <x:c r="C1" s="36" t="str">
        <x:v>Mode</x:v>
      </x:c>
      <x:c r="D1" s="36" t="str">
        <x:v>Measure</x:v>
      </x:c>
      <x:c r="E1" s="36" t="str">
        <x:v>Count</x:v>
      </x:c>
      <x:c r="F1" s="36" t="str">
        <x:v>Capacity / Scale</x:v>
      </x:c>
      <x:c r="G1" s="36" t="str">
        <x:v>Notes</x:v>
      </x:c>
      <x:c r="H1" s="36" t="str">
        <x:v>Source ID</x:v>
      </x:c>
      <x:c r="I1" s="36" t="str">
        <x:v>As Of</x:v>
      </x:c>
    </x:row>
    <x:row r="2">
      <x:c r="A2" s="42" t="str">
        <x:v>FLEET_0001</x:v>
      </x:c>
      <x:c r="B2" s="42" t="str">
        <x:v>COMP_CMA_CGM</x:v>
      </x:c>
      <x:c r="C2" s="42" t="str">
        <x:v>Container shipping</x:v>
      </x:c>
      <x:c r="D2" s="42" t="str">
        <x:v>Owned vessels</x:v>
      </x:c>
      <x:c r="E2" s="42" t="n">
        <x:v>400</x:v>
      </x:c>
      <x:c r="F2" s="42" t="str"/>
      <x:c r="G2" s="42" t="str">
        <x:v>CMA CGM Q1 2026 reported MONTE CRISTO as the Group's 400th owned vessel.</x:v>
      </x:c>
      <x:c r="H2" s="42" t="str">
        <x:v>SRC_0045</x:v>
      </x:c>
      <x:c r="I2" s="42" t="str">
        <x:v>2026-03-31</x:v>
      </x:c>
    </x:row>
    <x:row r="3">
      <x:c r="A3" s="42" t="str">
        <x:v>FLEET_0002</x:v>
      </x:c>
      <x:c r="B3" s="42" t="str">
        <x:v>COMP_CMA_AIR</x:v>
      </x:c>
      <x:c r="C3" s="42" t="str">
        <x:v>Air cargo</x:v>
      </x:c>
      <x:c r="D3" s="42" t="str">
        <x:v>Freighter aircraft</x:v>
      </x:c>
      <x:c r="E3" s="42" t="n">
        <x:v>8</x:v>
      </x:c>
      <x:c r="F3" s="42" t="str"/>
      <x:c r="G3" s="42" t="str">
        <x:v>Q1 2026: fleet of eight aircraft operated under CMA CGM AIR CARGO and Air Belgium brands.</x:v>
      </x:c>
      <x:c r="H3" s="42" t="str">
        <x:v>SRC_0045</x:v>
      </x:c>
      <x:c r="I3" s="42" t="str">
        <x:v>2026-03-31</x:v>
      </x:c>
    </x:row>
    <x:row r="4">
      <x:c r="A4" s="42" t="str">
        <x:v>FLEET_0003</x:v>
      </x:c>
      <x:c r="B4" s="42" t="str">
        <x:v>COMP_MAERSK</x:v>
      </x:c>
      <x:c r="C4" s="42" t="str">
        <x:v>Container shipping</x:v>
      </x:c>
      <x:c r="D4" s="42" t="str">
        <x:v>Dual-fuel vessels operating</x:v>
      </x:c>
      <x:c r="E4" s="42" t="n">
        <x:v>21</x:v>
      </x:c>
      <x:c r="F4" s="42" t="str"/>
      <x:c r="G4" s="42" t="str">
        <x:v>Q1 2026 management review.</x:v>
      </x:c>
      <x:c r="H4" s="42" t="str">
        <x:v>SRC_0047</x:v>
      </x:c>
      <x:c r="I4" s="42" t="str">
        <x:v>2026-03-31</x:v>
      </x:c>
    </x:row>
    <x:row r="5">
      <x:c r="A5" s="42" t="str">
        <x:v>FLEET_0004</x:v>
      </x:c>
      <x:c r="B5" s="42" t="str">
        <x:v>COMP_MSC</x:v>
      </x:c>
      <x:c r="C5" s="42" t="str">
        <x:v>Container shipping</x:v>
      </x:c>
      <x:c r="D5" s="42" t="str">
        <x:v>Cargo vessels</x:v>
      </x:c>
      <x:c r="E5" s="42" t="n">
        <x:v>1000</x:v>
      </x:c>
      <x:c r="F5" s="42" t="str"/>
      <x:c r="G5" s="42" t="str">
        <x:v>MSC public key figures.</x:v>
      </x:c>
      <x:c r="H5" s="42" t="str">
        <x:v>SRC_0050</x:v>
      </x:c>
      <x:c r="I5" s="42" t="str">
        <x:v>2026-09-07</x:v>
      </x:c>
    </x:row>
    <x:row r="6">
      <x:c r="A6" s="42" t="str">
        <x:v>FLEET_0005</x:v>
      </x:c>
      <x:c r="B6" s="42" t="str">
        <x:v>COMP_MSC</x:v>
      </x:c>
      <x:c r="C6" s="42" t="str">
        <x:v>Air cargo</x:v>
      </x:c>
      <x:c r="D6" s="42" t="str">
        <x:v>Aircraft</x:v>
      </x:c>
      <x:c r="E6" s="42" t="n">
        <x:v>7</x:v>
      </x:c>
      <x:c r="F6" s="42" t="str"/>
      <x:c r="G6" s="42" t="str">
        <x:v>MSC public key figures.</x:v>
      </x:c>
      <x:c r="H6" s="42" t="str">
        <x:v>SRC_0050</x:v>
      </x:c>
      <x:c r="I6" s="42" t="str">
        <x:v>2026-09-07</x:v>
      </x:c>
    </x:row>
    <x:row r="7">
      <x:c r="A7" s="42" t="str">
        <x:v>FLEET_0006</x:v>
      </x:c>
      <x:c r="B7" s="42" t="str">
        <x:v>COMP_COSCO_GROUP</x:v>
      </x:c>
      <x:c r="C7" s="42" t="str">
        <x:v>All shipping</x:v>
      </x:c>
      <x:c r="D7" s="42" t="str">
        <x:v>Total vessels</x:v>
      </x:c>
      <x:c r="E7" s="42" t="n">
        <x:v>1660</x:v>
      </x:c>
      <x:c r="F7" s="42" t="str">
        <x:v>135000000 DWT</x:v>
      </x:c>
      <x:c r="G7" s="42" t="str">
        <x:v>COSCO SHIPPING group fleet at end-2025.</x:v>
      </x:c>
      <x:c r="H7" s="42" t="str">
        <x:v>SRC_0054</x:v>
      </x:c>
      <x:c r="I7" s="42" t="str">
        <x:v>2025-12-31</x:v>
      </x:c>
    </x:row>
    <x:row r="8">
      <x:c r="A8" s="42" t="str">
        <x:v>FLEET_0007</x:v>
      </x:c>
      <x:c r="B8" s="42" t="str">
        <x:v>COMP_COSCO_LINES</x:v>
      </x:c>
      <x:c r="C8" s="42" t="str">
        <x:v>Container shipping</x:v>
      </x:c>
      <x:c r="D8" s="42" t="str">
        <x:v>Container vessels</x:v>
      </x:c>
      <x:c r="E8" s="42" t="n">
        <x:v>456</x:v>
      </x:c>
      <x:c r="F8" s="42" t="str">
        <x:v>~2.4m TEU</x:v>
      </x:c>
      <x:c r="G8" s="42" t="str">
        <x:v>COSCO SHIPPING Lines fleet at end-May 2026.</x:v>
      </x:c>
      <x:c r="H8" s="42" t="str">
        <x:v>SRC_0053</x:v>
      </x:c>
      <x:c r="I8" s="42" t="str">
        <x:v>2026-05-31</x:v>
      </x:c>
    </x:row>
    <x:row r="9">
      <x:c r="A9" s="42" t="str">
        <x:v>FLEET_0008</x:v>
      </x:c>
      <x:c r="B9" s="42" t="str">
        <x:v>COMP_EVERGREEN</x:v>
      </x:c>
      <x:c r="C9" s="42" t="str">
        <x:v>Container shipping</x:v>
      </x:c>
      <x:c r="D9" s="42" t="str">
        <x:v>Operating fleet</x:v>
      </x:c>
      <x:c r="E9" s="42" t="n">
        <x:v>208</x:v>
      </x:c>
      <x:c r="F9" s="42" t="str">
        <x:v>1.627m TEU</x:v>
      </x:c>
      <x:c r="G9" s="42" t="str">
        <x:v>Latest structured official fleet count captured from 2023 sustainability report; refresh queued.</x:v>
      </x:c>
      <x:c r="H9" s="42" t="str">
        <x:v>SRC_0057</x:v>
      </x:c>
      <x:c r="I9" s="42" t="str">
        <x:v>2023-12-31</x:v>
      </x:c>
    </x:row>
    <x:row r="10">
      <x:c r="A10" t="str">
        <x:v>FLEET_0009</x:v>
      </x:c>
      <x:c r="B10" t="str">
        <x:v>COMP_ADNOC_LS</x:v>
      </x:c>
      <x:c r="C10" t="str">
        <x:v>All maritime / offshore</x:v>
      </x:c>
      <x:c r="D10" t="str">
        <x:v>Owned, chartered and operated vessels</x:v>
      </x:c>
      <x:c r="E10" t="n">
        <x:v>900</x:v>
      </x:c>
      <x:c r="F10" t="str">
        <x:v>900+</x:v>
      </x:c>
      <x:c r="G10" t="str">
        <x:v>Corporate fleet sheet aggregate across shipping, integrated logistics and services.</x:v>
      </x:c>
      <x:c r="H10" t="str">
        <x:v>SRC_0066</x:v>
      </x:c>
      <x:c r="I10" t="str">
        <x:v>2026-01</x:v>
      </x:c>
    </x:row>
    <x:row r="11">
      <x:c r="A11" t="str">
        <x:v>FLEET_0010</x:v>
      </x:c>
      <x:c r="B11" t="str">
        <x:v>COMP_ADNOC_LS</x:v>
      </x:c>
      <x:c r="C11" t="str">
        <x:v>Shipping</x:v>
      </x:c>
      <x:c r="D11" t="str">
        <x:v>Shipping fleet</x:v>
      </x:c>
      <x:c r="E11" t="n">
        <x:v>112</x:v>
      </x:c>
      <x:c r="F11" t="str">
        <x:v>112 vessels</x:v>
      </x:c>
      <x:c r="G11" t="str">
        <x:v>Official fleet sheet shipping-fleet count; individual seed records remain incomplete.</x:v>
      </x:c>
      <x:c r="H11" t="str">
        <x:v>SRC_0066</x:v>
      </x:c>
      <x:c r="I11" t="str">
        <x:v>2026-01</x:v>
      </x:c>
    </x:row>
    <x:row r="12">
      <x:c r="A12" t="str">
        <x:v>FLEET_0011</x:v>
      </x:c>
      <x:c r="B12" t="str">
        <x:v>COMP_NAVIG8</x:v>
      </x:c>
      <x:c r="C12" t="str">
        <x:v>Shipping</x:v>
      </x:c>
      <x:c r="D12" t="str">
        <x:v>Fleet integrated through acquisition</x:v>
      </x:c>
      <x:c r="E12" t="n">
        <x:v>32</x:v>
      </x:c>
      <x:c r="F12" t="str">
        <x:v>32 vessels</x:v>
      </x:c>
      <x:c r="G12" t="str">
        <x:v>ADNOC L&amp;S integrated Navig8's 32-vessel fleet after acquisition; individual Navig8 seed captures remain partial.</x:v>
      </x:c>
      <x:c r="H12" t="str">
        <x:v>SRC_0069</x:v>
      </x:c>
      <x:c r="I12" t="str">
        <x:v>2025-2026</x:v>
      </x:c>
    </x:row>
    <x:row r="13">
      <x:c r="A13" t="str">
        <x:v>FLEET_0012</x:v>
      </x:c>
      <x:c r="B13" t="str">
        <x:v>COMP_ADNOC_LS</x:v>
      </x:c>
      <x:c r="C13" t="str">
        <x:v>Crude oil</x:v>
      </x:c>
      <x:c r="D13" t="str">
        <x:v>VLCC fleet after Aug 2026 acquisition</x:v>
      </x:c>
      <x:c r="E13" t="n">
        <x:v>14</x:v>
      </x:c>
      <x:c r="F13" t="str">
        <x:v>14 VLCC</x:v>
      </x:c>
      <x:c r="G13" t="str">
        <x:v>Post-acquisition fleet count.</x:v>
      </x:c>
      <x:c r="H13" t="str">
        <x:v>SRC_0069</x:v>
      </x:c>
      <x:c r="I13" t="str">
        <x:v>2026-08-07</x:v>
      </x:c>
    </x:row>
    <x:row r="14">
      <x:c r="A14" t="str">
        <x:v>FLEET_0013</x:v>
      </x:c>
      <x:c r="B14" t="str">
        <x:v>COMP_ADNOC_LS</x:v>
      </x:c>
      <x:c r="C14" t="str">
        <x:v>Gas shipping</x:v>
      </x:c>
      <x:c r="D14" t="str">
        <x:v>VLGC fleet after Aug 2026 acquisition</x:v>
      </x:c>
      <x:c r="E14" t="n">
        <x:v>12</x:v>
      </x:c>
      <x:c r="F14" t="str">
        <x:v>12 VLGC</x:v>
      </x:c>
      <x:c r="G14" t="str">
        <x:v>Post-acquisition fleet count.</x:v>
      </x:c>
      <x:c r="H14" t="str">
        <x:v>SRC_0069</x:v>
      </x:c>
      <x:c r="I14" t="str">
        <x:v>2026-08-07</x:v>
      </x:c>
    </x:row>
    <x:row r="15">
      <x:c r="A15" t="str">
        <x:v>FLEET_0014</x:v>
      </x:c>
      <x:c r="B15" t="str">
        <x:v>COMP_BAHRI</x:v>
      </x:c>
      <x:c r="C15" t="str">
        <x:v>All shipping</x:v>
      </x:c>
      <x:c r="D15" t="str">
        <x:v>Owned fleet</x:v>
      </x:c>
      <x:c r="E15" t="n">
        <x:v>107</x:v>
      </x:c>
      <x:c r="F15" t="str">
        <x:v>107 vessels</x:v>
      </x:c>
      <x:c r="G15" t="str">
        <x:v>Owned fleet at end-June 2026.</x:v>
      </x:c>
      <x:c r="H15" t="str">
        <x:v>SRC_0074</x:v>
      </x:c>
      <x:c r="I15" t="str">
        <x:v>2026-06-30</x:v>
      </x:c>
    </x:row>
    <x:row r="16">
      <x:c r="A16" t="str">
        <x:v>FLEET_0015</x:v>
      </x:c>
      <x:c r="B16" t="str">
        <x:v>COMP_BAHRI</x:v>
      </x:c>
      <x:c r="C16" t="str">
        <x:v>All shipping</x:v>
      </x:c>
      <x:c r="D16" t="str">
        <x:v>Operated fleet</x:v>
      </x:c>
      <x:c r="E16" t="n">
        <x:v>109</x:v>
      </x:c>
      <x:c r="F16" t="str">
        <x:v>107 owned + 2 long-term leased</x:v>
      </x:c>
      <x:c r="G16" t="str">
        <x:v>Bahri Q2 2026 operational total; three floating desalination barges are separate assets.</x:v>
      </x:c>
      <x:c r="H16" t="str">
        <x:v>SRC_0074</x:v>
      </x:c>
      <x:c r="I16" t="str">
        <x:v>2026-06-30</x:v>
      </x:c>
    </x:row>
    <x:row r="17">
      <x:c r="A17" t="str">
        <x:v>FLEET_0016</x:v>
      </x:c>
      <x:c r="B17" t="str">
        <x:v>COMP_BAHRI</x:v>
      </x:c>
      <x:c r="C17" t="str">
        <x:v>Crude oil</x:v>
      </x:c>
      <x:c r="D17" t="str">
        <x:v>VLCC fleet</x:v>
      </x:c>
      <x:c r="E17" t="n">
        <x:v>50</x:v>
      </x:c>
      <x:c r="F17" t="str">
        <x:v>50 VLCC</x:v>
      </x:c>
      <x:c r="G17" t="str">
        <x:v>End-2025 class breakdown; Q2 2026 fleet total subsequently changed.</x:v>
      </x:c>
      <x:c r="H17" t="str">
        <x:v>SRC_0077</x:v>
      </x:c>
      <x:c r="I17" t="str">
        <x:v>2025-12-31</x:v>
      </x:c>
    </x:row>
    <x:row r="18">
      <x:c r="A18" t="str">
        <x:v>FLEET_0017</x:v>
      </x:c>
      <x:c r="B18" t="str">
        <x:v>COMP_BAHRI</x:v>
      </x:c>
      <x:c r="C18" t="str">
        <x:v>Chemicals / products</x:v>
      </x:c>
      <x:c r="D18" t="str">
        <x:v>Chemical &amp; product tankers</x:v>
      </x:c>
      <x:c r="E18" t="n">
        <x:v>33</x:v>
      </x:c>
      <x:c r="F18" t="str">
        <x:v>33 vessels</x:v>
      </x:c>
      <x:c r="G18" t="str">
        <x:v>End-2025 class breakdown.</x:v>
      </x:c>
      <x:c r="H18" t="str">
        <x:v>SRC_0077</x:v>
      </x:c>
      <x:c r="I18" t="str">
        <x:v>2025-12-31</x:v>
      </x:c>
    </x:row>
    <x:row r="19">
      <x:c r="A19" t="str">
        <x:v>FLEET_0018</x:v>
      </x:c>
      <x:c r="B19" t="str">
        <x:v>COMP_BAHRI</x:v>
      </x:c>
      <x:c r="C19" t="str">
        <x:v>Dry bulk</x:v>
      </x:c>
      <x:c r="D19" t="str">
        <x:v>Dry bulk carriers</x:v>
      </x:c>
      <x:c r="E19" t="n">
        <x:v>13</x:v>
      </x:c>
      <x:c r="F19" t="str">
        <x:v>13 vessels</x:v>
      </x:c>
      <x:c r="G19" t="str">
        <x:v>End-2025 class breakdown.</x:v>
      </x:c>
      <x:c r="H19" t="str">
        <x:v>SRC_0077</x:v>
      </x:c>
      <x:c r="I19" t="str">
        <x:v>2025-12-31</x:v>
      </x:c>
    </x:row>
    <x:row r="20">
      <x:c r="A20" t="str">
        <x:v>FLEET_0019</x:v>
      </x:c>
      <x:c r="B20" t="str">
        <x:v>COMP_BAHRI</x:v>
      </x:c>
      <x:c r="C20" t="str">
        <x:v>RoCon / multipurpose</x:v>
      </x:c>
      <x:c r="D20" t="str">
        <x:v>RoCon and multipurpose vessels</x:v>
      </x:c>
      <x:c r="E20" t="n">
        <x:v>8</x:v>
      </x:c>
      <x:c r="F20" t="str">
        <x:v>8 vessels</x:v>
      </x:c>
      <x:c r="G20" t="str">
        <x:v>End-2025 class breakdown.</x:v>
      </x:c>
      <x:c r="H20" t="str">
        <x:v>SRC_0077</x:v>
      </x:c>
      <x:c r="I20" t="str">
        <x:v>2025-12-31</x:v>
      </x:c>
    </x:row>
    <x:row r="21">
      <x:c r="A21" t="str">
        <x:v>FLEET_0020</x:v>
      </x:c>
      <x:c r="B21" t="str">
        <x:v>COMP_NAKILAT</x:v>
      </x:c>
      <x:c r="C21" t="str">
        <x:v>Newbuild program</x:v>
      </x:c>
      <x:c r="D21" t="str">
        <x:v>Newbuild orderbook</x:v>
      </x:c>
      <x:c r="E21" t="n">
        <x:v>40</x:v>
      </x:c>
      <x:c r="F21" t="str">
        <x:v>40 vessels</x:v>
      </x:c>
      <x:c r="G21" t="str">
        <x:v>H1 2026 total orderbook across South Korea and China; first deliveries expected later 2026.</x:v>
      </x:c>
      <x:c r="H21" t="str">
        <x:v>SRC_0079</x:v>
      </x:c>
      <x:c r="I21" t="str">
        <x:v>2026-06-30</x:v>
      </x:c>
    </x:row>
    <x:row r="22">
      <x:c r="A22" t="str">
        <x:v>FLEET_0021</x:v>
      </x:c>
      <x:c r="B22" t="str">
        <x:v>COMP_MILAHA</x:v>
      </x:c>
      <x:c r="C22" t="str">
        <x:v>Gas &amp; petrochem</x:v>
      </x:c>
      <x:c r="D22" t="str">
        <x:v>Wholly owned vessels</x:v>
      </x:c>
      <x:c r="E22" t="n">
        <x:v>3</x:v>
      </x:c>
      <x:c r="F22" t="str">
        <x:v>2 LNG vessels + 1 FSO</x:v>
      </x:c>
      <x:c r="G22" t="str">
        <x:v>2025 annual-report baseline; Milaha also has equity exposure to Nakilat and six LNG carriers.</x:v>
      </x:c>
      <x:c r="H22" t="str">
        <x:v>SRC_0082</x:v>
      </x:c>
      <x:c r="I22" t="str">
        <x:v>2025-12-31</x:v>
      </x:c>
    </x:row>
    <x:row r="23">
      <x:c r="A23" t="str">
        <x:v>FLEET_0022</x:v>
      </x:c>
      <x:c r="B23" t="str">
        <x:v>COMP_QATARENERGY</x:v>
      </x:c>
      <x:c r="C23" t="str">
        <x:v>LNG transportation</x:v>
      </x:c>
      <x:c r="D23" t="str">
        <x:v>Existing LNG transport fleet</x:v>
      </x:c>
      <x:c r="E23" t="n">
        <x:v>69</x:v>
      </x:c>
      <x:c r="F23" t="str">
        <x:v>69 LNG vessels</x:v>
      </x:c>
      <x:c r="G23" t="str">
        <x:v>Fleet utilized by QatarEnergy and venture partners; ownership is distributed across shipowners/JVs.</x:v>
      </x:c>
      <x:c r="H23" t="str">
        <x:v>SRC_0085</x:v>
      </x:c>
      <x:c r="I23" t="str">
        <x:v>2026-09-07</x:v>
      </x:c>
    </x:row>
    <x:row r="24">
      <x:c r="A24" t="str">
        <x:v>FLEET_0023</x:v>
      </x:c>
      <x:c r="B24" t="str">
        <x:v>COMP_QATARENERGY</x:v>
      </x:c>
      <x:c r="C24" t="str">
        <x:v>LNG fleet expansion</x:v>
      </x:c>
      <x:c r="D24" t="str">
        <x:v>Expansion program</x:v>
      </x:c>
      <x:c r="E24" t="n">
        <x:v>128</x:v>
      </x:c>
      <x:c r="F24" t="str">
        <x:v>104 x 174,000 m3 + 24 x 271,000 m3 QC-Max</x:v>
      </x:c>
      <x:c r="G24" t="str">
        <x:v>Fleet expansion is largely executed through shipowner long-term charter structures, not simple direct ownership.</x:v>
      </x:c>
      <x:c r="H24" t="str">
        <x:v>SRC_0086</x:v>
      </x:c>
      <x:c r="I24" t="str">
        <x:v>2025-11</x:v>
      </x:c>
    </x:row>
    <x:row r="25">
      <x:c r="A25" t="str">
        <x:v>FLEET_0024</x:v>
      </x:c>
      <x:c r="B25" t="str">
        <x:v>COMP_BYD</x:v>
      </x:c>
      <x:c r="C25" t="str">
        <x:v>Vehicle shipping</x:v>
      </x:c>
      <x:c r="D25" t="str">
        <x:v>Dedicated car-carrier fleet</x:v>
      </x:c>
      <x:c r="E25" t="n">
        <x:v>8</x:v>
      </x:c>
      <x:c r="F25" t="str">
        <x:v>8 PCTCs</x:v>
      </x:c>
      <x:c r="G25" t="str">
        <x:v>Eight dedicated vehicle carriers by Aug 2026; two first vessels are Zodiac-owned and chartered to BYD.</x:v>
      </x:c>
      <x:c r="H25" t="str">
        <x:v>SRC_0090</x:v>
      </x:c>
      <x:c r="I25" t="str">
        <x:v>2026-08-10</x:v>
      </x:c>
    </x:row>
    <x:row r="26">
      <x:c r="A26" t="str">
        <x:v>FLEET_0025</x:v>
      </x:c>
      <x:c r="B26" t="str">
        <x:v>COMP_ZIM</x:v>
      </x:c>
      <x:c r="C26" t="str">
        <x:v>Container shipping</x:v>
      </x:c>
      <x:c r="D26" t="str">
        <x:v>Operated containerships</x:v>
      </x:c>
      <x:c r="E26" t="n">
        <x:v>115</x:v>
      </x:c>
      <x:c r="F26" t="str">
        <x:v>707,000 TEU</x:v>
      </x:c>
      <x:c r="G26" t="str">
        <x:v>Q2 2026 operated fleet.</x:v>
      </x:c>
      <x:c r="H26" t="str">
        <x:v>SRC_0096</x:v>
      </x:c>
      <x:c r="I26" t="str">
        <x:v>2026-06-30</x:v>
      </x:c>
    </x:row>
    <x:row r="27">
      <x:c r="A27" t="str">
        <x:v>FLEET_0026</x:v>
      </x:c>
      <x:c r="B27" t="str">
        <x:v>COMP_ZIM</x:v>
      </x:c>
      <x:c r="C27" t="str">
        <x:v>Vehicle shipping</x:v>
      </x:c>
      <x:c r="D27" t="str">
        <x:v>Operated car carriers</x:v>
      </x:c>
      <x:c r="E27" t="n">
        <x:v>13</x:v>
      </x:c>
      <x:c r="F27" t="str">
        <x:v>13 car carriers</x:v>
      </x:c>
      <x:c r="G27" t="str">
        <x:v>Q2 2026 operated fleet; names / ownership / charter counterparties still to resolve.</x:v>
      </x:c>
      <x:c r="H27" t="str">
        <x:v>SRC_0096</x:v>
      </x:c>
      <x:c r="I27" t="str">
        <x:v>2026-06-30</x:v>
      </x:c>
    </x:row>
    <x:row r="28">
      <x:c r="A28" t="str">
        <x:v>FLEET_0027</x:v>
      </x:c>
      <x:c r="B28" t="str">
        <x:v>COMP_SINOKOR</x:v>
      </x:c>
      <x:c r="C28" t="str">
        <x:v>All shipping</x:v>
      </x:c>
      <x:c r="D28" t="str">
        <x:v>Operating fleet</x:v>
      </x:c>
      <x:c r="E28" t="n">
        <x:v>66</x:v>
      </x:c>
      <x:c r="F28" t="str">
        <x:v>66 vessels</x:v>
      </x:c>
      <x:c r="G28" t="str">
        <x:v>English corporate site headline count.</x:v>
      </x:c>
      <x:c r="H28" t="str">
        <x:v>SRC_0099</x:v>
      </x:c>
      <x:c r="I28" t="str">
        <x:v>2026-09-07</x:v>
      </x:c>
    </x:row>
    <x:row r="29">
      <x:c r="A29" t="str">
        <x:v>FLEET_0028</x:v>
      </x:c>
      <x:c r="B29" t="str">
        <x:v>COMP_BP_SHIPPING</x:v>
      </x:c>
      <x:c r="C29" t="str">
        <x:v>Oil / LNG / supply</x:v>
      </x:c>
      <x:c r="D29" t="str">
        <x:v>International fleet baseline</x:v>
      </x:c>
      <x:c r="E29" t="n">
        <x:v>48</x:v>
      </x:c>
      <x:c r="F29" t="str">
        <x:v>48 vessels</x:v>
      </x:c>
      <x:c r="G29" t="str">
        <x:v>End-2024 filing baseline; stale for current 2026 position and requires refresh.</x:v>
      </x:c>
      <x:c r="H29" t="str">
        <x:v>SRC_0103</x:v>
      </x:c>
      <x:c r="I29" t="str">
        <x:v>2024-12-31</x:v>
      </x:c>
    </x:row>
    <x:row r="30">
      <x:c r="A30" t="str">
        <x:v>FLEET_0029</x:v>
      </x:c>
      <x:c r="B30" t="str">
        <x:v>COMP_CHEVRON_SHIPPING</x:v>
      </x:c>
      <x:c r="C30" t="str">
        <x:v>Energy shipping</x:v>
      </x:c>
      <x:c r="D30" t="str">
        <x:v>Owned / bareboat-chartered fleet</x:v>
      </x:c>
      <x:c r="E30" t="str"/>
      <x:c r="F30" t="str"/>
      <x:c r="G30" t="str">
        <x:v>Chevron confirms owned and bareboat-chartered fleet but does not publish a current total on the cited page.</x:v>
      </x:c>
      <x:c r="H30" t="str">
        <x:v>SRC_0105</x:v>
      </x:c>
      <x:c r="I30" t="str">
        <x:v>2026-09-07</x:v>
      </x:c>
    </x:row>
    <x:row r="31">
      <x:c r="A31" t="str">
        <x:v>FLEET_0030</x:v>
      </x:c>
      <x:c r="B31" t="str">
        <x:v>COMP_EXXON</x:v>
      </x:c>
      <x:c r="C31" t="str">
        <x:v>Energy shipping</x:v>
      </x:c>
      <x:c r="D31" t="str">
        <x:v>Charter / cargo-principal exposure</x:v>
      </x:c>
      <x:c r="E31" t="str"/>
      <x:c r="F31" t="str"/>
      <x:c r="G31" t="str">
        <x:v>Model deliberately avoids inferring a static Exxon-owned fleet from cargo bookings or marine subsidiaries.</x:v>
      </x:c>
      <x:c r="H31" t="str">
        <x:v>SRC_0107</x:v>
      </x:c>
      <x:c r="I31" t="str">
        <x:v>2026-09-07</x:v>
      </x:c>
    </x:row>
    <x:row r="32">
      <x:c r="A32" s="102" t="str">
        <x:v>FLEET_0031</x:v>
      </x:c>
      <x:c r="B32" s="102" t="str">
        <x:v>COMP_CMA_CGM</x:v>
      </x:c>
      <x:c r="C32" s="102" t="str">
        <x:v>Container shipping</x:v>
      </x:c>
      <x:c r="D32" s="102" t="str">
        <x:v>Commercially scheduled fleet</x:v>
      </x:c>
      <x:c r="E32" s="102" t="n">
        <x:v>844</x:v>
      </x:c>
      <x:c r="F32" s="102" t="str">
        <x:v>844 vessels</x:v>
      </x:c>
      <x:c r="G32" s="102" t="str">
        <x:v>Daily Linescape commercial schedule snapshot; separate from CMA CGM's 400-owned-vessel milestone reported in Q1 2026.</x:v>
      </x:c>
      <x:c r="H32" s="102" t="str">
        <x:v>SRC_0182</x:v>
      </x:c>
      <x:c r="I32" s="102" t="str">
        <x:v>2026-09-07</x:v>
      </x:c>
      <x:c r="J32" s="102"/>
    </x:row>
    <x:row r="33">
      <x:c r="A33" s="102" t="str">
        <x:v>FLEET_0032</x:v>
      </x:c>
      <x:c r="B33" s="102" t="str">
        <x:v>COMP_GFS</x:v>
      </x:c>
      <x:c r="C33" s="102" t="str">
        <x:v>Container feeder shipping</x:v>
      </x:c>
      <x:c r="D33" s="102" t="str">
        <x:v>Commercial carrier fleet</x:v>
      </x:c>
      <x:c r="E33" s="102" t="n">
        <x:v>36</x:v>
      </x:c>
      <x:c r="F33" s="102" t="str">
        <x:v>36 vessels</x:v>
      </x:c>
      <x:c r="G33" s="102" t="str">
        <x:v>Current Linescape carrier-fleet snapshot; commercial operation must be reconciled vessel by vessel against ownership and ship-management entities.</x:v>
      </x:c>
      <x:c r="H33" s="102" t="str">
        <x:v>SRC_0181</x:v>
      </x:c>
      <x:c r="I33" s="102" t="str">
        <x:v>2026-09-07</x:v>
      </x:c>
      <x:c r="J33" s="102"/>
    </x:row>
    <x:row r="34">
      <x:c r="A34" s="102" t="str">
        <x:v>FLEET_0033</x:v>
      </x:c>
      <x:c r="B34" s="102" t="str">
        <x:v>COMP_GFS_SHIP_MGMT</x:v>
      </x:c>
      <x:c r="C34" s="102" t="str">
        <x:v>Ship management</x:v>
      </x:c>
      <x:c r="D34" s="102" t="str">
        <x:v>In-house / managed fleet</x:v>
      </x:c>
      <x:c r="E34" s="102" t="n">
        <x:v>30</x:v>
      </x:c>
      <x:c r="F34" s="102" t="str">
        <x:v>30+ vessels; &gt;120,000 TEU</x:v>
      </x:c>
      <x:c r="G34" s="102" t="str">
        <x:v>Lower-bound count only: official company profile states more than 30 in-house vessels; published container fleet page names 16.</x:v>
      </x:c>
      <x:c r="H34" s="102" t="str">
        <x:v>SRC_0180</x:v>
      </x:c>
      <x:c r="I34" s="102" t="str">
        <x:v>2026-09-07</x:v>
      </x:c>
      <x:c r="J34" s="102"/>
    </x:row>
    <x:row r="35">
      <x:c r="A35" s="42" t="str">
        <x:v>FLEET_0034</x:v>
      </x:c>
      <x:c r="B35" s="42" t="str">
        <x:v>COMP_DHL_EXPRESS</x:v>
      </x:c>
      <x:c r="C35" s="42" t="str">
        <x:v>Air cargo</x:v>
      </x:c>
      <x:c r="D35" s="42" t="str">
        <x:v>Dedicated air fleet</x:v>
      </x:c>
      <x:c r="E35" s="42" t="str">
        <x:v>&gt;275</x:v>
      </x:c>
      <x:c r="F35" s="42" t="str">
        <x:v>&gt;65 intercontinental; &gt;210 regional</x:v>
      </x:c>
      <x:c r="G35" s="42" t="str">
        <x:v>Virtual-airline model: 19 partner airlines plus purchased capacity from ~300 commercial carriers; &gt;2,400 daily flights.</x:v>
      </x:c>
      <x:c r="H35" s="42" t="str">
        <x:v>SRC_0290</x:v>
      </x:c>
      <x:c r="I35" s="42" t="str">
        <x:v>2026-09-07</x:v>
      </x:c>
    </x:row>
    <x:row r="36">
      <x:c r="A36" s="42" t="str">
        <x:v>FLEET_0035</x:v>
      </x:c>
      <x:c r="B36" s="42" t="str">
        <x:v>COMP_DHL_EXPRESS</x:v>
      </x:c>
      <x:c r="C36" s="42" t="str">
        <x:v>Air network</x:v>
      </x:c>
      <x:c r="D36" s="42" t="str">
        <x:v>Air hubs</x:v>
      </x:c>
      <x:c r="E36" s="42" t="str">
        <x:v>23</x:v>
      </x:c>
      <x:c r="F36" s="42" t="str">
        <x:v>3 global + 20 regional; &gt;500 airports</x:v>
      </x:c>
      <x:c r="G36" s="42" t="str">
        <x:v>Network count, not owned real estate count.</x:v>
      </x:c>
      <x:c r="H36" s="42" t="str">
        <x:v>SRC_0290</x:v>
      </x:c>
      <x:c r="I36" s="42" t="str">
        <x:v>2026-09-07</x:v>
      </x:c>
    </x:row>
    <x:row r="37">
      <x:c r="A37" s="42" t="str">
        <x:v>FLEET_0036</x:v>
      </x:c>
      <x:c r="B37" s="42" t="str">
        <x:v>COMP_DHL_GLOBAL_FORWARDING</x:v>
      </x:c>
      <x:c r="C37" s="42" t="str">
        <x:v>Multimodal forwarding</x:v>
      </x:c>
      <x:c r="D37" s="42" t="str">
        <x:v>Terminals / storage facilities</x:v>
      </x:c>
      <x:c r="E37" s="42" t="str">
        <x:v>&gt;200</x:v>
      </x:c>
      <x:c r="F37" s="42" t="str">
        <x:v>&gt;115 countries</x:v>
      </x:c>
      <x:c r="G37" s="42" t="str">
        <x:v>Asset-light air/ocean/overland/multimodal forwarding network.</x:v>
      </x:c>
      <x:c r="H37" s="42" t="str">
        <x:v>SRC_0291</x:v>
      </x:c>
      <x:c r="I37" s="42" t="str">
        <x:v>2026-09-07</x:v>
      </x:c>
    </x:row>
    <x:row r="38">
      <x:c r="A38" s="42" t="str">
        <x:v>FLEET_0037</x:v>
      </x:c>
      <x:c r="B38" s="42" t="str">
        <x:v>COMP_DHL_SUPPLY_CHAIN</x:v>
      </x:c>
      <x:c r="C38" s="42" t="str">
        <x:v>Contract logistics</x:v>
      </x:c>
      <x:c r="D38" s="42" t="str">
        <x:v>Warehousing / operational space</x:v>
      </x:c>
      <x:c r="E38" s="42" t="str">
        <x:v>~17.5m sqm</x:v>
      </x:c>
      <x:c r="F38" s="42" t="str">
        <x:v>Owned + leased warehouses, excludes customer-owned facilities operated by DHL</x:v>
      </x:c>
      <x:c r="G38" s="42" t="str">
        <x:v>Physical logistics footprint rather than vehicle fleet.</x:v>
      </x:c>
      <x:c r="H38" s="42" t="str">
        <x:v>SRC_0292</x:v>
      </x:c>
      <x:c r="I38" s="42" t="str">
        <x:v>2026-09-07</x:v>
      </x:c>
    </x:row>
    <x:row r="39">
      <x:c r="A39" s="42" t="str">
        <x:v>FLEET_0038</x:v>
      </x:c>
      <x:c r="B39" s="42" t="str">
        <x:v>COMP_DHL_ECOMMERCE</x:v>
      </x:c>
      <x:c r="C39" s="42" t="str">
        <x:v>Parcel logistics</x:v>
      </x:c>
      <x:c r="D39" s="42" t="str">
        <x:v>Parcel lockers</x:v>
      </x:c>
      <x:c r="E39" s="42" t="str">
        <x:v>&gt;53,000</x:v>
      </x:c>
      <x:c r="F39" s="42" t="str">
        <x:v>&gt;20 countries</x:v>
      </x:c>
      <x:c r="G39" s="42" t="str">
        <x:v>Consumer access-node network.</x:v>
      </x:c>
      <x:c r="H39" s="42" t="str">
        <x:v>SRC_0293</x:v>
      </x:c>
      <x:c r="I39" s="42" t="str">
        <x:v>2026-09-07</x:v>
      </x:c>
    </x:row>
    <x:row r="40">
      <x:c r="A40" s="42" t="str">
        <x:v>FLEET_0039</x:v>
      </x:c>
      <x:c r="B40" s="42" t="str">
        <x:v>COMP_FEDERAL_EXPRESS</x:v>
      </x:c>
      <x:c r="C40" s="42" t="str">
        <x:v>Air cargo</x:v>
      </x:c>
      <x:c r="D40" s="42" t="str">
        <x:v>Aircraft</x:v>
      </x:c>
      <x:c r="E40" s="42" t="str">
        <x:v>700</x:v>
      </x:c>
      <x:c r="F40" s="42" t="str">
        <x:v>700 aircraft</x:v>
      </x:c>
      <x:c r="G40" s="42" t="str">
        <x:v>FY2026 Federal Express global aircraft fleet.</x:v>
      </x:c>
      <x:c r="H40" s="42" t="str">
        <x:v>SRC_0297</x:v>
      </x:c>
      <x:c r="I40" s="42" t="str">
        <x:v>2026-09-07</x:v>
      </x:c>
    </x:row>
    <x:row r="41">
      <x:c r="A41" s="42" t="str">
        <x:v>FLEET_0040</x:v>
      </x:c>
      <x:c r="B41" s="42" t="str">
        <x:v>COMP_FEDERAL_EXPRESS</x:v>
      </x:c>
      <x:c r="C41" s="42" t="str">
        <x:v>Ground logistics</x:v>
      </x:c>
      <x:c r="D41" s="42" t="str">
        <x:v>Motorized vehicles</x:v>
      </x:c>
      <x:c r="E41" s="42" t="str">
        <x:v>&gt;180,000</x:v>
      </x:c>
      <x:c r="F41" s="42" t="str">
        <x:v>&gt;180,000 vehicles</x:v>
      </x:c>
      <x:c r="G41" s="42" t="str">
        <x:v>FY2026 Federal Express global network.</x:v>
      </x:c>
      <x:c r="H41" s="42" t="str">
        <x:v>SRC_0297</x:v>
      </x:c>
      <x:c r="I41" s="42" t="str">
        <x:v>2026-09-07</x:v>
      </x:c>
    </x:row>
    <x:row r="42">
      <x:c r="A42" s="42" t="str">
        <x:v>FLEET_0041</x:v>
      </x:c>
      <x:c r="B42" s="42" t="str">
        <x:v>COMP_FEDERAL_EXPRESS</x:v>
      </x:c>
      <x:c r="C42" s="42" t="str">
        <x:v>Express network</x:v>
      </x:c>
      <x:c r="D42" s="42" t="str">
        <x:v>Drop-off locations</x:v>
      </x:c>
      <x:c r="E42" s="42" t="str">
        <x:v>~84,000</x:v>
      </x:c>
      <x:c r="F42" s="42" t="str">
        <x:v>~84,000 locations</x:v>
      </x:c>
      <x:c r="G42" s="42" t="str">
        <x:v>Includes FedEx Office and OnSite locations.</x:v>
      </x:c>
      <x:c r="H42" s="42" t="str">
        <x:v>SRC_0297</x:v>
      </x:c>
      <x:c r="I42" s="42" t="str">
        <x:v>2026-09-07</x:v>
      </x:c>
    </x:row>
    <x:row r="43">
      <x:c r="A43" s="42" t="str">
        <x:v>FLEET_0042</x:v>
      </x:c>
      <x:c r="B43" s="42" t="str">
        <x:v>COMP_FEDEX_FREIGHT</x:v>
      </x:c>
      <x:c r="C43" s="42" t="str">
        <x:v>LTL freight</x:v>
      </x:c>
      <x:c r="D43" s="42" t="str">
        <x:v>Shipping terminals</x:v>
      </x:c>
      <x:c r="E43" s="42" t="str">
        <x:v>~355</x:v>
      </x:c>
      <x:c r="F43" s="42" t="str">
        <x:v>&gt;365 total locations</x:v>
      </x:c>
      <x:c r="G43" s="42" t="str">
        <x:v>Independent FedEx Freight network after 1 Jun 2026 spin-off.</x:v>
      </x:c>
      <x:c r="H43" s="42" t="str">
        <x:v>SRC_0299</x:v>
      </x:c>
      <x:c r="I43" s="42" t="str">
        <x:v>2026-09-07</x:v>
      </x:c>
    </x:row>
    <x:row r="44">
      <x:c r="A44" s="42" t="str">
        <x:v>FLEET_0043</x:v>
      </x:c>
      <x:c r="B44" s="42" t="str">
        <x:v>COMP_FEDEX_FREIGHT</x:v>
      </x:c>
      <x:c r="C44" s="42" t="str">
        <x:v>Road freight</x:v>
      </x:c>
      <x:c r="D44" s="42" t="str">
        <x:v>Motorized vehicles</x:v>
      </x:c>
      <x:c r="E44" s="42" t="str">
        <x:v>~30,000</x:v>
      </x:c>
      <x:c r="F44" s="42" t="str">
        <x:v>~17,000 tractors</x:v>
      </x:c>
      <x:c r="G44" s="42" t="str">
        <x:v>Independent FedEx Freight road fleet.</x:v>
      </x:c>
      <x:c r="H44" s="42" t="str">
        <x:v>SRC_0299</x:v>
      </x:c>
      <x:c r="I44" s="42" t="str">
        <x:v>2026-09-07</x:v>
      </x:c>
    </x:row>
    <x:row r="45">
      <x:c r="A45" s="42" t="str">
        <x:v>FLEET_0044</x:v>
      </x:c>
      <x:c r="B45" s="42" t="str">
        <x:v>COMP_AMAZON_SUPPLY_CHAIN</x:v>
      </x:c>
      <x:c r="C45" s="42" t="str">
        <x:v>Multimodal logistics</x:v>
      </x:c>
      <x:c r="D45" s="42" t="str">
        <x:v>Network aircraft</x:v>
      </x:c>
      <x:c r="E45" s="42" t="str">
        <x:v>100+</x:v>
      </x:c>
      <x:c r="F45" s="42" t="str">
        <x:v>100+ aircraft</x:v>
      </x:c>
      <x:c r="G45" s="42" t="str">
        <x:v>ASCS public network scale; aircraft are not assumed Amazon-operated/owned individually.</x:v>
      </x:c>
      <x:c r="H45" s="42" t="str">
        <x:v>SRC_0302</x:v>
      </x:c>
      <x:c r="I45" s="42" t="str">
        <x:v>2026-09-07</x:v>
      </x:c>
    </x:row>
    <x:row r="46">
      <x:c r="A46" s="42" t="str">
        <x:v>FLEET_0045</x:v>
      </x:c>
      <x:c r="B46" s="42" t="str">
        <x:v>COMP_AMAZON_FREIGHT</x:v>
      </x:c>
      <x:c r="C46" s="42" t="str">
        <x:v>Road freight</x:v>
      </x:c>
      <x:c r="D46" s="42" t="str">
        <x:v>Trailers</x:v>
      </x:c>
      <x:c r="E46" s="42" t="str">
        <x:v>80,000+</x:v>
      </x:c>
      <x:c r="F46" s="42" t="str">
        <x:v>80,000+ trailers</x:v>
      </x:c>
      <x:c r="G46" s="42" t="str">
        <x:v>Amazon Freight / ASCS network scale.</x:v>
      </x:c>
      <x:c r="H46" s="42" t="str">
        <x:v>SRC_0303</x:v>
      </x:c>
      <x:c r="I46" s="42" t="str">
        <x:v>2026-09-07</x:v>
      </x:c>
    </x:row>
    <x:row r="47">
      <x:c r="A47" s="42" t="str">
        <x:v>FLEET_0046</x:v>
      </x:c>
      <x:c r="B47" s="42" t="str">
        <x:v>COMP_AMAZON_FREIGHT</x:v>
      </x:c>
      <x:c r="C47" s="42" t="str">
        <x:v>Intermodal</x:v>
      </x:c>
      <x:c r="D47" s="42" t="str">
        <x:v>Intermodal containers</x:v>
      </x:c>
      <x:c r="E47" s="42" t="str">
        <x:v>24,000+</x:v>
      </x:c>
      <x:c r="F47" s="42" t="str">
        <x:v>24,000+ containers</x:v>
      </x:c>
      <x:c r="G47" s="42" t="str">
        <x:v>Rail/intermodal container pool.</x:v>
      </x:c>
      <x:c r="H47" s="42" t="str">
        <x:v>SRC_0303</x:v>
      </x:c>
      <x:c r="I47" s="42" t="str">
        <x:v>2026-09-07</x:v>
      </x:c>
    </x:row>
    <x:row r="48">
      <x:c r="A48" s="42" t="str">
        <x:v>FLEET_0047</x:v>
      </x:c>
      <x:c r="B48" s="42" t="str">
        <x:v>COMP_AMAZON_FREIGHT</x:v>
      </x:c>
      <x:c r="C48" s="42" t="str">
        <x:v>Road freight ecosystem</x:v>
      </x:c>
      <x:c r="D48" s="42" t="str">
        <x:v>Vetted carriers</x:v>
      </x:c>
      <x:c r="E48" s="42" t="str">
        <x:v>50,000+</x:v>
      </x:c>
      <x:c r="F48" s="42" t="str">
        <x:v>50,000+ carriers</x:v>
      </x:c>
      <x:c r="G48" s="42" t="str">
        <x:v>Carrier network; not Amazon-owned fleet.</x:v>
      </x:c>
      <x:c r="H48" s="42" t="str">
        <x:v>SRC_0303</x:v>
      </x:c>
      <x:c r="I48" s="42" t="str">
        <x:v>2026-09-07</x:v>
      </x:c>
    </x:row>
    <x:row r="49">
      <x:c r="A49" s="42" t="str">
        <x:v>FLEET_0048</x:v>
      </x:c>
      <x:c r="B49" s="42" t="str">
        <x:v>COMP_SUN_COUNTRY</x:v>
      </x:c>
      <x:c r="C49" s="42" t="str">
        <x:v>Air cargo</x:v>
      </x:c>
      <x:c r="D49" s="42" t="str">
        <x:v>Amazon-dedicated freighters</x:v>
      </x:c>
      <x:c r="E49" s="42" t="str">
        <x:v>22</x:v>
      </x:c>
      <x:c r="F49" s="42" t="str">
        <x:v>22 Boeing 737-800 cargo aircraft</x:v>
      </x:c>
      <x:c r="G49" s="42" t="str">
        <x:v>Aircraft subleased directly from Amazon; Sun Country operates under ATSA.</x:v>
      </x:c>
      <x:c r="H49" s="42" t="str">
        <x:v>SRC_0307</x:v>
      </x:c>
      <x:c r="I49" s="42" t="str">
        <x:v>2026-09-07</x:v>
      </x:c>
    </x:row>
    <x:row r="50">
      <x:c r="A50" s="42" t="str">
        <x:v>FLEET_0049</x:v>
      </x:c>
      <x:c r="B50" s="42" t="str">
        <x:v>COMP_ARAMEX</x:v>
      </x:c>
      <x:c r="C50" s="42" t="str">
        <x:v>Contract logistics</x:v>
      </x:c>
      <x:c r="D50" s="42" t="str">
        <x:v>Managed warehouse space</x:v>
      </x:c>
      <x:c r="E50" s="42" t="str">
        <x:v>800,000 sqm</x:v>
      </x:c>
      <x:c r="F50" s="42" t="str">
        <x:v>60+ facilities in 29 countries</x:v>
      </x:c>
      <x:c r="G50" s="42" t="str">
        <x:v>Physical warehousing network; separate from express/freight shipment volume.</x:v>
      </x:c>
      <x:c r="H50" s="42" t="str">
        <x:v>SRC_0310</x:v>
      </x:c>
      <x:c r="I50" s="42" t="str">
        <x:v>2026-09-07</x:v>
      </x:c>
    </x:row>
  </x:sheetData>
  <x:pageMargins left="0.7" right="0.7" top="0.75" bottom="0.75" header="0.3" footer="0.3"/>
  <x:tableParts count="1">
    <x:tablePart xmlns:r="http://schemas.openxmlformats.org/officeDocument/2006/relationships" r:id="R2a44b07148114f5d"/>
  </x:tableParts>
</x:worksheet>
</file>

<file path=xl/worksheets/sheet11.xml><?xml version="1.0" encoding="utf-8"?>
<x:worksheet xmlns:x="http://schemas.openxmlformats.org/spreadsheetml/2006/main">
  <x:sheetFormatPr defaultRowHeight="15"/>
  <x:cols>
    <x:col min="1" max="1" width="18" hidden="0" customWidth="1"/>
    <x:col min="2" max="2" width="24" hidden="0" customWidth="1"/>
    <x:col min="3" max="3" width="24" hidden="0" customWidth="1"/>
    <x:col min="4" max="4" width="18" hidden="0" customWidth="1"/>
    <x:col min="5" max="5" width="18" hidden="0" customWidth="1"/>
    <x:col min="6" max="6" width="18" hidden="0" customWidth="1"/>
    <x:col min="7" max="7" width="24"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34" hidden="0" customWidth="1"/>
    <x:col min="15" max="15" width="32" hidden="0" customWidth="1"/>
  </x:cols>
  <x:sheetData>
    <x:row r="1">
      <x:c r="A1" s="36" t="str">
        <x:v>Order ID</x:v>
      </x:c>
      <x:c r="B1" s="36" t="str">
        <x:v>Buyer / Operator Company ID</x:v>
      </x:c>
      <x:c r="C1" s="36" t="str">
        <x:v>Asset / Vessel Type</x:v>
      </x:c>
      <x:c r="D1" s="36" t="str">
        <x:v>Quantity</x:v>
      </x:c>
      <x:c r="E1" s="36" t="str">
        <x:v>Capacity / Program</x:v>
      </x:c>
      <x:c r="F1" s="36" t="str">
        <x:v>Fuel / Propulsion</x:v>
      </x:c>
      <x:c r="G1" s="36" t="str">
        <x:v>Shipyard / Builder</x:v>
      </x:c>
      <x:c r="H1" s="36" t="str">
        <x:v>Build Country</x:v>
      </x:c>
      <x:c r="I1" s="36" t="str">
        <x:v>Order / Announced Date</x:v>
      </x:c>
      <x:c r="J1" s="36" t="str">
        <x:v>Delivery Window</x:v>
      </x:c>
      <x:c r="K1" s="36" t="str">
        <x:v>Value</x:v>
      </x:c>
      <x:c r="L1" s="36" t="str">
        <x:v>Currency</x:v>
      </x:c>
      <x:c r="M1" s="36" t="str">
        <x:v>Status</x:v>
      </x:c>
      <x:c r="N1" s="36" t="str">
        <x:v>Strategic Rationale</x:v>
      </x:c>
      <x:c r="O1" s="36" t="str">
        <x:v>Source ID</x:v>
      </x:c>
    </x:row>
    <x:row r="2">
      <x:c r="A2" s="42" t="str">
        <x:v>ORDER_0001</x:v>
      </x:c>
      <x:c r="B2" s="42" t="str">
        <x:v>COMP_MAERSK</x:v>
      </x:c>
      <x:c r="C2" s="42" t="str">
        <x:v>Container ship</x:v>
      </x:c>
      <x:c r="D2" s="42" t="n">
        <x:v>8</x:v>
      </x:c>
      <x:c r="E2" s="42" t="str">
        <x:v>18,600 TEU</x:v>
      </x:c>
      <x:c r="F2" s="42" t="str">
        <x:v>Dual-fuel; conventional bunker or liquefied gas</x:v>
      </x:c>
      <x:c r="G2" s="42" t="str">
        <x:v>New Times Shipbuilding Co. Ltd.</x:v>
      </x:c>
      <x:c r="H2" s="42" t="str">
        <x:v>China</x:v>
      </x:c>
      <x:c r="I2" s="42" t="str">
        <x:v>2026-02-09</x:v>
      </x:c>
      <x:c r="J2" s="42" t="str">
        <x:v>2029-2030</x:v>
      </x:c>
      <x:c r="K2" s="42" t="str"/>
      <x:c r="L2" s="42" t="str"/>
      <x:c r="M2" s="42" t="str">
        <x:v>Ordered</x:v>
      </x:c>
      <x:c r="N2" s="42" t="str">
        <x:v>Fleet renewal and deployment flexibility</x:v>
      </x:c>
      <x:c r="O2" s="42" t="str">
        <x:v>SRC_0048</x:v>
      </x:c>
    </x:row>
    <x:row r="3">
      <x:c r="A3" s="42" t="str">
        <x:v>ORDER_0002</x:v>
      </x:c>
      <x:c r="B3" s="42" t="str">
        <x:v>COMP_MAERSK</x:v>
      </x:c>
      <x:c r="C3" s="42" t="str">
        <x:v>Container ship orderbook</x:v>
      </x:c>
      <x:c r="D3" s="42" t="n">
        <x:v>33</x:v>
      </x:c>
      <x:c r="E3" s="42" t="str"/>
      <x:c r="F3" s="42" t="str">
        <x:v>Dual-fuel strategy</x:v>
      </x:c>
      <x:c r="G3" s="42" t="str"/>
      <x:c r="H3" s="42" t="str"/>
      <x:c r="I3" s="42" t="str">
        <x:v>2026-03-31</x:v>
      </x:c>
      <x:c r="J3" s="42" t="str">
        <x:v>2026 onward</x:v>
      </x:c>
      <x:c r="K3" s="42" t="str"/>
      <x:c r="L3" s="42" t="str"/>
      <x:c r="M3" s="42" t="str">
        <x:v>Orderbook</x:v>
      </x:c>
      <x:c r="N3" s="42" t="str">
        <x:v>Q1 2026 total vessels on order; four due remainder of 2026</x:v>
      </x:c>
      <x:c r="O3" s="42" t="str">
        <x:v>SRC_0047</x:v>
      </x:c>
    </x:row>
    <x:row r="4">
      <x:c r="A4" s="42" t="str">
        <x:v>ORDER_0003</x:v>
      </x:c>
      <x:c r="B4" s="42" t="str">
        <x:v>COMP_CMA_AIR</x:v>
      </x:c>
      <x:c r="C4" s="42" t="str">
        <x:v>Airbus A350F</x:v>
      </x:c>
      <x:c r="D4" s="42" t="n">
        <x:v>8</x:v>
      </x:c>
      <x:c r="E4" s="42" t="str">
        <x:v>&gt;100t payload</x:v>
      </x:c>
      <x:c r="F4" s="42" t="str">
        <x:v>New-generation freighter</x:v>
      </x:c>
      <x:c r="G4" s="42" t="str">
        <x:v>Airbus</x:v>
      </x:c>
      <x:c r="H4" s="42" t="str"/>
      <x:c r="I4" s="42" t="str"/>
      <x:c r="J4" s="42" t="str">
        <x:v>Starting 2027</x:v>
      </x:c>
      <x:c r="K4" s="42" t="str"/>
      <x:c r="L4" s="42" t="str"/>
      <x:c r="M4" s="42" t="str">
        <x:v>Ordered</x:v>
      </x:c>
      <x:c r="N4" s="42" t="str">
        <x:v>Long-haul air cargo fleet expansion</x:v>
      </x:c>
      <x:c r="O4" s="42" t="str">
        <x:v>SRC_0046</x:v>
      </x:c>
    </x:row>
    <x:row r="5">
      <x:c r="A5" s="42" t="str">
        <x:v>DEF001</x:v>
      </x:c>
      <x:c r="B5" s="42" t="str">
        <x:v>COMP_FINCANTIERI</x:v>
      </x:c>
      <x:c r="C5" s="42" t="str">
        <x:v>Next-generation submarine</x:v>
      </x:c>
      <x:c r="D5" s="42" t="str">
        <x:v>4</x:v>
      </x:c>
      <x:c r="E5" s="42" t="str">
        <x:v>U212 NFS</x:v>
      </x:c>
      <x:c r="F5" s="42" t="str"/>
      <x:c r="G5" s="42" t="str">
        <x:v>Muggiano Integrated Shipyard</x:v>
      </x:c>
      <x:c r="H5" s="42" t="str">
        <x:v>Italy</x:v>
      </x:c>
      <x:c r="I5" s="42" t="str">
        <x:v>2026-07-23</x:v>
      </x:c>
      <x:c r="J5" s="42" t="str">
        <x:v>Fourth submarine delivery accelerated; countermeasure tech + logistics support</x:v>
      </x:c>
      <x:c r="K5" s="42" t="str">
        <x:v>317000000</x:v>
      </x:c>
      <x:c r="L5" s="42" t="str">
        <x:v>EUR</x:v>
      </x:c>
      <x:c r="M5" s="42" t="str">
        <x:v>Contract amendment / construction</x:v>
      </x:c>
      <x:c r="N5" s="42" t="str">
        <x:v>Customer: Italian Navy (Italy)</x:v>
      </x:c>
      <x:c r="O5" s="42" t="str">
        <x:v>SRC_0037</x:v>
      </x:c>
    </x:row>
    <x:row r="6">
      <x:c r="A6" s="42" t="str">
        <x:v>DEF002</x:v>
      </x:c>
      <x:c r="B6" s="42" t="str">
        <x:v>COMP_FINCANTIERI</x:v>
      </x:c>
      <x:c r="C6" s="42" t="str">
        <x:v>Medium Landing Ship</x:v>
      </x:c>
      <x:c r="D6" s="42" t="str">
        <x:v>4</x:v>
      </x:c>
      <x:c r="E6" s="42" t="str">
        <x:v>LSM</x:v>
      </x:c>
      <x:c r="F6" s="42" t="str"/>
      <x:c r="G6" s="42" t="str">
        <x:v>Fincantieri Marine Group / US yards</x:v>
      </x:c>
      <x:c r="H6" s="42" t="str">
        <x:v>United States</x:v>
      </x:c>
      <x:c r="I6" s="42" t="str">
        <x:v>2026-04-15</x:v>
      </x:c>
      <x:c r="J6" s="42" t="str">
        <x:v>First four units under program of up to 35; production targeted Q4 2026</x:v>
      </x:c>
      <x:c r="K6" s="42" t="str">
        <x:v>30000000</x:v>
      </x:c>
      <x:c r="L6" s="42" t="str">
        <x:v>USD</x:v>
      </x:c>
      <x:c r="M6" s="42" t="str">
        <x:v>Initial engineering/materials award</x:v>
      </x:c>
      <x:c r="N6" s="42" t="str">
        <x:v>Customer: U.S. Navy (United States)</x:v>
      </x:c>
      <x:c r="O6" s="42" t="str">
        <x:v>SRC_0036</x:v>
      </x:c>
    </x:row>
    <x:row r="7">
      <x:c r="A7" s="42" t="str">
        <x:v>DEF003</x:v>
      </x:c>
      <x:c r="B7" s="42" t="str">
        <x:v>COMP_FINCANTIERI</x:v>
      </x:c>
      <x:c r="C7" s="42" t="str">
        <x:v>Frigate</x:v>
      </x:c>
      <x:c r="D7" s="42" t="str">
        <x:v>3</x:v>
      </x:c>
      <x:c r="E7" s="42" t="str">
        <x:v>FREMM EVO</x:v>
      </x:c>
      <x:c r="F7" s="42" t="str"/>
      <x:c r="G7" s="42" t="str">
        <x:v>TBD / Fincantieri</x:v>
      </x:c>
      <x:c r="H7" s="42" t="str">
        <x:v>Italy / Portugal</x:v>
      </x:c>
      <x:c r="I7" s="42" t="str">
        <x:v>2026-07-20</x:v>
      </x:c>
      <x:c r="J7" s="42" t="str">
        <x:v>Three FREMM EVO frigates</x:v>
      </x:c>
      <x:c r="K7" s="42" t="str"/>
      <x:c r="L7" s="42" t="str"/>
      <x:c r="M7" s="42" t="str">
        <x:v>Government-to-government agreement announced</x:v>
      </x:c>
      <x:c r="N7" s="42" t="str">
        <x:v>Customer: Portuguese Navy (Portugal)</x:v>
      </x:c>
      <x:c r="O7" s="42" t="str">
        <x:v>SRC_0038</x:v>
      </x:c>
    </x:row>
    <x:row r="8">
      <x:c r="A8" s="42" t="str">
        <x:v>DEF004</x:v>
      </x:c>
      <x:c r="B8" s="42" t="str">
        <x:v>COMP_FINCANTIERI</x:v>
      </x:c>
      <x:c r="C8" s="42" t="str">
        <x:v>Corvette</x:v>
      </x:c>
      <x:c r="D8" s="42" t="str">
        <x:v>2</x:v>
      </x:c>
      <x:c r="E8" s="42" t="str">
        <x:v>Multi Role Corvette (MRC)</x:v>
      </x:c>
      <x:c r="F8" s="42" t="str"/>
      <x:c r="G8" s="42" t="str">
        <x:v>Potential cooperation with Brodotrogir Cruise and Iskra Shipyard</x:v>
      </x:c>
      <x:c r="H8" s="42" t="str">
        <x:v>Croatia</x:v>
      </x:c>
      <x:c r="I8" s="42" t="str">
        <x:v>2026-07-09</x:v>
      </x:c>
      <x:c r="J8" s="42" t="str">
        <x:v>Local industrial cooperation for two corvettes</x:v>
      </x:c>
      <x:c r="K8" s="42" t="str"/>
      <x:c r="L8" s="42" t="str"/>
      <x:c r="M8" s="42" t="str">
        <x:v>MoUs / bid participation</x:v>
      </x:c>
      <x:c r="N8" s="42" t="str">
        <x:v>Customer: Croatian Ministry of Defence (Croatia)</x:v>
      </x:c>
      <x:c r="O8" s="42" t="str">
        <x:v>SRC_0038</x:v>
      </x:c>
    </x:row>
    <x:row r="9">
      <x:c r="A9" t="str">
        <x:v>ORDER_0005</x:v>
      </x:c>
      <x:c r="B9" t="str">
        <x:v>COMP_ADNOC_LS</x:v>
      </x:c>
      <x:c r="C9" t="str">
        <x:v>LNG carrier</x:v>
      </x:c>
      <x:c r="D9" t="n">
        <x:v>4</x:v>
      </x:c>
      <x:c r="E9" t="str">
        <x:v>175,000 m3</x:v>
      </x:c>
      <x:c r="F9" t="str">
        <x:v>Next-generation LNG carrier</x:v>
      </x:c>
      <x:c r="G9" t="str">
        <x:v>Jiangnan Shipyard</x:v>
      </x:c>
      <x:c r="H9" t="str">
        <x:v>China</x:v>
      </x:c>
      <x:c r="I9" t="str">
        <x:v>2026-07-10</x:v>
      </x:c>
      <x:c r="J9" t="str">
        <x:v>2029</x:v>
      </x:c>
      <x:c r="K9" t="n">
        <x:v>900000000</x:v>
      </x:c>
      <x:c r="L9" t="str">
        <x:v>USD</x:v>
      </x:c>
      <x:c r="M9" t="str">
        <x:v>Ordered</x:v>
      </x:c>
      <x:c r="N9" t="str">
        <x:v>Raises ADNOC L&amp;S LNG newbuild program to 18 vessels.</x:v>
      </x:c>
      <x:c r="O9" t="str">
        <x:v>SRC_0068</x:v>
      </x:c>
    </x:row>
    <x:row r="10">
      <x:c r="A10" t="str">
        <x:v>ORDER_0006</x:v>
      </x:c>
      <x:c r="B10" t="str">
        <x:v>COMP_ADNOC_LS</x:v>
      </x:c>
      <x:c r="C10" t="str">
        <x:v>LNG carrier</x:v>
      </x:c>
      <x:c r="D10" t="n">
        <x:v>4</x:v>
      </x:c>
      <x:c r="E10" t="str">
        <x:v>~174,000 m3</x:v>
      </x:c>
      <x:c r="F10" t="str"/>
      <x:c r="G10" t="str">
        <x:v>Samsung Heavy Industries</x:v>
      </x:c>
      <x:c r="H10" t="str">
        <x:v>South Korea</x:v>
      </x:c>
      <x:c r="I10" t="str">
        <x:v>2024</x:v>
      </x:c>
      <x:c r="J10" t="str">
        <x:v>Beginning 2028</x:v>
      </x:c>
      <x:c r="K10" t="str"/>
      <x:c r="L10" t="str">
        <x:v>USD</x:v>
      </x:c>
      <x:c r="M10" t="str">
        <x:v>Ordered</x:v>
      </x:c>
      <x:c r="N10" t="str">
        <x:v>Part of up-to-USD2.5bn eight-vessel firm LNG program.</x:v>
      </x:c>
      <x:c r="O10" t="str">
        <x:v>SRC_0072</x:v>
      </x:c>
    </x:row>
    <x:row r="11">
      <x:c r="A11" t="str">
        <x:v>ORDER_0007</x:v>
      </x:c>
      <x:c r="B11" t="str">
        <x:v>COMP_ADNOC_LS</x:v>
      </x:c>
      <x:c r="C11" t="str">
        <x:v>LNG carrier</x:v>
      </x:c>
      <x:c r="D11" t="n">
        <x:v>4</x:v>
      </x:c>
      <x:c r="E11" t="str">
        <x:v>~174,000 m3</x:v>
      </x:c>
      <x:c r="F11" t="str"/>
      <x:c r="G11" t="str">
        <x:v>Hanwha Ocean</x:v>
      </x:c>
      <x:c r="H11" t="str">
        <x:v>South Korea</x:v>
      </x:c>
      <x:c r="I11" t="str">
        <x:v>2024</x:v>
      </x:c>
      <x:c r="J11" t="str">
        <x:v>Beginning 2028</x:v>
      </x:c>
      <x:c r="K11" t="str"/>
      <x:c r="L11" t="str">
        <x:v>USD</x:v>
      </x:c>
      <x:c r="M11" t="str">
        <x:v>Ordered</x:v>
      </x:c>
      <x:c r="N11" t="str">
        <x:v>Part of up-to-USD2.5bn eight-vessel firm LNG program.</x:v>
      </x:c>
      <x:c r="O11" t="str">
        <x:v>SRC_0072</x:v>
      </x:c>
    </x:row>
    <x:row r="12">
      <x:c r="A12" t="str">
        <x:v>ORDER_0008</x:v>
      </x:c>
      <x:c r="B12" t="str">
        <x:v>COMP_ADNOC_LS</x:v>
      </x:c>
      <x:c r="C12" t="str">
        <x:v>Fleet acquisition: VLCC + VLGC</x:v>
      </x:c>
      <x:c r="D12" t="n">
        <x:v>11</x:v>
      </x:c>
      <x:c r="E12" t="str">
        <x:v>6 VLCC + 5 VLGC</x:v>
      </x:c>
      <x:c r="F12" t="str"/>
      <x:c r="G12" t="str">
        <x:v>Secondary market + Chinese newbuild resale</x:v>
      </x:c>
      <x:c r="H12" t="str">
        <x:v>Multiple / China</x:v>
      </x:c>
      <x:c r="I12" t="str">
        <x:v>2026-08-07</x:v>
      </x:c>
      <x:c r="J12" t="str">
        <x:v>Q3-Q4 2026</x:v>
      </x:c>
      <x:c r="K12" t="n">
        <x:v>1300000000</x:v>
      </x:c>
      <x:c r="L12" t="str">
        <x:v>USD</x:v>
      </x:c>
      <x:c r="M12" t="str">
        <x:v>Acquisition / delivery</x:v>
      </x:c>
      <x:c r="N12" t="str">
        <x:v>Rapid expansion of crude and gas shipping capacity.</x:v>
      </x:c>
      <x:c r="O12" t="str">
        <x:v>SRC_0069</x:v>
      </x:c>
    </x:row>
    <x:row r="13">
      <x:c r="A13" t="str">
        <x:v>ORDER_0009</x:v>
      </x:c>
      <x:c r="B13" t="str">
        <x:v>COMP_BAHRI</x:v>
      </x:c>
      <x:c r="C13" t="str">
        <x:v>Dual-fuel RoCon</x:v>
      </x:c>
      <x:c r="D13" t="n">
        <x:v>2</x:v>
      </x:c>
      <x:c r="E13" t="str">
        <x:v>RoCon</x:v>
      </x:c>
      <x:c r="F13" t="str">
        <x:v>LNG dual-fuel</x:v>
      </x:c>
      <x:c r="G13" t="str">
        <x:v>Jingling Shipyard</x:v>
      </x:c>
      <x:c r="H13" t="str">
        <x:v>China</x:v>
      </x:c>
      <x:c r="I13" t="str">
        <x:v>2026-07-21</x:v>
      </x:c>
      <x:c r="J13" t="str">
        <x:v>2029</x:v>
      </x:c>
      <x:c r="K13" t="str"/>
      <x:c r="L13" t="str"/>
      <x:c r="M13" t="str">
        <x:v>Ordered + option for 2</x:v>
      </x:c>
      <x:c r="N13" t="str">
        <x:v>Fleet modernization and scheduled cargo/logistics expansion.</x:v>
      </x:c>
      <x:c r="O13" t="str">
        <x:v>SRC_0076</x:v>
      </x:c>
    </x:row>
    <x:row r="14">
      <x:c r="A14" t="str">
        <x:v>ORDER_0010</x:v>
      </x:c>
      <x:c r="B14" t="str">
        <x:v>COMP_BAHRI</x:v>
      </x:c>
      <x:c r="C14" t="str">
        <x:v>Geared Ultramax dry bulk carrier</x:v>
      </x:c>
      <x:c r="D14" t="n">
        <x:v>6</x:v>
      </x:c>
      <x:c r="E14" t="str">
        <x:v>Ultramax</x:v>
      </x:c>
      <x:c r="F14" t="str"/>
      <x:c r="G14" t="str">
        <x:v>International Maritime Industries (IMI)</x:v>
      </x:c>
      <x:c r="H14" t="str">
        <x:v>Saudi Arabia</x:v>
      </x:c>
      <x:c r="I14" t="str">
        <x:v>2025-10-01</x:v>
      </x:c>
      <x:c r="J14" t="str">
        <x:v>2028-2029</x:v>
      </x:c>
      <x:c r="K14" t="n">
        <x:v>762000000</x:v>
      </x:c>
      <x:c r="L14" t="str">
        <x:v>SAR</x:v>
      </x:c>
      <x:c r="M14" t="str">
        <x:v>Ordered</x:v>
      </x:c>
      <x:c r="N14" t="str">
        <x:v>Saudi localization and dry-bulk expansion.</x:v>
      </x:c>
      <x:c r="O14" t="str">
        <x:v>SRC_0077</x:v>
      </x:c>
    </x:row>
    <x:row r="15">
      <x:c r="A15" t="str">
        <x:v>ORDER_0011</x:v>
      </x:c>
      <x:c r="B15" t="str">
        <x:v>COMP_BAHRI</x:v>
      </x:c>
      <x:c r="C15" t="str">
        <x:v>Offshore support vessel</x:v>
      </x:c>
      <x:c r="D15" t="n">
        <x:v>2</x:v>
      </x:c>
      <x:c r="E15" t="str">
        <x:v>OSV</x:v>
      </x:c>
      <x:c r="F15" t="str"/>
      <x:c r="G15" t="str">
        <x:v>International shipyards / TBD</x:v>
      </x:c>
      <x:c r="H15" t="str"/>
      <x:c r="I15" t="str">
        <x:v>2025</x:v>
      </x:c>
      <x:c r="J15" t="str">
        <x:v>H2 2026</x:v>
      </x:c>
      <x:c r="K15" t="n">
        <x:v>18000000</x:v>
      </x:c>
      <x:c r="L15" t="str">
        <x:v>SAR</x:v>
      </x:c>
      <x:c r="M15" t="str">
        <x:v>Ordered</x:v>
      </x:c>
      <x:c r="N15" t="str">
        <x:v>Marine-services fleet expansion.</x:v>
      </x:c>
      <x:c r="O15" t="str">
        <x:v>SRC_0078</x:v>
      </x:c>
    </x:row>
    <x:row r="16">
      <x:c r="A16" t="str">
        <x:v>ORDER_0012</x:v>
      </x:c>
      <x:c r="B16" t="str">
        <x:v>COMP_NAKILAT</x:v>
      </x:c>
      <x:c r="C16" t="str">
        <x:v>LNG carrier</x:v>
      </x:c>
      <x:c r="D16" t="n">
        <x:v>17</x:v>
      </x:c>
      <x:c r="E16" t="str">
        <x:v>Conventional LNG carrier</x:v>
      </x:c>
      <x:c r="F16" t="str"/>
      <x:c r="G16" t="str">
        <x:v>Hyundai Heavy Industries</x:v>
      </x:c>
      <x:c r="H16" t="str">
        <x:v>South Korea</x:v>
      </x:c>
      <x:c r="I16" t="str">
        <x:v>2024-2025</x:v>
      </x:c>
      <x:c r="J16" t="str">
        <x:v>2026 onward</x:v>
      </x:c>
      <x:c r="K16" t="str"/>
      <x:c r="L16" t="str"/>
      <x:c r="M16" t="str">
        <x:v>Under construction</x:v>
      </x:c>
      <x:c r="N16" t="str">
        <x:v>Part of QatarEnergy-linked expansion; fully owned by Nakilat per CEO message.</x:v>
      </x:c>
      <x:c r="O16" t="str">
        <x:v>SRC_0080</x:v>
      </x:c>
    </x:row>
    <x:row r="17">
      <x:c r="A17" t="str">
        <x:v>ORDER_0013</x:v>
      </x:c>
      <x:c r="B17" t="str">
        <x:v>COMP_NAKILAT</x:v>
      </x:c>
      <x:c r="C17" t="str">
        <x:v>LNG carrier</x:v>
      </x:c>
      <x:c r="D17" t="n">
        <x:v>8</x:v>
      </x:c>
      <x:c r="E17" t="str">
        <x:v>174,000 m3</x:v>
      </x:c>
      <x:c r="F17" t="str"/>
      <x:c r="G17" t="str">
        <x:v>Hanwha Ocean</x:v>
      </x:c>
      <x:c r="H17" t="str">
        <x:v>South Korea</x:v>
      </x:c>
      <x:c r="I17" t="str">
        <x:v>2024-2025</x:v>
      </x:c>
      <x:c r="J17" t="str">
        <x:v>2026 onward</x:v>
      </x:c>
      <x:c r="K17" t="str"/>
      <x:c r="L17" t="str"/>
      <x:c r="M17" t="str">
        <x:v>Under construction</x:v>
      </x:c>
      <x:c r="N17" t="str">
        <x:v>Nakilat newbuild program.</x:v>
      </x:c>
      <x:c r="O17" t="str">
        <x:v>SRC_0080</x:v>
      </x:c>
    </x:row>
    <x:row r="18">
      <x:c r="A18" t="str">
        <x:v>ORDER_0014</x:v>
      </x:c>
      <x:c r="B18" t="str">
        <x:v>COMP_NAKILAT</x:v>
      </x:c>
      <x:c r="C18" t="str">
        <x:v>QC-Max LNG carrier</x:v>
      </x:c>
      <x:c r="D18" t="n">
        <x:v>9</x:v>
      </x:c>
      <x:c r="E18" t="str">
        <x:v>271,000 m3 class</x:v>
      </x:c>
      <x:c r="F18" t="str"/>
      <x:c r="G18" t="str">
        <x:v>Hudong-Zhonghua Shipbuilding</x:v>
      </x:c>
      <x:c r="H18" t="str">
        <x:v>China</x:v>
      </x:c>
      <x:c r="I18" t="str">
        <x:v>2024-2025</x:v>
      </x:c>
      <x:c r="J18" t="str">
        <x:v>2026 onward</x:v>
      </x:c>
      <x:c r="K18" t="str"/>
      <x:c r="L18" t="str"/>
      <x:c r="M18" t="str">
        <x:v>Under construction</x:v>
      </x:c>
      <x:c r="N18" t="str">
        <x:v>QC-Max expansion program.</x:v>
      </x:c>
      <x:c r="O18" t="str">
        <x:v>SRC_0080</x:v>
      </x:c>
    </x:row>
    <x:row r="19">
      <x:c r="A19" t="str">
        <x:v>ORDER_0015</x:v>
      </x:c>
      <x:c r="B19" t="str">
        <x:v>COMP_NAKILAT</x:v>
      </x:c>
      <x:c r="C19" t="str">
        <x:v>LNG carrier</x:v>
      </x:c>
      <x:c r="D19" t="n">
        <x:v>2</x:v>
      </x:c>
      <x:c r="E19" t="str">
        <x:v>174,000 m3</x:v>
      </x:c>
      <x:c r="F19" t="str"/>
      <x:c r="G19" t="str">
        <x:v>HD Hyundai Samho Heavy Industries</x:v>
      </x:c>
      <x:c r="H19" t="str">
        <x:v>South Korea</x:v>
      </x:c>
      <x:c r="I19" t="str">
        <x:v>2025</x:v>
      </x:c>
      <x:c r="J19" t="str">
        <x:v>2026-2027</x:v>
      </x:c>
      <x:c r="K19" t="str"/>
      <x:c r="L19" t="str"/>
      <x:c r="M19" t="str">
        <x:v>Under construction</x:v>
      </x:c>
      <x:c r="N19" t="str">
        <x:v>Part of six-vessel HSHI package.</x:v>
      </x:c>
      <x:c r="O19" t="str">
        <x:v>SRC_0080</x:v>
      </x:c>
    </x:row>
    <x:row r="20">
      <x:c r="A20" t="str">
        <x:v>ORDER_0016</x:v>
      </x:c>
      <x:c r="B20" t="str">
        <x:v>COMP_NAKILAT</x:v>
      </x:c>
      <x:c r="C20" t="str">
        <x:v>LPG / ammonia carrier</x:v>
      </x:c>
      <x:c r="D20" t="n">
        <x:v>4</x:v>
      </x:c>
      <x:c r="E20" t="str">
        <x:v>88,000 m3</x:v>
      </x:c>
      <x:c r="F20" t="str">
        <x:v>LPG / ammonia capable</x:v>
      </x:c>
      <x:c r="G20" t="str">
        <x:v>HD Hyundai Samho Heavy Industries</x:v>
      </x:c>
      <x:c r="H20" t="str">
        <x:v>South Korea</x:v>
      </x:c>
      <x:c r="I20" t="str">
        <x:v>2025</x:v>
      </x:c>
      <x:c r="J20" t="str">
        <x:v>2026-2027</x:v>
      </x:c>
      <x:c r="K20" t="str"/>
      <x:c r="L20" t="str"/>
      <x:c r="M20" t="str">
        <x:v>Under construction</x:v>
      </x:c>
      <x:c r="N20" t="str">
        <x:v>Part of six-vessel HSHI package.</x:v>
      </x:c>
      <x:c r="O20" t="str">
        <x:v>SRC_0080</x:v>
      </x:c>
    </x:row>
    <x:row r="21">
      <x:c r="A21" t="str">
        <x:v>ORDER_0017</x:v>
      </x:c>
      <x:c r="B21" t="str">
        <x:v>COMP_QATARENERGY</x:v>
      </x:c>
      <x:c r="C21" t="str">
        <x:v>Conventional LNG fleet expansion</x:v>
      </x:c>
      <x:c r="D21" t="n">
        <x:v>104</x:v>
      </x:c>
      <x:c r="E21" t="str">
        <x:v>174,000 m3</x:v>
      </x:c>
      <x:c r="F21" t="str"/>
      <x:c r="G21" t="str">
        <x:v>Multiple shipyards / shipowners</x:v>
      </x:c>
      <x:c r="H21" t="str">
        <x:v>South Korea / China</x:v>
      </x:c>
      <x:c r="I21" t="str">
        <x:v>2022-2025</x:v>
      </x:c>
      <x:c r="J21" t="str">
        <x:v>Multi-year</x:v>
      </x:c>
      <x:c r="K21" t="str"/>
      <x:c r="L21" t="str"/>
      <x:c r="M21" t="str">
        <x:v>Charter-backed fleet expansion</x:v>
      </x:c>
      <x:c r="N21" t="str">
        <x:v>QatarEnergy-sponsored program; vessels are operated under long-term charter structures by multiple shipowners.</x:v>
      </x:c>
      <x:c r="O21" t="str">
        <x:v>SRC_0086</x:v>
      </x:c>
    </x:row>
    <x:row r="22">
      <x:c r="A22" t="str">
        <x:v>ORDER_0018</x:v>
      </x:c>
      <x:c r="B22" t="str">
        <x:v>COMP_QATARENERGY</x:v>
      </x:c>
      <x:c r="C22" t="str">
        <x:v>QC-Max LNG fleet expansion</x:v>
      </x:c>
      <x:c r="D22" t="n">
        <x:v>24</x:v>
      </x:c>
      <x:c r="E22" t="str">
        <x:v>271,000 m3</x:v>
      </x:c>
      <x:c r="F22" t="str"/>
      <x:c r="G22" t="str">
        <x:v>Multiple shipyards / shipowners</x:v>
      </x:c>
      <x:c r="H22" t="str">
        <x:v>China</x:v>
      </x:c>
      <x:c r="I22" t="str">
        <x:v>2022-2025</x:v>
      </x:c>
      <x:c r="J22" t="str">
        <x:v>Multi-year</x:v>
      </x:c>
      <x:c r="K22" t="str"/>
      <x:c r="L22" t="str"/>
      <x:c r="M22" t="str">
        <x:v>Charter-backed fleet expansion</x:v>
      </x:c>
      <x:c r="N22" t="str">
        <x:v>Largest-class LNG carriers in QatarEnergy expansion program.</x:v>
      </x:c>
      <x:c r="O22" t="str">
        <x:v>SRC_0086</x:v>
      </x:c>
    </x:row>
    <x:row r="23">
      <x:c r="A23" t="str">
        <x:v>ORDER_0019</x:v>
      </x:c>
      <x:c r="B23" t="str">
        <x:v>COMP_BYD</x:v>
      </x:c>
      <x:c r="C23" t="str">
        <x:v>PCTC</x:v>
      </x:c>
      <x:c r="D23" t="n">
        <x:v>4</x:v>
      </x:c>
      <x:c r="E23" t="str">
        <x:v>9,200 CEU</x:v>
      </x:c>
      <x:c r="F23" t="str">
        <x:v>LNG dual-fuel + battery</x:v>
      </x:c>
      <x:c r="G23" t="str">
        <x:v>China Merchants Jinling / China Merchants Heavy Industry</x:v>
      </x:c>
      <x:c r="H23" t="str">
        <x:v>China</x:v>
      </x:c>
      <x:c r="I23" t="str">
        <x:v>2022-2023</x:v>
      </x:c>
      <x:c r="J23" t="str">
        <x:v>Delivered 2025</x:v>
      </x:c>
      <x:c r="K23" t="str"/>
      <x:c r="L23" t="str"/>
      <x:c r="M23" t="str">
        <x:v>Delivered</x:v>
      </x:c>
      <x:c r="N23" t="str">
        <x:v>Four-vessel BYD-owned 9,200 CEU class.</x:v>
      </x:c>
      <x:c r="O23" t="str">
        <x:v>SRC_0092</x:v>
      </x:c>
    </x:row>
    <x:row r="24">
      <x:c r="A24" t="str">
        <x:v>ORDER_0020</x:v>
      </x:c>
      <x:c r="B24" t="str">
        <x:v>COMP_BYD</x:v>
      </x:c>
      <x:c r="C24" t="str">
        <x:v>PCTC</x:v>
      </x:c>
      <x:c r="D24" t="n">
        <x:v>2</x:v>
      </x:c>
      <x:c r="E24" t="str">
        <x:v>7,000 CEU</x:v>
      </x:c>
      <x:c r="F24" t="str">
        <x:v>LNG dual-fuel</x:v>
      </x:c>
      <x:c r="G24" t="str">
        <x:v>Guangzhou Shipyard International</x:v>
      </x:c>
      <x:c r="H24" t="str">
        <x:v>China</x:v>
      </x:c>
      <x:c r="I24" t="str">
        <x:v>2023-2024</x:v>
      </x:c>
      <x:c r="J24" t="str">
        <x:v>Delivered 2025</x:v>
      </x:c>
      <x:c r="K24" t="str"/>
      <x:c r="L24" t="str"/>
      <x:c r="M24" t="str">
        <x:v>Delivered</x:v>
      </x:c>
      <x:c r="N24" t="str">
        <x:v>BYD-owned PCTCs: BYD Hefei and BYD Zhengzhou.</x:v>
      </x:c>
      <x:c r="O24" t="str">
        <x:v>SRC_0091</x:v>
      </x:c>
    </x:row>
    <x:row r="25">
      <x:c r="A25" t="str">
        <x:v>ORDER_0021</x:v>
      </x:c>
      <x:c r="B25" t="str">
        <x:v>COMP_ZODIAC</x:v>
      </x:c>
      <x:c r="C25" t="str">
        <x:v>PCTC</x:v>
      </x:c>
      <x:c r="D25" t="n">
        <x:v>2</x:v>
      </x:c>
      <x:c r="E25" t="str">
        <x:v>7,000 CEU</x:v>
      </x:c>
      <x:c r="F25" t="str">
        <x:v>LNG dual-fuel</x:v>
      </x:c>
      <x:c r="G25" t="str">
        <x:v>CIMC Raffles / Yantai Raffles</x:v>
      </x:c>
      <x:c r="H25" t="str">
        <x:v>China</x:v>
      </x:c>
      <x:c r="I25" t="str">
        <x:v>2021 onward</x:v>
      </x:c>
      <x:c r="J25" t="str">
        <x:v>Delivered 2024</x:v>
      </x:c>
      <x:c r="K25" t="str"/>
      <x:c r="L25" t="str"/>
      <x:c r="M25" t="str">
        <x:v>Delivered / chartered to BYD</x:v>
      </x:c>
      <x:c r="N25" t="str">
        <x:v>BYD Explorer No.1 and BYD Changzhou are modeled as Zodiac-owned / BYD-chartered.</x:v>
      </x:c>
      <x:c r="O25" t="str">
        <x:v>SRC_0091</x:v>
      </x:c>
    </x:row>
    <x:row r="26">
      <x:c r="A26" t="str">
        <x:v>ORDER_0022</x:v>
      </x:c>
      <x:c r="B26" t="str">
        <x:v>COMP_ZIM</x:v>
      </x:c>
      <x:c r="C26" t="str">
        <x:v>Containership</x:v>
      </x:c>
      <x:c r="D26" t="n">
        <x:v>4</x:v>
      </x:c>
      <x:c r="E26" t="str">
        <x:v>8,000 TEU</x:v>
      </x:c>
      <x:c r="F26" t="str">
        <x:v>Scrubber fitted</x:v>
      </x:c>
      <x:c r="G26" t="str">
        <x:v>TBD</x:v>
      </x:c>
      <x:c r="H26" t="str"/>
      <x:c r="I26" t="str">
        <x:v>2025-2026</x:v>
      </x:c>
      <x:c r="J26" t="str">
        <x:v>H2 2026-H1 2027</x:v>
      </x:c>
      <x:c r="K26" t="str"/>
      <x:c r="L26" t="str"/>
      <x:c r="M26" t="str">
        <x:v>Long-term charter agreements</x:v>
      </x:c>
      <x:c r="N26" t="str">
        <x:v>Future chartered capacity.</x:v>
      </x:c>
      <x:c r="O26" t="str">
        <x:v>SRC_0096</x:v>
      </x:c>
    </x:row>
    <x:row r="27">
      <x:c r="A27" t="str">
        <x:v>ORDER_0023</x:v>
      </x:c>
      <x:c r="B27" t="str">
        <x:v>COMP_ZIM</x:v>
      </x:c>
      <x:c r="C27" t="str">
        <x:v>Containership</x:v>
      </x:c>
      <x:c r="D27" t="n">
        <x:v>10</x:v>
      </x:c>
      <x:c r="E27" t="str">
        <x:v>11,500 TEU</x:v>
      </x:c>
      <x:c r="F27" t="str">
        <x:v>LNG dual-fuel</x:v>
      </x:c>
      <x:c r="G27" t="str">
        <x:v>Zhoushan Changhong International Shipyard</x:v>
      </x:c>
      <x:c r="H27" t="str">
        <x:v>China</x:v>
      </x:c>
      <x:c r="I27" t="str">
        <x:v>2025</x:v>
      </x:c>
      <x:c r="J27" t="str">
        <x:v>2027-2028</x:v>
      </x:c>
      <x:c r="K27" t="n">
        <x:v>2300000000</x:v>
      </x:c>
      <x:c r="L27" t="str">
        <x:v>USD charter consideration</x:v>
      </x:c>
      <x:c r="M27" t="str">
        <x:v>Long-term charter agreements</x:v>
      </x:c>
      <x:c r="N27" t="str">
        <x:v>Seven via Containers Ventures Holdings/TMS affiliate and three via Kenon-affiliated company.</x:v>
      </x:c>
      <x:c r="O27" t="str">
        <x:v>SRC_0097</x:v>
      </x:c>
    </x:row>
    <x:row r="28">
      <x:c r="A28" t="str">
        <x:v>ORDER_0024</x:v>
      </x:c>
      <x:c r="B28" t="str">
        <x:v>COMP_ZIM</x:v>
      </x:c>
      <x:c r="C28" t="str">
        <x:v>Containership</x:v>
      </x:c>
      <x:c r="D28" t="n">
        <x:v>2</x:v>
      </x:c>
      <x:c r="E28" t="str">
        <x:v>12,000 TEU</x:v>
      </x:c>
      <x:c r="F28" t="str">
        <x:v>Scrubber fitted</x:v>
      </x:c>
      <x:c r="G28" t="str">
        <x:v>TBD</x:v>
      </x:c>
      <x:c r="H28" t="str"/>
      <x:c r="I28" t="str">
        <x:v>2025-2026</x:v>
      </x:c>
      <x:c r="J28" t="str">
        <x:v>2027</x:v>
      </x:c>
      <x:c r="K28" t="str"/>
      <x:c r="L28" t="str"/>
      <x:c r="M28" t="str">
        <x:v>Charter agreements</x:v>
      </x:c>
      <x:c r="N28" t="str">
        <x:v>Up to five-year charter periods plus options.</x:v>
      </x:c>
      <x:c r="O28" t="str">
        <x:v>SRC_0096</x:v>
      </x:c>
    </x:row>
    <x:row r="29">
      <x:c r="A29" t="str">
        <x:v>ORDER_0025</x:v>
      </x:c>
      <x:c r="B29" t="str">
        <x:v>COMP_ZIM</x:v>
      </x:c>
      <x:c r="C29" t="str">
        <x:v>Secondhand containership</x:v>
      </x:c>
      <x:c r="D29" t="n">
        <x:v>4</x:v>
      </x:c>
      <x:c r="E29" t="str">
        <x:v>9,000 TEU</x:v>
      </x:c>
      <x:c r="F29" t="str"/>
      <x:c r="G29" t="str">
        <x:v>Existing vessels</x:v>
      </x:c>
      <x:c r="H29" t="str"/>
      <x:c r="I29" t="str">
        <x:v>2026</x:v>
      </x:c>
      <x:c r="J29" t="str">
        <x:v>2027-2028</x:v>
      </x:c>
      <x:c r="K29" t="str"/>
      <x:c r="L29" t="str"/>
      <x:c r="M29" t="str">
        <x:v>Charter agreements</x:v>
      </x:c>
      <x:c r="N29" t="str">
        <x:v>2015-2016-built secondhand capacity.</x:v>
      </x:c>
      <x:c r="O29" t="str">
        <x:v>SRC_0096</x:v>
      </x:c>
    </x:row>
    <x:row r="30">
      <x:c r="A30" t="str">
        <x:v>ORDER_0026</x:v>
      </x:c>
      <x:c r="B30" t="str">
        <x:v>COMP_ZIM</x:v>
      </x:c>
      <x:c r="C30" t="str">
        <x:v>Containership</x:v>
      </x:c>
      <x:c r="D30" t="n">
        <x:v>20</x:v>
      </x:c>
      <x:c r="E30" t="str">
        <x:v>3,000-5,000 TEU</x:v>
      </x:c>
      <x:c r="F30" t="str">
        <x:v>Some scrubber fitted</x:v>
      </x:c>
      <x:c r="G30" t="str">
        <x:v>Multiple / TBD</x:v>
      </x:c>
      <x:c r="H30" t="str"/>
      <x:c r="I30" t="str">
        <x:v>2025-2026</x:v>
      </x:c>
      <x:c r="J30" t="str">
        <x:v>2027-2028</x:v>
      </x:c>
      <x:c r="K30" t="str"/>
      <x:c r="L30" t="str"/>
      <x:c r="M30" t="str">
        <x:v>Newbuild charter agreements</x:v>
      </x:c>
      <x:c r="N30" t="str">
        <x:v>Fleet renewal / flexible chartered capacity.</x:v>
      </x:c>
      <x:c r="O30" t="str">
        <x:v>SRC_0096</x:v>
      </x:c>
    </x:row>
    <x:row r="31">
      <x:c r="A31" s="42" t="str">
        <x:v>ORDER_0027</x:v>
      </x:c>
      <x:c r="B31" s="42" t="str">
        <x:v>COMP_FEDERAL_EXPRESS</x:v>
      </x:c>
      <x:c r="C31" s="42" t="str">
        <x:v>Cessna 408 SkyCourier</x:v>
      </x:c>
      <x:c r="D31" s="42" t="n">
        <x:v>11</x:v>
      </x:c>
      <x:c r="E31" s="42" t="str">
        <x:v>Feeder freighter</x:v>
      </x:c>
      <x:c r="F31" s="42" t="str"/>
      <x:c r="G31" s="42" t="str">
        <x:v>Textron Aviation / Cessna</x:v>
      </x:c>
      <x:c r="H31" s="42" t="str">
        <x:v>United States</x:v>
      </x:c>
      <x:c r="I31" s="42" t="str">
        <x:v>2026</x:v>
      </x:c>
      <x:c r="J31" s="42" t="str">
        <x:v>2027-2030</x:v>
      </x:c>
      <x:c r="K31" s="42" t="str"/>
      <x:c r="L31" s="42" t="str"/>
      <x:c r="M31" s="42" t="str">
        <x:v>Purchase commitment</x:v>
      </x:c>
      <x:c r="N31" s="42" t="str">
        <x:v>Feeder fleet renewal / network capacity.</x:v>
      </x:c>
      <x:c r="O31" s="42" t="str">
        <x:v>SRC_0297</x:v>
      </x:c>
    </x:row>
    <x:row r="32">
      <x:c r="A32" s="42" t="str">
        <x:v>ORDER_0028</x:v>
      </x:c>
      <x:c r="B32" s="42" t="str">
        <x:v>COMP_FEDERAL_EXPRESS</x:v>
      </x:c>
      <x:c r="C32" s="42" t="str">
        <x:v>ATR 72-600F</x:v>
      </x:c>
      <x:c r="D32" s="42" t="n">
        <x:v>15</x:v>
      </x:c>
      <x:c r="E32" s="42" t="str">
        <x:v>Regional freighter</x:v>
      </x:c>
      <x:c r="F32" s="42" t="str"/>
      <x:c r="G32" s="42" t="str">
        <x:v>ATR</x:v>
      </x:c>
      <x:c r="H32" s="42" t="str">
        <x:v>France / Italy</x:v>
      </x:c>
      <x:c r="I32" s="42" t="str">
        <x:v>2026</x:v>
      </x:c>
      <x:c r="J32" s="42" t="str">
        <x:v>2027-2030</x:v>
      </x:c>
      <x:c r="K32" s="42" t="str"/>
      <x:c r="L32" s="42" t="str"/>
      <x:c r="M32" s="42" t="str">
        <x:v>Purchase commitment</x:v>
      </x:c>
      <x:c r="N32" s="42" t="str">
        <x:v>Regional air-freight capacity / fleet modernization.</x:v>
      </x:c>
      <x:c r="O32" s="42" t="str">
        <x:v>SRC_0297</x:v>
      </x:c>
    </x:row>
    <x:row r="33">
      <x:c r="A33" s="42" t="str">
        <x:v>ORDER_0029</x:v>
      </x:c>
      <x:c r="B33" s="42" t="str">
        <x:v>COMP_FEDERAL_EXPRESS</x:v>
      </x:c>
      <x:c r="C33" s="42" t="str">
        <x:v>Boeing 777F</x:v>
      </x:c>
      <x:c r="D33" s="42" t="n">
        <x:v>10</x:v>
      </x:c>
      <x:c r="E33" s="42" t="str">
        <x:v>Long-haul freighter</x:v>
      </x:c>
      <x:c r="F33" s="42" t="str"/>
      <x:c r="G33" s="42" t="str">
        <x:v>Boeing</x:v>
      </x:c>
      <x:c r="H33" s="42" t="str">
        <x:v>United States</x:v>
      </x:c>
      <x:c r="I33" s="42" t="str">
        <x:v>2026</x:v>
      </x:c>
      <x:c r="J33" s="42" t="str">
        <x:v>2027-2030</x:v>
      </x:c>
      <x:c r="K33" s="42" t="str"/>
      <x:c r="L33" s="42" t="str"/>
      <x:c r="M33" s="42" t="str">
        <x:v>Purchase commitment</x:v>
      </x:c>
      <x:c r="N33" s="42" t="str">
        <x:v>Long-haul global network renewal / capacity.</x:v>
      </x:c>
      <x:c r="O33" s="42" t="str">
        <x:v>SRC_0297</x:v>
      </x:c>
    </x:row>
  </x:sheetData>
  <x:pageMargins left="0.7" right="0.7" top="0.75" bottom="0.75" header="0.3" footer="0.3"/>
  <x:tableParts count="1">
    <x:tablePart xmlns:r="http://schemas.openxmlformats.org/officeDocument/2006/relationships" r:id="R7f8e7ad3eefc44a6"/>
  </x:tableParts>
</x:worksheet>
</file>

<file path=xl/worksheets/sheet12.xml><?xml version="1.0" encoding="utf-8"?>
<x:worksheet xmlns:x="http://schemas.openxmlformats.org/spreadsheetml/2006/main">
  <x:sheetFormatPr defaultRowHeight="15"/>
  <x:cols>
    <x:col min="1" max="1" width="18" hidden="0" customWidth="1"/>
    <x:col min="2" max="2" width="24"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32" hidden="0" customWidth="1"/>
  </x:cols>
  <x:sheetData>
    <x:row r="1">
      <x:c r="A1" s="36" t="str">
        <x:v>Aircraft ID</x:v>
      </x:c>
      <x:c r="B1" s="36" t="str">
        <x:v>Operator Company ID</x:v>
      </x:c>
      <x:c r="C1" s="36" t="str">
        <x:v>Aircraft Type</x:v>
      </x:c>
      <x:c r="D1" s="36" t="str">
        <x:v>Role</x:v>
      </x:c>
      <x:c r="E1" s="36" t="str">
        <x:v>Count</x:v>
      </x:c>
      <x:c r="F1" s="36" t="str">
        <x:v>Status</x:v>
      </x:c>
      <x:c r="G1" s="36" t="str">
        <x:v>Payload</x:v>
      </x:c>
      <x:c r="H1" s="36" t="str">
        <x:v>Registration</x:v>
      </x:c>
      <x:c r="I1" s="36" t="str">
        <x:v>Hub</x:v>
      </x:c>
      <x:c r="J1" s="36" t="str">
        <x:v>Owner / Lessor</x:v>
      </x:c>
      <x:c r="K1" s="36" t="str">
        <x:v>Source ID</x:v>
      </x:c>
    </x:row>
    <x:row r="2">
      <x:c r="A2" s="42" t="str">
        <x:v>AIRCRAFT_0001</x:v>
      </x:c>
      <x:c r="B2" s="42" t="str">
        <x:v>COMP_CMA_AIR</x:v>
      </x:c>
      <x:c r="C2" s="42" t="str">
        <x:v>Airbus A330-200F</x:v>
      </x:c>
      <x:c r="D2" s="42" t="str">
        <x:v>Freighter</x:v>
      </x:c>
      <x:c r="E2" s="42" t="n">
        <x:v>1</x:v>
      </x:c>
      <x:c r="F2" s="42" t="str">
        <x:v>Operating</x:v>
      </x:c>
      <x:c r="G2" s="42" t="str">
        <x:v>60t</x:v>
      </x:c>
      <x:c r="H2" s="42" t="str"/>
      <x:c r="I2" s="42" t="str"/>
      <x:c r="J2" s="42" t="str"/>
      <x:c r="K2" s="42" t="str">
        <x:v>SRC_0046</x:v>
      </x:c>
    </x:row>
    <x:row r="3">
      <x:c r="A3" s="42" t="str">
        <x:v>AIRCRAFT_0002</x:v>
      </x:c>
      <x:c r="B3" s="42" t="str">
        <x:v>COMP_CMA_AIR</x:v>
      </x:c>
      <x:c r="C3" s="42" t="str">
        <x:v>Boeing 777F</x:v>
      </x:c>
      <x:c r="D3" s="42" t="str">
        <x:v>Freighter</x:v>
      </x:c>
      <x:c r="E3" s="42" t="n">
        <x:v>4</x:v>
      </x:c>
      <x:c r="F3" s="42" t="str">
        <x:v>Operating / by end-2025</x:v>
      </x:c>
      <x:c r="G3" s="42" t="str">
        <x:v>102t</x:v>
      </x:c>
      <x:c r="H3" s="42" t="str"/>
      <x:c r="I3" s="42" t="str"/>
      <x:c r="J3" s="42" t="str"/>
      <x:c r="K3" s="42" t="str">
        <x:v>SRC_0046</x:v>
      </x:c>
    </x:row>
    <x:row r="4">
      <x:c r="A4" s="42" t="str">
        <x:v>AIRCRAFT_0003</x:v>
      </x:c>
      <x:c r="B4" s="42" t="str">
        <x:v>COMP_FEDERAL_EXPRESS</x:v>
      </x:c>
      <x:c r="C4" s="42" t="str">
        <x:v>Boeing 777F</x:v>
      </x:c>
      <x:c r="D4" s="42" t="str">
        <x:v>Freighter / feeder</x:v>
      </x:c>
      <x:c r="E4" s="42" t="str">
        <x:v>59</x:v>
      </x:c>
      <x:c r="F4" s="42" t="str">
        <x:v>Operating</x:v>
      </x:c>
      <x:c r="G4" s="42" t="str"/>
      <x:c r="H4" s="42" t="str"/>
      <x:c r="I4" s="42" t="str">
        <x:v>Global FedEx air network</x:v>
      </x:c>
      <x:c r="J4" s="42" t="str">
        <x:v>56 owned / 3 leased</x:v>
      </x:c>
      <x:c r="K4" s="42" t="str">
        <x:v>SRC_0297</x:v>
      </x:c>
    </x:row>
    <x:row r="5">
      <x:c r="A5" s="42" t="str">
        <x:v>AIRCRAFT_0004</x:v>
      </x:c>
      <x:c r="B5" s="42" t="str">
        <x:v>COMP_FEDERAL_EXPRESS</x:v>
      </x:c>
      <x:c r="C5" s="42" t="str">
        <x:v>McDonnell Douglas MD-11</x:v>
      </x:c>
      <x:c r="D5" s="42" t="str">
        <x:v>Freighter / feeder</x:v>
      </x:c>
      <x:c r="E5" s="42" t="str">
        <x:v>29</x:v>
      </x:c>
      <x:c r="F5" s="42" t="str">
        <x:v>Operating</x:v>
      </x:c>
      <x:c r="G5" s="42" t="str"/>
      <x:c r="H5" s="42" t="str"/>
      <x:c r="I5" s="42" t="str">
        <x:v>Global FedEx air network</x:v>
      </x:c>
      <x:c r="J5" s="42" t="str">
        <x:v>Owned</x:v>
      </x:c>
      <x:c r="K5" s="42" t="str">
        <x:v>SRC_0297</x:v>
      </x:c>
    </x:row>
    <x:row r="6">
      <x:c r="A6" s="42" t="str">
        <x:v>AIRCRAFT_0005</x:v>
      </x:c>
      <x:c r="B6" s="42" t="str">
        <x:v>COMP_FEDERAL_EXPRESS</x:v>
      </x:c>
      <x:c r="C6" s="42" t="str">
        <x:v>Boeing 767F</x:v>
      </x:c>
      <x:c r="D6" s="42" t="str">
        <x:v>Freighter / feeder</x:v>
      </x:c>
      <x:c r="E6" s="42" t="str">
        <x:v>152</x:v>
      </x:c>
      <x:c r="F6" s="42" t="str">
        <x:v>Operating</x:v>
      </x:c>
      <x:c r="G6" s="42" t="str"/>
      <x:c r="H6" s="42" t="str"/>
      <x:c r="I6" s="42" t="str">
        <x:v>Global FedEx air network</x:v>
      </x:c>
      <x:c r="J6" s="42" t="str">
        <x:v>Owned</x:v>
      </x:c>
      <x:c r="K6" s="42" t="str">
        <x:v>SRC_0297</x:v>
      </x:c>
    </x:row>
    <x:row r="7">
      <x:c r="A7" s="42" t="str">
        <x:v>AIRCRAFT_0006</x:v>
      </x:c>
      <x:c r="B7" s="42" t="str">
        <x:v>COMP_FEDERAL_EXPRESS</x:v>
      </x:c>
      <x:c r="C7" s="42" t="str">
        <x:v>Airbus A300-600F</x:v>
      </x:c>
      <x:c r="D7" s="42" t="str">
        <x:v>Freighter / feeder</x:v>
      </x:c>
      <x:c r="E7" s="42" t="str">
        <x:v>57</x:v>
      </x:c>
      <x:c r="F7" s="42" t="str">
        <x:v>Operating</x:v>
      </x:c>
      <x:c r="G7" s="42" t="str"/>
      <x:c r="H7" s="42" t="str"/>
      <x:c r="I7" s="42" t="str">
        <x:v>Global FedEx air network</x:v>
      </x:c>
      <x:c r="J7" s="42" t="str">
        <x:v>Owned</x:v>
      </x:c>
      <x:c r="K7" s="42" t="str">
        <x:v>SRC_0297</x:v>
      </x:c>
    </x:row>
    <x:row r="8">
      <x:c r="A8" s="42" t="str">
        <x:v>AIRCRAFT_0007</x:v>
      </x:c>
      <x:c r="B8" s="42" t="str">
        <x:v>COMP_FEDERAL_EXPRESS</x:v>
      </x:c>
      <x:c r="C8" s="42" t="str">
        <x:v>Boeing 757-200F</x:v>
      </x:c>
      <x:c r="D8" s="42" t="str">
        <x:v>Freighter / feeder</x:v>
      </x:c>
      <x:c r="E8" s="42" t="str">
        <x:v>86</x:v>
      </x:c>
      <x:c r="F8" s="42" t="str">
        <x:v>Operating</x:v>
      </x:c>
      <x:c r="G8" s="42" t="str"/>
      <x:c r="H8" s="42" t="str"/>
      <x:c r="I8" s="42" t="str">
        <x:v>Global FedEx air network</x:v>
      </x:c>
      <x:c r="J8" s="42" t="str">
        <x:v>Owned</x:v>
      </x:c>
      <x:c r="K8" s="42" t="str">
        <x:v>SRC_0297</x:v>
      </x:c>
    </x:row>
    <x:row r="9">
      <x:c r="A9" s="42" t="str">
        <x:v>AIRCRAFT_0008</x:v>
      </x:c>
      <x:c r="B9" s="42" t="str">
        <x:v>COMP_FEDERAL_EXPRESS</x:v>
      </x:c>
      <x:c r="C9" s="42" t="str">
        <x:v>ATR 72-600F</x:v>
      </x:c>
      <x:c r="D9" s="42" t="str">
        <x:v>Freighter / feeder</x:v>
      </x:c>
      <x:c r="E9" s="42" t="str">
        <x:v>27</x:v>
      </x:c>
      <x:c r="F9" s="42" t="str">
        <x:v>Operating</x:v>
      </x:c>
      <x:c r="G9" s="42" t="str"/>
      <x:c r="H9" s="42" t="str"/>
      <x:c r="I9" s="42" t="str">
        <x:v>Global FedEx air network</x:v>
      </x:c>
      <x:c r="J9" s="42" t="str">
        <x:v>Owned</x:v>
      </x:c>
      <x:c r="K9" s="42" t="str">
        <x:v>SRC_0297</x:v>
      </x:c>
    </x:row>
    <x:row r="10">
      <x:c r="A10" s="42" t="str">
        <x:v>AIRCRAFT_0009</x:v>
      </x:c>
      <x:c r="B10" s="42" t="str">
        <x:v>COMP_FEDERAL_EXPRESS</x:v>
      </x:c>
      <x:c r="C10" s="42" t="str">
        <x:v>ATR 72</x:v>
      </x:c>
      <x:c r="D10" s="42" t="str">
        <x:v>Freighter / feeder</x:v>
      </x:c>
      <x:c r="E10" s="42" t="str">
        <x:v>19</x:v>
      </x:c>
      <x:c r="F10" s="42" t="str">
        <x:v>Operating</x:v>
      </x:c>
      <x:c r="G10" s="42" t="str"/>
      <x:c r="H10" s="42" t="str"/>
      <x:c r="I10" s="42" t="str">
        <x:v>Global FedEx air network</x:v>
      </x:c>
      <x:c r="J10" s="42" t="str">
        <x:v>Owned</x:v>
      </x:c>
      <x:c r="K10" s="42" t="str">
        <x:v>SRC_0297</x:v>
      </x:c>
    </x:row>
    <x:row r="11">
      <x:c r="A11" s="42" t="str">
        <x:v>AIRCRAFT_0010</x:v>
      </x:c>
      <x:c r="B11" s="42" t="str">
        <x:v>COMP_FEDERAL_EXPRESS</x:v>
      </x:c>
      <x:c r="C11" s="42" t="str">
        <x:v>ATR 42</x:v>
      </x:c>
      <x:c r="D11" s="42" t="str">
        <x:v>Freighter / feeder</x:v>
      </x:c>
      <x:c r="E11" s="42" t="str">
        <x:v>16</x:v>
      </x:c>
      <x:c r="F11" s="42" t="str">
        <x:v>Operating</x:v>
      </x:c>
      <x:c r="G11" s="42" t="str"/>
      <x:c r="H11" s="42" t="str"/>
      <x:c r="I11" s="42" t="str">
        <x:v>Global FedEx air network</x:v>
      </x:c>
      <x:c r="J11" s="42" t="str">
        <x:v>Owned</x:v>
      </x:c>
      <x:c r="K11" s="42" t="str">
        <x:v>SRC_0297</x:v>
      </x:c>
    </x:row>
    <x:row r="12">
      <x:c r="A12" s="42" t="str">
        <x:v>AIRCRAFT_0011</x:v>
      </x:c>
      <x:c r="B12" s="42" t="str">
        <x:v>COMP_FEDERAL_EXPRESS</x:v>
      </x:c>
      <x:c r="C12" s="42" t="str">
        <x:v>Cessna 408 SkyCourier</x:v>
      </x:c>
      <x:c r="D12" s="42" t="str">
        <x:v>Freighter / feeder</x:v>
      </x:c>
      <x:c r="E12" s="42" t="str">
        <x:v>39</x:v>
      </x:c>
      <x:c r="F12" s="42" t="str">
        <x:v>Operating</x:v>
      </x:c>
      <x:c r="G12" s="42" t="str"/>
      <x:c r="H12" s="42" t="str"/>
      <x:c r="I12" s="42" t="str">
        <x:v>Global FedEx air network</x:v>
      </x:c>
      <x:c r="J12" s="42" t="str">
        <x:v>Owned</x:v>
      </x:c>
      <x:c r="K12" s="42" t="str">
        <x:v>SRC_0297</x:v>
      </x:c>
    </x:row>
    <x:row r="13">
      <x:c r="A13" s="42" t="str">
        <x:v>AIRCRAFT_0012</x:v>
      </x:c>
      <x:c r="B13" s="42" t="str">
        <x:v>COMP_FEDERAL_EXPRESS</x:v>
      </x:c>
      <x:c r="C13" s="42" t="str">
        <x:v>Cessna 208B</x:v>
      </x:c>
      <x:c r="D13" s="42" t="str">
        <x:v>Freighter / feeder</x:v>
      </x:c>
      <x:c r="E13" s="42" t="str">
        <x:v>216</x:v>
      </x:c>
      <x:c r="F13" s="42" t="str">
        <x:v>Operating</x:v>
      </x:c>
      <x:c r="G13" s="42" t="str"/>
      <x:c r="H13" s="42" t="str"/>
      <x:c r="I13" s="42" t="str">
        <x:v>Global FedEx air network</x:v>
      </x:c>
      <x:c r="J13" s="42" t="str">
        <x:v>Owned</x:v>
      </x:c>
      <x:c r="K13" s="42" t="str">
        <x:v>SRC_0297</x:v>
      </x:c>
    </x:row>
    <x:row r="14">
      <x:c r="A14" s="42" t="str">
        <x:v>AIRCRAFT_0013</x:v>
      </x:c>
      <x:c r="B14" s="42" t="str">
        <x:v>COMP_SUN_COUNTRY</x:v>
      </x:c>
      <x:c r="C14" s="42" t="str">
        <x:v>Boeing 737-800BCF</x:v>
      </x:c>
      <x:c r="D14" s="42" t="str">
        <x:v>Amazon cargo freighter</x:v>
      </x:c>
      <x:c r="E14" s="42" t="str">
        <x:v>22</x:v>
      </x:c>
      <x:c r="F14" s="42" t="str">
        <x:v>Operating / Amazon-dedicated</x:v>
      </x:c>
      <x:c r="G14" s="42" t="str"/>
      <x:c r="H14" s="42" t="str"/>
      <x:c r="I14" s="42" t="str">
        <x:v>Amazon Air network</x:v>
      </x:c>
      <x:c r="J14" s="42" t="str">
        <x:v>Subleased directly from Amazon; operated by Sun Country</x:v>
      </x:c>
      <x:c r="K14" s="42" t="str">
        <x:v>SRC_0307</x:v>
      </x:c>
    </x:row>
  </x:sheetData>
  <x:pageMargins left="0.7" right="0.7" top="0.75" bottom="0.75" header="0.3" footer="0.3"/>
  <x:tableParts count="1">
    <x:tablePart xmlns:r="http://schemas.openxmlformats.org/officeDocument/2006/relationships" r:id="Rf998409303e64187"/>
  </x:tableParts>
</x:worksheet>
</file>

<file path=xl/worksheets/sheet13.xml><?xml version="1.0" encoding="utf-8"?>
<x:worksheet xmlns:x="http://schemas.openxmlformats.org/spreadsheetml/2006/main">
  <x:sheetFormatPr defaultRowHeight="15"/>
  <x:cols>
    <x:col min="1" max="1" width="24" hidden="0" customWidth="1"/>
    <x:col min="2" max="2" width="24" hidden="0" customWidth="1"/>
    <x:col min="3" max="3" width="18" hidden="0" customWidth="1"/>
    <x:col min="4" max="4" width="18" hidden="0" customWidth="1"/>
    <x:col min="5" max="5" width="18" hidden="0" customWidth="1"/>
    <x:col min="6" max="6" width="18" hidden="0" customWidth="1"/>
    <x:col min="7" max="7" width="18" hidden="0" customWidth="1"/>
    <x:col min="8" max="8" width="34" hidden="0" customWidth="1"/>
    <x:col min="9" max="9" width="32" hidden="0" customWidth="1"/>
  </x:cols>
  <x:sheetData>
    <x:row r="1">
      <x:c r="A1" s="36" t="str">
        <x:v>Shipyard ID</x:v>
      </x:c>
      <x:c r="B1" s="36" t="str">
        <x:v>Shipyard</x:v>
      </x:c>
      <x:c r="C1" s="36" t="str">
        <x:v>Country</x:v>
      </x:c>
      <x:c r="D1" s="36" t="str">
        <x:v>Location</x:v>
      </x:c>
      <x:c r="E1" s="36" t="str">
        <x:v>Primary Segment</x:v>
      </x:c>
      <x:c r="F1" s="36" t="str">
        <x:v>Build Specialism</x:v>
      </x:c>
      <x:c r="G1" s="36" t="str">
        <x:v>Status</x:v>
      </x:c>
      <x:c r="H1" s="36" t="str">
        <x:v>Strategic Note</x:v>
      </x:c>
      <x:c r="I1" s="36" t="str">
        <x:v>Source ID</x:v>
      </x:c>
    </x:row>
    <x:row r="2">
      <x:c r="A2" s="42" t="str">
        <x:v>YARD_0001</x:v>
      </x:c>
      <x:c r="B2" s="42" t="str">
        <x:v>New Times Shipbuilding Co. Ltd.</x:v>
      </x:c>
      <x:c r="C2" s="42" t="str">
        <x:v>China</x:v>
      </x:c>
      <x:c r="D2" s="42" t="str"/>
      <x:c r="E2" s="42" t="str">
        <x:v>Commercial shipbuilding</x:v>
      </x:c>
      <x:c r="F2" s="42" t="str">
        <x:v>Container ships</x:v>
      </x:c>
      <x:c r="G2" s="42" t="str">
        <x:v>Active</x:v>
      </x:c>
      <x:c r="H2" s="42" t="str">
        <x:v>Builder for Maersk eight-vessel 18,600 TEU order</x:v>
      </x:c>
      <x:c r="I2" s="42" t="str">
        <x:v>SRC_0048</x:v>
      </x:c>
    </x:row>
    <x:row r="3">
      <x:c r="A3" s="42" t="str">
        <x:v>YARD_0002</x:v>
      </x:c>
      <x:c r="B3" s="42" t="str">
        <x:v>Muggiano Integrated Shipyard</x:v>
      </x:c>
      <x:c r="C3" s="42" t="str">
        <x:v>Italy</x:v>
      </x:c>
      <x:c r="D3" s="42" t="str">
        <x:v>La Spezia</x:v>
      </x:c>
      <x:c r="E3" s="42" t="str">
        <x:v>Naval shipbuilding</x:v>
      </x:c>
      <x:c r="F3" s="42" t="str">
        <x:v>Submarines</x:v>
      </x:c>
      <x:c r="G3" s="42" t="str">
        <x:v>Active</x:v>
      </x:c>
      <x:c r="H3" s="42" t="str">
        <x:v>Fincantieri U212 NFS construction site</x:v>
      </x:c>
      <x:c r="I3" s="42" t="str">
        <x:v>SRC_0037</x:v>
      </x:c>
    </x:row>
    <x:row r="4">
      <x:c r="A4" t="str">
        <x:v>YARD_0003</x:v>
      </x:c>
      <x:c r="B4" t="str">
        <x:v>Jiangnan Shipyard</x:v>
      </x:c>
      <x:c r="C4" t="str">
        <x:v>China</x:v>
      </x:c>
      <x:c r="D4" t="str">
        <x:v>Shanghai</x:v>
      </x:c>
      <x:c r="E4" t="str">
        <x:v>Commercial shipbuilding</x:v>
      </x:c>
      <x:c r="F4" t="str">
        <x:v>LNG, VLGC, VLEC and gas carriers</x:v>
      </x:c>
      <x:c r="G4" t="str">
        <x:v>Active</x:v>
      </x:c>
      <x:c r="H4" t="str">
        <x:v>Major ADNOC L&amp;S / AW Shipping gas-carrier builder.</x:v>
      </x:c>
      <x:c r="I4" t="str">
        <x:v>SRC_0068</x:v>
      </x:c>
    </x:row>
    <x:row r="5">
      <x:c r="A5" t="str">
        <x:v>YARD_0004</x:v>
      </x:c>
      <x:c r="B5" t="str">
        <x:v>Samsung Heavy Industries</x:v>
      </x:c>
      <x:c r="C5" t="str">
        <x:v>South Korea</x:v>
      </x:c>
      <x:c r="D5" t="str">
        <x:v>Geoje</x:v>
      </x:c>
      <x:c r="E5" t="str">
        <x:v>Commercial shipbuilding</x:v>
      </x:c>
      <x:c r="F5" t="str">
        <x:v>LNG carriers</x:v>
      </x:c>
      <x:c r="G5" t="str">
        <x:v>Active</x:v>
      </x:c>
      <x:c r="H5" t="str">
        <x:v>Builder in ADNOC L&amp;S and Qatar LNG programs.</x:v>
      </x:c>
      <x:c r="I5" t="str">
        <x:v>SRC_0072</x:v>
      </x:c>
    </x:row>
    <x:row r="6">
      <x:c r="A6" t="str">
        <x:v>YARD_0005</x:v>
      </x:c>
      <x:c r="B6" t="str">
        <x:v>Hanwha Ocean</x:v>
      </x:c>
      <x:c r="C6" t="str">
        <x:v>South Korea</x:v>
      </x:c>
      <x:c r="D6" t="str">
        <x:v>Geoje</x:v>
      </x:c>
      <x:c r="E6" t="str">
        <x:v>Commercial / naval shipbuilding</x:v>
      </x:c>
      <x:c r="F6" t="str">
        <x:v>LNG carriers; naval</x:v>
      </x:c>
      <x:c r="G6" t="str">
        <x:v>Active</x:v>
      </x:c>
      <x:c r="H6" t="str">
        <x:v>Builder in ADNOC L&amp;S and Nakilat LNG programs.</x:v>
      </x:c>
      <x:c r="I6" t="str">
        <x:v>SRC_0072</x:v>
      </x:c>
    </x:row>
    <x:row r="7">
      <x:c r="A7" t="str">
        <x:v>YARD_0006</x:v>
      </x:c>
      <x:c r="B7" t="str">
        <x:v>Hyundai Heavy Industries</x:v>
      </x:c>
      <x:c r="C7" t="str">
        <x:v>South Korea</x:v>
      </x:c>
      <x:c r="D7" t="str">
        <x:v>Ulsan</x:v>
      </x:c>
      <x:c r="E7" t="str">
        <x:v>Commercial / naval shipbuilding</x:v>
      </x:c>
      <x:c r="F7" t="str">
        <x:v>LNG carriers; merchant ships</x:v>
      </x:c>
      <x:c r="G7" t="str">
        <x:v>Active</x:v>
      </x:c>
      <x:c r="H7" t="str">
        <x:v>17 Nakilat LNG carriers in current newbuild program.</x:v>
      </x:c>
      <x:c r="I7" t="str">
        <x:v>SRC_0080</x:v>
      </x:c>
    </x:row>
    <x:row r="8">
      <x:c r="A8" t="str">
        <x:v>YARD_0007</x:v>
      </x:c>
      <x:c r="B8" t="str">
        <x:v>HD Hyundai Samho Heavy Industries</x:v>
      </x:c>
      <x:c r="C8" t="str">
        <x:v>South Korea</x:v>
      </x:c>
      <x:c r="D8" t="str">
        <x:v>Samho</x:v>
      </x:c>
      <x:c r="E8" t="str">
        <x:v>Commercial shipbuilding</x:v>
      </x:c>
      <x:c r="F8" t="str">
        <x:v>LNG, LPG/ammonia carriers</x:v>
      </x:c>
      <x:c r="G8" t="str">
        <x:v>Active</x:v>
      </x:c>
      <x:c r="H8" t="str">
        <x:v>Six Nakilat vessels in current newbuild program.</x:v>
      </x:c>
      <x:c r="I8" t="str">
        <x:v>SRC_0080</x:v>
      </x:c>
    </x:row>
    <x:row r="9">
      <x:c r="A9" t="str">
        <x:v>YARD_0008</x:v>
      </x:c>
      <x:c r="B9" t="str">
        <x:v>Hudong-Zhonghua Shipbuilding</x:v>
      </x:c>
      <x:c r="C9" t="str">
        <x:v>China</x:v>
      </x:c>
      <x:c r="D9" t="str">
        <x:v>Shanghai</x:v>
      </x:c>
      <x:c r="E9" t="str">
        <x:v>Commercial shipbuilding</x:v>
      </x:c>
      <x:c r="F9" t="str">
        <x:v>QC-Max / LNG carriers</x:v>
      </x:c>
      <x:c r="G9" t="str">
        <x:v>Active</x:v>
      </x:c>
      <x:c r="H9" t="str">
        <x:v>Nine Nakilat QC-Max LNG vessels in current program.</x:v>
      </x:c>
      <x:c r="I9" t="str">
        <x:v>SRC_0080</x:v>
      </x:c>
    </x:row>
    <x:row r="10">
      <x:c r="A10" t="str">
        <x:v>YARD_0009</x:v>
      </x:c>
      <x:c r="B10" t="str">
        <x:v>Jingling Shipyard</x:v>
      </x:c>
      <x:c r="C10" t="str">
        <x:v>China</x:v>
      </x:c>
      <x:c r="D10" t="str"/>
      <x:c r="E10" t="str">
        <x:v>Commercial shipbuilding</x:v>
      </x:c>
      <x:c r="F10" t="str">
        <x:v>RoCon / Ro-Ro</x:v>
      </x:c>
      <x:c r="G10" t="str">
        <x:v>Active</x:v>
      </x:c>
      <x:c r="H10" t="str">
        <x:v>Name recorded exactly as published in Bahri's July 2026 release; normalize yard identity in later research.</x:v>
      </x:c>
      <x:c r="I10" t="str">
        <x:v>SRC_0076</x:v>
      </x:c>
    </x:row>
    <x:row r="11">
      <x:c r="A11" t="str">
        <x:v>YARD_0010</x:v>
      </x:c>
      <x:c r="B11" t="str">
        <x:v>International Maritime Industries (IMI)</x:v>
      </x:c>
      <x:c r="C11" t="str">
        <x:v>Saudi Arabia</x:v>
      </x:c>
      <x:c r="D11" t="str">
        <x:v>Ras Al-Khair</x:v>
      </x:c>
      <x:c r="E11" t="str">
        <x:v>Commercial / offshore / naval shipbuilding</x:v>
      </x:c>
      <x:c r="F11" t="str">
        <x:v>Ultramax dry bulk; offshore; ship repair</x:v>
      </x:c>
      <x:c r="G11" t="str">
        <x:v>Active</x:v>
      </x:c>
      <x:c r="H11" t="str">
        <x:v>Bahri affiliate and builder for six geared Ultramax vessels.</x:v>
      </x:c>
      <x:c r="I11" t="str">
        <x:v>SRC_0077</x:v>
      </x:c>
    </x:row>
    <x:row r="12">
      <x:c r="A12" t="str">
        <x:v>YARD_0011</x:v>
      </x:c>
      <x:c r="B12" t="str">
        <x:v>China Merchants Jinling Shipyard (Jiangsu) Co Ltd</x:v>
      </x:c>
      <x:c r="C12" t="str">
        <x:v>China</x:v>
      </x:c>
      <x:c r="D12" t="str">
        <x:v>Jiangsu</x:v>
      </x:c>
      <x:c r="E12" t="str">
        <x:v>Commercial shipbuilding</x:v>
      </x:c>
      <x:c r="F12" t="str">
        <x:v>PCTC / Ro-Ro</x:v>
      </x:c>
      <x:c r="G12" t="str">
        <x:v>Active</x:v>
      </x:c>
      <x:c r="H12" t="str">
        <x:v>BYD 9,200 CEU newbuild builder.</x:v>
      </x:c>
      <x:c r="I12" t="str">
        <x:v>SRC_0092</x:v>
      </x:c>
    </x:row>
    <x:row r="13">
      <x:c r="A13" t="str">
        <x:v>YARD_0012</x:v>
      </x:c>
      <x:c r="B13" t="str">
        <x:v>China Merchants Heavy Industry (Jiangsu) Co Ltd</x:v>
      </x:c>
      <x:c r="C13" t="str">
        <x:v>China</x:v>
      </x:c>
      <x:c r="D13" t="str">
        <x:v>Jiangsu</x:v>
      </x:c>
      <x:c r="E13" t="str">
        <x:v>Commercial shipbuilding</x:v>
      </x:c>
      <x:c r="F13" t="str">
        <x:v>PCTC / Ro-Ro</x:v>
      </x:c>
      <x:c r="G13" t="str">
        <x:v>Active</x:v>
      </x:c>
      <x:c r="H13" t="str">
        <x:v>BYD 9,200 CEU newbuild builder.</x:v>
      </x:c>
      <x:c r="I13" t="str">
        <x:v>SRC_0093</x:v>
      </x:c>
    </x:row>
    <x:row r="14">
      <x:c r="A14" t="str">
        <x:v>YARD_0013</x:v>
      </x:c>
      <x:c r="B14" t="str">
        <x:v>Guangzhou Shipyard International</x:v>
      </x:c>
      <x:c r="C14" t="str">
        <x:v>China</x:v>
      </x:c>
      <x:c r="D14" t="str">
        <x:v>Guangzhou</x:v>
      </x:c>
      <x:c r="E14" t="str">
        <x:v>Commercial shipbuilding</x:v>
      </x:c>
      <x:c r="F14" t="str">
        <x:v>PCTC / Ro-Ro</x:v>
      </x:c>
      <x:c r="G14" t="str">
        <x:v>Active</x:v>
      </x:c>
      <x:c r="H14" t="str">
        <x:v>BYD-owned 7,000 CEU PCTC builder.</x:v>
      </x:c>
      <x:c r="I14" t="str">
        <x:v>SRC_0091</x:v>
      </x:c>
    </x:row>
    <x:row r="15">
      <x:c r="A15" t="str">
        <x:v>YARD_0014</x:v>
      </x:c>
      <x:c r="B15" t="str">
        <x:v>CIMC Raffles / Yantai Raffles</x:v>
      </x:c>
      <x:c r="C15" t="str">
        <x:v>China</x:v>
      </x:c>
      <x:c r="D15" t="str">
        <x:v>Yantai</x:v>
      </x:c>
      <x:c r="E15" t="str">
        <x:v>Commercial / offshore shipbuilding</x:v>
      </x:c>
      <x:c r="F15" t="str">
        <x:v>PCTC / offshore</x:v>
      </x:c>
      <x:c r="G15" t="str">
        <x:v>Active</x:v>
      </x:c>
      <x:c r="H15" t="str">
        <x:v>Builder of Zodiac-owned 7,000 CEU PCTCs chartered to BYD.</x:v>
      </x:c>
      <x:c r="I15" t="str">
        <x:v>SRC_0091</x:v>
      </x:c>
    </x:row>
    <x:row r="16">
      <x:c r="A16" t="str">
        <x:v>YARD_0015</x:v>
      </x:c>
      <x:c r="B16" t="str">
        <x:v>Zhoushan Changhong International Shipyard</x:v>
      </x:c>
      <x:c r="C16" t="str">
        <x:v>China</x:v>
      </x:c>
      <x:c r="D16" t="str">
        <x:v>Zhoushan</x:v>
      </x:c>
      <x:c r="E16" t="str">
        <x:v>Commercial shipbuilding</x:v>
      </x:c>
      <x:c r="F16" t="str">
        <x:v>Container ships</x:v>
      </x:c>
      <x:c r="G16" t="str">
        <x:v>Active</x:v>
      </x:c>
      <x:c r="H16" t="str">
        <x:v>Builder for ten ZIM-chartered 11,500 TEU LNG dual-fuel vessels.</x:v>
      </x:c>
      <x:c r="I16" t="str">
        <x:v>SRC_0097</x:v>
      </x:c>
    </x:row>
    <x:row r="17">
      <x:c r="A17" t="str">
        <x:v>YARD_0016</x:v>
      </x:c>
      <x:c r="B17" t="str">
        <x:v>Hyundai Mipo Dockyard</x:v>
      </x:c>
      <x:c r="C17" t="str">
        <x:v>South Korea</x:v>
      </x:c>
      <x:c r="D17" t="str">
        <x:v>Ulsan</x:v>
      </x:c>
      <x:c r="E17" t="str">
        <x:v>Commercial shipbuilding</x:v>
      </x:c>
      <x:c r="F17" t="str">
        <x:v>Feeder containerships; product carriers</x:v>
      </x:c>
      <x:c r="G17" t="str">
        <x:v>Active</x:v>
      </x:c>
      <x:c r="H17" t="str">
        <x:v>Historical/current SINOKOR builder.</x:v>
      </x:c>
      <x:c r="I17" t="str">
        <x:v>SRC_0102</x:v>
      </x:c>
    </x:row>
    <x:row r="18">
      <x:c r="A18" t="str">
        <x:v>YARD_0017</x:v>
      </x:c>
      <x:c r="B18" t="str">
        <x:v>Jiangsu Zhenjiang Shipyard</x:v>
      </x:c>
      <x:c r="C18" t="str">
        <x:v>China</x:v>
      </x:c>
      <x:c r="D18" t="str">
        <x:v>Jiangsu</x:v>
      </x:c>
      <x:c r="E18" t="str">
        <x:v>Commercial shipbuilding</x:v>
      </x:c>
      <x:c r="F18" t="str">
        <x:v>Small containerships; specialized carriers</x:v>
      </x:c>
      <x:c r="G18" t="str">
        <x:v>Active</x:v>
      </x:c>
      <x:c r="H18" t="str">
        <x:v>Builder shown on SINOKOR vessel page and ADNOC molten-sulphur newbuild.</x:v>
      </x:c>
      <x:c r="I18" t="str">
        <x:v>SRC_0102</x:v>
      </x:c>
    </x:row>
    <x:row r="19">
      <x:c r="A19" t="str">
        <x:v>YARD_0018</x:v>
      </x:c>
      <x:c r="B19" t="str">
        <x:v>Wenchong Shipyard</x:v>
      </x:c>
      <x:c r="C19" t="str">
        <x:v>China</x:v>
      </x:c>
      <x:c r="D19" t="str">
        <x:v>Guangzhou</x:v>
      </x:c>
      <x:c r="E19" t="str">
        <x:v>Commercial shipbuilding</x:v>
      </x:c>
      <x:c r="F19" t="str">
        <x:v>Feeder containerships</x:v>
      </x:c>
      <x:c r="G19" t="str">
        <x:v>Active</x:v>
      </x:c>
      <x:c r="H19" t="str">
        <x:v>SINOKOR vessel builder.</x:v>
      </x:c>
      <x:c r="I19" t="str">
        <x:v>SRC_0102</x:v>
      </x:c>
    </x:row>
    <x:row r="20">
      <x:c r="A20" t="str">
        <x:v>YARD_0019</x:v>
      </x:c>
      <x:c r="B20" t="str">
        <x:v>Fujian Mawei Shipbuilding</x:v>
      </x:c>
      <x:c r="C20" t="str">
        <x:v>China</x:v>
      </x:c>
      <x:c r="D20" t="str">
        <x:v>Fujian</x:v>
      </x:c>
      <x:c r="E20" t="str">
        <x:v>Commercial shipbuilding</x:v>
      </x:c>
      <x:c r="F20" t="str">
        <x:v>Feeder containerships</x:v>
      </x:c>
      <x:c r="G20" t="str">
        <x:v>Active</x:v>
      </x:c>
      <x:c r="H20" t="str">
        <x:v>SINOKOR vessel builder.</x:v>
      </x:c>
      <x:c r="I20" t="str">
        <x:v>SRC_0102</x:v>
      </x:c>
    </x:row>
    <x:row r="21">
      <x:c r="A21" t="str">
        <x:v>YARD_0020</x:v>
      </x:c>
      <x:c r="B21" t="str">
        <x:v>Taizhou Kouan Shipbuilding</x:v>
      </x:c>
      <x:c r="C21" t="str">
        <x:v>China</x:v>
      </x:c>
      <x:c r="D21" t="str">
        <x:v>Jiangsu</x:v>
      </x:c>
      <x:c r="E21" t="str">
        <x:v>Commercial shipbuilding</x:v>
      </x:c>
      <x:c r="F21" t="str">
        <x:v>Feeder containerships</x:v>
      </x:c>
      <x:c r="G21" t="str">
        <x:v>Active</x:v>
      </x:c>
      <x:c r="H21" t="str">
        <x:v>SINOKOR vessel builder.</x:v>
      </x:c>
      <x:c r="I21" t="str">
        <x:v>SRC_0102</x:v>
      </x:c>
    </x:row>
    <x:row r="22">
      <x:c r="A22" t="str">
        <x:v>YARD_0021</x:v>
      </x:c>
      <x:c r="B22" t="str">
        <x:v>Volkswerft Stralsund</x:v>
      </x:c>
      <x:c r="C22" t="str">
        <x:v>Germany</x:v>
      </x:c>
      <x:c r="D22" t="str">
        <x:v>Stralsund</x:v>
      </x:c>
      <x:c r="E22" t="str">
        <x:v>Commercial shipbuilding</x:v>
      </x:c>
      <x:c r="F22" t="str">
        <x:v>Containerships</x:v>
      </x:c>
      <x:c r="G22" t="str">
        <x:v>Active</x:v>
      </x:c>
      <x:c r="H22" t="str">
        <x:v>Builder listed for Chennai Voyager.</x:v>
      </x:c>
      <x:c r="I22" t="str">
        <x:v>SRC_0102</x:v>
      </x:c>
    </x:row>
    <x:row r="23">
      <x:c r="A23" t="str">
        <x:v>YARD_0022</x:v>
      </x:c>
      <x:c r="B23" t="str">
        <x:v>Murakami Hide Shipyard</x:v>
      </x:c>
      <x:c r="C23" t="str">
        <x:v>Japan</x:v>
      </x:c>
      <x:c r="D23" t="str"/>
      <x:c r="E23" t="str">
        <x:v>Commercial shipbuilding</x:v>
      </x:c>
      <x:c r="F23" t="str">
        <x:v>Small containerships</x:v>
      </x:c>
      <x:c r="G23" t="str">
        <x:v>Active</x:v>
      </x:c>
      <x:c r="H23" t="str">
        <x:v>Builder listed for SINOKOR NIIGATA.</x:v>
      </x:c>
      <x:c r="I23" t="str">
        <x:v>SRC_0102</x:v>
      </x:c>
    </x:row>
    <x:row r="24">
      <x:c r="A24" t="str">
        <x:v>YARD_0023</x:v>
      </x:c>
      <x:c r="B24" t="str">
        <x:v>Sungdong Shipbuilding &amp; Marine Engineering</x:v>
      </x:c>
      <x:c r="C24" t="str">
        <x:v>South Korea</x:v>
      </x:c>
      <x:c r="D24" t="str"/>
      <x:c r="E24" t="str">
        <x:v>Commercial shipbuilding</x:v>
      </x:c>
      <x:c r="F24" t="str">
        <x:v>Bulk carriers</x:v>
      </x:c>
      <x:c r="G24" t="str">
        <x:v>Active</x:v>
      </x:c>
      <x:c r="H24" t="str">
        <x:v>Builder listed for Geneva Queen.</x:v>
      </x:c>
      <x:c r="I24" t="str">
        <x:v>SRC_0102</x:v>
      </x:c>
    </x:row>
    <x:row r="25">
      <x:c r="A25" t="str">
        <x:v>YARD_0024</x:v>
      </x:c>
      <x:c r="B25" t="str">
        <x:v>Kyokuyo Shipyard</x:v>
      </x:c>
      <x:c r="C25" t="str">
        <x:v>Japan</x:v>
      </x:c>
      <x:c r="D25" t="str"/>
      <x:c r="E25" t="str">
        <x:v>Commercial shipbuilding</x:v>
      </x:c>
      <x:c r="F25" t="str">
        <x:v>Feeder containerships</x:v>
      </x:c>
      <x:c r="G25" t="str">
        <x:v>Active</x:v>
      </x:c>
      <x:c r="H25" t="str">
        <x:v>Builder listed for Nagoya Trader.</x:v>
      </x:c>
      <x:c r="I25" t="str">
        <x:v>SRC_0102</x:v>
      </x:c>
    </x:row>
    <x:row r="26">
      <x:c r="A26" t="str">
        <x:v>YARD_0025</x:v>
      </x:c>
      <x:c r="B26" t="str">
        <x:v>Fukuoka Shipbuilding</x:v>
      </x:c>
      <x:c r="C26" t="str">
        <x:v>Japan</x:v>
      </x:c>
      <x:c r="D26" t="str">
        <x:v>Fukuoka</x:v>
      </x:c>
      <x:c r="E26" t="str">
        <x:v>Commercial shipbuilding</x:v>
      </x:c>
      <x:c r="F26" t="str">
        <x:v>Tankers</x:v>
      </x:c>
      <x:c r="G26" t="str">
        <x:v>Active</x:v>
      </x:c>
      <x:c r="H26" t="str">
        <x:v>Builder listed for Ocean Pioneer.</x:v>
      </x:c>
      <x:c r="I26" t="str">
        <x:v>SRC_0102</x:v>
      </x:c>
    </x:row>
    <x:row r="27">
      <x:c r="A27" t="str">
        <x:v>YARD_0026</x:v>
      </x:c>
      <x:c r="B27" t="str">
        <x:v>Usuki Shipyard</x:v>
      </x:c>
      <x:c r="C27" t="str">
        <x:v>Japan</x:v>
      </x:c>
      <x:c r="D27" t="str">
        <x:v>Usuki</x:v>
      </x:c>
      <x:c r="E27" t="str">
        <x:v>Commercial shipbuilding</x:v>
      </x:c>
      <x:c r="F27" t="str">
        <x:v>Tankers</x:v>
      </x:c>
      <x:c r="G27" t="str">
        <x:v>Active</x:v>
      </x:c>
      <x:c r="H27" t="str">
        <x:v>Builder listed for No.2 Ocean Pioneer.</x:v>
      </x:c>
      <x:c r="I27" t="str">
        <x:v>SRC_0102</x:v>
      </x:c>
    </x:row>
  </x:sheetData>
  <x:pageMargins left="0.7" right="0.7" top="0.75" bottom="0.75" header="0.3" footer="0.3"/>
  <x:tableParts count="1">
    <x:tablePart xmlns:r="http://schemas.openxmlformats.org/officeDocument/2006/relationships" r:id="R4d11a924de584ffa"/>
  </x:tableParts>
</x:worksheet>
</file>

<file path=xl/worksheets/sheet14.xml><?xml version="1.0" encoding="utf-8"?>
<x:worksheet xmlns:x="http://schemas.openxmlformats.org/spreadsheetml/2006/main">
  <x:sheetFormatPr defaultRowHeight="15"/>
  <x:cols>
    <x:col min="1" max="1" width="18" hidden="0" customWidth="1"/>
    <x:col min="2" max="2" width="24" hidden="0" customWidth="1"/>
    <x:col min="3" max="3" width="24" hidden="0" customWidth="1"/>
    <x:col min="4" max="4" width="18" hidden="0" customWidth="1"/>
    <x:col min="5" max="5" width="24" hidden="0" customWidth="1"/>
    <x:col min="6" max="6" width="18" hidden="0" customWidth="1"/>
    <x:col min="7" max="7" width="18" hidden="0" customWidth="1"/>
    <x:col min="8" max="8" width="18" hidden="0" customWidth="1"/>
    <x:col min="9" max="9" width="18" hidden="0" customWidth="1"/>
    <x:col min="10" max="10" width="18" hidden="0" customWidth="1"/>
    <x:col min="11" max="11" width="34" hidden="0" customWidth="1"/>
    <x:col min="12" max="12" width="34" hidden="0" customWidth="1"/>
    <x:col min="13" max="13" width="32" hidden="0" customWidth="1"/>
  </x:cols>
  <x:sheetData>
    <x:row r="1">
      <x:c r="A1" s="190" t="str">
        <x:v>Investment ID</x:v>
      </x:c>
      <x:c r="B1" s="190" t="str">
        <x:v>Company ID</x:v>
      </x:c>
      <x:c r="C1" s="190" t="str">
        <x:v>Project</x:v>
      </x:c>
      <x:c r="D1" s="190" t="str">
        <x:v>Country</x:v>
      </x:c>
      <x:c r="E1" s="190" t="str">
        <x:v>Asset / Location</x:v>
      </x:c>
      <x:c r="F1" s="190" t="str">
        <x:v>Announced Date</x:v>
      </x:c>
      <x:c r="G1" s="190" t="str">
        <x:v>Reported Value</x:v>
      </x:c>
      <x:c r="H1" s="190" t="str">
        <x:v>Currency</x:v>
      </x:c>
      <x:c r="I1" s="190" t="str">
        <x:v>USD Value if Reported</x:v>
      </x:c>
      <x:c r="J1" s="190" t="str">
        <x:v>Status</x:v>
      </x:c>
      <x:c r="K1" s="190" t="str">
        <x:v>Capacity / Scope</x:v>
      </x:c>
      <x:c r="L1" s="190" t="str">
        <x:v>Strategic Relevance</x:v>
      </x:c>
      <x:c r="M1" s="190" t="str">
        <x:v>Source ID</x:v>
      </x:c>
    </x:row>
    <x:row r="2">
      <x:c r="A2" s="42" t="str">
        <x:v>INV001</x:v>
      </x:c>
      <x:c r="B2" s="42" t="str">
        <x:v>COMP_CMA_CGM</x:v>
      </x:c>
      <x:c r="C2" s="42" t="str">
        <x:v>2025 terminal portfolio investment programme</x:v>
      </x:c>
      <x:c r="D2" s="42" t="str">
        <x:v>Global</x:v>
      </x:c>
      <x:c r="E2" s="42"/>
      <x:c r="F2" s="42" t="str">
        <x:v>2025-12-31</x:v>
      </x:c>
      <x:c r="G2" s="42" t="str">
        <x:v>2500000000</x:v>
      </x:c>
      <x:c r="H2" s="42" t="str">
        <x:v>USD</x:v>
      </x:c>
      <x:c r="I2" s="42" t="str">
        <x:v>2500000000</x:v>
      </x:c>
      <x:c r="J2" s="42" t="str">
        <x:v>Completed / ongoing</x:v>
      </x:c>
      <x:c r="K2" s="42" t="str">
        <x:v>Expansion to 66 terminals across 40 countries</x:v>
      </x:c>
      <x:c r="L2" s="42" t="str">
        <x:v>Terminal capacity and end-to-end control</x:v>
      </x:c>
      <x:c r="M2" s="42" t="str">
        <x:v>SRC_0031</x:v>
      </x:c>
    </x:row>
    <x:row r="3">
      <x:c r="A3" s="42" t="str">
        <x:v>INV002</x:v>
      </x:c>
      <x:c r="B3" s="42" t="str">
        <x:v>COMP_CMA_TERMINALS</x:v>
      </x:c>
      <x:c r="C3" s="42" t="str">
        <x:v>Jeddah Terminal 4 initial development</x:v>
      </x:c>
      <x:c r="D3" s="42" t="str">
        <x:v>Saudi Arabia</x:v>
      </x:c>
      <x:c r="E3" s="42" t="str">
        <x:v>Terminal 4, Jeddah Islamic Port</x:v>
      </x:c>
      <x:c r="F3" s="42" t="str">
        <x:v>2026-01-01</x:v>
      </x:c>
      <x:c r="G3" s="42" t="str">
        <x:v>434000000</x:v>
      </x:c>
      <x:c r="H3" s="42" t="str">
        <x:v>USD</x:v>
      </x:c>
      <x:c r="I3" s="42" t="str">
        <x:v>434000000</x:v>
      </x:c>
      <x:c r="J3" s="42" t="str">
        <x:v>Development</x:v>
      </x:c>
      <x:c r="K3" s="42" t="str">
        <x:v>Up to 2.6m TEU target capacity</x:v>
      </x:c>
      <x:c r="L3" s="42" t="str">
        <x:v>Saudi Red Sea gateway investment</x:v>
      </x:c>
      <x:c r="M3" s="42" t="str">
        <x:v>SRC_0004</x:v>
      </x:c>
    </x:row>
    <x:row r="4">
      <x:c r="A4" s="42" t="str">
        <x:v>INV003</x:v>
      </x:c>
      <x:c r="B4" s="42" t="str">
        <x:v>COMP_CEVA</x:v>
      </x:c>
      <x:c r="C4" s="42" t="str">
        <x:v>FedEx Supply Chain acquisition</x:v>
      </x:c>
      <x:c r="D4" s="42" t="str">
        <x:v>United States</x:v>
      </x:c>
      <x:c r="E4" s="42" t="str">
        <x:v>FedEx Supply Chain</x:v>
      </x:c>
      <x:c r="F4" s="42" t="str">
        <x:v>2026-07-01</x:v>
      </x:c>
      <x:c r="G4" s="42" t="str">
        <x:v>1400000000</x:v>
      </x:c>
      <x:c r="H4" s="42" t="str">
        <x:v>USD</x:v>
      </x:c>
      <x:c r="I4" s="42" t="str">
        <x:v>1400000000</x:v>
      </x:c>
      <x:c r="J4" s="42" t="str">
        <x:v>Pending close 2026</x:v>
      </x:c>
      <x:c r="K4" s="42" t="str">
        <x:v>Would nearly triple CEVA North American contract logistics</x:v>
      </x:c>
      <x:c r="L4" s="42" t="str">
        <x:v>Major North American logistics consolidation</x:v>
      </x:c>
      <x:c r="M4" s="42" t="str">
        <x:v>SRC_0028</x:v>
      </x:c>
    </x:row>
    <x:row r="5">
      <x:c r="A5" s="42" t="str">
        <x:v>INV004</x:v>
      </x:c>
      <x:c r="B5" s="42" t="str">
        <x:v>COMP_APMT</x:v>
      </x:c>
      <x:c r="C5" s="42" t="str">
        <x:v>Lázaro Cárdenas Phase II</x:v>
      </x:c>
      <x:c r="D5" s="42" t="str">
        <x:v>Mexico</x:v>
      </x:c>
      <x:c r="E5" s="42" t="str">
        <x:v>APM Terminals Lázaro Cárdenas</x:v>
      </x:c>
      <x:c r="F5" s="42" t="str">
        <x:v>2026-03-20</x:v>
      </x:c>
      <x:c r="G5" s="42" t="str">
        <x:v>140000000</x:v>
      </x:c>
      <x:c r="H5" s="42" t="str">
        <x:v>USD</x:v>
      </x:c>
      <x:c r="I5" s="42" t="str">
        <x:v>140000000</x:v>
      </x:c>
      <x:c r="J5" s="42" t="str">
        <x:v>Commissioned</x:v>
      </x:c>
      <x:c r="K5" s="42" t="str">
        <x:v>Capacity to 2m TEU</x:v>
      </x:c>
      <x:c r="L5" s="42" t="str">
        <x:v>Pacific gateway automation/electrification</x:v>
      </x:c>
      <x:c r="M5" s="42" t="str">
        <x:v>SRC_0044</x:v>
      </x:c>
    </x:row>
    <x:row r="6">
      <x:c r="A6" s="42" t="str">
        <x:v>INV005</x:v>
      </x:c>
      <x:c r="B6" s="42" t="str">
        <x:v>COMP_APMT</x:v>
      </x:c>
      <x:c r="C6" s="42" t="str">
        <x:v>Lázaro Cárdenas Phase III</x:v>
      </x:c>
      <x:c r="D6" s="42" t="str">
        <x:v>Mexico</x:v>
      </x:c>
      <x:c r="E6" s="42" t="str">
        <x:v>APM Terminals Lázaro Cárdenas</x:v>
      </x:c>
      <x:c r="F6" s="42" t="str">
        <x:v>2026-03-20</x:v>
      </x:c>
      <x:c r="G6" s="42" t="str">
        <x:v>350000000</x:v>
      </x:c>
      <x:c r="H6" s="42" t="str">
        <x:v>USD</x:v>
      </x:c>
      <x:c r="I6" s="42" t="str">
        <x:v>350000000</x:v>
      </x:c>
      <x:c r="J6" s="42" t="str">
        <x:v>Construction started</x:v>
      </x:c>
      <x:c r="K6" s="42" t="str">
        <x:v>Further capacity expansion</x:v>
      </x:c>
      <x:c r="L6" s="42" t="str">
        <x:v>Regional Mexico/Pacific trade growth</x:v>
      </x:c>
      <x:c r="M6" s="42" t="str">
        <x:v>SRC_0044</x:v>
      </x:c>
    </x:row>
    <x:row r="7">
      <x:c r="A7" s="42" t="str">
        <x:v>INV006</x:v>
      </x:c>
      <x:c r="B7" s="42" t="str">
        <x:v>COMP_APMT</x:v>
      </x:c>
      <x:c r="C7" s="42" t="str">
        <x:v>Suape fully electric terminal</x:v>
      </x:c>
      <x:c r="D7" s="42" t="str">
        <x:v>Brazil</x:v>
      </x:c>
      <x:c r="E7" s="42" t="str">
        <x:v>APM Terminals Suape</x:v>
      </x:c>
      <x:c r="F7" s="42" t="str">
        <x:v>2026-01-01</x:v>
      </x:c>
      <x:c r="G7" s="42" t="str">
        <x:v>300000000</x:v>
      </x:c>
      <x:c r="H7" s="42" t="str">
        <x:v>EUR</x:v>
      </x:c>
      <x:c r="I7" s="42"/>
      <x:c r="J7" s="42" t="str">
        <x:v>Development / target Q3 2026</x:v>
      </x:c>
      <x:c r="K7" s="42" t="str">
        <x:v>Port capacity +55% cited</x:v>
      </x:c>
      <x:c r="L7" s="42" t="str">
        <x:v>Electrified terminal and Northeast Brazil gateway</x:v>
      </x:c>
      <x:c r="M7" s="42" t="str">
        <x:v>SRC_0018</x:v>
      </x:c>
    </x:row>
    <x:row r="8">
      <x:c r="A8" s="42" t="str">
        <x:v>INV007</x:v>
      </x:c>
      <x:c r="B8" s="42" t="str">
        <x:v>COMP_DPW</x:v>
      </x:c>
      <x:c r="C8" s="42" t="str">
        <x:v>2025 strategic infrastructure capex</x:v>
      </x:c>
      <x:c r="D8" s="42" t="str">
        <x:v>Global</x:v>
      </x:c>
      <x:c r="E8" s="42" t="str">
        <x:v>Global portfolio</x:v>
      </x:c>
      <x:c r="F8" s="42" t="str">
        <x:v>2025-12-31</x:v>
      </x:c>
      <x:c r="G8" s="42" t="str">
        <x:v>3100000000</x:v>
      </x:c>
      <x:c r="H8" s="42" t="str">
        <x:v>USD</x:v>
      </x:c>
      <x:c r="I8" s="42" t="str">
        <x:v>3100000000</x:v>
      </x:c>
      <x:c r="J8" s="42" t="str">
        <x:v>Invested</x:v>
      </x:c>
      <x:c r="K8" s="42" t="str">
        <x:v>Tuna Tekra, Banana, Ndayane, Posorja and London Gateway among major projects</x:v>
      </x:c>
      <x:c r="L8" s="42" t="str">
        <x:v>Global network expansion</x:v>
      </x:c>
      <x:c r="M8" s="42" t="str">
        <x:v>SRC_0034</x:v>
      </x:c>
    </x:row>
    <x:row r="9">
      <x:c r="A9" s="42" t="str">
        <x:v>INV008</x:v>
      </x:c>
      <x:c r="B9" s="42" t="str">
        <x:v>COMP_ADPORTS</x:v>
      </x:c>
      <x:c r="C9" s="42" t="str">
        <x:v>CLI acquisition</x:v>
      </x:c>
      <x:c r="D9" s="42" t="str">
        <x:v>Brazil</x:v>
      </x:c>
      <x:c r="E9" s="42" t="str">
        <x:v>CLI</x:v>
      </x:c>
      <x:c r="F9" s="42" t="str">
        <x:v>2026-06-30</x:v>
      </x:c>
      <x:c r="G9" s="42" t="str">
        <x:v>3100000000</x:v>
      </x:c>
      <x:c r="H9" s="42" t="str">
        <x:v>AED</x:v>
      </x:c>
      <x:c r="I9" s="42"/>
      <x:c r="J9" s="42" t="str">
        <x:v>Announced Q2 2026</x:v>
      </x:c>
      <x:c r="K9" s="42" t="str">
        <x:v>Strategic entry into South America</x:v>
      </x:c>
      <x:c r="L9" s="42" t="str">
        <x:v>Corridor expansion into Brazil</x:v>
      </x:c>
      <x:c r="M9" s="42" t="str">
        <x:v>SRC_0010</x:v>
      </x:c>
    </x:row>
    <x:row r="10">
      <x:c r="A10" s="42" t="str">
        <x:v>INV009</x:v>
      </x:c>
      <x:c r="B10" s="42" t="str">
        <x:v>COMP_ADPORTS</x:v>
      </x:c>
      <x:c r="C10" s="42" t="str">
        <x:v>EGA dedicated berth infrastructure</x:v>
      </x:c>
      <x:c r="D10" s="42" t="str">
        <x:v>United Arab Emirates</x:v>
      </x:c>
      <x:c r="E10" s="42" t="str">
        <x:v>Khalifa Port</x:v>
      </x:c>
      <x:c r="F10" s="42" t="str">
        <x:v>2026-06-30</x:v>
      </x:c>
      <x:c r="G10" s="42" t="str">
        <x:v>84000000</x:v>
      </x:c>
      <x:c r="H10" s="42" t="str">
        <x:v>AED</x:v>
      </x:c>
      <x:c r="I10" s="42"/>
      <x:c r="J10" s="42" t="str">
        <x:v>Agreement</x:v>
      </x:c>
      <x:c r="K10" s="42" t="str">
        <x:v>Enhance dedicated berth infrastructure</x:v>
      </x:c>
      <x:c r="L10" s="42" t="str">
        <x:v>Industrial cargo integration</x:v>
      </x:c>
      <x:c r="M10" s="42" t="str">
        <x:v>SRC_0010</x:v>
      </x:c>
    </x:row>
    <x:row r="11">
      <x:c r="A11" s="42" t="str">
        <x:v>INV010</x:v>
      </x:c>
      <x:c r="B11" s="42" t="str">
        <x:v>COMP_GULFTAINER</x:v>
      </x:c>
      <x:c r="C11" s="42" t="str">
        <x:v>Al Dhaid Multi-Modal Trade Corridor</x:v>
      </x:c>
      <x:c r="D11" s="42" t="str">
        <x:v>United Arab Emirates</x:v>
      </x:c>
      <x:c r="E11" s="42" t="str">
        <x:v>Al Dhaid</x:v>
      </x:c>
      <x:c r="F11" s="42" t="str">
        <x:v>2026-06-10</x:v>
      </x:c>
      <x:c r="G11" s="42"/>
      <x:c r="H11" s="42"/>
      <x:c r="I11" s="42"/>
      <x:c r="J11" s="42" t="str">
        <x:v>Development</x:v>
      </x:c>
      <x:c r="K11" s="42" t="str">
        <x:v>150 ha; 1.5m TEU annual capacity</x:v>
      </x:c>
      <x:c r="L11" s="42" t="str">
        <x:v>Inland extension for Khorfakkan and GCC</x:v>
      </x:c>
      <x:c r="M11" s="42" t="str">
        <x:v>SRC_0041</x:v>
      </x:c>
    </x:row>
    <x:row r="12">
      <x:c r="A12" s="42" t="str">
        <x:v>INV011</x:v>
      </x:c>
      <x:c r="B12" s="42" t="str">
        <x:v>COMP_FORTH</x:v>
      </x:c>
      <x:c r="C12" s="42" t="str">
        <x:v>Port of Leith renewables hub transformation</x:v>
      </x:c>
      <x:c r="D12" s="42" t="str">
        <x:v>United Kingdom</x:v>
      </x:c>
      <x:c r="E12" s="42" t="str">
        <x:v>Leith</x:v>
      </x:c>
      <x:c r="F12" s="42" t="str">
        <x:v>2026-01-01</x:v>
      </x:c>
      <x:c r="G12" s="42" t="str">
        <x:v>100000000</x:v>
      </x:c>
      <x:c r="H12" s="42" t="str">
        <x:v>GBP</x:v>
      </x:c>
      <x:c r="I12" s="42"/>
      <x:c r="J12" s="42" t="str">
        <x:v>Invested / ongoing</x:v>
      </x:c>
      <x:c r="K12" s="42" t="str">
        <x:v>£100m+ investment; 175-acre renewables hub</x:v>
      </x:c>
      <x:c r="L12" s="42" t="str">
        <x:v>Offshore wind and renewables infrastructure</x:v>
      </x:c>
      <x:c r="M12" s="42" t="str">
        <x:v>SRC_0007</x:v>
      </x:c>
    </x:row>
    <x:row r="13">
      <x:c r="A13" s="42" t="str">
        <x:v>INV012</x:v>
      </x:c>
      <x:c r="B13" s="42" t="str">
        <x:v>COMP_ABP</x:v>
      </x:c>
      <x:c r="C13" s="42" t="str">
        <x:v>Ready for Tomorrow green investment pipeline</x:v>
      </x:c>
      <x:c r="D13" s="42" t="str">
        <x:v>United Kingdom</x:v>
      </x:c>
      <x:c r="E13" s="42" t="str">
        <x:v>ABP network</x:v>
      </x:c>
      <x:c r="F13" s="42" t="str">
        <x:v>2024-01-01</x:v>
      </x:c>
      <x:c r="G13" s="42" t="str">
        <x:v>5500000000</x:v>
      </x:c>
      <x:c r="H13" s="42" t="str">
        <x:v>GBP</x:v>
      </x:c>
      <x:c r="I13" s="42"/>
      <x:c r="J13" s="42" t="str">
        <x:v>Planned over ~10 years</x:v>
      </x:c>
      <x:c r="K13" s="42" t="str">
        <x:v>£5.5bn+ future green investment cited</x:v>
      </x:c>
      <x:c r="L13" s="42" t="str">
        <x:v>Energy transition across UK ports</x:v>
      </x:c>
      <x:c r="M13" s="42" t="str">
        <x:v>SRC_0002</x:v>
      </x:c>
    </x:row>
    <x:row r="14">
      <x:c r="A14" s="102" t="str">
        <x:v>INV013</x:v>
      </x:c>
      <x:c r="B14" s="102" t="str">
        <x:v>COMP_STONEPEAK</x:v>
      </x:c>
      <x:c r="C14" s="102" t="str">
        <x:v>United Ports LLC 25% stake</x:v>
      </x:c>
      <x:c r="D14" s="102" t="str">
        <x:v>Global</x:v>
      </x:c>
      <x:c r="E14" s="102" t="str">
        <x:v>United Ports LLC / 9 port terminals</x:v>
      </x:c>
      <x:c r="F14" s="102" t="str">
        <x:v>2026-07-28</x:v>
      </x:c>
      <x:c r="G14" s="102" t="n">
        <x:v>2400000000</x:v>
      </x:c>
      <x:c r="H14" s="102" t="str">
        <x:v>USD</x:v>
      </x:c>
      <x:c r="I14" s="102" t="n">
        <x:v>2400000000</x:v>
      </x:c>
      <x:c r="J14" s="102" t="str">
        <x:v>Completed</x:v>
      </x:c>
      <x:c r="K14" s="102" t="str">
        <x:v>25% stake; CMA CGM retains 75% and operational control</x:v>
      </x:c>
      <x:c r="L14" s="102" t="str">
        <x:v>Private infrastructure capital enters strategic terminal portfolio</x:v>
      </x:c>
      <x:c r="M14" s="102" t="str">
        <x:v>SRC_0256</x:v>
      </x:c>
    </x:row>
    <x:row r="15">
      <x:c r="A15" s="102" t="str">
        <x:v>INV014</x:v>
      </x:c>
      <x:c r="B15" s="102" t="str">
        <x:v>COMP_BROOKFIELD_INFRA</x:v>
      </x:c>
      <x:c r="C15" s="102" t="str">
        <x:v>Partial disposition of UK port operation</x:v>
      </x:c>
      <x:c r="D15" s="102" t="str">
        <x:v>United Kingdom</x:v>
      </x:c>
      <x:c r="E15" s="102" t="str">
        <x:v>PD Ports / UK port operation</x:v>
      </x:c>
      <x:c r="F15" s="102" t="str">
        <x:v>2025-10-01</x:v>
      </x:c>
      <x:c r="G15" s="102" t="n">
        <x:v>380000000</x:v>
      </x:c>
      <x:c r="H15" s="102" t="str">
        <x:v>USD</x:v>
      </x:c>
      <x:c r="I15" s="102" t="n">
        <x:v>380000000</x:v>
      </x:c>
      <x:c r="J15" s="102" t="str">
        <x:v>Completed</x:v>
      </x:c>
      <x:c r="K15" s="102" t="str">
        <x:v>Sold 34% interest and retained 25%</x:v>
      </x:c>
      <x:c r="L15" s="102" t="str">
        <x:v>Ownership/control change in UK port infrastructure</x:v>
      </x:c>
      <x:c r="M15" s="102" t="str">
        <x:v>SRC_0255</x:v>
      </x:c>
    </x:row>
    <x:row r="16">
      <x:c r="A16" s="102" t="str">
        <x:v>INV015</x:v>
      </x:c>
      <x:c r="B16" s="102" t="str">
        <x:v>COMP_KKR</x:v>
      </x:c>
      <x:c r="C16" s="102" t="str">
        <x:v>Four-asset UK logistics portfolio acquisition</x:v>
      </x:c>
      <x:c r="D16" s="102" t="str">
        <x:v>United Kingdom</x:v>
      </x:c>
      <x:c r="E16" s="102" t="str">
        <x:v>Stafford / Crewe / Ellesmere Port / Wakefield</x:v>
      </x:c>
      <x:c r="F16" s="102" t="str">
        <x:v>2026-07-31</x:v>
      </x:c>
      <x:c r="G16" s="102" t="n">
        <x:v>170000000</x:v>
      </x:c>
      <x:c r="H16" s="102" t="str">
        <x:v>GBP</x:v>
      </x:c>
      <x:c r="I16" s="102"/>
      <x:c r="J16" s="102" t="str">
        <x:v>Completed</x:v>
      </x:c>
      <x:c r="K16" s="102" t="str">
        <x:v>1.25m sq ft across four logistics assets</x:v>
      </x:c>
      <x:c r="L16" s="102" t="str">
        <x:v>Port-adjacent and inland logistics real-estate accumulation</x:v>
      </x:c>
      <x:c r="M16" s="102" t="str">
        <x:v>SRC_0263</x:v>
      </x:c>
    </x:row>
    <x:row r="17">
      <x:c r="A17" s="102" t="str">
        <x:v>INV016</x:v>
      </x:c>
      <x:c r="B17" s="102" t="str">
        <x:v>COMP_PROLOGIS</x:v>
      </x:c>
      <x:c r="C17" s="102" t="str">
        <x:v>U.S. build-to-suit logistics JV with GIC</x:v>
      </x:c>
      <x:c r="D17" s="102" t="str">
        <x:v>United States</x:v>
      </x:c>
      <x:c r="E17" s="102" t="str">
        <x:v>Major U.S. logistics markets</x:v>
      </x:c>
      <x:c r="F17" s="102" t="str">
        <x:v>2026-03-19</x:v>
      </x:c>
      <x:c r="G17" s="102" t="n">
        <x:v>1600000000</x:v>
      </x:c>
      <x:c r="H17" s="102" t="str">
        <x:v>USD</x:v>
      </x:c>
      <x:c r="I17" s="102" t="n">
        <x:v>1600000000</x:v>
      </x:c>
      <x:c r="J17" s="102" t="str">
        <x:v>Formed</x:v>
      </x:c>
      <x:c r="K17" s="102" t="str">
        <x:v>Combined capital commitments; initial portfolio ~4.1m sq ft</x:v>
      </x:c>
      <x:c r="L17" s="102" t="str">
        <x:v>Institutional capital supporting logistics distribution capacity</x:v>
      </x:c>
      <x:c r="M17" s="102" t="str">
        <x:v>SRC_0267</x:v>
      </x:c>
    </x:row>
    <x:row r="18">
      <x:c r="A18" s="102" t="str">
        <x:v>INV017</x:v>
      </x:c>
      <x:c r="B18" s="102" t="str">
        <x:v>COMP_LA_CAISSE</x:v>
      </x:c>
      <x:c r="C18" s="102" t="str">
        <x:v>PLIVE pan-European logistics JV</x:v>
      </x:c>
      <x:c r="D18" s="102" t="str">
        <x:v>Europe</x:v>
      </x:c>
      <x:c r="E18" s="102" t="str">
        <x:v>France / Germany / Netherlands / Sweden / UK</x:v>
      </x:c>
      <x:c r="F18" s="102" t="str">
        <x:v>2026-04-09</x:v>
      </x:c>
      <x:c r="G18" s="102" t="n">
        <x:v>1000000000</x:v>
      </x:c>
      <x:c r="H18" s="102" t="str">
        <x:v>EUR</x:v>
      </x:c>
      <x:c r="I18" s="102"/>
      <x:c r="J18" s="102" t="str">
        <x:v>Formed</x:v>
      </x:c>
      <x:c r="K18" s="102" t="str">
        <x:v>EUR1bn seed portfolio; La Caisse 70%, Prologis 30%</x:v>
      </x:c>
      <x:c r="L18" s="102" t="str">
        <x:v>Large institutional capital platform for European logistics real estate</x:v>
      </x:c>
      <x:c r="M18" s="102" t="str">
        <x:v>SRC_0268</x:v>
      </x:c>
    </x:row>
    <x:row r="19">
      <x:c r="A19" s="102" t="str">
        <x:v>INV018</x:v>
      </x:c>
      <x:c r="B19" s="102" t="str">
        <x:v>COMP_BLACKROCK</x:v>
      </x:c>
      <x:c r="C19" s="102" t="str">
        <x:v>Acquisition of Global Infrastructure Partners</x:v>
      </x:c>
      <x:c r="D19" s="102" t="str">
        <x:v>Global</x:v>
      </x:c>
      <x:c r="E19" s="102" t="str">
        <x:v>Global Infrastructure Partners</x:v>
      </x:c>
      <x:c r="F19" s="102" t="str">
        <x:v>2024-10-01</x:v>
      </x:c>
      <x:c r="G19" s="102" t="n">
        <x:v>3000000000</x:v>
      </x:c>
      <x:c r="H19" s="102" t="str">
        <x:v>USD</x:v>
      </x:c>
      <x:c r="I19" s="102" t="n">
        <x:v>3000000000</x:v>
      </x:c>
      <x:c r="J19" s="102" t="str">
        <x:v>Completed</x:v>
      </x:c>
      <x:c r="K19" s="102" t="str">
        <x:v>$3bn cash plus BlackRock shares; GIP branded as part of BlackRock</x:v>
      </x:c>
      <x:c r="L19" s="102" t="str">
        <x:v>Consolidates major port/transport infrastructure investment platform</x:v>
      </x:c>
      <x:c r="M19" s="102" t="str">
        <x:v>SRC_0258</x:v>
      </x:c>
    </x:row>
    <x:row r="20">
      <x:c r="A20" s="102" t="str">
        <x:v>INV019</x:v>
      </x:c>
      <x:c r="B20" s="102" t="str">
        <x:v>COMP_ADPORTS</x:v>
      </x:c>
      <x:c r="C20" s="102" t="str">
        <x:v>Tbilisi Dry Port 60% majority acquisition</x:v>
      </x:c>
      <x:c r="D20" s="102" t="str">
        <x:v>Georgia</x:v>
      </x:c>
      <x:c r="E20" s="102" t="str">
        <x:v>Tbilisi Dry Port / Tbilisi Intermodal Hub</x:v>
      </x:c>
      <x:c r="F20" s="102" t="str">
        <x:v>2024-08-15</x:v>
      </x:c>
      <x:c r="G20" s="102"/>
      <x:c r="H20" s="102"/>
      <x:c r="I20" s="102"/>
      <x:c r="J20" s="102" t="str">
        <x:v>Completed</x:v>
      </x:c>
      <x:c r="K20" s="102" t="str">
        <x:v>60% majority stake</x:v>
      </x:c>
      <x:c r="L20" s="102" t="str">
        <x:v>Middle Corridor inland-terminal ownership and logistics real-estate exposure</x:v>
      </x:c>
      <x:c r="M20" s="102" t="str">
        <x:v>SRC_0277</x:v>
      </x:c>
    </x:row>
    <x:row r="21">
      <x:c r="A21" s="102" t="str">
        <x:v>INV020</x:v>
      </x:c>
      <x:c r="B21" s="102" t="str">
        <x:v>COMP_KEZAD</x:v>
      </x:c>
      <x:c r="C21" s="102" t="str">
        <x:v>KEZAD East Port Said Economic Zone</x:v>
      </x:c>
      <x:c r="D21" s="102" t="str">
        <x:v>Egypt</x:v>
      </x:c>
      <x:c r="E21" s="102" t="str">
        <x:v>East Port Said industrial and logistics park</x:v>
      </x:c>
      <x:c r="F21" s="102" t="str">
        <x:v>2025-01-01</x:v>
      </x:c>
      <x:c r="G21" s="102" t="n">
        <x:v>120000000</x:v>
      </x:c>
      <x:c r="H21" s="102" t="str">
        <x:v>USD</x:v>
      </x:c>
      <x:c r="I21" s="102" t="n">
        <x:v>120000000</x:v>
      </x:c>
      <x:c r="J21" s="102" t="str">
        <x:v>Development / phase 1</x:v>
      </x:c>
      <x:c r="K21" s="102" t="str">
        <x:v>20 km2 park; phase 1 2.8 km2; 50-year renewable usufruct</x:v>
      </x:c>
      <x:c r="L21" s="102" t="str">
        <x:v>Port-linked economic-zone and logistics-real-estate expansion</x:v>
      </x:c>
      <x:c r="M21" s="102" t="str">
        <x:v>SRC_0281</x:v>
      </x:c>
    </x:row>
    <x:row r="22">
      <x:c r="A22" s="102" t="str">
        <x:v>INV021</x:v>
      </x:c>
      <x:c r="B22" s="102" t="str">
        <x:v>COMP_STONEPEAK</x:v>
      </x:c>
      <x:c r="C22" s="102" t="str">
        <x:v>Fort Worth rail-served logistics asset acquisition</x:v>
      </x:c>
      <x:c r="D22" s="102" t="str">
        <x:v>United States</x:v>
      </x:c>
      <x:c r="E22" s="102" t="str">
        <x:v>Alliance submarket, Fort Worth, Texas</x:v>
      </x:c>
      <x:c r="F22" s="102" t="str">
        <x:v>2026-08-11</x:v>
      </x:c>
      <x:c r="G22" s="102"/>
      <x:c r="H22" s="102"/>
      <x:c r="I22" s="102"/>
      <x:c r="J22" s="102" t="str">
        <x:v>Completed</x:v>
      </x:c>
      <x:c r="K22" s="102" t="str">
        <x:v>860,100 sq ft; rail-served; BNSF Alliance / cargo-airport / I-35 access</x:v>
      </x:c>
      <x:c r="L22" s="102" t="str">
        <x:v>Infrastructure-oriented logistics real estate on North American trade corridor</x:v>
      </x:c>
      <x:c r="M22" s="102" t="str">
        <x:v>SRC_0285</x:v>
      </x:c>
    </x:row>
    <x:row r="23">
      <x:c r="A23" s="42" t="str">
        <x:v>INV022</x:v>
      </x:c>
      <x:c r="B23" s="42" t="str">
        <x:v>COMP_DHL_SUPPLY_CHAIN</x:v>
      </x:c>
      <x:c r="C23" s="42" t="str">
        <x:v>SILZ Riyadh regional logistics and distribution hub</x:v>
      </x:c>
      <x:c r="D23" s="42" t="str">
        <x:v>Saudi Arabia</x:v>
      </x:c>
      <x:c r="E23" s="42" t="str">
        <x:v>Special Integrated Logistics Zone, Riyadh</x:v>
      </x:c>
      <x:c r="F23" s="42" t="str">
        <x:v>2025-11-24</x:v>
      </x:c>
      <x:c r="G23" s="42" t="str">
        <x:v>130000000</x:v>
      </x:c>
      <x:c r="H23" s="42" t="str">
        <x:v>EUR</x:v>
      </x:c>
      <x:c r="I23" s="42" t="str"/>
      <x:c r="J23" s="42" t="str">
        <x:v>Development</x:v>
      </x:c>
      <x:c r="K23" s="42" t="str">
        <x:v>78,000 sqm site; 53,000 sqm multi-user warehouse; 26-year lease; completion expected Q2 2027</x:v>
      </x:c>
      <x:c r="L23" s="42" t="str">
        <x:v>Places DHL inside Saudi Arabia's airport-linked bonded logistics-zone strategy; part of wider €500m Middle East program.</x:v>
      </x:c>
      <x:c r="M23" s="42" t="str">
        <x:v>SRC_0296</x:v>
      </x:c>
    </x:row>
    <x:row r="24">
      <x:c r="A24" s="42" t="str">
        <x:v>INV023</x:v>
      </x:c>
      <x:c r="B24" s="42" t="str">
        <x:v>COMP_FEDERAL_EXPRESS</x:v>
      </x:c>
      <x:c r="C24" s="42" t="str">
        <x:v>Delhi Integrated Air Cargo Hub</x:v>
      </x:c>
      <x:c r="D24" s="42" t="str">
        <x:v>India</x:v>
      </x:c>
      <x:c r="E24" s="42" t="str">
        <x:v>GMR Cargo City, Delhi IGI Airport</x:v>
      </x:c>
      <x:c r="F24" s="42" t="str">
        <x:v>2026-08-25</x:v>
      </x:c>
      <x:c r="G24" s="42" t="str">
        <x:v>150000000</x:v>
      </x:c>
      <x:c r="H24" s="42" t="str">
        <x:v>USD</x:v>
      </x:c>
      <x:c r="I24" s="42" t="str">
        <x:v>150000000</x:v>
      </x:c>
      <x:c r="J24" s="42" t="str">
        <x:v>Planned / development</x:v>
      </x:c>
      <x:c r="K24" s="42" t="str">
        <x:v>230,000 sq ft automated hub integrating gateway and pickup/delivery</x:v>
      </x:c>
      <x:c r="L24" s="42" t="str">
        <x:v>Expands FedEx physical control at a major Indian air-cargo gateway.</x:v>
      </x:c>
      <x:c r="M24" s="42" t="str">
        <x:v>SRC_0300</x:v>
      </x:c>
    </x:row>
    <x:row r="25">
      <x:c r="A25" s="42" t="str">
        <x:v>INV024</x:v>
      </x:c>
      <x:c r="B25" s="42" t="str">
        <x:v>COMP_AMAZON_AIR</x:v>
      </x:c>
      <x:c r="C25" s="42" t="str">
        <x:v>Amazon Air CVG Hub</x:v>
      </x:c>
      <x:c r="D25" s="42" t="str">
        <x:v>United States</x:v>
      </x:c>
      <x:c r="E25" s="42" t="str">
        <x:v>Cincinnati/Northern Kentucky International Airport</x:v>
      </x:c>
      <x:c r="F25" s="42" t="str">
        <x:v>2021-08-05</x:v>
      </x:c>
      <x:c r="G25" s="42" t="str">
        <x:v>1500000000</x:v>
      </x:c>
      <x:c r="H25" s="42" t="str">
        <x:v>USD</x:v>
      </x:c>
      <x:c r="I25" s="42" t="str">
        <x:v>1500000000</x:v>
      </x:c>
      <x:c r="J25" s="42" t="str">
        <x:v>Operating</x:v>
      </x:c>
      <x:c r="K25" s="42" t="str">
        <x:v>800,000 sq ft hub on 600-acre site</x:v>
      </x:c>
      <x:c r="L25" s="42" t="str">
        <x:v>Flagship air-logistics infrastructure supporting Amazon's integrated fulfilment network.</x:v>
      </x:c>
      <x:c r="M25" s="42" t="str">
        <x:v>SRC_0306</x:v>
      </x:c>
    </x:row>
  </x:sheetData>
  <x:pageMargins left="0.7" right="0.7" top="0.75" bottom="0.75" header="0.3" footer="0.3"/>
  <x:tableParts count="1">
    <x:tablePart xmlns:r="http://schemas.openxmlformats.org/officeDocument/2006/relationships" r:id="Rbdffcba8cd2a43e9"/>
  </x:tableParts>
</x:worksheet>
</file>

<file path=xl/worksheets/sheet15.xml><?xml version="1.0" encoding="utf-8"?>
<x:worksheet xmlns:x="http://schemas.openxmlformats.org/spreadsheetml/2006/main">
  <x:sheetFormatPr defaultRowHeight="15"/>
  <x:cols>
    <x:col min="1" max="1" width="18" hidden="0" customWidth="1"/>
    <x:col min="2" max="2" width="24" hidden="0" customWidth="1"/>
    <x:col min="3" max="3" width="24" hidden="0" customWidth="1"/>
    <x:col min="4" max="4" width="18" hidden="0" customWidth="1"/>
    <x:col min="5" max="5" width="18" hidden="0" customWidth="1"/>
    <x:col min="6" max="6" width="34" hidden="0" customWidth="1"/>
    <x:col min="7" max="7" width="18" hidden="0" customWidth="1"/>
    <x:col min="8" max="8" width="18" hidden="0" customWidth="1"/>
    <x:col min="9" max="9" width="18" hidden="0" customWidth="1"/>
    <x:col min="10" max="10" width="18" hidden="0" customWidth="1"/>
    <x:col min="11" max="11" width="34" hidden="0" customWidth="1"/>
    <x:col min="12" max="12" width="34" hidden="0" customWidth="1"/>
    <x:col min="13" max="13" width="32" hidden="0" customWidth="1"/>
  </x:cols>
  <x:sheetData>
    <x:row r="1">
      <x:c r="A1" s="36" t="str">
        <x:v>Work ID</x:v>
      </x:c>
      <x:c r="B1" s="36" t="str">
        <x:v>Company ID</x:v>
      </x:c>
      <x:c r="C1" s="36" t="str">
        <x:v>Asset / Location</x:v>
      </x:c>
      <x:c r="D1" s="36" t="str">
        <x:v>Country</x:v>
      </x:c>
      <x:c r="E1" s="36" t="str">
        <x:v>Work Type</x:v>
      </x:c>
      <x:c r="F1" s="36" t="str">
        <x:v>Project / Description</x:v>
      </x:c>
      <x:c r="G1" s="36" t="str">
        <x:v>Announced Date</x:v>
      </x:c>
      <x:c r="H1" s="36" t="str">
        <x:v>Status</x:v>
      </x:c>
      <x:c r="I1" s="36" t="str">
        <x:v>Reported Value</x:v>
      </x:c>
      <x:c r="J1" s="36" t="str">
        <x:v>Currency</x:v>
      </x:c>
      <x:c r="K1" s="36" t="str">
        <x:v>Capacity / Scope</x:v>
      </x:c>
      <x:c r="L1" s="36" t="str">
        <x:v>Strategic Relevance</x:v>
      </x:c>
      <x:c r="M1" s="36" t="str">
        <x:v>Source ID</x:v>
      </x:c>
    </x:row>
    <x:row r="2">
      <x:c r="A2" s="42" t="str">
        <x:v>WORK_0001</x:v>
      </x:c>
      <x:c r="B2" s="42" t="str">
        <x:v>COMP_CMA_CGM</x:v>
      </x:c>
      <x:c r="C2" s="42" t="str"/>
      <x:c r="D2" s="42" t="str">
        <x:v>Global</x:v>
      </x:c>
      <x:c r="E2" s="42" t="str">
        <x:v>Terminal development</x:v>
      </x:c>
      <x:c r="F2" s="42" t="str">
        <x:v>2025 terminal portfolio investment programme</x:v>
      </x:c>
      <x:c r="G2" s="42" t="str">
        <x:v>2025-12-31</x:v>
      </x:c>
      <x:c r="H2" s="42" t="str">
        <x:v>Completed / ongoing</x:v>
      </x:c>
      <x:c r="I2" s="42" t="str">
        <x:v>2500000000</x:v>
      </x:c>
      <x:c r="J2" s="42" t="str">
        <x:v>USD</x:v>
      </x:c>
      <x:c r="K2" s="42" t="str">
        <x:v>Expansion to 66 terminals across 40 countries</x:v>
      </x:c>
      <x:c r="L2" s="42" t="str">
        <x:v>Terminal capacity and end-to-end control</x:v>
      </x:c>
      <x:c r="M2" s="42" t="str">
        <x:v>SRC_0031</x:v>
      </x:c>
    </x:row>
    <x:row r="3">
      <x:c r="A3" s="42" t="str">
        <x:v>WORK_0002</x:v>
      </x:c>
      <x:c r="B3" s="42" t="str">
        <x:v>COMP_CMA_TERMINALS</x:v>
      </x:c>
      <x:c r="C3" s="42" t="str">
        <x:v>Terminal 4, Jeddah Islamic Port</x:v>
      </x:c>
      <x:c r="D3" s="42" t="str">
        <x:v>Saudi Arabia</x:v>
      </x:c>
      <x:c r="E3" s="42" t="str">
        <x:v>Terminal development</x:v>
      </x:c>
      <x:c r="F3" s="42" t="str">
        <x:v>Jeddah Terminal 4 initial development</x:v>
      </x:c>
      <x:c r="G3" s="42" t="str">
        <x:v>2026-01-01</x:v>
      </x:c>
      <x:c r="H3" s="42" t="str">
        <x:v>Development</x:v>
      </x:c>
      <x:c r="I3" s="42" t="str">
        <x:v>434000000</x:v>
      </x:c>
      <x:c r="J3" s="42" t="str">
        <x:v>USD</x:v>
      </x:c>
      <x:c r="K3" s="42" t="str">
        <x:v>Up to 2.6m TEU target capacity</x:v>
      </x:c>
      <x:c r="L3" s="42" t="str">
        <x:v>Saudi Red Sea gateway investment</x:v>
      </x:c>
      <x:c r="M3" s="42" t="str">
        <x:v>SRC_0004</x:v>
      </x:c>
    </x:row>
    <x:row r="4">
      <x:c r="A4" s="42" t="str">
        <x:v>WORK_0003</x:v>
      </x:c>
      <x:c r="B4" s="42" t="str">
        <x:v>COMP_CEVA</x:v>
      </x:c>
      <x:c r="C4" s="42" t="str">
        <x:v>FedEx Supply Chain</x:v>
      </x:c>
      <x:c r="D4" s="42" t="str">
        <x:v>United States</x:v>
      </x:c>
      <x:c r="E4" s="42" t="str">
        <x:v>Acquisition</x:v>
      </x:c>
      <x:c r="F4" s="42" t="str">
        <x:v>FedEx Supply Chain acquisition</x:v>
      </x:c>
      <x:c r="G4" s="42" t="str">
        <x:v>2026-07-01</x:v>
      </x:c>
      <x:c r="H4" s="42" t="str">
        <x:v>Pending close 2026</x:v>
      </x:c>
      <x:c r="I4" s="42" t="str">
        <x:v>1400000000</x:v>
      </x:c>
      <x:c r="J4" s="42" t="str">
        <x:v>USD</x:v>
      </x:c>
      <x:c r="K4" s="42" t="str">
        <x:v>Would nearly triple CEVA North American contract logistics</x:v>
      </x:c>
      <x:c r="L4" s="42" t="str">
        <x:v>Major North American logistics consolidation</x:v>
      </x:c>
      <x:c r="M4" s="42" t="str">
        <x:v>SRC_0028</x:v>
      </x:c>
    </x:row>
    <x:row r="5">
      <x:c r="A5" s="42" t="str">
        <x:v>WORK_0004</x:v>
      </x:c>
      <x:c r="B5" s="42" t="str">
        <x:v>COMP_APMT</x:v>
      </x:c>
      <x:c r="C5" s="42" t="str">
        <x:v>APM Terminals Lázaro Cárdenas</x:v>
      </x:c>
      <x:c r="D5" s="42" t="str">
        <x:v>Mexico</x:v>
      </x:c>
      <x:c r="E5" s="42" t="str">
        <x:v>Terminal development</x:v>
      </x:c>
      <x:c r="F5" s="42" t="str">
        <x:v>Lázaro Cárdenas Phase II</x:v>
      </x:c>
      <x:c r="G5" s="42" t="str">
        <x:v>2026-03-20</x:v>
      </x:c>
      <x:c r="H5" s="42" t="str">
        <x:v>Commissioned</x:v>
      </x:c>
      <x:c r="I5" s="42" t="str">
        <x:v>140000000</x:v>
      </x:c>
      <x:c r="J5" s="42" t="str">
        <x:v>USD</x:v>
      </x:c>
      <x:c r="K5" s="42" t="str">
        <x:v>Capacity to 2m TEU</x:v>
      </x:c>
      <x:c r="L5" s="42" t="str">
        <x:v>Pacific gateway automation/electrification</x:v>
      </x:c>
      <x:c r="M5" s="42" t="str">
        <x:v>SRC_0044</x:v>
      </x:c>
    </x:row>
    <x:row r="6">
      <x:c r="A6" s="42" t="str">
        <x:v>WORK_0005</x:v>
      </x:c>
      <x:c r="B6" s="42" t="str">
        <x:v>COMP_APMT</x:v>
      </x:c>
      <x:c r="C6" s="42" t="str">
        <x:v>APM Terminals Lázaro Cárdenas</x:v>
      </x:c>
      <x:c r="D6" s="42" t="str">
        <x:v>Mexico</x:v>
      </x:c>
      <x:c r="E6" s="42" t="str">
        <x:v>Terminal development</x:v>
      </x:c>
      <x:c r="F6" s="42" t="str">
        <x:v>Lázaro Cárdenas Phase III</x:v>
      </x:c>
      <x:c r="G6" s="42" t="str">
        <x:v>2026-03-20</x:v>
      </x:c>
      <x:c r="H6" s="42" t="str">
        <x:v>Construction started</x:v>
      </x:c>
      <x:c r="I6" s="42" t="str">
        <x:v>350000000</x:v>
      </x:c>
      <x:c r="J6" s="42" t="str">
        <x:v>USD</x:v>
      </x:c>
      <x:c r="K6" s="42" t="str">
        <x:v>Further capacity expansion</x:v>
      </x:c>
      <x:c r="L6" s="42" t="str">
        <x:v>Regional Mexico/Pacific trade growth</x:v>
      </x:c>
      <x:c r="M6" s="42" t="str">
        <x:v>SRC_0044</x:v>
      </x:c>
    </x:row>
    <x:row r="7">
      <x:c r="A7" s="42" t="str">
        <x:v>WORK_0006</x:v>
      </x:c>
      <x:c r="B7" s="42" t="str">
        <x:v>COMP_APMT</x:v>
      </x:c>
      <x:c r="C7" s="42" t="str">
        <x:v>APM Terminals Suape</x:v>
      </x:c>
      <x:c r="D7" s="42" t="str">
        <x:v>Brazil</x:v>
      </x:c>
      <x:c r="E7" s="42" t="str">
        <x:v>Terminal development</x:v>
      </x:c>
      <x:c r="F7" s="42" t="str">
        <x:v>Suape fully electric terminal</x:v>
      </x:c>
      <x:c r="G7" s="42" t="str">
        <x:v>2026-01-01</x:v>
      </x:c>
      <x:c r="H7" s="42" t="str">
        <x:v>Development / target Q3 2026</x:v>
      </x:c>
      <x:c r="I7" s="42" t="str">
        <x:v>300000000</x:v>
      </x:c>
      <x:c r="J7" s="42" t="str">
        <x:v>EUR</x:v>
      </x:c>
      <x:c r="K7" s="42" t="str">
        <x:v>Port capacity +55% cited</x:v>
      </x:c>
      <x:c r="L7" s="42" t="str">
        <x:v>Electrified terminal and Northeast Brazil gateway</x:v>
      </x:c>
      <x:c r="M7" s="42" t="str">
        <x:v>SRC_0018</x:v>
      </x:c>
    </x:row>
    <x:row r="8">
      <x:c r="A8" s="42" t="str">
        <x:v>WORK_0007</x:v>
      </x:c>
      <x:c r="B8" s="42" t="str">
        <x:v>COMP_ADPORTS</x:v>
      </x:c>
      <x:c r="C8" s="42" t="str">
        <x:v>CLI</x:v>
      </x:c>
      <x:c r="D8" s="42" t="str">
        <x:v>Brazil</x:v>
      </x:c>
      <x:c r="E8" s="42" t="str">
        <x:v>Acquisition</x:v>
      </x:c>
      <x:c r="F8" s="42" t="str">
        <x:v>CLI acquisition</x:v>
      </x:c>
      <x:c r="G8" s="42" t="str">
        <x:v>2026-06-30</x:v>
      </x:c>
      <x:c r="H8" s="42" t="str">
        <x:v>Announced Q2 2026</x:v>
      </x:c>
      <x:c r="I8" s="42" t="str">
        <x:v>3100000000</x:v>
      </x:c>
      <x:c r="J8" s="42" t="str">
        <x:v>AED</x:v>
      </x:c>
      <x:c r="K8" s="42" t="str">
        <x:v>Strategic entry into South America</x:v>
      </x:c>
      <x:c r="L8" s="42" t="str">
        <x:v>Corridor expansion into Brazil</x:v>
      </x:c>
      <x:c r="M8" s="42" t="str">
        <x:v>SRC_0010</x:v>
      </x:c>
    </x:row>
    <x:row r="9">
      <x:c r="A9" s="42" t="str">
        <x:v>WORK_0008</x:v>
      </x:c>
      <x:c r="B9" s="42" t="str">
        <x:v>COMP_ADPORTS</x:v>
      </x:c>
      <x:c r="C9" s="42" t="str">
        <x:v>Khalifa Port</x:v>
      </x:c>
      <x:c r="D9" s="42" t="str">
        <x:v>United Arab Emirates</x:v>
      </x:c>
      <x:c r="E9" s="42" t="str">
        <x:v>Berth / quay</x:v>
      </x:c>
      <x:c r="F9" s="42" t="str">
        <x:v>EGA dedicated berth infrastructure</x:v>
      </x:c>
      <x:c r="G9" s="42" t="str">
        <x:v>2026-06-30</x:v>
      </x:c>
      <x:c r="H9" s="42" t="str">
        <x:v>Agreement</x:v>
      </x:c>
      <x:c r="I9" s="42" t="str">
        <x:v>84000000</x:v>
      </x:c>
      <x:c r="J9" s="42" t="str">
        <x:v>AED</x:v>
      </x:c>
      <x:c r="K9" s="42" t="str">
        <x:v>Enhance dedicated berth infrastructure</x:v>
      </x:c>
      <x:c r="L9" s="42" t="str">
        <x:v>Industrial cargo integration</x:v>
      </x:c>
      <x:c r="M9" s="42" t="str">
        <x:v>SRC_0010</x:v>
      </x:c>
    </x:row>
  </x:sheetData>
  <x:pageMargins left="0.7" right="0.7" top="0.75" bottom="0.75" header="0.3" footer="0.3"/>
  <x:tableParts count="1">
    <x:tablePart xmlns:r="http://schemas.openxmlformats.org/officeDocument/2006/relationships" r:id="Re6cf9555390343d4"/>
  </x:tableParts>
</x:worksheet>
</file>

<file path=xl/worksheets/sheet1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24" hidden="0" customWidth="1"/>
    <x:col min="7" max="7" width="34" hidden="0" customWidth="1"/>
    <x:col min="8" max="8" width="18" hidden="0" customWidth="1"/>
    <x:col min="9" max="9" width="34" hidden="0" customWidth="1"/>
    <x:col min="10" max="10" width="32" hidden="0" customWidth="1"/>
  </x:cols>
  <x:sheetData>
    <x:row r="1">
      <x:c r="A1" s="36" t="str">
        <x:v>Event ID</x:v>
      </x:c>
      <x:c r="B1" s="36" t="str">
        <x:v>Date</x:v>
      </x:c>
      <x:c r="C1" s="36" t="str">
        <x:v>Event Type</x:v>
      </x:c>
      <x:c r="D1" s="36" t="str">
        <x:v>Subject Entity ID</x:v>
      </x:c>
      <x:c r="E1" s="36" t="str">
        <x:v>Location</x:v>
      </x:c>
      <x:c r="F1" s="36" t="str">
        <x:v>Title</x:v>
      </x:c>
      <x:c r="G1" s="36" t="str">
        <x:v>Description</x:v>
      </x:c>
      <x:c r="H1" s="36" t="str">
        <x:v>Operational Impact</x:v>
      </x:c>
      <x:c r="I1" s="36" t="str">
        <x:v>Financial / Strategic Impact</x:v>
      </x:c>
      <x:c r="J1" s="36" t="str">
        <x:v>Source ID</x:v>
      </x:c>
    </x:row>
    <x:row r="2">
      <x:c r="A2" s="42" t="str">
        <x:v>EVENT_0001</x:v>
      </x:c>
      <x:c r="B2" s="42" t="str">
        <x:v>2017-06-27</x:v>
      </x:c>
      <x:c r="C2" s="42" t="str">
        <x:v>Cyberattack</x:v>
      </x:c>
      <x:c r="D2" s="42" t="str">
        <x:v>COMP_MAERSK</x:v>
      </x:c>
      <x:c r="E2" s="42" t="str">
        <x:v>Global</x:v>
      </x:c>
      <x:c r="F2" s="42" t="str">
        <x:v>NotPetya cyberattack</x:v>
      </x:c>
      <x:c r="G2" s="42" t="str">
        <x:v>Maersk Line, APM Terminals and Damco were significantly affected; Maersk maintained vessel control.</x:v>
      </x:c>
      <x:c r="H2" s="42" t="str">
        <x:v>Operational / IT disruption</x:v>
      </x:c>
      <x:c r="I2" s="42" t="str">
        <x:v>USD 200-300m expected impact in Q2 2017 briefing</x:v>
      </x:c>
      <x:c r="J2" s="42" t="str">
        <x:v>SRC_0062</x:v>
      </x:c>
    </x:row>
    <x:row r="3">
      <x:c r="A3" s="42" t="str">
        <x:v>EVENT_0002</x:v>
      </x:c>
      <x:c r="B3" s="42" t="str">
        <x:v>1869-11-17</x:v>
      </x:c>
      <x:c r="C3" s="42" t="str">
        <x:v>Corridor milestone</x:v>
      </x:c>
      <x:c r="D3" s="42" t="str">
        <x:v>CORRIDOR_SUEZ</x:v>
      </x:c>
      <x:c r="E3" s="42" t="str">
        <x:v>Egypt</x:v>
      </x:c>
      <x:c r="F3" s="42" t="str">
        <x:v>Suez Canal opening</x:v>
      </x:c>
      <x:c r="G3" s="42" t="str">
        <x:v>Opening of the Suez Canal for navigation.</x:v>
      </x:c>
      <x:c r="H3" s="42" t="str">
        <x:v>Trade corridor activation</x:v>
      </x:c>
      <x:c r="I3" s="42" t="str">
        <x:v>Historic system event</x:v>
      </x:c>
      <x:c r="J3" s="42" t="str">
        <x:v>SRC_0063</x:v>
      </x:c>
    </x:row>
    <x:row r="4">
      <x:c r="A4" s="42" t="str">
        <x:v>EVENT_0003</x:v>
      </x:c>
      <x:c r="B4" s="42" t="str">
        <x:v>1967-06-05</x:v>
      </x:c>
      <x:c r="C4" s="42" t="str">
        <x:v>Corridor closure</x:v>
      </x:c>
      <x:c r="D4" s="42" t="str">
        <x:v>CORRIDOR_SUEZ</x:v>
      </x:c>
      <x:c r="E4" s="42" t="str">
        <x:v>Egypt</x:v>
      </x:c>
      <x:c r="F4" s="42" t="str">
        <x:v>Suez Canal closure</x:v>
      </x:c>
      <x:c r="G4" s="42" t="str">
        <x:v>Navigation stopped after the 1967 war.</x:v>
      </x:c>
      <x:c r="H4" s="42" t="str">
        <x:v>Trade corridor interruption</x:v>
      </x:c>
      <x:c r="I4" s="42" t="str">
        <x:v>Historic system event</x:v>
      </x:c>
      <x:c r="J4" s="42" t="str">
        <x:v>SRC_0063</x:v>
      </x:c>
    </x:row>
    <x:row r="5">
      <x:c r="A5" s="42" t="str">
        <x:v>EVENT_0004</x:v>
      </x:c>
      <x:c r="B5" s="42" t="str">
        <x:v>1975-06-05</x:v>
      </x:c>
      <x:c r="C5" s="42" t="str">
        <x:v>Corridor reopening</x:v>
      </x:c>
      <x:c r="D5" s="42" t="str">
        <x:v>CORRIDOR_SUEZ</x:v>
      </x:c>
      <x:c r="E5" s="42" t="str">
        <x:v>Egypt</x:v>
      </x:c>
      <x:c r="F5" s="42" t="str">
        <x:v>Suez Canal reopened</x:v>
      </x:c>
      <x:c r="G5" s="42" t="str">
        <x:v>International navigation resumed.</x:v>
      </x:c>
      <x:c r="H5" s="42" t="str">
        <x:v>Trade corridor restoration</x:v>
      </x:c>
      <x:c r="I5" s="42" t="str">
        <x:v>Historic system event</x:v>
      </x:c>
      <x:c r="J5" s="42" t="str">
        <x:v>SRC_0063</x:v>
      </x:c>
    </x:row>
    <x:row r="6">
      <x:c r="A6" s="102" t="str">
        <x:v>EVENT_0005</x:v>
      </x:c>
      <x:c r="B6" s="102" t="str">
        <x:v>2026-07-12</x:v>
      </x:c>
      <x:c r="C6" s="102" t="str">
        <x:v>Conflict attack</x:v>
      </x:c>
      <x:c r="D6" s="102" t="str">
        <x:v>VESSEL_00171</x:v>
      </x:c>
      <x:c r="E6" s="102" t="str">
        <x:v>Strait of Hormuz</x:v>
      </x:c>
      <x:c r="F6" s="102" t="str">
        <x:v>Iranian attack on GFS Galaxy</x:v>
      </x:c>
      <x:c r="G6" s="102" t="str">
        <x:v>GFS Galaxy was hit during a security incident in the Strait of Hormuz, caught fire and was abandoned by crew; AD Ports later reported the vessel was brought safely to Khor Fakkan.</x:v>
      </x:c>
      <x:c r="H6" s="102" t="str">
        <x:v>Severe vessel damage / temporary loss of service</x:v>
      </x:c>
      <x:c r="I6" s="102" t="str">
        <x:v>Direct geopolitical exposure of an AD Ports-controlled feeder carrier; links state conflict risk to fleet, services, customers and port connectivity.</x:v>
      </x:c>
      <x:c r="J6" s="102" t="str">
        <x:v>SRC_0184</x:v>
      </x:c>
      <x:c r="K6" s="102"/>
    </x:row>
    <x:row r="7">
      <x:c r="A7" s="42" t="str">
        <x:v>EVENT_0006</x:v>
      </x:c>
      <x:c r="B7" s="42" t="str">
        <x:v>2026-09-01</x:v>
      </x:c>
      <x:c r="C7" s="42" t="str">
        <x:v>Corporate reorganization</x:v>
      </x:c>
      <x:c r="D7" s="42" t="str">
        <x:v>COMP_DHL_AG</x:v>
      </x:c>
      <x:c r="E7" s="42" t="str">
        <x:v>Germany</x:v>
      </x:c>
      <x:c r="F7" s="42" t="str">
        <x:v>DHL Group completes corporate reorganization</x:v>
      </x:c>
      <x:c r="G7" s="42" t="str">
        <x:v>Listed parent becomes DHL AG; five divisions operate as separate legal entities under group structure.</x:v>
      </x:c>
      <x:c r="H7" s="42" t="str">
        <x:v>No customer-facing operational change; legal/entity relationships change.</x:v>
      </x:c>
      <x:c r="I7" s="42" t="str">
        <x:v>Strengthens entity-resolution requirement: Deutsche Post is no longer the listed global parent; P&amp;C should track division-level legal structure.</x:v>
      </x:c>
      <x:c r="J7" s="42" t="str">
        <x:v>SRC_0288</x:v>
      </x:c>
    </x:row>
    <x:row r="8">
      <x:c r="A8" s="42" t="str">
        <x:v>EVENT_0007</x:v>
      </x:c>
      <x:c r="B8" s="42" t="str">
        <x:v>2026-06-01</x:v>
      </x:c>
      <x:c r="C8" s="42" t="str">
        <x:v>Corporate separation</x:v>
      </x:c>
      <x:c r="D8" s="42" t="str">
        <x:v>COMP_FEDEX_FREIGHT</x:v>
      </x:c>
      <x:c r="E8" s="42" t="str">
        <x:v>United States</x:v>
      </x:c>
      <x:c r="F8" s="42" t="str">
        <x:v>FedEx Freight becomes independent public company</x:v>
      </x:c>
      <x:c r="G8" s="42" t="str">
        <x:v>FedEx Freight spin-off completed; FDXF begins trading independently; FedEx retains 19.9% temporarily.</x:v>
      </x:c>
      <x:c r="H8" s="42" t="str">
        <x:v>LTL network becomes a separate corporate entity while commercial ecosystem relationships remain relevant.</x:v>
      </x:c>
      <x:c r="I8" s="42" t="str">
        <x:v>Separates control from brand/history and creates a new investable logistics network.</x:v>
      </x:c>
      <x:c r="J8" s="42" t="str">
        <x:v>SRC_0298</x:v>
      </x:c>
    </x:row>
    <x:row r="9">
      <x:c r="A9" s="42" t="str">
        <x:v>EVENT_0008</x:v>
      </x:c>
      <x:c r="B9" s="42" t="str">
        <x:v>2026-07-01</x:v>
      </x:c>
      <x:c r="C9" s="42" t="str">
        <x:v>M&amp;A agreement</x:v>
      </x:c>
      <x:c r="D9" s="42" t="str">
        <x:v>COMP_FEDEX_SUPPLY_CHAIN</x:v>
      </x:c>
      <x:c r="E9" s="42" t="str">
        <x:v>United States</x:v>
      </x:c>
      <x:c r="F9" s="42" t="str">
        <x:v>CMA CGM agrees to acquire FedEx Supply Chain</x:v>
      </x:c>
      <x:c r="G9" s="42" t="str">
        <x:v>CMA CGM announced $1.4bn enterprise-value acquisition, expected to close in 2026 subject to approvals.</x:v>
      </x:c>
      <x:c r="H9" s="42" t="str">
        <x:v>No ownership transfer yet; operations remain FedEx until closing.</x:v>
      </x:c>
      <x:c r="I9" s="42" t="str">
        <x:v>Would materially expand CEVA North American contract logistics and deepen CMA CGM's end-to-end strategy.</x:v>
      </x:c>
      <x:c r="J9" s="42" t="str">
        <x:v>SRC_0301</x:v>
      </x:c>
    </x:row>
    <x:row r="10">
      <x:c r="A10" s="42" t="str">
        <x:v>EVENT_0009</x:v>
      </x:c>
      <x:c r="B10" s="42" t="str">
        <x:v>2026-05-04</x:v>
      </x:c>
      <x:c r="C10" s="42" t="str">
        <x:v>Business-model expansion</x:v>
      </x:c>
      <x:c r="D10" s="42" t="str">
        <x:v>COMP_AMAZON_SUPPLY_CHAIN</x:v>
      </x:c>
      <x:c r="E10" s="42" t="str">
        <x:v>United States / global</x:v>
      </x:c>
      <x:c r="F10" s="42" t="str">
        <x:v>Amazon opens logistics network to outside businesses</x:v>
      </x:c>
      <x:c r="G10" s="42" t="str">
        <x:v>Amazon Supply Chain Services launches external access to freight, distribution, fulfillment and parcel services across ocean, air, ground and rail.</x:v>
      </x:c>
      <x:c r="H10" s="42" t="str">
        <x:v>Turns internal commerce logistics capacity into an external customer-facing network.</x:v>
      </x:c>
      <x:c r="I10" s="42" t="str">
        <x:v>Signals Amazon's evolution from retailer/marketplace into a third-party multimodal logistics provider.</x:v>
      </x:c>
      <x:c r="J10" s="42" t="str">
        <x:v>SRC_0302</x:v>
      </x:c>
    </x:row>
    <x:row r="11">
      <x:c r="A11" s="42" t="str">
        <x:v>EVENT_0010</x:v>
      </x:c>
      <x:c r="B11" s="42" t="str">
        <x:v>2025-07-25</x:v>
      </x:c>
      <x:c r="C11" s="42" t="str">
        <x:v>Majority acquisition</x:v>
      </x:c>
      <x:c r="D11" s="42" t="str">
        <x:v>COMP_ARAMEX</x:v>
      </x:c>
      <x:c r="E11" s="42" t="str">
        <x:v>United Arab Emirates</x:v>
      </x:c>
      <x:c r="F11" s="42" t="str">
        <x:v>ADQ completes majority acquisition of Aramex</x:v>
      </x:c>
      <x:c r="G11" s="42" t="str">
        <x:v>ADQ aggregate ownership reaches 63.16%, including shares held by AD Ports Group; Q Logistics used as acquisition vehicle.</x:v>
      </x:c>
      <x:c r="H11" s="42" t="str">
        <x:v>Aramex joins ADQ transport and logistics portfolio.</x:v>
      </x:c>
      <x:c r="I11" s="42" t="str">
        <x:v>Connects express/freight/warehousing capabilities with ADQ's air, sea and land infrastructure holdings.</x:v>
      </x:c>
      <x:c r="J11" s="42" t="str">
        <x:v>SRC_0308</x:v>
      </x:c>
    </x:row>
  </x:sheetData>
  <x:pageMargins left="0.7" right="0.7" top="0.75" bottom="0.75" header="0.3" footer="0.3"/>
  <x:tableParts count="1">
    <x:tablePart xmlns:r="http://schemas.openxmlformats.org/officeDocument/2006/relationships" r:id="R0528ca27eb5c4e2a"/>
  </x:tableParts>
</x:worksheet>
</file>

<file path=xl/worksheets/sheet17.xml><?xml version="1.0" encoding="utf-8"?>
<x:worksheet xmlns:x="http://schemas.openxmlformats.org/spreadsheetml/2006/main">
  <x:sheetFormatPr defaultRowHeight="15"/>
  <x:cols>
    <x:col min="1" max="1" width="24" hidden="0" customWidth="1"/>
    <x:col min="2" max="2" width="24" hidden="0" customWidth="1"/>
    <x:col min="3" max="3" width="18" hidden="0" customWidth="1"/>
    <x:col min="4" max="4" width="18" hidden="0" customWidth="1"/>
    <x:col min="5" max="5" width="18" hidden="0" customWidth="1"/>
    <x:col min="6" max="6" width="18" hidden="0" customWidth="1"/>
    <x:col min="7" max="7" width="18" hidden="0" customWidth="1"/>
    <x:col min="8" max="8" width="34" hidden="0" customWidth="1"/>
    <x:col min="9" max="9" width="32" hidden="0" customWidth="1"/>
  </x:cols>
  <x:sheetData>
    <x:row r="1">
      <x:c r="A1" s="190" t="str">
        <x:v>Corridor ID</x:v>
      </x:c>
      <x:c r="B1" s="190" t="str">
        <x:v>Corridor</x:v>
      </x:c>
      <x:c r="C1" s="190" t="str">
        <x:v>Type</x:v>
      </x:c>
      <x:c r="D1" s="190" t="str">
        <x:v>Country / Region</x:v>
      </x:c>
      <x:c r="E1" s="190" t="str">
        <x:v>Connects</x:v>
      </x:c>
      <x:c r="F1" s="190" t="str">
        <x:v>Primary Traffic</x:v>
      </x:c>
      <x:c r="G1" s="190" t="str">
        <x:v>Status</x:v>
      </x:c>
      <x:c r="H1" s="190" t="str">
        <x:v>Strategic Note</x:v>
      </x:c>
      <x:c r="I1" s="190" t="str">
        <x:v>Source ID</x:v>
      </x:c>
    </x:row>
    <x:row r="2">
      <x:c r="A2" s="42" t="str">
        <x:v>CORRIDOR_SUEZ</x:v>
      </x:c>
      <x:c r="B2" s="42" t="str">
        <x:v>Suez Canal</x:v>
      </x:c>
      <x:c r="C2" s="42" t="str">
        <x:v>Maritime chokepoint</x:v>
      </x:c>
      <x:c r="D2" s="42" t="str">
        <x:v>Egypt</x:v>
      </x:c>
      <x:c r="E2" s="42" t="str">
        <x:v>Mediterranean ↔ Red Sea</x:v>
      </x:c>
      <x:c r="F2" s="42" t="str">
        <x:v>Global liner, tanker, bulk and cruise traffic</x:v>
      </x:c>
      <x:c r="G2" s="42" t="str">
        <x:v>Active</x:v>
      </x:c>
      <x:c r="H2" s="42" t="str">
        <x:v>High strategic concentration</x:v>
      </x:c>
      <x:c r="I2" s="42" t="str">
        <x:v>SRC_0063</x:v>
      </x:c>
    </x:row>
    <x:row r="3">
      <x:c r="A3" s="42" t="str">
        <x:v>CORRIDOR_HORMUZ</x:v>
      </x:c>
      <x:c r="B3" s="42" t="str">
        <x:v>Strait of Hormuz</x:v>
      </x:c>
      <x:c r="C3" s="42" t="str">
        <x:v>Maritime chokepoint</x:v>
      </x:c>
      <x:c r="D3" s="42" t="str">
        <x:v>Oman / Iran</x:v>
      </x:c>
      <x:c r="E3" s="42" t="str">
        <x:v>Persian/Arabian Gulf ↔ Gulf of Oman</x:v>
      </x:c>
      <x:c r="F3" s="42" t="str">
        <x:v>Energy, containers, bulk, feeder shipping</x:v>
      </x:c>
      <x:c r="G3" s="42" t="str">
        <x:v>Active</x:v>
      </x:c>
      <x:c r="H3" s="42" t="str">
        <x:v>High strategic concentration</x:v>
      </x:c>
      <x:c r="I3" s="42"/>
    </x:row>
    <x:row r="4">
      <x:c r="A4" s="42" t="str">
        <x:v>CORRIDOR_MALACCA</x:v>
      </x:c>
      <x:c r="B4" s="42" t="str">
        <x:v>Strait of Malacca</x:v>
      </x:c>
      <x:c r="C4" s="42" t="str">
        <x:v>Maritime chokepoint</x:v>
      </x:c>
      <x:c r="D4" s="42" t="str">
        <x:v>Malaysia / Singapore / Indonesia</x:v>
      </x:c>
      <x:c r="E4" s="42" t="str">
        <x:v>Indian Ocean ↔ South China Sea</x:v>
      </x:c>
      <x:c r="F4" s="42" t="str">
        <x:v>Container, tanker, bulk</x:v>
      </x:c>
      <x:c r="G4" s="42" t="str">
        <x:v>Active</x:v>
      </x:c>
      <x:c r="H4" s="42" t="str">
        <x:v>High strategic concentration</x:v>
      </x:c>
      <x:c r="I4" s="42"/>
    </x:row>
    <x:row r="5">
      <x:c r="A5" s="42" t="str">
        <x:v>CORRIDOR_PANAMA</x:v>
      </x:c>
      <x:c r="B5" s="42" t="str">
        <x:v>Panama Canal</x:v>
      </x:c>
      <x:c r="C5" s="42" t="str">
        <x:v>Maritime chokepoint</x:v>
      </x:c>
      <x:c r="D5" s="42" t="str">
        <x:v>Panama</x:v>
      </x:c>
      <x:c r="E5" s="42" t="str">
        <x:v>Atlantic ↔ Pacific</x:v>
      </x:c>
      <x:c r="F5" s="42" t="str">
        <x:v>Container, LNG, bulk, vehicle carriers</x:v>
      </x:c>
      <x:c r="G5" s="42" t="str">
        <x:v>Active</x:v>
      </x:c>
      <x:c r="H5" s="42" t="str">
        <x:v>High strategic concentration</x:v>
      </x:c>
      <x:c r="I5" s="42"/>
    </x:row>
    <x:row r="6">
      <x:c r="A6" s="102" t="str">
        <x:v>CORRIDOR_MIDDLE</x:v>
      </x:c>
      <x:c r="B6" s="102" t="str">
        <x:v>Middle Corridor / Trans-Caspian route</x:v>
      </x:c>
      <x:c r="C6" s="102" t="str">
        <x:v>Multimodal trade corridor</x:v>
      </x:c>
      <x:c r="D6" s="102" t="str">
        <x:v>China / Central Asia / Caspian / Caucasus / Türkiye / Black Sea</x:v>
      </x:c>
      <x:c r="E6" s="102" t="str">
        <x:v>Asia ↔ Europe via Central Asia and Caucasus</x:v>
      </x:c>
      <x:c r="F6" s="102" t="str">
        <x:v>Containers; vehicles; general cargo</x:v>
      </x:c>
      <x:c r="G6" s="102" t="str">
        <x:v>Active / expanding</x:v>
      </x:c>
      <x:c r="H6" s="102" t="str">
        <x:v>Tbilisi hub is a strategic inland node between Caspian and Black Sea systems</x:v>
      </x:c>
      <x:c r="I6" s="102" t="str">
        <x:v>SRC_0279</x:v>
      </x:c>
    </x:row>
    <x:row r="7">
      <x:c r="A7" s="102" t="str">
        <x:v>CORRIDOR_UAE_RAIL</x:v>
      </x:c>
      <x:c r="B7" s="102" t="str">
        <x:v>UAE National Rail freight corridor</x:v>
      </x:c>
      <x:c r="C7" s="102" t="str">
        <x:v>Rail / inland logistics corridor</x:v>
      </x:c>
      <x:c r="D7" s="102" t="str">
        <x:v>United Arab Emirates</x:v>
      </x:c>
      <x:c r="E7" s="102" t="str">
        <x:v>Northern Emirates ↔ Abu Dhabi ↔ Dubai industrial zones / ports</x:v>
      </x:c>
      <x:c r="F7" s="102" t="str">
        <x:v>Aggregates; containers; industrial cargo</x:v>
      </x:c>
      <x:c r="G7" s="102" t="str">
        <x:v>Active / expanding</x:v>
      </x:c>
      <x:c r="H7" s="102" t="str">
        <x:v>Dry ports and inland terminals extend UAE port system inland</x:v>
      </x:c>
      <x:c r="I7" s="102" t="str">
        <x:v>SRC_0272</x:v>
      </x:c>
    </x:row>
    <x:row r="8">
      <x:c r="A8" s="102" t="str">
        <x:v>CORRIDOR_MIDCONTINENT</x:v>
      </x:c>
      <x:c r="B8" s="102" t="str">
        <x:v>North American Mid-Continent Trade &amp; Transportation Corridor</x:v>
      </x:c>
      <x:c r="C8" s="102" t="str">
        <x:v>Multimodal inland corridor</x:v>
      </x:c>
      <x:c r="D8" s="102" t="str">
        <x:v>Canada / United States / Mexico</x:v>
      </x:c>
      <x:c r="E8" s="102" t="str">
        <x:v>Canadian gateways ↔ U.S. interior ↔ Mexico</x:v>
      </x:c>
      <x:c r="F8" s="102" t="str">
        <x:v>Containers; industrial goods; agriculture; air cargo</x:v>
      </x:c>
      <x:c r="G8" s="102" t="str">
        <x:v>Active</x:v>
      </x:c>
      <x:c r="H8" s="102" t="str">
        <x:v>CentrePort provides rail/truck/air intersection with multiple seaport gateways</x:v>
      </x:c>
      <x:c r="I8" s="102" t="str">
        <x:v>SRC_0271</x:v>
      </x:c>
    </x:row>
    <x:row r="9">
      <x:c r="A9" s="102" t="str">
        <x:v>CORRIDOR_GLSS</x:v>
      </x:c>
      <x:c r="B9" s="102" t="str">
        <x:v>Great Lakes–St. Lawrence Seaway corridor</x:v>
      </x:c>
      <x:c r="C9" s="102" t="str">
        <x:v>Inland waterway / maritime corridor</x:v>
      </x:c>
      <x:c r="D9" s="102" t="str">
        <x:v>Canada / United States</x:v>
      </x:c>
      <x:c r="E9" s="102" t="str">
        <x:v>Great Lakes ↔ St. Lawrence ↔ Atlantic</x:v>
      </x:c>
      <x:c r="F9" s="102" t="str">
        <x:v>Bulk; grain; steel inputs; project cargo; cruise</x:v>
      </x:c>
      <x:c r="G9" s="102" t="str">
        <x:v>Active / seasonal</x:v>
      </x:c>
      <x:c r="H9" s="102" t="str">
        <x:v>Links inland industrial and agricultural systems to Atlantic trade</x:v>
      </x:c>
      <x:c r="I9" s="102" t="str">
        <x:v>SRC_0154</x:v>
      </x:c>
    </x:row>
  </x:sheetData>
  <x:pageMargins left="0.7" right="0.7" top="0.75" bottom="0.75" header="0.3" footer="0.3"/>
  <x:tableParts count="1">
    <x:tablePart xmlns:r="http://schemas.openxmlformats.org/officeDocument/2006/relationships" r:id="Rfb3ce426ae044ae0"/>
  </x:tableParts>
</x:worksheet>
</file>

<file path=xl/worksheets/sheet18.xml><?xml version="1.0" encoding="utf-8"?>
<x:worksheet xmlns:x="http://schemas.openxmlformats.org/spreadsheetml/2006/main">
  <x:sheetFormatPr defaultRowHeight="15"/>
  <x:cols>
    <x:col min="1" max="1" width="18" hidden="0" customWidth="1"/>
    <x:col min="2" max="2" width="32" hidden="0" customWidth="1"/>
    <x:col min="3" max="3" width="18" hidden="0" customWidth="1"/>
    <x:col min="4" max="4" width="18" hidden="0" customWidth="1"/>
    <x:col min="5" max="5" width="18" hidden="0" customWidth="1"/>
    <x:col min="6" max="6" width="18" hidden="0" customWidth="1"/>
    <x:col min="7" max="7" width="32" hidden="0" customWidth="1"/>
  </x:cols>
  <x:sheetData>
    <x:row r="1">
      <x:c r="A1" s="190" t="str">
        <x:v>Relationship ID</x:v>
      </x:c>
      <x:c r="B1" s="190" t="str">
        <x:v>Source Entity</x:v>
      </x:c>
      <x:c r="C1" s="190" t="str">
        <x:v>Relationship</x:v>
      </x:c>
      <x:c r="D1" s="190" t="str">
        <x:v>Target Entity</x:v>
      </x:c>
      <x:c r="E1" s="190" t="str">
        <x:v>As Of</x:v>
      </x:c>
      <x:c r="F1" s="190" t="str">
        <x:v>Confidence</x:v>
      </x:c>
      <x:c r="G1" s="190" t="str">
        <x:v>Source ID</x:v>
      </x:c>
      <x:c r="H1" s="165"/>
      <x:c r="I1" s="165"/>
      <x:c r="J1" s="165"/>
      <x:c r="K1" s="165"/>
      <x:c r="L1" s="165"/>
      <x:c r="M1" s="165"/>
      <x:c r="N1" s="165"/>
      <x:c r="O1" s="165"/>
      <x:c r="P1" s="165"/>
      <x:c r="Q1" s="165"/>
      <x:c r="R1" s="165"/>
      <x:c r="S1" s="165"/>
      <x:c r="T1" s="165"/>
      <x:c r="U1" s="165"/>
      <x:c r="V1" s="165"/>
      <x:c r="W1" s="165"/>
      <x:c r="X1" s="165"/>
      <x:c r="Y1" s="165"/>
      <x:c r="Z1" s="165"/>
      <x:c r="AA1" s="165"/>
      <x:c r="AB1" s="165"/>
      <x:c r="AC1" s="165"/>
      <x:c r="AD1" s="165"/>
      <x:c r="AE1" s="165"/>
      <x:c r="AF1" s="165"/>
      <x:c r="AG1" s="165"/>
      <x:c r="AH1" s="165"/>
      <x:c r="AI1" s="165"/>
      <x:c r="AJ1" s="165"/>
      <x:c r="AK1" s="165"/>
      <x:c r="AL1" s="165"/>
      <x:c r="AM1" s="165"/>
      <x:c r="AN1" s="165"/>
      <x:c r="AO1" s="165"/>
      <x:c r="AP1" s="165"/>
      <x:c r="AQ1" s="165"/>
      <x:c r="AR1" s="165"/>
      <x:c r="AS1" s="165"/>
      <x:c r="AT1" s="165"/>
      <x:c r="AU1" s="165"/>
      <x:c r="AV1" s="165"/>
      <x:c r="AW1" s="165"/>
      <x:c r="AX1" s="165"/>
      <x:c r="AY1" s="165"/>
      <x:c r="AZ1" s="165"/>
    </x:row>
    <x:row r="2">
      <x:c r="A2" s="42" t="str">
        <x:v>REL_00001</x:v>
      </x:c>
      <x:c r="B2" s="42" t="str">
        <x:v>COMP_CMA_CGM</x:v>
      </x:c>
      <x:c r="C2" s="42" t="str">
        <x:v>OWNS</x:v>
      </x:c>
      <x:c r="D2" s="42" t="str">
        <x:v>COMP_CEVA</x:v>
      </x:c>
      <x:c r="E2" s="42" t="str">
        <x:v>2026-09-07</x:v>
      </x:c>
      <x:c r="F2" s="42" t="str">
        <x:v>High</x:v>
      </x:c>
      <x:c r="G2" s="42" t="str">
        <x:v>SRC_0028</x:v>
      </x:c>
    </x:row>
    <x:row r="3">
      <x:c r="A3" s="42" t="str">
        <x:v>REL_00002</x:v>
      </x:c>
      <x:c r="B3" s="42" t="str">
        <x:v>COMP_CMA_CGM</x:v>
      </x:c>
      <x:c r="C3" s="42" t="str">
        <x:v>OWNS</x:v>
      </x:c>
      <x:c r="D3" s="42" t="str">
        <x:v>COMP_CMA_TERMINALS</x:v>
      </x:c>
      <x:c r="E3" s="42" t="str">
        <x:v>2026-09-07</x:v>
      </x:c>
      <x:c r="F3" s="42" t="str">
        <x:v>High</x:v>
      </x:c>
      <x:c r="G3" s="42" t="str">
        <x:v>SRC_0003</x:v>
      </x:c>
    </x:row>
    <x:row r="4">
      <x:c r="A4" s="42" t="str">
        <x:v>REL_00003</x:v>
      </x:c>
      <x:c r="B4" s="42" t="str">
        <x:v>COMP_APMT</x:v>
      </x:c>
      <x:c r="C4" s="42" t="str">
        <x:v>PART_OF</x:v>
      </x:c>
      <x:c r="D4" s="42" t="str">
        <x:v>A.P. Moller - Maersk</x:v>
      </x:c>
      <x:c r="E4" s="42" t="str">
        <x:v>2026-09-07</x:v>
      </x:c>
      <x:c r="F4" s="42" t="str">
        <x:v>High</x:v>
      </x:c>
      <x:c r="G4" s="42" t="str">
        <x:v>SRC_0019</x:v>
      </x:c>
    </x:row>
    <x:row r="5">
      <x:c r="A5" s="42" t="str">
        <x:v>REL_00004</x:v>
      </x:c>
      <x:c r="B5" s="42" t="str">
        <x:v>COMP_ADPORTS</x:v>
      </x:c>
      <x:c r="C5" s="42" t="str">
        <x:v>MAJORITY_OWNED_BY</x:v>
      </x:c>
      <x:c r="D5" s="42" t="str">
        <x:v>ADQ</x:v>
      </x:c>
      <x:c r="E5" s="42" t="str">
        <x:v>2026-09-07</x:v>
      </x:c>
      <x:c r="F5" s="42" t="str">
        <x:v>High</x:v>
      </x:c>
      <x:c r="G5" s="42" t="str">
        <x:v>SRC_0012</x:v>
      </x:c>
    </x:row>
    <x:row r="6">
      <x:c r="A6" s="42" t="str">
        <x:v>REL_00005</x:v>
      </x:c>
      <x:c r="B6" s="42" t="str">
        <x:v>COMP_ADPORTS</x:v>
      </x:c>
      <x:c r="C6" s="42" t="str">
        <x:v>PARTNERS_WITH</x:v>
      </x:c>
      <x:c r="D6" s="42" t="str">
        <x:v>COMP_CMA_CGM</x:v>
      </x:c>
      <x:c r="E6" s="42" t="str">
        <x:v>2026-09-07</x:v>
      </x:c>
      <x:c r="F6" s="42" t="str">
        <x:v>High</x:v>
      </x:c>
      <x:c r="G6" s="42" t="str">
        <x:v>SRC_0015</x:v>
      </x:c>
    </x:row>
    <x:row r="7">
      <x:c r="A7" s="42" t="str">
        <x:v>REL_00006</x:v>
      </x:c>
      <x:c r="B7" s="42" t="str">
        <x:v>COMP_CEVA</x:v>
      </x:c>
      <x:c r="C7" s="42" t="str">
        <x:v>USES_AIR_CAPACITY_FROM</x:v>
      </x:c>
      <x:c r="D7" s="42" t="str">
        <x:v>CMA CGM AIR CARGO</x:v>
      </x:c>
      <x:c r="E7" s="42" t="str">
        <x:v>2026-09-07</x:v>
      </x:c>
      <x:c r="F7" s="42" t="str">
        <x:v>High</x:v>
      </x:c>
      <x:c r="G7" s="42" t="str">
        <x:v>SRC_0025</x:v>
      </x:c>
    </x:row>
    <x:row r="8">
      <x:c r="A8" s="42" t="str">
        <x:v>REL_00007</x:v>
      </x:c>
      <x:c r="B8" s="42" t="str">
        <x:v>COMP_FINCANTIERI</x:v>
      </x:c>
      <x:c r="C8" s="42" t="str">
        <x:v>BUILDS_FOR</x:v>
      </x:c>
      <x:c r="D8" s="42" t="str">
        <x:v>Italian Navy</x:v>
      </x:c>
      <x:c r="E8" s="42" t="str">
        <x:v>2026-09-07</x:v>
      </x:c>
      <x:c r="F8" s="42" t="str">
        <x:v>High</x:v>
      </x:c>
      <x:c r="G8" s="42" t="str">
        <x:v>SRC_0037</x:v>
      </x:c>
    </x:row>
    <x:row r="9">
      <x:c r="A9" s="42" t="str">
        <x:v>REL_00008</x:v>
      </x:c>
      <x:c r="B9" s="42" t="str">
        <x:v>COMP_CMA_CGM</x:v>
      </x:c>
      <x:c r="C9" s="42" t="str">
        <x:v>OWNS</x:v>
      </x:c>
      <x:c r="D9" s="42" t="str">
        <x:v>COMP_CMA_AIR</x:v>
      </x:c>
      <x:c r="E9" s="42" t="str">
        <x:v>2026-09-07</x:v>
      </x:c>
      <x:c r="F9" s="42" t="str">
        <x:v>High</x:v>
      </x:c>
      <x:c r="G9" s="42" t="str">
        <x:v>SRC_0046</x:v>
      </x:c>
    </x:row>
    <x:row r="10">
      <x:c r="A10" s="42" t="str">
        <x:v>REL_00009</x:v>
      </x:c>
      <x:c r="B10" s="42" t="str">
        <x:v>COMP_MAERSK</x:v>
      </x:c>
      <x:c r="C10" s="42" t="str">
        <x:v>OWNS</x:v>
      </x:c>
      <x:c r="D10" s="42" t="str">
        <x:v>COMP_APMT</x:v>
      </x:c>
      <x:c r="E10" s="42" t="str">
        <x:v>2026-09-07</x:v>
      </x:c>
      <x:c r="F10" s="42" t="str">
        <x:v>High</x:v>
      </x:c>
      <x:c r="G10" s="42" t="str">
        <x:v>SRC_0019</x:v>
      </x:c>
    </x:row>
    <x:row r="11">
      <x:c r="A11" s="42" t="str">
        <x:v>REL_00010</x:v>
      </x:c>
      <x:c r="B11" s="42" t="str">
        <x:v>COMP_MAERSK</x:v>
      </x:c>
      <x:c r="C11" s="42" t="str">
        <x:v>OWNS</x:v>
      </x:c>
      <x:c r="D11" s="42" t="str">
        <x:v>COMP_MAERSK_AIR</x:v>
      </x:c>
      <x:c r="E11" s="42" t="str">
        <x:v>2026-09-07</x:v>
      </x:c>
      <x:c r="F11" s="42" t="str">
        <x:v>High</x:v>
      </x:c>
      <x:c r="G11" s="42" t="str">
        <x:v>SRC_0049</x:v>
      </x:c>
    </x:row>
    <x:row r="12">
      <x:c r="A12" s="42" t="str">
        <x:v>REL_00011</x:v>
      </x:c>
      <x:c r="B12" s="42" t="str">
        <x:v>COMP_MSC</x:v>
      </x:c>
      <x:c r="C12" s="42" t="str">
        <x:v>MAJORITY_OWNS</x:v>
      </x:c>
      <x:c r="D12" s="42" t="str">
        <x:v>COMP_TIL</x:v>
      </x:c>
      <x:c r="E12" s="42" t="str">
        <x:v>2026-09-07</x:v>
      </x:c>
      <x:c r="F12" s="42" t="str">
        <x:v>High</x:v>
      </x:c>
      <x:c r="G12" s="42" t="str">
        <x:v>SRC_0052</x:v>
      </x:c>
    </x:row>
    <x:row r="13">
      <x:c r="A13" s="42" t="str">
        <x:v>REL_00012</x:v>
      </x:c>
      <x:c r="B13" s="42" t="str">
        <x:v>COMP_COSCO_GROUP</x:v>
      </x:c>
      <x:c r="C13" s="42" t="str">
        <x:v>OWNS</x:v>
      </x:c>
      <x:c r="D13" s="42" t="str">
        <x:v>COMP_COSCO_LINES</x:v>
      </x:c>
      <x:c r="E13" s="42" t="str">
        <x:v>2026-09-07</x:v>
      </x:c>
      <x:c r="F13" s="42" t="str">
        <x:v>High</x:v>
      </x:c>
      <x:c r="G13" s="42" t="str">
        <x:v>SRC_0053</x:v>
      </x:c>
    </x:row>
    <x:row r="14">
      <x:c r="A14" s="42" t="str">
        <x:v>REL_00013</x:v>
      </x:c>
      <x:c r="B14" s="42" t="str">
        <x:v>COMP_COSCO_GROUP</x:v>
      </x:c>
      <x:c r="C14" s="42" t="str">
        <x:v>OWNS</x:v>
      </x:c>
      <x:c r="D14" s="42" t="str">
        <x:v>COMP_COSCO_PORTS</x:v>
      </x:c>
      <x:c r="E14" s="42" t="str">
        <x:v>2026-09-07</x:v>
      </x:c>
      <x:c r="F14" s="42" t="str">
        <x:v>High</x:v>
      </x:c>
      <x:c r="G14" s="42" t="str">
        <x:v>SRC_0055</x:v>
      </x:c>
    </x:row>
    <x:row r="15">
      <x:c r="A15" s="42" t="str">
        <x:v>REL_00014</x:v>
      </x:c>
      <x:c r="B15" s="42" t="str">
        <x:v>COMP_ADPORTS</x:v>
      </x:c>
      <x:c r="C15" s="42" t="str">
        <x:v>OWNS</x:v>
      </x:c>
      <x:c r="D15" s="42" t="str">
        <x:v>COMP_NOATUM</x:v>
      </x:c>
      <x:c r="E15" s="42" t="str">
        <x:v>2026-09-07</x:v>
      </x:c>
      <x:c r="F15" s="42" t="str">
        <x:v>High</x:v>
      </x:c>
      <x:c r="G15" s="42" t="str">
        <x:v>SRC_0059</x:v>
      </x:c>
    </x:row>
    <x:row r="16">
      <x:c r="A16" s="42" t="str">
        <x:v>REL_00015</x:v>
      </x:c>
      <x:c r="B16" s="42" t="str">
        <x:v>COMP_NOATUM</x:v>
      </x:c>
      <x:c r="C16" s="42" t="str">
        <x:v>HAS_BUSINESS_UNIT</x:v>
      </x:c>
      <x:c r="D16" s="42" t="str">
        <x:v>COMP_NOATUM_MARITIME</x:v>
      </x:c>
      <x:c r="E16" s="42" t="str">
        <x:v>2026-09-07</x:v>
      </x:c>
      <x:c r="F16" s="42" t="str">
        <x:v>High</x:v>
      </x:c>
      <x:c r="G16" s="42" t="str">
        <x:v>SRC_0065</x:v>
      </x:c>
    </x:row>
    <x:row r="17">
      <x:c r="A17" s="42" t="str">
        <x:v>REL_00016</x:v>
      </x:c>
      <x:c r="B17" s="42" t="str">
        <x:v>COMP_NOATUM</x:v>
      </x:c>
      <x:c r="C17" s="42" t="str">
        <x:v>HAS_BUSINESS_UNIT</x:v>
      </x:c>
      <x:c r="D17" s="42" t="str">
        <x:v>COMP_NOATUM_LOGISTICS</x:v>
      </x:c>
      <x:c r="E17" s="42" t="str">
        <x:v>2026-09-07</x:v>
      </x:c>
      <x:c r="F17" s="42" t="str">
        <x:v>High</x:v>
      </x:c>
      <x:c r="G17" s="42" t="str">
        <x:v>SRC_0065</x:v>
      </x:c>
    </x:row>
    <x:row r="18">
      <x:c r="A18" s="42" t="str">
        <x:v>REL_00017</x:v>
      </x:c>
      <x:c r="B18" s="42" t="str">
        <x:v>COMP_ADPORTS</x:v>
      </x:c>
      <x:c r="C18" s="42" t="str">
        <x:v>OWNS_81_PERCENT</x:v>
      </x:c>
      <x:c r="D18" s="42" t="str">
        <x:v>COMP_GFS</x:v>
      </x:c>
      <x:c r="E18" s="42" t="str">
        <x:v>2026-09-07</x:v>
      </x:c>
      <x:c r="F18" s="42" t="str">
        <x:v>High</x:v>
      </x:c>
      <x:c r="G18" s="42" t="str">
        <x:v>SRC_0058</x:v>
      </x:c>
    </x:row>
    <x:row r="19">
      <x:c r="A19" s="42" t="str">
        <x:v>REL_00018</x:v>
      </x:c>
      <x:c r="B19" s="42" t="str">
        <x:v>COMP_ADNOC</x:v>
      </x:c>
      <x:c r="C19" s="42" t="str">
        <x:v>PARENT_GROUP_OF</x:v>
      </x:c>
      <x:c r="D19" s="42" t="str">
        <x:v>COMP_ADNOC_LS</x:v>
      </x:c>
      <x:c r="E19" s="42" t="str">
        <x:v>2026-09-07</x:v>
      </x:c>
      <x:c r="F19" s="42" t="str">
        <x:v>High</x:v>
      </x:c>
      <x:c r="G19" s="42" t="str">
        <x:v>SRC_0067</x:v>
      </x:c>
    </x:row>
    <x:row r="20">
      <x:c r="A20" s="102" t="str">
        <x:v>REL_00019</x:v>
      </x:c>
      <x:c r="B20" s="102" t="str">
        <x:v>COMP_ADNOC_LS</x:v>
      </x:c>
      <x:c r="C20" s="102" t="str">
        <x:v>OWNS_80_PERCENT</x:v>
      </x:c>
      <x:c r="D20" s="102" t="str">
        <x:v>COMP_NAVIG8</x:v>
      </x:c>
      <x:c r="E20" s="102" t="str">
        <x:v>2026-09-07</x:v>
      </x:c>
      <x:c r="F20" s="102" t="str">
        <x:v>High</x:v>
      </x:c>
      <x:c r="G20" s="102" t="str">
        <x:v>SRC_0069</x:v>
      </x:c>
    </x:row>
    <x:row r="21">
      <x:c r="A21" s="102" t="str">
        <x:v>REL_00020</x:v>
      </x:c>
      <x:c r="B21" s="102" t="str">
        <x:v>COMP_ADNOC_LS</x:v>
      </x:c>
      <x:c r="C21" s="102" t="str">
        <x:v>OWNS_100_PERCENT</x:v>
      </x:c>
      <x:c r="D21" s="102" t="str">
        <x:v>COMP_ZMI</x:v>
      </x:c>
      <x:c r="E21" s="102" t="str">
        <x:v>2026-09-07</x:v>
      </x:c>
      <x:c r="F21" s="102" t="str">
        <x:v>High</x:v>
      </x:c>
      <x:c r="G21" s="102" t="str">
        <x:v>SRC_0069</x:v>
      </x:c>
    </x:row>
    <x:row r="22">
      <x:c r="A22" s="102" t="str">
        <x:v>REL_00021</x:v>
      </x:c>
      <x:c r="B22" s="102" t="str">
        <x:v>COMP_ADNOC_LS</x:v>
      </x:c>
      <x:c r="C22" s="102" t="str">
        <x:v>JV_PARTNER_IN</x:v>
      </x:c>
      <x:c r="D22" s="102" t="str">
        <x:v>COMP_AW_SHIPPING</x:v>
      </x:c>
      <x:c r="E22" s="102" t="str">
        <x:v>2026-09-07</x:v>
      </x:c>
      <x:c r="F22" s="102" t="str">
        <x:v>High</x:v>
      </x:c>
      <x:c r="G22" s="102" t="str">
        <x:v>SRC_0071</x:v>
      </x:c>
    </x:row>
    <x:row r="23">
      <x:c r="A23" s="102" t="str">
        <x:v>REL_00022</x:v>
      </x:c>
      <x:c r="B23" s="102" t="str">
        <x:v>COMP_WANHUA</x:v>
      </x:c>
      <x:c r="C23" s="102" t="str">
        <x:v>JV_PARTNER_IN</x:v>
      </x:c>
      <x:c r="D23" s="102" t="str">
        <x:v>COMP_AW_SHIPPING</x:v>
      </x:c>
      <x:c r="E23" s="102" t="str">
        <x:v>2026-09-07</x:v>
      </x:c>
      <x:c r="F23" s="102" t="str">
        <x:v>High</x:v>
      </x:c>
      <x:c r="G23" s="102" t="str">
        <x:v>SRC_0071</x:v>
      </x:c>
    </x:row>
    <x:row r="24">
      <x:c r="A24" s="102" t="str">
        <x:v>REL_00023</x:v>
      </x:c>
      <x:c r="B24" s="102" t="str">
        <x:v>COMP_ADNOC_LS</x:v>
      </x:c>
      <x:c r="C24" s="102" t="str">
        <x:v>LONG_TERM_SHIPPING_PARTNER_OF</x:v>
      </x:c>
      <x:c r="D24" s="102" t="str">
        <x:v>COMP_ADNOC_GAS</x:v>
      </x:c>
      <x:c r="E24" s="102" t="str">
        <x:v>2026-09-07</x:v>
      </x:c>
      <x:c r="F24" s="102" t="str">
        <x:v>High</x:v>
      </x:c>
      <x:c r="G24" s="102" t="str">
        <x:v>SRC_0068</x:v>
      </x:c>
    </x:row>
    <x:row r="25">
      <x:c r="A25" s="102" t="str">
        <x:v>REL_00024</x:v>
      </x:c>
      <x:c r="B25" s="102" t="str">
        <x:v>COMP_MILAHA</x:v>
      </x:c>
      <x:c r="C25" s="102" t="str">
        <x:v>SHAREHOLDER_36_PERCENT</x:v>
      </x:c>
      <x:c r="D25" s="102" t="str">
        <x:v>COMP_NAKILAT</x:v>
      </x:c>
      <x:c r="E25" s="102" t="str">
        <x:v>2026-09-07</x:v>
      </x:c>
      <x:c r="F25" s="102" t="str">
        <x:v>High</x:v>
      </x:c>
      <x:c r="G25" s="102" t="str">
        <x:v>SRC_0082</x:v>
      </x:c>
    </x:row>
    <x:row r="26">
      <x:c r="A26" s="102" t="str">
        <x:v>REL_00025</x:v>
      </x:c>
      <x:c r="B26" s="102" t="str">
        <x:v>COMP_QATARENERGY</x:v>
      </x:c>
      <x:c r="C26" s="102" t="str">
        <x:v>LONG_TERM_CHARTER_PROGRAM_WITH</x:v>
      </x:c>
      <x:c r="D26" s="102" t="str">
        <x:v>COMP_NAKILAT</x:v>
      </x:c>
      <x:c r="E26" s="102" t="str">
        <x:v>2026-09-07</x:v>
      </x:c>
      <x:c r="F26" s="102" t="str">
        <x:v>High</x:v>
      </x:c>
      <x:c r="G26" s="102" t="str">
        <x:v>SRC_0088</x:v>
      </x:c>
    </x:row>
    <x:row r="27">
      <x:c r="A27" s="102" t="str">
        <x:v>REL_00026</x:v>
      </x:c>
      <x:c r="B27" s="102" t="str">
        <x:v>COMP_BYD</x:v>
      </x:c>
      <x:c r="C27" s="102" t="str">
        <x:v>CHARTERS_VEHICLE_CARRIERS_FROM</x:v>
      </x:c>
      <x:c r="D27" s="102" t="str">
        <x:v>COMP_ZODIAC</x:v>
      </x:c>
      <x:c r="E27" s="102" t="str">
        <x:v>2026-09-07</x:v>
      </x:c>
      <x:c r="F27" s="102" t="str">
        <x:v>High</x:v>
      </x:c>
      <x:c r="G27" s="102" t="str">
        <x:v>SRC_0091</x:v>
      </x:c>
    </x:row>
    <x:row r="28">
      <x:c r="A28" s="102" t="str">
        <x:v>REL_00027</x:v>
      </x:c>
      <x:c r="B28" s="102" t="str">
        <x:v>COMP_BP</x:v>
      </x:c>
      <x:c r="C28" s="102" t="str">
        <x:v>OWNS</x:v>
      </x:c>
      <x:c r="D28" s="102" t="str">
        <x:v>COMP_BP_SHIPPING</x:v>
      </x:c>
      <x:c r="E28" s="102" t="str">
        <x:v>2026-09-07</x:v>
      </x:c>
      <x:c r="F28" s="102" t="str">
        <x:v>High</x:v>
      </x:c>
      <x:c r="G28" s="102" t="str">
        <x:v>SRC_0103</x:v>
      </x:c>
    </x:row>
    <x:row r="29">
      <x:c r="A29" s="102" t="str">
        <x:v>REL_00028</x:v>
      </x:c>
      <x:c r="B29" s="102" t="str">
        <x:v>COMP_CHEVRON</x:v>
      </x:c>
      <x:c r="C29" s="102" t="str">
        <x:v>OWNS</x:v>
      </x:c>
      <x:c r="D29" s="102" t="str">
        <x:v>COMP_CHEVRON_SHIPPING</x:v>
      </x:c>
      <x:c r="E29" s="102" t="str">
        <x:v>2026-09-07</x:v>
      </x:c>
      <x:c r="F29" s="102" t="str">
        <x:v>High</x:v>
      </x:c>
      <x:c r="G29" s="102" t="str">
        <x:v>SRC_0105</x:v>
      </x:c>
    </x:row>
    <x:row r="30">
      <x:c r="A30" s="102" t="str">
        <x:v>REL_00029</x:v>
      </x:c>
      <x:c r="B30" s="102" t="str">
        <x:v>COMP_EXXON</x:v>
      </x:c>
      <x:c r="C30" s="102" t="str">
        <x:v>OWNS</x:v>
      </x:c>
      <x:c r="D30" s="102" t="str">
        <x:v>COMP_SEARIVER</x:v>
      </x:c>
      <x:c r="E30" s="102" t="str">
        <x:v>2026-09-07</x:v>
      </x:c>
      <x:c r="F30" s="102" t="str">
        <x:v>High</x:v>
      </x:c>
      <x:c r="G30" s="102" t="str">
        <x:v>SRC_0107</x:v>
      </x:c>
    </x:row>
    <x:row r="31">
      <x:c r="A31" s="102" t="str">
        <x:v>REL_00030</x:v>
      </x:c>
      <x:c r="B31" s="102" t="str">
        <x:v>COMP_EXXON</x:v>
      </x:c>
      <x:c r="C31" s="102" t="str">
        <x:v>GROUP_ENTITY</x:v>
      </x:c>
      <x:c r="D31" s="102" t="str">
        <x:v>COMP_IMT</x:v>
      </x:c>
      <x:c r="E31" s="102" t="str">
        <x:v>2026-09-07</x:v>
      </x:c>
      <x:c r="F31" s="102" t="str">
        <x:v>High</x:v>
      </x:c>
      <x:c r="G31" s="102" t="str">
        <x:v>SRC_0107</x:v>
      </x:c>
    </x:row>
    <x:row r="32">
      <x:c r="A32" s="102" t="str">
        <x:v>REL_00031</x:v>
      </x:c>
      <x:c r="B32" s="102" t="str">
        <x:v>COMP_BAHRI</x:v>
      </x:c>
      <x:c r="C32" s="102" t="str">
        <x:v>EQUITY_INTEREST_IN</x:v>
      </x:c>
      <x:c r="D32" s="102" t="str">
        <x:v>YARD_0010</x:v>
      </x:c>
      <x:c r="E32" s="102" t="str">
        <x:v>2026-09-07</x:v>
      </x:c>
      <x:c r="F32" s="102" t="str">
        <x:v>High</x:v>
      </x:c>
      <x:c r="G32" s="102" t="str">
        <x:v>SRC_0074</x:v>
      </x:c>
    </x:row>
    <x:row r="33">
      <x:c r="A33" s="102" t="str">
        <x:v>REL_00032</x:v>
      </x:c>
      <x:c r="B33" s="102" t="str">
        <x:v>COMP_SEARIVER</x:v>
      </x:c>
      <x:c r="C33" s="102" t="str">
        <x:v>TIME_CHARTERS_FROM</x:v>
      </x:c>
      <x:c r="D33" s="102" t="str">
        <x:v>COMP_PERFORMANCE_SHIPPING</x:v>
      </x:c>
      <x:c r="E33" s="102" t="str">
        <x:v>2026-09-07</x:v>
      </x:c>
      <x:c r="F33" s="102" t="str">
        <x:v>High</x:v>
      </x:c>
      <x:c r="G33" s="102" t="str">
        <x:v>SRC_0109</x:v>
      </x:c>
    </x:row>
    <x:row r="34">
      <x:c r="A34" s="102" t="str">
        <x:v>REL_00033</x:v>
      </x:c>
      <x:c r="B34" s="102" t="str">
        <x:v>COMP_EXXON</x:v>
      </x:c>
      <x:c r="C34" s="102" t="str">
        <x:v>BOOKS_CARGO_CAPACITY_VIA</x:v>
      </x:c>
      <x:c r="D34" s="102" t="str">
        <x:v>COMP_VITOL</x:v>
      </x:c>
      <x:c r="E34" s="102" t="str">
        <x:v>2026-09-07</x:v>
      </x:c>
      <x:c r="F34" s="102" t="str">
        <x:v>Moderate</x:v>
      </x:c>
      <x:c r="G34" s="102" t="str">
        <x:v>SRC_0110</x:v>
      </x:c>
    </x:row>
    <x:row r="35">
      <x:c r="A35" s="102" t="str">
        <x:v>REL_00034</x:v>
      </x:c>
      <x:c r="B35" s="102" t="str">
        <x:v>COMP_DPW</x:v>
      </x:c>
      <x:c r="C35" s="102" t="str">
        <x:v>OWNS / GROUP COMPANY</x:v>
      </x:c>
      <x:c r="D35" s="102" t="str">
        <x:v>COMP_PO_FERRIES</x:v>
      </x:c>
      <x:c r="E35" s="102" t="str">
        <x:v>2026-09-07</x:v>
      </x:c>
      <x:c r="F35" s="102" t="str">
        <x:v>High</x:v>
      </x:c>
      <x:c r="G35" s="102" t="str">
        <x:v>SRC_0125</x:v>
      </x:c>
    </x:row>
    <x:row r="36">
      <x:c r="A36" s="102" t="str">
        <x:v>REL_00035</x:v>
      </x:c>
      <x:c r="B36" s="102" t="str">
        <x:v>COMP_CSL_GROUP</x:v>
      </x:c>
      <x:c r="C36" s="102" t="str">
        <x:v>HAS_DIVISION</x:v>
      </x:c>
      <x:c r="D36" s="102" t="str">
        <x:v>COMP_CSL_CANADA</x:v>
      </x:c>
      <x:c r="E36" s="102" t="str">
        <x:v>2026-09-07</x:v>
      </x:c>
      <x:c r="F36" s="102" t="str">
        <x:v>High</x:v>
      </x:c>
      <x:c r="G36" s="102" t="str">
        <x:v>SRC_0152</x:v>
      </x:c>
      <x:c r="H36"/>
      <x:c r="I36"/>
      <x:c r="J36"/>
    </x:row>
    <x:row r="37">
      <x:c r="A37" s="102" t="str">
        <x:v>REL_00036</x:v>
      </x:c>
      <x:c r="B37" s="102" t="str">
        <x:v>COMP_CSL_GROUP</x:v>
      </x:c>
      <x:c r="C37" s="102" t="str">
        <x:v>HAS_DIVISION</x:v>
      </x:c>
      <x:c r="D37" s="102" t="str">
        <x:v>COMP_CSL_AUSTRALIA</x:v>
      </x:c>
      <x:c r="E37" s="102" t="str">
        <x:v>2026-09-07</x:v>
      </x:c>
      <x:c r="F37" s="102" t="str">
        <x:v>High</x:v>
      </x:c>
      <x:c r="G37" s="102" t="str">
        <x:v>SRC_0152</x:v>
      </x:c>
      <x:c r="H37"/>
      <x:c r="I37"/>
      <x:c r="J37"/>
    </x:row>
    <x:row r="38">
      <x:c r="A38" s="102" t="str">
        <x:v>REL_00037</x:v>
      </x:c>
      <x:c r="B38" s="102" t="str">
        <x:v>COMP_CSL_GROUP</x:v>
      </x:c>
      <x:c r="C38" s="102" t="str">
        <x:v>HAS_DIVISION</x:v>
      </x:c>
      <x:c r="D38" s="102" t="str">
        <x:v>COMP_CSL_AMERICAS</x:v>
      </x:c>
      <x:c r="E38" s="102" t="str">
        <x:v>2026-09-07</x:v>
      </x:c>
      <x:c r="F38" s="102" t="str">
        <x:v>High</x:v>
      </x:c>
      <x:c r="G38" s="102" t="str">
        <x:v>SRC_0152</x:v>
      </x:c>
      <x:c r="H38"/>
      <x:c r="I38"/>
      <x:c r="J38"/>
    </x:row>
    <x:row r="39">
      <x:c r="A39" s="102" t="str">
        <x:v>REL_00038</x:v>
      </x:c>
      <x:c r="B39" s="102" t="str">
        <x:v>COMP_CN</x:v>
      </x:c>
      <x:c r="C39" s="102" t="str">
        <x:v>OWNS / OPERATES</x:v>
      </x:c>
      <x:c r="D39" s="102" t="str">
        <x:v>COMP_GREAT_LAKES_FLEET</x:v>
      </x:c>
      <x:c r="E39" s="102" t="str">
        <x:v>2026-09-07</x:v>
      </x:c>
      <x:c r="F39" s="102" t="str">
        <x:v>High</x:v>
      </x:c>
      <x:c r="G39" s="102" t="str">
        <x:v>SRC_0158</x:v>
      </x:c>
    </x:row>
    <x:row r="40">
      <x:c r="A40" s="102" t="str">
        <x:v>REL_00039</x:v>
      </x:c>
      <x:c r="B40" s="102" t="str">
        <x:v>COMP_MAINSTAY</x:v>
      </x:c>
      <x:c r="C40" s="102" t="str">
        <x:v>OWNS / GROUP COMPANY</x:v>
      </x:c>
      <x:c r="D40" s="102" t="str">
        <x:v>COMP_ASC</x:v>
      </x:c>
      <x:c r="E40" s="102" t="str">
        <x:v>2026-09-07</x:v>
      </x:c>
      <x:c r="F40" s="102" t="str">
        <x:v>High</x:v>
      </x:c>
      <x:c r="G40" s="102" t="str">
        <x:v>SRC_0161</x:v>
      </x:c>
    </x:row>
    <x:row r="41">
      <x:c r="A41" s="102" t="str">
        <x:v>REL_00040</x:v>
      </x:c>
      <x:c r="B41" s="102" t="str">
        <x:v>COMP_MAINSTAY</x:v>
      </x:c>
      <x:c r="C41" s="102" t="str">
        <x:v>OWNS / GROUP COMPANY</x:v>
      </x:c>
      <x:c r="D41" s="102" t="str">
        <x:v>COMP_GRN</x:v>
      </x:c>
      <x:c r="E41" s="102" t="str">
        <x:v>2026-09-07</x:v>
      </x:c>
      <x:c r="F41" s="102" t="str">
        <x:v>High</x:v>
      </x:c>
      <x:c r="G41" s="102" t="str">
        <x:v>SRC_0162</x:v>
      </x:c>
    </x:row>
    <x:row r="42">
      <x:c r="A42" s="102" t="str">
        <x:v>REL_00041</x:v>
      </x:c>
      <x:c r="B42" s="102" t="str">
        <x:v>COMP_MAINSTAY</x:v>
      </x:c>
      <x:c r="C42" s="102" t="str">
        <x:v>OWNS / GROUP COMPANY</x:v>
      </x:c>
      <x:c r="D42" s="102" t="str">
        <x:v>COMP_ANDRIE</x:v>
      </x:c>
      <x:c r="E42" s="102" t="str">
        <x:v>2026-09-07</x:v>
      </x:c>
      <x:c r="F42" s="102" t="str">
        <x:v>High</x:v>
      </x:c>
      <x:c r="G42" s="102" t="str">
        <x:v>SRC_0161</x:v>
      </x:c>
    </x:row>
    <x:row r="43">
      <x:c r="A43" s="102" t="str">
        <x:v>REL_00042</x:v>
      </x:c>
      <x:c r="B43" s="102" t="str">
        <x:v>COMP_CSL_GROUP</x:v>
      </x:c>
      <x:c r="C43" s="102" t="str">
        <x:v>JOINT VENTURE PARTNER</x:v>
      </x:c>
      <x:c r="D43" s="102" t="str">
        <x:v>COMP_EUREKA_SHIPPING</x:v>
      </x:c>
      <x:c r="E43" s="102" t="str">
        <x:v>2026-09-07</x:v>
      </x:c>
      <x:c r="F43" s="102" t="str">
        <x:v>High</x:v>
      </x:c>
      <x:c r="G43" s="102" t="str">
        <x:v>SRC_0168</x:v>
      </x:c>
    </x:row>
    <x:row r="44">
      <x:c r="A44" s="102" t="str">
        <x:v>REL_00043</x:v>
      </x:c>
      <x:c r="B44" s="102" t="str">
        <x:v>COMP_SMT_SHIPPING</x:v>
      </x:c>
      <x:c r="C44" s="102" t="str">
        <x:v>JOINT VENTURE PARTNER</x:v>
      </x:c>
      <x:c r="D44" s="102" t="str">
        <x:v>COMP_EUREKA_SHIPPING</x:v>
      </x:c>
      <x:c r="E44" s="102" t="str">
        <x:v>2026-09-07</x:v>
      </x:c>
      <x:c r="F44" s="102" t="str">
        <x:v>High</x:v>
      </x:c>
      <x:c r="G44" s="102" t="str">
        <x:v>SRC_0168</x:v>
      </x:c>
    </x:row>
    <x:row r="45">
      <x:c r="A45" s="102" t="str">
        <x:v>REL_00044</x:v>
      </x:c>
      <x:c r="B45" s="102" t="str">
        <x:v>COMP_ALGOMA</x:v>
      </x:c>
      <x:c r="C45" s="102" t="str">
        <x:v>OPERATES THROUGH</x:v>
      </x:c>
      <x:c r="D45" s="102" t="str">
        <x:v>COMP_ALGOMA_TANKERS</x:v>
      </x:c>
      <x:c r="E45" s="102" t="str">
        <x:v>2026-09-07</x:v>
      </x:c>
      <x:c r="F45" s="102" t="str">
        <x:v>High</x:v>
      </x:c>
      <x:c r="G45" s="102" t="str">
        <x:v>SRC_0155</x:v>
      </x:c>
    </x:row>
    <x:row r="46">
      <x:c r="A46" s="102" t="str">
        <x:v>REL_00045</x:v>
      </x:c>
      <x:c r="B46" s="102" t="str">
        <x:v>COMP_CN</x:v>
      </x:c>
      <x:c r="C46" s="102" t="str">
        <x:v>INTEGRATED SUPPLY CHAIN INCLUDES</x:v>
      </x:c>
      <x:c r="D46" s="102" t="str">
        <x:v>COMP_GREAT_LAKES_FLEET</x:v>
      </x:c>
      <x:c r="E46" s="102" t="str">
        <x:v>2026-09-07</x:v>
      </x:c>
      <x:c r="F46" s="102" t="str">
        <x:v>High</x:v>
      </x:c>
      <x:c r="G46" s="102" t="str">
        <x:v>SRC_0178</x:v>
      </x:c>
    </x:row>
    <x:row r="47">
      <x:c r="A47" s="102" t="str">
        <x:v>REL_00046</x:v>
      </x:c>
      <x:c r="B47" s="102" t="str">
        <x:v>COMP_ADPORTS</x:v>
      </x:c>
      <x:c r="C47" s="102" t="str">
        <x:v>OWNS_70_PERCENT</x:v>
      </x:c>
      <x:c r="D47" s="102" t="str">
        <x:v>COMP_TRANSMAR</x:v>
      </x:c>
      <x:c r="E47" s="102" t="str">
        <x:v>2026-09-07</x:v>
      </x:c>
      <x:c r="F47" s="102" t="str">
        <x:v>High</x:v>
      </x:c>
      <x:c r="G47" s="102" t="str">
        <x:v>SRC_0187</x:v>
      </x:c>
    </x:row>
    <x:row r="48">
      <x:c r="A48" s="102" t="str">
        <x:v>REL_00047</x:v>
      </x:c>
      <x:c r="B48" s="102" t="str">
        <x:v>COMP_ADPORTS</x:v>
      </x:c>
      <x:c r="C48" s="102" t="str">
        <x:v>CONTAINER_FEEDER_BUSINESS_INCLUDES</x:v>
      </x:c>
      <x:c r="D48" s="102" t="str">
        <x:v>COMP_SAFEEN_FEEDERS</x:v>
      </x:c>
      <x:c r="E48" s="102" t="str">
        <x:v>2026-09-07</x:v>
      </x:c>
      <x:c r="F48" s="102" t="str">
        <x:v>High</x:v>
      </x:c>
      <x:c r="G48" s="102" t="str">
        <x:v>SRC_0058</x:v>
      </x:c>
    </x:row>
    <x:row r="49">
      <x:c r="A49" s="102" t="str">
        <x:v>REL_00048</x:v>
      </x:c>
      <x:c r="B49" s="102" t="str">
        <x:v>COMP_ADPORTS</x:v>
      </x:c>
      <x:c r="C49" s="102" t="str">
        <x:v>CONTAINER_FEEDER_BUSINESS_INCLUDES</x:v>
      </x:c>
      <x:c r="D49" s="102" t="str">
        <x:v>COMP_TRANSMAR</x:v>
      </x:c>
      <x:c r="E49" s="102" t="str">
        <x:v>2026-09-07</x:v>
      </x:c>
      <x:c r="F49" s="102" t="str">
        <x:v>High</x:v>
      </x:c>
      <x:c r="G49" s="102" t="str">
        <x:v>SRC_0058</x:v>
      </x:c>
    </x:row>
    <x:row r="50">
      <x:c r="A50" s="102" t="str">
        <x:v>REL_00049</x:v>
      </x:c>
      <x:c r="B50" s="102" t="str">
        <x:v>COMP_CHINA_MERCHANTS_GROUP</x:v>
      </x:c>
      <x:c r="C50" s="102" t="str">
        <x:v>OWNS / CONTROLS</x:v>
      </x:c>
      <x:c r="D50" s="102" t="str">
        <x:v>COMP_CMES</x:v>
      </x:c>
      <x:c r="E50" s="102" t="str">
        <x:v>Parent-subsidiary / state-controlled group relationship</x:v>
      </x:c>
      <x:c r="F50" s="102" t="str">
        <x:v>High</x:v>
      </x:c>
      <x:c r="G50" s="102" t="str">
        <x:v>SRC_0219</x:v>
      </x:c>
    </x:row>
    <x:row r="51">
      <x:c r="A51" s="102" t="str">
        <x:v>REL_00050</x:v>
      </x:c>
      <x:c r="B51" s="102" t="str">
        <x:v>COMP_COSCO_GROUP</x:v>
      </x:c>
      <x:c r="C51" s="102" t="str">
        <x:v>OWNS / CONTROLS</x:v>
      </x:c>
      <x:c r="D51" s="102" t="str">
        <x:v>COMP_COSCO_ENERGY</x:v>
      </x:c>
      <x:c r="E51" s="102" t="str">
        <x:v>Parent-subsidiary / state-controlled group relationship</x:v>
      </x:c>
      <x:c r="F51" s="102" t="str">
        <x:v>High</x:v>
      </x:c>
      <x:c r="G51" s="102" t="str">
        <x:v>SRC_0219</x:v>
      </x:c>
    </x:row>
    <x:row r="52">
      <x:c r="A52" s="102" t="str">
        <x:v>REL_00051</x:v>
      </x:c>
      <x:c r="B52" s="102" t="str">
        <x:v>COMP_ANGELICOUSSIS_GROUP</x:v>
      </x:c>
      <x:c r="C52" s="102" t="str">
        <x:v>OWNS / CONTROLS</x:v>
      </x:c>
      <x:c r="D52" s="102" t="str">
        <x:v>COMP_MARAN_TANKERS</x:v>
      </x:c>
      <x:c r="E52" s="102" t="str">
        <x:v>Parent-group relationship</x:v>
      </x:c>
      <x:c r="F52" s="102" t="str">
        <x:v>High</x:v>
      </x:c>
      <x:c r="G52" s="102" t="str">
        <x:v>SRC_0222</x:v>
      </x:c>
    </x:row>
    <x:row r="53">
      <x:c r="A53" s="102" t="str">
        <x:v>REL_00052</x:v>
      </x:c>
      <x:c r="B53" s="102" t="str">
        <x:v>COMP_ASYAD_GROUP</x:v>
      </x:c>
      <x:c r="C53" s="102" t="str">
        <x:v>OWNS / CONTROLS</x:v>
      </x:c>
      <x:c r="D53" s="102" t="str">
        <x:v>COMP_ASYAD_SHIPPING</x:v>
      </x:c>
      <x:c r="E53" s="102" t="str">
        <x:v>Parent-group relationship</x:v>
      </x:c>
      <x:c r="F53" s="102" t="str">
        <x:v>High</x:v>
      </x:c>
      <x:c r="G53" s="102" t="str">
        <x:v>SRC_0217</x:v>
      </x:c>
    </x:row>
    <x:row r="54">
      <x:c r="A54" s="102" t="str">
        <x:v>REL_00053</x:v>
      </x:c>
      <x:c r="B54" s="102" t="str">
        <x:v>COMP_BROOKFIELD_AM</x:v>
      </x:c>
      <x:c r="C54" s="102" t="str">
        <x:v>SPONSORS / MANAGES</x:v>
      </x:c>
      <x:c r="D54" s="102" t="str">
        <x:v>COMP_BROOKFIELD_INFRA</x:v>
      </x:c>
      <x:c r="E54" s="102" t="str">
        <x:v>2026-09-07</x:v>
      </x:c>
      <x:c r="F54" s="102" t="str">
        <x:v>High</x:v>
      </x:c>
      <x:c r="G54" s="102" t="str">
        <x:v>SRC_0255</x:v>
      </x:c>
    </x:row>
    <x:row r="55">
      <x:c r="A55" s="102" t="str">
        <x:v>REL_00054</x:v>
      </x:c>
      <x:c r="B55" s="102" t="str">
        <x:v>COMP_BROOKFIELD_INFRA</x:v>
      </x:c>
      <x:c r="C55" s="102" t="str">
        <x:v>HOLDS_25_PERCENT</x:v>
      </x:c>
      <x:c r="D55" s="102" t="str">
        <x:v>COMP_PDPORTS</x:v>
      </x:c>
      <x:c r="E55" s="102" t="str">
        <x:v>2026-09-07</x:v>
      </x:c>
      <x:c r="F55" s="102" t="str">
        <x:v>High</x:v>
      </x:c>
      <x:c r="G55" s="102" t="str">
        <x:v>SRC_0255</x:v>
      </x:c>
    </x:row>
    <x:row r="56">
      <x:c r="A56" s="102" t="str">
        <x:v>REL_00055</x:v>
      </x:c>
      <x:c r="B56" s="102" t="str">
        <x:v>COMP_BLACKROCK</x:v>
      </x:c>
      <x:c r="C56" s="102" t="str">
        <x:v>OWNS / PARENT_OF</x:v>
      </x:c>
      <x:c r="D56" s="102" t="str">
        <x:v>COMP_GIP</x:v>
      </x:c>
      <x:c r="E56" s="102" t="str">
        <x:v>2026-09-07</x:v>
      </x:c>
      <x:c r="F56" s="102" t="str">
        <x:v>High</x:v>
      </x:c>
      <x:c r="G56" s="102" t="str">
        <x:v>SRC_0258</x:v>
      </x:c>
    </x:row>
    <x:row r="57">
      <x:c r="A57" s="102" t="str">
        <x:v>REL_00056</x:v>
      </x:c>
      <x:c r="B57" s="102" t="str">
        <x:v>COMP_KKR</x:v>
      </x:c>
      <x:c r="C57" s="102" t="str">
        <x:v>REAL_ESTATE_PLATFORM</x:v>
      </x:c>
      <x:c r="D57" s="102" t="str">
        <x:v>COMP_MIRASTAR</x:v>
      </x:c>
      <x:c r="E57" s="102" t="str">
        <x:v>2026-09-07</x:v>
      </x:c>
      <x:c r="F57" s="102" t="str">
        <x:v>High</x:v>
      </x:c>
      <x:c r="G57" s="102" t="str">
        <x:v>SRC_0263</x:v>
      </x:c>
    </x:row>
    <x:row r="58">
      <x:c r="A58" s="102" t="str">
        <x:v>REL_00057</x:v>
      </x:c>
      <x:c r="B58" s="102" t="str">
        <x:v>COMP_BLACKSTONE</x:v>
      </x:c>
      <x:c r="C58" s="102" t="str">
        <x:v>REAL_ESTATE_PLATFORM</x:v>
      </x:c>
      <x:c r="D58" s="102" t="str">
        <x:v>COMP_PROXITY</x:v>
      </x:c>
      <x:c r="E58" s="102" t="str">
        <x:v>2026-09-07</x:v>
      </x:c>
      <x:c r="F58" s="102" t="str">
        <x:v>High</x:v>
      </x:c>
      <x:c r="G58" s="102" t="str">
        <x:v>SRC_0264</x:v>
      </x:c>
    </x:row>
    <x:row r="59">
      <x:c r="A59" s="102" t="str">
        <x:v>REL_00058</x:v>
      </x:c>
      <x:c r="B59" s="102" t="str">
        <x:v>COMP_STONEPEAK</x:v>
      </x:c>
      <x:c r="C59" s="102" t="str">
        <x:v>OWNS_25_PERCENT</x:v>
      </x:c>
      <x:c r="D59" s="102" t="str">
        <x:v>COMP_UNITED_PORTS</x:v>
      </x:c>
      <x:c r="E59" s="102" t="str">
        <x:v>2026-09-07</x:v>
      </x:c>
      <x:c r="F59" s="102" t="str">
        <x:v>High</x:v>
      </x:c>
      <x:c r="G59" s="102" t="str">
        <x:v>SRC_0256</x:v>
      </x:c>
    </x:row>
    <x:row r="60">
      <x:c r="A60" s="102" t="str">
        <x:v>REL_00059</x:v>
      </x:c>
      <x:c r="B60" s="102" t="str">
        <x:v>COMP_CMA_CGM</x:v>
      </x:c>
      <x:c r="C60" s="102" t="str">
        <x:v>OWNS_75_PERCENT_AND_CONTROLS</x:v>
      </x:c>
      <x:c r="D60" s="102" t="str">
        <x:v>COMP_UNITED_PORTS</x:v>
      </x:c>
      <x:c r="E60" s="102" t="str">
        <x:v>2026-09-07</x:v>
      </x:c>
      <x:c r="F60" s="102" t="str">
        <x:v>High</x:v>
      </x:c>
      <x:c r="G60" s="102" t="str">
        <x:v>SRC_0256</x:v>
      </x:c>
    </x:row>
    <x:row r="61">
      <x:c r="A61" s="102" t="str">
        <x:v>REL_00060</x:v>
      </x:c>
      <x:c r="B61" s="102" t="str">
        <x:v>COMP_STONEPEAK</x:v>
      </x:c>
      <x:c r="C61" s="102" t="str">
        <x:v>OWNS_70_PERCENT</x:v>
      </x:c>
      <x:c r="D61" s="102" t="str">
        <x:v>COMP_GEELONGPORT</x:v>
      </x:c>
      <x:c r="E61" s="102" t="str">
        <x:v>2026-09-07</x:v>
      </x:c>
      <x:c r="F61" s="102" t="str">
        <x:v>High</x:v>
      </x:c>
      <x:c r="G61" s="102" t="str">
        <x:v>SRC_0257</x:v>
      </x:c>
    </x:row>
    <x:row r="62">
      <x:c r="A62" s="102" t="str">
        <x:v>REL_00061</x:v>
      </x:c>
      <x:c r="B62" s="102" t="str">
        <x:v>COMP_CARESUPER</x:v>
      </x:c>
      <x:c r="C62" s="102" t="str">
        <x:v>OWNS_30_PERCENT</x:v>
      </x:c>
      <x:c r="D62" s="102" t="str">
        <x:v>COMP_GEELONGPORT</x:v>
      </x:c>
      <x:c r="E62" s="102" t="str">
        <x:v>2026-09-07</x:v>
      </x:c>
      <x:c r="F62" s="102" t="str">
        <x:v>High</x:v>
      </x:c>
      <x:c r="G62" s="102" t="str">
        <x:v>SRC_0257</x:v>
      </x:c>
    </x:row>
    <x:row r="63">
      <x:c r="A63" s="102" t="str">
        <x:v>REL_00062</x:v>
      </x:c>
      <x:c r="B63" s="102" t="str">
        <x:v>COMP_MACQUARIE_AM</x:v>
      </x:c>
      <x:c r="C63" s="102" t="str">
        <x:v>PORTFOLIO_COMPANY</x:v>
      </x:c>
      <x:c r="D63" s="102" t="str">
        <x:v>COMP_ITS</x:v>
      </x:c>
      <x:c r="E63" s="102" t="str">
        <x:v>2026-09-07</x:v>
      </x:c>
      <x:c r="F63" s="102" t="str">
        <x:v>High</x:v>
      </x:c>
      <x:c r="G63" s="102" t="str">
        <x:v>SRC_0260</x:v>
      </x:c>
    </x:row>
    <x:row r="64">
      <x:c r="A64" s="102" t="str">
        <x:v>REL_00063</x:v>
      </x:c>
      <x:c r="B64" s="102" t="str">
        <x:v>COMP_LA_CAISSE</x:v>
      </x:c>
      <x:c r="C64" s="102" t="str">
        <x:v>OWNS_70_PERCENT</x:v>
      </x:c>
      <x:c r="D64" s="102" t="str">
        <x:v>COMP_PLIVE</x:v>
      </x:c>
      <x:c r="E64" s="102" t="str">
        <x:v>2026-09-07</x:v>
      </x:c>
      <x:c r="F64" s="102" t="str">
        <x:v>High</x:v>
      </x:c>
      <x:c r="G64" s="102" t="str">
        <x:v>SRC_0268</x:v>
      </x:c>
    </x:row>
    <x:row r="65">
      <x:c r="A65" s="102" t="str">
        <x:v>REL_00064</x:v>
      </x:c>
      <x:c r="B65" s="102" t="str">
        <x:v>COMP_PROLOGIS</x:v>
      </x:c>
      <x:c r="C65" s="102" t="str">
        <x:v>OWNS_30_PERCENT_AND_OPERATES</x:v>
      </x:c>
      <x:c r="D65" s="102" t="str">
        <x:v>COMP_PLIVE</x:v>
      </x:c>
      <x:c r="E65" s="102" t="str">
        <x:v>2026-09-07</x:v>
      </x:c>
      <x:c r="F65" s="102" t="str">
        <x:v>High</x:v>
      </x:c>
      <x:c r="G65" s="102" t="str">
        <x:v>SRC_0268</x:v>
      </x:c>
    </x:row>
    <x:row r="66">
      <x:c r="A66" s="102" t="str">
        <x:v>REL_00065</x:v>
      </x:c>
      <x:c r="B66" s="102" t="str">
        <x:v>COMP_CIC</x:v>
      </x:c>
      <x:c r="C66" s="102" t="str">
        <x:v>MAJORITY_OWNS</x:v>
      </x:c>
      <x:c r="D66" s="102" t="str">
        <x:v>COMP_LOGICOR</x:v>
      </x:c>
      <x:c r="E66" s="102" t="str">
        <x:v>2026-09-07</x:v>
      </x:c>
      <x:c r="F66" s="102" t="str">
        <x:v>High</x:v>
      </x:c>
      <x:c r="G66" s="102" t="str">
        <x:v>SRC_0270</x:v>
      </x:c>
    </x:row>
    <x:row r="67">
      <x:c r="A67" s="102" t="str">
        <x:v>REL_00066</x:v>
      </x:c>
      <x:c r="B67" s="102" t="str">
        <x:v>COMP_ADPORTS</x:v>
      </x:c>
      <x:c r="C67" s="102" t="str">
        <x:v>OWNS_60_PERCENT</x:v>
      </x:c>
      <x:c r="D67" s="102" t="str">
        <x:v>COMP_TBILISI_DRY_PORT</x:v>
      </x:c>
      <x:c r="E67" s="102" t="str">
        <x:v>2026-09-07</x:v>
      </x:c>
      <x:c r="F67" s="102" t="str">
        <x:v>High</x:v>
      </x:c>
      <x:c r="G67" s="102" t="str">
        <x:v>SRC_0277</x:v>
      </x:c>
    </x:row>
    <x:row r="68">
      <x:c r="A68" s="102" t="str">
        <x:v>REL_00067</x:v>
      </x:c>
      <x:c r="B68" s="102" t="str">
        <x:v>COMP_WILHELMSEN_PORT_SERVICES</x:v>
      </x:c>
      <x:c r="C68" s="102" t="str">
        <x:v>JV_PARTNER_IN</x:v>
      </x:c>
      <x:c r="D68" s="102" t="str">
        <x:v>COMP_TBILISI_DRY_PORT</x:v>
      </x:c>
      <x:c r="E68" s="102" t="str">
        <x:v>2026-09-07</x:v>
      </x:c>
      <x:c r="F68" s="102" t="str">
        <x:v>High</x:v>
      </x:c>
      <x:c r="G68" s="102" t="str">
        <x:v>SRC_0282</x:v>
      </x:c>
    </x:row>
    <x:row r="69">
      <x:c r="A69" s="102" t="str">
        <x:v>REL_00068</x:v>
      </x:c>
      <x:c r="B69" s="102" t="str">
        <x:v>COMP_INVECO</x:v>
      </x:c>
      <x:c r="C69" s="102" t="str">
        <x:v>JV_PARTNER_IN</x:v>
      </x:c>
      <x:c r="D69" s="102" t="str">
        <x:v>COMP_TBILISI_DRY_PORT</x:v>
      </x:c>
      <x:c r="E69" s="102" t="str">
        <x:v>2026-09-07</x:v>
      </x:c>
      <x:c r="F69" s="102" t="str">
        <x:v>High</x:v>
      </x:c>
      <x:c r="G69" s="102" t="str">
        <x:v>SRC_0282</x:v>
      </x:c>
    </x:row>
    <x:row r="70">
      <x:c r="A70" s="102" t="str">
        <x:v>REL_00069</x:v>
      </x:c>
      <x:c r="B70" s="102" t="str">
        <x:v>COMP_ADPORTS</x:v>
      </x:c>
      <x:c r="C70" s="102" t="str">
        <x:v>OWNS / GROUP COMPANY</x:v>
      </x:c>
      <x:c r="D70" s="102" t="str">
        <x:v>COMP_KEZAD</x:v>
      </x:c>
      <x:c r="E70" s="102" t="str">
        <x:v>2026-09-07</x:v>
      </x:c>
      <x:c r="F70" s="102" t="str">
        <x:v>High</x:v>
      </x:c>
      <x:c r="G70" s="102" t="str">
        <x:v>SRC_0275</x:v>
      </x:c>
    </x:row>
    <x:row r="71">
      <x:c r="A71" s="102" t="str">
        <x:v>REL_00070</x:v>
      </x:c>
      <x:c r="B71" s="102" t="str">
        <x:v>COMP_DPW</x:v>
      </x:c>
      <x:c r="C71" s="102" t="str">
        <x:v>OWNS / GROUP COMPANY</x:v>
      </x:c>
      <x:c r="D71" s="102" t="str">
        <x:v>COMP_JAFZA</x:v>
      </x:c>
      <x:c r="E71" s="102" t="str">
        <x:v>2026-09-07</x:v>
      </x:c>
      <x:c r="F71" s="102" t="str">
        <x:v>High</x:v>
      </x:c>
      <x:c r="G71" s="102" t="str">
        <x:v>SRC_0273</x:v>
      </x:c>
    </x:row>
    <x:row r="72">
      <x:c r="A72" s="42" t="str">
        <x:v>REL_00071</x:v>
      </x:c>
      <x:c r="B72" s="42" t="str">
        <x:v>COMP_DHL_AG</x:v>
      </x:c>
      <x:c r="C72" s="42" t="str">
        <x:v>OWNS / GROUP COMPANY</x:v>
      </x:c>
      <x:c r="D72" s="42" t="str">
        <x:v>COMP_DHL_EXPRESS</x:v>
      </x:c>
      <x:c r="E72" s="42" t="str">
        <x:v>2026-09-07</x:v>
      </x:c>
      <x:c r="F72" s="42" t="str">
        <x:v>High</x:v>
      </x:c>
      <x:c r="G72" s="42" t="str">
        <x:v>SRC_0288</x:v>
      </x:c>
    </x:row>
    <x:row r="73">
      <x:c r="A73" s="42" t="str">
        <x:v>REL_00072</x:v>
      </x:c>
      <x:c r="B73" s="42" t="str">
        <x:v>COMP_DHL_AG</x:v>
      </x:c>
      <x:c r="C73" s="42" t="str">
        <x:v>OWNS / GROUP COMPANY</x:v>
      </x:c>
      <x:c r="D73" s="42" t="str">
        <x:v>COMP_DHL_GLOBAL_FORWARDING</x:v>
      </x:c>
      <x:c r="E73" s="42" t="str">
        <x:v>2026-09-07</x:v>
      </x:c>
      <x:c r="F73" s="42" t="str">
        <x:v>High</x:v>
      </x:c>
      <x:c r="G73" s="42" t="str">
        <x:v>SRC_0288</x:v>
      </x:c>
    </x:row>
    <x:row r="74">
      <x:c r="A74" s="42" t="str">
        <x:v>REL_00073</x:v>
      </x:c>
      <x:c r="B74" s="42" t="str">
        <x:v>COMP_DHL_AG</x:v>
      </x:c>
      <x:c r="C74" s="42" t="str">
        <x:v>OWNS / GROUP COMPANY</x:v>
      </x:c>
      <x:c r="D74" s="42" t="str">
        <x:v>COMP_DHL_SUPPLY_CHAIN</x:v>
      </x:c>
      <x:c r="E74" s="42" t="str">
        <x:v>2026-09-07</x:v>
      </x:c>
      <x:c r="F74" s="42" t="str">
        <x:v>High</x:v>
      </x:c>
      <x:c r="G74" s="42" t="str">
        <x:v>SRC_0288</x:v>
      </x:c>
    </x:row>
    <x:row r="75">
      <x:c r="A75" s="42" t="str">
        <x:v>REL_00074</x:v>
      </x:c>
      <x:c r="B75" s="42" t="str">
        <x:v>COMP_DHL_AG</x:v>
      </x:c>
      <x:c r="C75" s="42" t="str">
        <x:v>OWNS / GROUP COMPANY</x:v>
      </x:c>
      <x:c r="D75" s="42" t="str">
        <x:v>COMP_DHL_ECOMMERCE</x:v>
      </x:c>
      <x:c r="E75" s="42" t="str">
        <x:v>2026-09-07</x:v>
      </x:c>
      <x:c r="F75" s="42" t="str">
        <x:v>High</x:v>
      </x:c>
      <x:c r="G75" s="42" t="str">
        <x:v>SRC_0288</x:v>
      </x:c>
    </x:row>
    <x:row r="76">
      <x:c r="A76" s="42" t="str">
        <x:v>REL_00075</x:v>
      </x:c>
      <x:c r="B76" s="42" t="str">
        <x:v>COMP_DHL_AG</x:v>
      </x:c>
      <x:c r="C76" s="42" t="str">
        <x:v>OWNS / GROUP COMPANY</x:v>
      </x:c>
      <x:c r="D76" s="42" t="str">
        <x:v>COMP_DEUTSCHE_POST</x:v>
      </x:c>
      <x:c r="E76" s="42" t="str">
        <x:v>2026-09-07</x:v>
      </x:c>
      <x:c r="F76" s="42" t="str">
        <x:v>High</x:v>
      </x:c>
      <x:c r="G76" s="42" t="str">
        <x:v>SRC_0288</x:v>
      </x:c>
    </x:row>
    <x:row r="77">
      <x:c r="A77" s="42" t="str">
        <x:v>REL_00076</x:v>
      </x:c>
      <x:c r="B77" s="42" t="str">
        <x:v>COMP_DHL_AG</x:v>
      </x:c>
      <x:c r="C77" s="42" t="str">
        <x:v>OPERATES NETWORK PLATFORM</x:v>
      </x:c>
      <x:c r="D77" s="42" t="str">
        <x:v>COMP_DHL_AVIATION</x:v>
      </x:c>
      <x:c r="E77" s="42" t="str">
        <x:v>2026-09-07</x:v>
      </x:c>
      <x:c r="F77" s="42" t="str">
        <x:v>High</x:v>
      </x:c>
      <x:c r="G77" s="42" t="str">
        <x:v>SRC_0290</x:v>
      </x:c>
    </x:row>
    <x:row r="78">
      <x:c r="A78" s="42" t="str">
        <x:v>REL_00077</x:v>
      </x:c>
      <x:c r="B78" s="42" t="str">
        <x:v>COMP_FEDEX_CORP</x:v>
      </x:c>
      <x:c r="C78" s="42" t="str">
        <x:v>OWNS / GROUP COMPANY</x:v>
      </x:c>
      <x:c r="D78" s="42" t="str">
        <x:v>COMP_FEDERAL_EXPRESS</x:v>
      </x:c>
      <x:c r="E78" s="42" t="str">
        <x:v>2026-09-07</x:v>
      </x:c>
      <x:c r="F78" s="42" t="str">
        <x:v>High</x:v>
      </x:c>
      <x:c r="G78" s="42" t="str">
        <x:v>SRC_0297</x:v>
      </x:c>
    </x:row>
    <x:row r="79">
      <x:c r="A79" s="42" t="str">
        <x:v>REL_00078</x:v>
      </x:c>
      <x:c r="B79" s="42" t="str">
        <x:v>COMP_FEDEX_CORP</x:v>
      </x:c>
      <x:c r="C79" s="42" t="str">
        <x:v>OWNS / GROUP COMPANY</x:v>
      </x:c>
      <x:c r="D79" s="42" t="str">
        <x:v>COMP_FEDEX_SUPPLY_CHAIN</x:v>
      </x:c>
      <x:c r="E79" s="42" t="str">
        <x:v>2026-09-07</x:v>
      </x:c>
      <x:c r="F79" s="42" t="str">
        <x:v>High</x:v>
      </x:c>
      <x:c r="G79" s="42" t="str">
        <x:v>SRC_0301</x:v>
      </x:c>
    </x:row>
    <x:row r="80">
      <x:c r="A80" s="42" t="str">
        <x:v>REL_00079</x:v>
      </x:c>
      <x:c r="B80" s="42" t="str">
        <x:v>COMP_FEDEX_CORP</x:v>
      </x:c>
      <x:c r="C80" s="42" t="str">
        <x:v>RETAINS 19.9% EQUITY IN</x:v>
      </x:c>
      <x:c r="D80" s="42" t="str">
        <x:v>COMP_FEDEX_FREIGHT</x:v>
      </x:c>
      <x:c r="E80" s="42" t="str">
        <x:v>2026-09-07</x:v>
      </x:c>
      <x:c r="F80" s="42" t="str">
        <x:v>High</x:v>
      </x:c>
      <x:c r="G80" s="42" t="str">
        <x:v>SRC_0298</x:v>
      </x:c>
    </x:row>
    <x:row r="81">
      <x:c r="A81" s="42" t="str">
        <x:v>REL_00080</x:v>
      </x:c>
      <x:c r="B81" s="42" t="str">
        <x:v>COMP_CMA_CGM</x:v>
      </x:c>
      <x:c r="C81" s="42" t="str">
        <x:v>AGREEMENT TO ACQUIRE</x:v>
      </x:c>
      <x:c r="D81" s="42" t="str">
        <x:v>COMP_FEDEX_SUPPLY_CHAIN</x:v>
      </x:c>
      <x:c r="E81" s="42" t="str">
        <x:v>2026-09-07</x:v>
      </x:c>
      <x:c r="F81" s="42" t="str">
        <x:v>High</x:v>
      </x:c>
      <x:c r="G81" s="42" t="str">
        <x:v>SRC_0301</x:v>
      </x:c>
    </x:row>
    <x:row r="82">
      <x:c r="A82" s="42" t="str">
        <x:v>REL_00081</x:v>
      </x:c>
      <x:c r="B82" s="42" t="str">
        <x:v>COMP_CEVA</x:v>
      </x:c>
      <x:c r="C82" s="42" t="str">
        <x:v>PLANNED INTEGRATION OF</x:v>
      </x:c>
      <x:c r="D82" s="42" t="str">
        <x:v>COMP_FEDEX_SUPPLY_CHAIN</x:v>
      </x:c>
      <x:c r="E82" s="42" t="str">
        <x:v>2026-09-07</x:v>
      </x:c>
      <x:c r="F82" s="42" t="str">
        <x:v>High</x:v>
      </x:c>
      <x:c r="G82" s="42" t="str">
        <x:v>SRC_0301</x:v>
      </x:c>
    </x:row>
    <x:row r="83">
      <x:c r="A83" s="42" t="str">
        <x:v>REL_00082</x:v>
      </x:c>
      <x:c r="B83" s="42" t="str">
        <x:v>COMP_AMAZON</x:v>
      </x:c>
      <x:c r="C83" s="42" t="str">
        <x:v>OPERATES BUSINESS PLATFORM</x:v>
      </x:c>
      <x:c r="D83" s="42" t="str">
        <x:v>COMP_AMAZON_SUPPLY_CHAIN</x:v>
      </x:c>
      <x:c r="E83" s="42" t="str">
        <x:v>2026-09-07</x:v>
      </x:c>
      <x:c r="F83" s="42" t="str">
        <x:v>High</x:v>
      </x:c>
      <x:c r="G83" s="42" t="str">
        <x:v>SRC_0302</x:v>
      </x:c>
    </x:row>
    <x:row r="84">
      <x:c r="A84" s="42" t="str">
        <x:v>REL_00083</x:v>
      </x:c>
      <x:c r="B84" s="42" t="str">
        <x:v>COMP_AMAZON</x:v>
      </x:c>
      <x:c r="C84" s="42" t="str">
        <x:v>OPERATES BUSINESS PLATFORM</x:v>
      </x:c>
      <x:c r="D84" s="42" t="str">
        <x:v>COMP_AMAZON_GLOBAL_LOGISTICS</x:v>
      </x:c>
      <x:c r="E84" s="42" t="str">
        <x:v>2026-09-07</x:v>
      </x:c>
      <x:c r="F84" s="42" t="str">
        <x:v>High</x:v>
      </x:c>
      <x:c r="G84" s="42" t="str">
        <x:v>SRC_0304</x:v>
      </x:c>
    </x:row>
    <x:row r="85">
      <x:c r="A85" s="42" t="str">
        <x:v>REL_00084</x:v>
      </x:c>
      <x:c r="B85" s="42" t="str">
        <x:v>COMP_AMAZON</x:v>
      </x:c>
      <x:c r="C85" s="42" t="str">
        <x:v>OPERATES BUSINESS PLATFORM</x:v>
      </x:c>
      <x:c r="D85" s="42" t="str">
        <x:v>COMP_AMAZON_FREIGHT</x:v>
      </x:c>
      <x:c r="E85" s="42" t="str">
        <x:v>2026-09-07</x:v>
      </x:c>
      <x:c r="F85" s="42" t="str">
        <x:v>High</x:v>
      </x:c>
      <x:c r="G85" s="42" t="str">
        <x:v>SRC_0302</x:v>
      </x:c>
    </x:row>
    <x:row r="86">
      <x:c r="A86" s="42" t="str">
        <x:v>REL_00085</x:v>
      </x:c>
      <x:c r="B86" s="42" t="str">
        <x:v>COMP_AMAZON</x:v>
      </x:c>
      <x:c r="C86" s="42" t="str">
        <x:v>OPERATES BUSINESS PLATFORM</x:v>
      </x:c>
      <x:c r="D86" s="42" t="str">
        <x:v>COMP_AMAZON_AIR</x:v>
      </x:c>
      <x:c r="E86" s="42" t="str">
        <x:v>2026-09-07</x:v>
      </x:c>
      <x:c r="F86" s="42" t="str">
        <x:v>High</x:v>
      </x:c>
      <x:c r="G86" s="42" t="str">
        <x:v>SRC_0302</x:v>
      </x:c>
    </x:row>
    <x:row r="87">
      <x:c r="A87" s="42" t="str">
        <x:v>REL_00086</x:v>
      </x:c>
      <x:c r="B87" s="42" t="str">
        <x:v>COMP_ALLEGIANT</x:v>
      </x:c>
      <x:c r="C87" s="42" t="str">
        <x:v>OWNS / GROUP COMPANY</x:v>
      </x:c>
      <x:c r="D87" s="42" t="str">
        <x:v>COMP_SUN_COUNTRY</x:v>
      </x:c>
      <x:c r="E87" s="42" t="str">
        <x:v>2026-09-07</x:v>
      </x:c>
      <x:c r="F87" s="42" t="str">
        <x:v>High</x:v>
      </x:c>
      <x:c r="G87" s="42" t="str">
        <x:v>SRC_0307</x:v>
      </x:c>
    </x:row>
    <x:row r="88">
      <x:c r="A88" s="42" t="str">
        <x:v>REL_00087</x:v>
      </x:c>
      <x:c r="B88" s="42" t="str">
        <x:v>COMP_AMAZON</x:v>
      </x:c>
      <x:c r="C88" s="42" t="str">
        <x:v>CONTRACTS CARGO OPERATIONS FROM</x:v>
      </x:c>
      <x:c r="D88" s="42" t="str">
        <x:v>COMP_SUN_COUNTRY</x:v>
      </x:c>
      <x:c r="E88" s="42" t="str">
        <x:v>2026-09-07</x:v>
      </x:c>
      <x:c r="F88" s="42" t="str">
        <x:v>High</x:v>
      </x:c>
      <x:c r="G88" s="42" t="str">
        <x:v>SRC_0307</x:v>
      </x:c>
    </x:row>
    <x:row r="89">
      <x:c r="A89" s="42" t="str">
        <x:v>REL_00088</x:v>
      </x:c>
      <x:c r="B89" s="42" t="str">
        <x:v>COMP_ADQ</x:v>
      </x:c>
      <x:c r="C89" s="42" t="str">
        <x:v>OWNS / CONTROLS 63.16% AGGREGATE</x:v>
      </x:c>
      <x:c r="D89" s="42" t="str">
        <x:v>COMP_ARAMEX</x:v>
      </x:c>
      <x:c r="E89" s="42" t="str">
        <x:v>2026-09-07</x:v>
      </x:c>
      <x:c r="F89" s="42" t="str">
        <x:v>High</x:v>
      </x:c>
      <x:c r="G89" s="42" t="str">
        <x:v>SRC_0308</x:v>
      </x:c>
    </x:row>
    <x:row r="90">
      <x:c r="A90" s="42" t="str">
        <x:v>REL_00089</x:v>
      </x:c>
      <x:c r="B90" s="42" t="str">
        <x:v>COMP_ADQ</x:v>
      </x:c>
      <x:c r="C90" s="42" t="str">
        <x:v>OWNS / GROUP COMPANY</x:v>
      </x:c>
      <x:c r="D90" s="42" t="str">
        <x:v>COMP_Q_LOGISTICS</x:v>
      </x:c>
      <x:c r="E90" s="42" t="str">
        <x:v>2026-09-07</x:v>
      </x:c>
      <x:c r="F90" s="42" t="str">
        <x:v>High</x:v>
      </x:c>
      <x:c r="G90" s="42" t="str">
        <x:v>SRC_0308</x:v>
      </x:c>
    </x:row>
    <x:row r="91">
      <x:c r="A91" s="42" t="str">
        <x:v>REL_00090</x:v>
      </x:c>
      <x:c r="B91" s="42" t="str">
        <x:v>COMP_Q_LOGISTICS</x:v>
      </x:c>
      <x:c r="C91" s="42" t="str">
        <x:v>ACQUISITION VEHICLE FOR</x:v>
      </x:c>
      <x:c r="D91" s="42" t="str">
        <x:v>COMP_ARAMEX</x:v>
      </x:c>
      <x:c r="E91" s="42" t="str">
        <x:v>2026-09-07</x:v>
      </x:c>
      <x:c r="F91" s="42" t="str">
        <x:v>High</x:v>
      </x:c>
      <x:c r="G91" s="42" t="str">
        <x:v>SRC_0308</x:v>
      </x:c>
    </x:row>
    <x:row r="92">
      <x:c r="A92" s="42" t="str">
        <x:v>REL_00091</x:v>
      </x:c>
      <x:c r="B92" s="42" t="str">
        <x:v>COMP_ADQ</x:v>
      </x:c>
      <x:c r="C92" s="42" t="str">
        <x:v>MAJORITY OWNS</x:v>
      </x:c>
      <x:c r="D92" s="42" t="str">
        <x:v>COMP_ADPORTS</x:v>
      </x:c>
      <x:c r="E92" s="42" t="str">
        <x:v>2026-09-07</x:v>
      </x:c>
      <x:c r="F92" s="42" t="str">
        <x:v>High</x:v>
      </x:c>
      <x:c r="G92" s="42" t="str">
        <x:v>SRC_0308</x:v>
      </x:c>
    </x:row>
    <x:row r="93">
      <x:c r="A93" s="42" t="str">
        <x:v>REL_00092</x:v>
      </x:c>
      <x:c r="B93" s="42" t="str">
        <x:v>COMP_ADPORTS</x:v>
      </x:c>
      <x:c r="C93" s="42" t="str">
        <x:v>HOLDS STAKE INCLUDED IN ADQ AGGREGATE</x:v>
      </x:c>
      <x:c r="D93" s="42" t="str">
        <x:v>COMP_ARAMEX</x:v>
      </x:c>
      <x:c r="E93" s="42" t="str">
        <x:v>2026-09-07</x:v>
      </x:c>
      <x:c r="F93" s="42" t="str">
        <x:v>High</x:v>
      </x:c>
      <x:c r="G93" s="42" t="str">
        <x:v>SRC_0308</x:v>
      </x:c>
    </x:row>
  </x:sheetData>
  <x:pageMargins left="0.7" right="0.7" top="0.75" bottom="0.75" header="0.3" footer="0.3"/>
  <x:tableParts count="1">
    <x:tablePart xmlns:r="http://schemas.openxmlformats.org/officeDocument/2006/relationships" r:id="R15c7606ff34b4999"/>
  </x:tableParts>
</x:worksheet>
</file>

<file path=xl/worksheets/sheet19.xml><?xml version="1.0" encoding="utf-8"?>
<x:worksheet xmlns:x="http://schemas.openxmlformats.org/spreadsheetml/2006/main">
  <x:sheetFormatPr defaultRowHeight="15"/>
  <x:cols>
    <x:col min="1" max="1" width="32" hidden="0" customWidth="1"/>
    <x:col min="2" max="2" width="18" hidden="0" customWidth="1"/>
    <x:col min="3" max="3" width="32" hidden="0" customWidth="1"/>
    <x:col min="4" max="4" width="32" hidden="0" customWidth="1"/>
    <x:col min="5" max="5" width="18" hidden="0" customWidth="1"/>
    <x:col min="6" max="6" width="32" hidden="0" customWidth="1"/>
  </x:cols>
  <x:sheetData>
    <x:row r="1">
      <x:c r="A1" s="36" t="str">
        <x:v>Source ID</x:v>
      </x:c>
      <x:c r="B1" s="36" t="str">
        <x:v>Publisher</x:v>
      </x:c>
      <x:c r="C1" s="36" t="str">
        <x:v>Source Note</x:v>
      </x:c>
      <x:c r="D1" s="36" t="str">
        <x:v>URL</x:v>
      </x:c>
      <x:c r="E1" s="36" t="str">
        <x:v>Checked As Of</x:v>
      </x:c>
      <x:c r="F1" s="36" t="str">
        <x:v>Source Type</x:v>
      </x:c>
      <x:c r="G1" s="102"/>
      <x:c r="H1" s="102"/>
    </x:row>
    <x:row r="2">
      <x:c r="A2" s="42" t="str">
        <x:v>SRC_0001</x:v>
      </x:c>
      <x:c r="B2" s="42" t="str">
        <x:v>akamai.apmterminals.com</x:v>
      </x:c>
      <x:c r="C2" s="42" t="str"/>
      <x:c r="D2" s="42" t="str">
        <x:v>https://akamai.apmterminals.com/en/about/global-leadership</x:v>
      </x:c>
      <x:c r="E2" s="42" t="str">
        <x:v>2026-09-07</x:v>
      </x:c>
      <x:c r="F2" s="42" t="str">
        <x:v>Official / primary source</x:v>
      </x:c>
      <x:c r="G2" s="102"/>
      <x:c r="H2" s="102"/>
    </x:row>
    <x:row r="3">
      <x:c r="A3" s="42" t="str">
        <x:v>SRC_0002</x:v>
      </x:c>
      <x:c r="B3" s="42" t="str">
        <x:v>careers.abports.co.uk</x:v>
      </x:c>
      <x:c r="C3" s="42" t="str"/>
      <x:c r="D3" s="42" t="str">
        <x:v>https://careers.abports.co.uk/content/Graduate/?locale=en_GB</x:v>
      </x:c>
      <x:c r="E3" s="42" t="str">
        <x:v>2026-09-07</x:v>
      </x:c>
      <x:c r="F3" s="42" t="str">
        <x:v>Official / primary source</x:v>
      </x:c>
      <x:c r="G3" s="102"/>
      <x:c r="H3" s="102"/>
    </x:row>
    <x:row r="4">
      <x:c r="A4" s="42" t="str">
        <x:v>SRC_0003</x:v>
      </x:c>
      <x:c r="B4" s="42" t="str">
        <x:v>cmacgm-group.com</x:v>
      </x:c>
      <x:c r="C4" s="42" t="str"/>
      <x:c r="D4" s="42" t="str">
        <x:v>https://cmacgm-group.com/en/group-and-vision/our-activities/terminals</x:v>
      </x:c>
      <x:c r="E4" s="42" t="str">
        <x:v>2026-09-07</x:v>
      </x:c>
      <x:c r="F4" s="42" t="str">
        <x:v>Official / primary source</x:v>
      </x:c>
      <x:c r="G4" s="102"/>
      <x:c r="H4" s="102"/>
    </x:row>
    <x:row r="5">
      <x:c r="A5" s="42" t="str">
        <x:v>SRC_0004</x:v>
      </x:c>
      <x:c r="B5" s="42" t="str">
        <x:v>cmacgm-group.com</x:v>
      </x:c>
      <x:c r="C5" s="42" t="str"/>
      <x:c r="D5" s="42" t="str">
        <x:v>https://cmacgm-group.com/en/news-media/rsgt-and-cma-cgm-announce-usd-434-million-initial-investment-develop-terminal-4-saudi-arabia</x:v>
      </x:c>
      <x:c r="E5" s="42" t="str">
        <x:v>2026-09-07</x:v>
      </x:c>
      <x:c r="F5" s="42" t="str">
        <x:v>Official / primary source</x:v>
      </x:c>
      <x:c r="G5" s="102"/>
      <x:c r="H5" s="102"/>
    </x:row>
    <x:row r="6">
      <x:c r="A6" s="42" t="str">
        <x:v>SRC_0005</x:v>
      </x:c>
      <x:c r="B6" s="42" t="str">
        <x:v>forthports.co.uk</x:v>
      </x:c>
      <x:c r="C6" s="42" t="str"/>
      <x:c r="D6" s="42" t="str">
        <x:v>https://forthports.co.uk/</x:v>
      </x:c>
      <x:c r="E6" s="42" t="str">
        <x:v>2026-09-07</x:v>
      </x:c>
      <x:c r="F6" s="42" t="str">
        <x:v>Official / primary source</x:v>
      </x:c>
      <x:c r="G6" s="102"/>
      <x:c r="H6" s="102"/>
    </x:row>
    <x:row r="7">
      <x:c r="A7" s="42" t="str">
        <x:v>SRC_0006</x:v>
      </x:c>
      <x:c r="B7" s="42" t="str">
        <x:v>forthports.co.uk</x:v>
      </x:c>
      <x:c r="C7" s="42" t="str"/>
      <x:c r="D7" s="42" t="str">
        <x:v>https://forthports.co.uk/modern-slavery-statement/</x:v>
      </x:c>
      <x:c r="E7" s="42" t="str">
        <x:v>2026-09-07</x:v>
      </x:c>
      <x:c r="F7" s="42" t="str">
        <x:v>Official / primary source</x:v>
      </x:c>
      <x:c r="G7" s="102"/>
      <x:c r="H7" s="102"/>
    </x:row>
    <x:row r="8">
      <x:c r="A8" s="42" t="str">
        <x:v>SRC_0007</x:v>
      </x:c>
      <x:c r="B8" s="42" t="str">
        <x:v>forthports.co.uk</x:v>
      </x:c>
      <x:c r="C8" s="42" t="str"/>
      <x:c r="D8" s="42" t="str">
        <x:v>https://forthports.co.uk/our-ports/leith-edinburgh/</x:v>
      </x:c>
      <x:c r="E8" s="42" t="str">
        <x:v>2026-09-07</x:v>
      </x:c>
      <x:c r="F8" s="42" t="str">
        <x:v>Official / primary source</x:v>
      </x:c>
      <x:c r="G8" s="102"/>
      <x:c r="H8" s="102"/>
    </x:row>
    <x:row r="9">
      <x:c r="A9" s="42" t="str">
        <x:v>SRC_0008</x:v>
      </x:c>
      <x:c r="B9" s="42" t="str">
        <x:v>hutchisonports.com</x:v>
      </x:c>
      <x:c r="C9" s="42" t="str"/>
      <x:c r="D9" s="42" t="str">
        <x:v>https://hutchisonports.com/media/d/Hutchison_Ports_SR24.pdf</x:v>
      </x:c>
      <x:c r="E9" s="42" t="str">
        <x:v>2026-09-07</x:v>
      </x:c>
      <x:c r="F9" s="42" t="str">
        <x:v>Official / primary source</x:v>
      </x:c>
      <x:c r="G9" s="102"/>
      <x:c r="H9" s="102"/>
    </x:row>
    <x:row r="10">
      <x:c r="A10" s="42" t="str">
        <x:v>SRC_0009</x:v>
      </x:c>
      <x:c r="B10" s="42" t="str">
        <x:v>www.abports.co.uk</x:v>
      </x:c>
      <x:c r="C10" s="42" t="str"/>
      <x:c r="D10" s="42" t="str">
        <x:v>https://www.abports.co.uk/</x:v>
      </x:c>
      <x:c r="E10" s="42" t="str">
        <x:v>2026-09-07</x:v>
      </x:c>
      <x:c r="F10" s="42" t="str">
        <x:v>Official / primary source</x:v>
      </x:c>
      <x:c r="G10" s="102"/>
      <x:c r="H10" s="102"/>
    </x:row>
    <x:row r="11">
      <x:c r="A11" s="42" t="str">
        <x:v>SRC_0010</x:v>
      </x:c>
      <x:c r="B11" s="42" t="str">
        <x:v>www.adportsgroup.com</x:v>
      </x:c>
      <x:c r="C11" s="42" t="str"/>
      <x:c r="D11" s="42" t="str">
        <x:v>https://www.adportsgroup.com/en/about-us</x:v>
      </x:c>
      <x:c r="E11" s="42" t="str">
        <x:v>2026-09-07</x:v>
      </x:c>
      <x:c r="F11" s="42" t="str">
        <x:v>Official / primary source</x:v>
      </x:c>
      <x:c r="G11" s="102"/>
      <x:c r="H11" s="102"/>
    </x:row>
    <x:row r="12">
      <x:c r="A12" s="42" t="str">
        <x:v>SRC_0011</x:v>
      </x:c>
      <x:c r="B12" s="42" t="str">
        <x:v>www.adportsgroup.com</x:v>
      </x:c>
      <x:c r="C12" s="42" t="str"/>
      <x:c r="D12" s="42" t="str">
        <x:v>https://www.adportsgroup.com/en/integrated-clusters/ports</x:v>
      </x:c>
      <x:c r="E12" s="42" t="str">
        <x:v>2026-09-07</x:v>
      </x:c>
      <x:c r="F12" s="42" t="str">
        <x:v>Official / primary source</x:v>
      </x:c>
      <x:c r="G12" s="102"/>
      <x:c r="H12" s="102"/>
    </x:row>
    <x:row r="13">
      <x:c r="A13" s="42" t="str">
        <x:v>SRC_0012</x:v>
      </x:c>
      <x:c r="B13" s="42" t="str">
        <x:v>www.adportsgroup.com</x:v>
      </x:c>
      <x:c r="C13" s="42" t="str"/>
      <x:c r="D13" s="42" t="str">
        <x:v>https://www.adportsgroup.com/en/investors</x:v>
      </x:c>
      <x:c r="E13" s="42" t="str">
        <x:v>2026-09-07</x:v>
      </x:c>
      <x:c r="F13" s="42" t="str">
        <x:v>Official / primary source</x:v>
      </x:c>
      <x:c r="G13" s="102"/>
      <x:c r="H13" s="102"/>
    </x:row>
    <x:row r="14">
      <x:c r="A14" s="42" t="str">
        <x:v>SRC_0013</x:v>
      </x:c>
      <x:c r="B14" s="42" t="str">
        <x:v>www.adportsgroup.com</x:v>
      </x:c>
      <x:c r="C14" s="42" t="str"/>
      <x:c r="D14" s="42" t="str">
        <x:v>https://www.adportsgroup.com/en/investors/corporate-governance/management-team</x:v>
      </x:c>
      <x:c r="E14" s="42" t="str">
        <x:v>2026-09-07</x:v>
      </x:c>
      <x:c r="F14" s="42" t="str">
        <x:v>Official / primary source</x:v>
      </x:c>
      <x:c r="G14" s="102"/>
      <x:c r="H14" s="102"/>
    </x:row>
    <x:row r="15">
      <x:c r="A15" s="42" t="str">
        <x:v>SRC_0014</x:v>
      </x:c>
      <x:c r="B15" s="42" t="str">
        <x:v>www.adportsgroup.com</x:v>
      </x:c>
      <x:c r="C15" s="42" t="str"/>
      <x:c r="D15" s="42" t="str">
        <x:v>https://www.adportsgroup.com/en/news-and-media/2026/02/12/ad-ports-group-reports-record-2025-revenue</x:v>
      </x:c>
      <x:c r="E15" s="42" t="str">
        <x:v>2026-09-07</x:v>
      </x:c>
      <x:c r="F15" s="42" t="str">
        <x:v>Official / primary source</x:v>
      </x:c>
      <x:c r="G15" s="102"/>
      <x:c r="H15" s="102"/>
    </x:row>
    <x:row r="16">
      <x:c r="A16" s="42" t="str">
        <x:v>SRC_0015</x:v>
      </x:c>
      <x:c r="B16" s="42" t="str">
        <x:v>www.adportsgroup.com</x:v>
      </x:c>
      <x:c r="C16" s="42" t="str"/>
      <x:c r="D16" s="42" t="str">
        <x:v>https://www.adportsgroup.com/en/news-and-media/2026/05/05/ad-ports-group-cma-terminals-khalifa-port-and-cma-cgm-group-sign-mou</x:v>
      </x:c>
      <x:c r="E16" s="42" t="str">
        <x:v>2026-09-07</x:v>
      </x:c>
      <x:c r="F16" s="42" t="str">
        <x:v>Official / primary source</x:v>
      </x:c>
      <x:c r="G16" s="102"/>
      <x:c r="H16" s="102"/>
    </x:row>
    <x:row r="17">
      <x:c r="A17" s="42" t="str">
        <x:v>SRC_0016</x:v>
      </x:c>
      <x:c r="B17" s="42" t="str">
        <x:v>www.adportsgroup.com</x:v>
      </x:c>
      <x:c r="C17" s="42" t="str"/>
      <x:c r="D17" s="42" t="str">
        <x:v>https://www.adportsgroup.com/en/news-and-media/2026/05/22/ad-ports-group-establishes-consolidated-multimodal-inland-logistics-network</x:v>
      </x:c>
      <x:c r="E17" s="42" t="str">
        <x:v>2026-09-07</x:v>
      </x:c>
      <x:c r="F17" s="42" t="str">
        <x:v>Official / primary source</x:v>
      </x:c>
      <x:c r="G17" s="102"/>
      <x:c r="H17" s="102"/>
    </x:row>
    <x:row r="18">
      <x:c r="A18" s="42" t="str">
        <x:v>SRC_0017</x:v>
      </x:c>
      <x:c r="B18" s="42" t="str">
        <x:v>www.apmterminals.com</x:v>
      </x:c>
      <x:c r="C18" s="42" t="str"/>
      <x:c r="D18" s="42" t="str">
        <x:v>https://www.apmterminals.com/en/about/global-leadership</x:v>
      </x:c>
      <x:c r="E18" s="42" t="str">
        <x:v>2026-09-07</x:v>
      </x:c>
      <x:c r="F18" s="42" t="str">
        <x:v>Official / primary source</x:v>
      </x:c>
      <x:c r="G18" s="102"/>
      <x:c r="H18" s="102"/>
    </x:row>
    <x:row r="19">
      <x:c r="A19" s="42" t="str">
        <x:v>SRC_0018</x:v>
      </x:c>
      <x:c r="B19" s="42" t="str">
        <x:v>www.apmterminals.com</x:v>
      </x:c>
      <x:c r="C19" s="42" t="str"/>
      <x:c r="D19" s="42" t="str">
        <x:v>https://www.apmterminals.com/en/about/growth</x:v>
      </x:c>
      <x:c r="E19" s="42" t="str">
        <x:v>2026-09-07</x:v>
      </x:c>
      <x:c r="F19" s="42" t="str">
        <x:v>Official / primary source</x:v>
      </x:c>
      <x:c r="G19" s="102"/>
      <x:c r="H19" s="102"/>
    </x:row>
    <x:row r="20">
      <x:c r="A20" s="42" t="str">
        <x:v>SRC_0019</x:v>
      </x:c>
      <x:c r="B20" s="42" t="str">
        <x:v>www.apmterminals.com</x:v>
      </x:c>
      <x:c r="C20" s="42" t="str"/>
      <x:c r="D20" s="42" t="str">
        <x:v>https://www.apmterminals.com/en/about/our-company</x:v>
      </x:c>
      <x:c r="E20" s="42" t="str">
        <x:v>2026-09-07</x:v>
      </x:c>
      <x:c r="F20" s="42" t="str">
        <x:v>Official / primary source</x:v>
      </x:c>
      <x:c r="G20" s="102"/>
      <x:c r="H20" s="102"/>
    </x:row>
    <x:row r="21">
      <x:c r="A21" s="42" t="str">
        <x:v>SRC_0020</x:v>
      </x:c>
      <x:c r="B21" s="42" t="str">
        <x:v>www.apmterminals.com</x:v>
      </x:c>
      <x:c r="C21" s="42" t="str"/>
      <x:c r="D21" s="42" t="str">
        <x:v>https://www.apmterminals.com/en/tools/service-locator</x:v>
      </x:c>
      <x:c r="E21" s="42" t="str">
        <x:v>2026-09-07</x:v>
      </x:c>
      <x:c r="F21" s="42" t="str">
        <x:v>Official / primary source</x:v>
      </x:c>
      <x:c r="G21" s="102"/>
      <x:c r="H21" s="102"/>
    </x:row>
    <x:row r="22">
      <x:c r="A22" s="42" t="str">
        <x:v>SRC_0021</x:v>
      </x:c>
      <x:c r="B22" s="42" t="str">
        <x:v>www.bristolport.co.uk</x:v>
      </x:c>
      <x:c r="C22" s="42" t="str"/>
      <x:c r="D22" s="42" t="str">
        <x:v>https://www.bristolport.co.uk/</x:v>
      </x:c>
      <x:c r="E22" s="42" t="str">
        <x:v>2026-09-07</x:v>
      </x:c>
      <x:c r="F22" s="42" t="str">
        <x:v>Official / primary source</x:v>
      </x:c>
      <x:c r="G22" s="102"/>
      <x:c r="H22" s="102"/>
    </x:row>
    <x:row r="23">
      <x:c r="A23" s="42" t="str">
        <x:v>SRC_0022</x:v>
      </x:c>
      <x:c r="B23" s="42" t="str">
        <x:v>www.cargolux.com</x:v>
      </x:c>
      <x:c r="C23" s="42" t="str"/>
      <x:c r="D23" s="42" t="str">
        <x:v>https://www.cargolux.com/about-us</x:v>
      </x:c>
      <x:c r="E23" s="42" t="str">
        <x:v>2026-09-07</x:v>
      </x:c>
      <x:c r="F23" s="42" t="str">
        <x:v>Official / primary source</x:v>
      </x:c>
      <x:c r="G23" s="102"/>
      <x:c r="H23" s="102"/>
    </x:row>
    <x:row r="24">
      <x:c r="A24" s="42" t="str">
        <x:v>SRC_0023</x:v>
      </x:c>
      <x:c r="B24" s="42" t="str">
        <x:v>www.cargolux.com</x:v>
      </x:c>
      <x:c r="C24" s="42" t="str"/>
      <x:c r="D24" s="42" t="str">
        <x:v>https://www.cargolux.com/fleet-equipment/</x:v>
      </x:c>
      <x:c r="E24" s="42" t="str">
        <x:v>2026-09-07</x:v>
      </x:c>
      <x:c r="F24" s="42" t="str">
        <x:v>Official / primary source</x:v>
      </x:c>
      <x:c r="G24" s="102"/>
      <x:c r="H24" s="102"/>
    </x:row>
    <x:row r="25">
      <x:c r="A25" s="42" t="str">
        <x:v>SRC_0024</x:v>
      </x:c>
      <x:c r="B25" s="42" t="str">
        <x:v>www.cargolux.com</x:v>
      </x:c>
      <x:c r="C25" s="42" t="str"/>
      <x:c r="D25" s="42" t="str">
        <x:v>https://www.cargolux.com/network/</x:v>
      </x:c>
      <x:c r="E25" s="42" t="str">
        <x:v>2026-09-07</x:v>
      </x:c>
      <x:c r="F25" s="42" t="str">
        <x:v>Official / primary source</x:v>
      </x:c>
      <x:c r="G25" s="102"/>
      <x:c r="H25" s="102"/>
    </x:row>
    <x:row r="26">
      <x:c r="A26" s="42" t="str">
        <x:v>SRC_0025</x:v>
      </x:c>
      <x:c r="B26" s="42" t="str">
        <x:v>www.cevalogistics.com</x:v>
      </x:c>
      <x:c r="C26" s="42" t="str"/>
      <x:c r="D26" s="42" t="str">
        <x:v>https://www.cevalogistics.com/en/news-and-media/newsroom/press-release/ceva-boosts-asia-pacific-us-air-cargo</x:v>
      </x:c>
      <x:c r="E26" s="42" t="str">
        <x:v>2026-09-07</x:v>
      </x:c>
      <x:c r="F26" s="42" t="str">
        <x:v>Official / primary source</x:v>
      </x:c>
      <x:c r="G26" s="102"/>
      <x:c r="H26" s="102"/>
    </x:row>
    <x:row r="27">
      <x:c r="A27" s="42" t="str">
        <x:v>SRC_0026</x:v>
      </x:c>
      <x:c r="B27" s="42" t="str">
        <x:v>www.cevalogistics.com</x:v>
      </x:c>
      <x:c r="C27" s="42" t="str"/>
      <x:c r="D27" s="42" t="str">
        <x:v>https://www.cevalogistics.com/en/news-and-media/newsroom/press-release/ceva-unveils-high-performance-logistics-hub-in-perth</x:v>
      </x:c>
      <x:c r="E27" s="42" t="str">
        <x:v>2026-09-07</x:v>
      </x:c>
      <x:c r="F27" s="42" t="str">
        <x:v>Official / primary source</x:v>
      </x:c>
      <x:c r="G27" s="102"/>
      <x:c r="H27" s="102"/>
    </x:row>
    <x:row r="28">
      <x:c r="A28" s="42" t="str">
        <x:v>SRC_0027</x:v>
      </x:c>
      <x:c r="B28" s="42" t="str">
        <x:v>www.cevalogistics.com</x:v>
      </x:c>
      <x:c r="C28" s="42" t="str"/>
      <x:c r="D28" s="42" t="str">
        <x:v>https://www.cevalogistics.com/en/news-and-media/newsroom/press-release/ceva-warehouse-dubai-2026</x:v>
      </x:c>
      <x:c r="E28" s="42" t="str">
        <x:v>2026-09-07</x:v>
      </x:c>
      <x:c r="F28" s="42" t="str">
        <x:v>Official / primary source</x:v>
      </x:c>
      <x:c r="G28" s="102"/>
      <x:c r="H28" s="102"/>
    </x:row>
    <x:row r="29">
      <x:c r="A29" s="42" t="str">
        <x:v>SRC_0028</x:v>
      </x:c>
      <x:c r="B29" s="42" t="str">
        <x:v>www.cevalogistics.com</x:v>
      </x:c>
      <x:c r="C29" s="42" t="str"/>
      <x:c r="D29" s="42" t="str">
        <x:v>https://www.cevalogistics.com/en/news-and-media/newsroom/press-release/cma-cgm-to-acquire-fedex-supply-chain-north-america</x:v>
      </x:c>
      <x:c r="E29" s="42" t="str">
        <x:v>2026-09-07</x:v>
      </x:c>
      <x:c r="F29" s="42" t="str">
        <x:v>Official / primary source</x:v>
      </x:c>
      <x:c r="G29" s="102"/>
      <x:c r="H29" s="102"/>
    </x:row>
    <x:row r="30">
      <x:c r="A30" s="42" t="str">
        <x:v>SRC_0029</x:v>
      </x:c>
      <x:c r="B30" s="42" t="str">
        <x:v>www.cevalogistics.com</x:v>
      </x:c>
      <x:c r="C30" s="42" t="str"/>
      <x:c r="D30" s="42" t="str">
        <x:v>https://www.cevalogistics.com/en/news-and-media/newsroom/press-release/patrick-moebel-appointed-chief-executive-officer</x:v>
      </x:c>
      <x:c r="E30" s="42" t="str">
        <x:v>2026-09-07</x:v>
      </x:c>
      <x:c r="F30" s="42" t="str">
        <x:v>Official / primary source</x:v>
      </x:c>
      <x:c r="G30" s="102"/>
      <x:c r="H30" s="102"/>
    </x:row>
    <x:row r="31">
      <x:c r="A31" s="42" t="str">
        <x:v>SRC_0030</x:v>
      </x:c>
      <x:c r="B31" s="42" t="str">
        <x:v>www.cmacgm-group.com</x:v>
      </x:c>
      <x:c r="C31" s="42" t="str"/>
      <x:c r="D31" s="42" t="str">
        <x:v>https://www.cmacgm-group.com/en/group/governance</x:v>
      </x:c>
      <x:c r="E31" s="42" t="str">
        <x:v>2026-09-07</x:v>
      </x:c>
      <x:c r="F31" s="42" t="str">
        <x:v>Official / primary source</x:v>
      </x:c>
      <x:c r="G31" s="102"/>
      <x:c r="H31" s="102"/>
    </x:row>
    <x:row r="32">
      <x:c r="A32" s="42" t="str">
        <x:v>SRC_0031</x:v>
      </x:c>
      <x:c r="B32" s="42" t="str">
        <x:v>www.cmacgm-group.com</x:v>
      </x:c>
      <x:c r="C32" s="42" t="str"/>
      <x:c r="D32" s="42" t="str">
        <x:v>https://www.cmacgm-group.com/en/news-media/annual-financial-results-2025</x:v>
      </x:c>
      <x:c r="E32" s="42" t="str">
        <x:v>2026-09-07</x:v>
      </x:c>
      <x:c r="F32" s="42" t="str">
        <x:v>Official / primary source</x:v>
      </x:c>
      <x:c r="G32" s="102"/>
      <x:c r="H32" s="102"/>
    </x:row>
    <x:row r="33">
      <x:c r="A33" s="42" t="str">
        <x:v>SRC_0032</x:v>
      </x:c>
      <x:c r="B33" s="42" t="str">
        <x:v>www.dpworld.com</x:v>
      </x:c>
      <x:c r="C33" s="42" t="str"/>
      <x:c r="D33" s="42" t="str">
        <x:v>https://www.dpworld.com/en/about-us/leadership/uae/ahmad-al-hassan</x:v>
      </x:c>
      <x:c r="E33" s="42" t="str">
        <x:v>2026-09-07</x:v>
      </x:c>
      <x:c r="F33" s="42" t="str">
        <x:v>Official / primary source</x:v>
      </x:c>
      <x:c r="G33" s="102"/>
      <x:c r="H33" s="102"/>
    </x:row>
    <x:row r="34">
      <x:c r="A34" s="42" t="str">
        <x:v>SRC_0033</x:v>
      </x:c>
      <x:c r="B34" s="42" t="str">
        <x:v>www.dpworld.com</x:v>
      </x:c>
      <x:c r="C34" s="42" t="str"/>
      <x:c r="D34" s="42" t="str">
        <x:v>https://www.dpworld.com/en/about-us/leadership/yuvraj-narayan</x:v>
      </x:c>
      <x:c r="E34" s="42" t="str">
        <x:v>2026-09-07</x:v>
      </x:c>
      <x:c r="F34" s="42" t="str">
        <x:v>Official / primary source</x:v>
      </x:c>
      <x:c r="G34" s="102"/>
      <x:c r="H34" s="102"/>
    </x:row>
    <x:row r="35">
      <x:c r="A35" s="42" t="str">
        <x:v>SRC_0034</x:v>
      </x:c>
      <x:c r="B35" s="42" t="str">
        <x:v>www.dpworld.com</x:v>
      </x:c>
      <x:c r="C35" s="42" t="str"/>
      <x:c r="D35" s="42" t="str">
        <x:v>https://www.dpworld.com/en/investors/annual-report-2025</x:v>
      </x:c>
      <x:c r="E35" s="42" t="str">
        <x:v>2026-09-07</x:v>
      </x:c>
      <x:c r="F35" s="42" t="str">
        <x:v>Official / primary source</x:v>
      </x:c>
      <x:c r="G35" s="102"/>
      <x:c r="H35" s="102"/>
    </x:row>
    <x:row r="36">
      <x:c r="A36" s="42" t="str">
        <x:v>SRC_0035</x:v>
      </x:c>
      <x:c r="B36" s="42" t="str">
        <x:v>www.fincantieri.com</x:v>
      </x:c>
      <x:c r="C36" s="42" t="str"/>
      <x:c r="D36" s="42" t="str">
        <x:v>https://www.fincantieri.com/en/group/governance/corporate-bodies-and-management/bod/pierroberto-folgiero</x:v>
      </x:c>
      <x:c r="E36" s="42" t="str">
        <x:v>2026-09-07</x:v>
      </x:c>
      <x:c r="F36" s="42" t="str">
        <x:v>Official / primary source</x:v>
      </x:c>
      <x:c r="G36" s="102"/>
      <x:c r="H36" s="102"/>
    </x:row>
    <x:row r="37">
      <x:c r="A37" s="42" t="str">
        <x:v>SRC_0036</x:v>
      </x:c>
      <x:c r="B37" s="42" t="str">
        <x:v>www.fincantieri.com</x:v>
      </x:c>
      <x:c r="C37" s="42" t="str"/>
      <x:c r="D37" s="42" t="str">
        <x:v>https://www.fincantieri.com/en/newsroom/press-releases/2026/fincantieri-secures-first-us-navy-contract-for-lsm-program</x:v>
      </x:c>
      <x:c r="E37" s="42" t="str">
        <x:v>2026-09-07</x:v>
      </x:c>
      <x:c r="F37" s="42" t="str">
        <x:v>Official / primary source</x:v>
      </x:c>
      <x:c r="G37" s="102"/>
      <x:c r="H37" s="102"/>
    </x:row>
    <x:row r="38">
      <x:c r="A38" s="42" t="str">
        <x:v>SRC_0037</x:v>
      </x:c>
      <x:c r="B38" s="42" t="str">
        <x:v>www.fincantieri.com</x:v>
      </x:c>
      <x:c r="C38" s="42" t="str"/>
      <x:c r="D38" s="42" t="str">
        <x:v>https://www.fincantieri.com/en/newsroom/press-releases/2026/fincantieri-strengthens-the-u212-nfs-program-with-new-technologies-advanced-services-and-accelerated-delivery-schedule</x:v>
      </x:c>
      <x:c r="E38" s="42" t="str">
        <x:v>2026-09-07</x:v>
      </x:c>
      <x:c r="F38" s="42" t="str">
        <x:v>Official / primary source</x:v>
      </x:c>
      <x:c r="G38" s="102"/>
      <x:c r="H38" s="102"/>
    </x:row>
    <x:row r="39">
      <x:c r="A39" s="42" t="str">
        <x:v>SRC_0038</x:v>
      </x:c>
      <x:c r="B39" s="42" t="str">
        <x:v>www.fincantieri.com</x:v>
      </x:c>
      <x:c r="C39" s="42" t="str"/>
      <x:c r="D39" s="42" t="str">
        <x:v>https://www.fincantieri.com/en/newsroom/press-releases/2026/first-half-2026-results-approved</x:v>
      </x:c>
      <x:c r="E39" s="42" t="str">
        <x:v>2026-09-07</x:v>
      </x:c>
      <x:c r="F39" s="42" t="str">
        <x:v>Official / primary source</x:v>
      </x:c>
      <x:c r="G39" s="102"/>
      <x:c r="H39" s="102"/>
    </x:row>
    <x:row r="40">
      <x:c r="A40" s="42" t="str">
        <x:v>SRC_0039</x:v>
      </x:c>
      <x:c r="B40" s="42" t="str">
        <x:v>www.gulftainer.com</x:v>
      </x:c>
      <x:c r="C40" s="42" t="str"/>
      <x:c r="D40" s="42" t="str">
        <x:v>https://www.gulftainer.com/about-us/</x:v>
      </x:c>
      <x:c r="E40" s="42" t="str">
        <x:v>2026-09-07</x:v>
      </x:c>
      <x:c r="F40" s="42" t="str">
        <x:v>Official / primary source</x:v>
      </x:c>
      <x:c r="G40" s="102"/>
      <x:c r="H40" s="102"/>
    </x:row>
    <x:row r="41">
      <x:c r="A41" s="42" t="str">
        <x:v>SRC_0040</x:v>
      </x:c>
      <x:c r="B41" s="42" t="str">
        <x:v>www.gulftainer.com</x:v>
      </x:c>
      <x:c r="C41" s="42" t="str"/>
      <x:c r="D41" s="42" t="str">
        <x:v>https://www.gulftainer.com/news/releases/gulftainer-unveils-global-trade-infrastructure-strategy-to-build-one-of-the-middle-easts-largest-integrated-logistics-ecosystems/</x:v>
      </x:c>
      <x:c r="E41" s="42" t="str">
        <x:v>2026-09-07</x:v>
      </x:c>
      <x:c r="F41" s="42" t="str">
        <x:v>Official / primary source</x:v>
      </x:c>
      <x:c r="G41" s="102"/>
      <x:c r="H41" s="102"/>
    </x:row>
    <x:row r="42">
      <x:c r="A42" s="42" t="str">
        <x:v>SRC_0041</x:v>
      </x:c>
      <x:c r="B42" s="42" t="str">
        <x:v>www.gulftainer.com</x:v>
      </x:c>
      <x:c r="C42" s="42" t="str"/>
      <x:c r="D42" s="42" t="str">
        <x:v>https://www.gulftainer.com/news/releases/gulftainer_unveils_aldhaid_trade_corridor/</x:v>
      </x:c>
      <x:c r="E42" s="42" t="str">
        <x:v>2026-09-07</x:v>
      </x:c>
      <x:c r="F42" s="42" t="str">
        <x:v>Official / primary source</x:v>
      </x:c>
      <x:c r="G42" s="102"/>
      <x:c r="H42" s="102"/>
    </x:row>
    <x:row r="43">
      <x:c r="A43" s="42" t="str">
        <x:v>SRC_0042</x:v>
      </x:c>
      <x:c r="B43" s="42" t="str">
        <x:v>www.pdports.co.uk</x:v>
      </x:c>
      <x:c r="C43" s="42" t="str"/>
      <x:c r="D43" s="42" t="str">
        <x:v>https://www.pdports.co.uk/locations/</x:v>
      </x:c>
      <x:c r="E43" s="42" t="str">
        <x:v>2026-09-07</x:v>
      </x:c>
      <x:c r="F43" s="42" t="str">
        <x:v>Official / primary source</x:v>
      </x:c>
      <x:c r="G43" s="102"/>
      <x:c r="H43" s="102"/>
    </x:row>
    <x:row r="44">
      <x:c r="A44" s="42" t="str">
        <x:v>SRC_0043</x:v>
      </x:c>
      <x:c r="B44" s="42" t="str">
        <x:v>www.peelports.com</x:v>
      </x:c>
      <x:c r="C44" s="42" t="str"/>
      <x:c r="D44" s="42" t="str">
        <x:v>https://www.peelports.com/port-locations/</x:v>
      </x:c>
      <x:c r="E44" s="42" t="str">
        <x:v>2026-09-07</x:v>
      </x:c>
      <x:c r="F44" s="42" t="str">
        <x:v>Official / primary source</x:v>
      </x:c>
      <x:c r="G44" s="102"/>
      <x:c r="H44" s="102"/>
    </x:row>
    <x:row r="45">
      <x:c r="A45" s="42" t="str">
        <x:v>SRC_0044</x:v>
      </x:c>
      <x:c r="B45" s="42" t="str">
        <x:v>www2.apmterminals.com</x:v>
      </x:c>
      <x:c r="C45" s="42" t="str"/>
      <x:c r="D45" s="42" t="str">
        <x:v>https://www2.apmterminals.com/en/news/news-releases/2026/260320-APMTerminals-lazaro-cardenas-announces-investment-PhaseII</x:v>
      </x:c>
      <x:c r="E45" s="42" t="str">
        <x:v>2026-09-07</x:v>
      </x:c>
      <x:c r="F45" s="42" t="str">
        <x:v>Official / primary source</x:v>
      </x:c>
      <x:c r="G45" s="102"/>
      <x:c r="H45" s="102"/>
    </x:row>
    <x:row r="46">
      <x:c r="A46" s="42" t="str">
        <x:v>SRC_0045</x:v>
      </x:c>
      <x:c r="B46" s="42" t="str">
        <x:v>CMA CGM Group</x:v>
      </x:c>
      <x:c r="C46" s="42" t="str">
        <x:v>Q1 2026 results; fleet and air cargo</x:v>
      </x:c>
      <x:c r="D46" s="42" t="str">
        <x:v>https://www.cmacgm-group.com/en/news-media/first-quarter-2026-financial-results</x:v>
      </x:c>
      <x:c r="E46" s="42" t="str">
        <x:v>2026-09-07</x:v>
      </x:c>
      <x:c r="F46" s="42" t="str">
        <x:v>Official / primary source</x:v>
      </x:c>
      <x:c r="G46" s="102"/>
      <x:c r="H46" s="102"/>
    </x:row>
    <x:row r="47">
      <x:c r="A47" s="42" t="str">
        <x:v>SRC_0046</x:v>
      </x:c>
      <x:c r="B47" s="42" t="str">
        <x:v>CMA CGM Group</x:v>
      </x:c>
      <x:c r="C47" s="42" t="str">
        <x:v>CMA CGM AIR CARGO fleet and A350F order</x:v>
      </x:c>
      <x:c r="D47" s="42" t="str">
        <x:v>https://www.cmacgm-group.com/en/group-and-vision/our-activities/air-freight</x:v>
      </x:c>
      <x:c r="E47" s="42" t="str">
        <x:v>2026-09-07</x:v>
      </x:c>
      <x:c r="F47" s="42" t="str">
        <x:v>Official / primary source</x:v>
      </x:c>
      <x:c r="G47" s="102"/>
      <x:c r="H47" s="102"/>
    </x:row>
    <x:row r="48">
      <x:c r="A48" s="42" t="str">
        <x:v>SRC_0047</x:v>
      </x:c>
      <x:c r="B48" s="42" t="str">
        <x:v>A.P. Moller - Maersk</x:v>
      </x:c>
      <x:c r="C48" s="42" t="str">
        <x:v>Q1 2026 review; dual-fuel fleet and orderbook</x:v>
      </x:c>
      <x:c r="D48" s="42" t="str">
        <x:v>https://investor.maersk.com/static-files/7a6a7475-6b35-4597-9675-3dc9c97141c8</x:v>
      </x:c>
      <x:c r="E48" s="42" t="str">
        <x:v>2026-09-07</x:v>
      </x:c>
      <x:c r="F48" s="42" t="str">
        <x:v>Official / primary source</x:v>
      </x:c>
      <x:c r="G48" s="102"/>
      <x:c r="H48" s="102"/>
    </x:row>
    <x:row r="49">
      <x:c r="A49" s="42" t="str">
        <x:v>SRC_0048</x:v>
      </x:c>
      <x:c r="B49" s="42" t="str">
        <x:v>Maersk</x:v>
      </x:c>
      <x:c r="C49" s="42" t="str">
        <x:v>Eight 18,600 TEU newbuilds at New Times Shipbuilding</x:v>
      </x:c>
      <x:c r="D49" s="42" t="str">
        <x:v>https://www.maersk.com/es-mx/news/articles/2026/02/09/maersk-orders-eight-large-vessels-deployment-flexibility/</x:v>
      </x:c>
      <x:c r="E49" s="42" t="str">
        <x:v>2026-09-07</x:v>
      </x:c>
      <x:c r="F49" s="42" t="str">
        <x:v>Official / primary source</x:v>
      </x:c>
      <x:c r="G49" s="102"/>
      <x:c r="H49" s="102"/>
    </x:row>
    <x:row r="50">
      <x:c r="A50" s="42" t="str">
        <x:v>SRC_0049</x:v>
      </x:c>
      <x:c r="B50" s="42" t="str">
        <x:v>Maersk</x:v>
      </x:c>
      <x:c r="C50" s="42" t="str">
        <x:v>Maersk Air Cargo network and owned-hub proposition</x:v>
      </x:c>
      <x:c r="D50" s="42" t="str">
        <x:v>https://www.maersk.com/transportation-services/air-freight</x:v>
      </x:c>
      <x:c r="E50" s="42" t="str">
        <x:v>2026-09-07</x:v>
      </x:c>
      <x:c r="F50" s="42" t="str">
        <x:v>Official / primary source</x:v>
      </x:c>
      <x:c r="G50" s="102"/>
      <x:c r="H50" s="102"/>
    </x:row>
    <x:row r="51">
      <x:c r="A51" s="42" t="str">
        <x:v>SRC_0050</x:v>
      </x:c>
      <x:c r="B51" s="42" t="str">
        <x:v>MSC</x:v>
      </x:c>
      <x:c r="C51" s="42" t="str">
        <x:v>MSC fleet/network and group profile</x:v>
      </x:c>
      <x:c r="D51" s="42" t="str">
        <x:v>https://www.msc.com/en/about-us</x:v>
      </x:c>
      <x:c r="E51" s="42" t="str">
        <x:v>2026-09-07</x:v>
      </x:c>
      <x:c r="F51" s="42" t="str">
        <x:v>Official / primary source</x:v>
      </x:c>
      <x:c r="G51" s="102"/>
      <x:c r="H51" s="102"/>
    </x:row>
    <x:row r="52">
      <x:c r="A52" s="42" t="str">
        <x:v>SRC_0051</x:v>
      </x:c>
      <x:c r="B52" s="42" t="str">
        <x:v>MSC</x:v>
      </x:c>
      <x:c r="C52" s="42" t="str">
        <x:v>MSC CEO profile</x:v>
      </x:c>
      <x:c r="D52" s="42" t="str">
        <x:v>https://www.msc.com/en/about-us/management/soren-toft</x:v>
      </x:c>
      <x:c r="E52" s="42" t="str">
        <x:v>2026-09-07</x:v>
      </x:c>
      <x:c r="F52" s="42" t="str">
        <x:v>Official / primary source</x:v>
      </x:c>
      <x:c r="G52" s="102"/>
      <x:c r="H52" s="102"/>
    </x:row>
    <x:row r="53">
      <x:c r="A53" s="42" t="str">
        <x:v>SRC_0052</x:v>
      </x:c>
      <x:c r="B53" s="42" t="str">
        <x:v>MSC</x:v>
      </x:c>
      <x:c r="C53" s="42" t="str">
        <x:v>TiL ownership / terminal portfolio</x:v>
      </x:c>
      <x:c r="D53" s="42" t="str">
        <x:v>https://www.msc.com/de/newsroom/news/2019/may/msc-increases-its-stake-in-til-and-welcomes-singapores-gic-as-a-new-shareholder-of-til</x:v>
      </x:c>
      <x:c r="E53" s="42" t="str">
        <x:v>2026-09-07</x:v>
      </x:c>
      <x:c r="F53" s="42" t="str">
        <x:v>Official / primary source</x:v>
      </x:c>
      <x:c r="G53" s="102"/>
      <x:c r="H53" s="102"/>
    </x:row>
    <x:row r="54">
      <x:c r="A54" s="42" t="str">
        <x:v>SRC_0053</x:v>
      </x:c>
      <x:c r="B54" s="42" t="str">
        <x:v>COSCO SHIPPING Lines</x:v>
      </x:c>
      <x:c r="C54" s="42" t="str">
        <x:v>COSCO SHIPPING Lines fleet and network</x:v>
      </x:c>
      <x:c r="D54" s="42" t="str">
        <x:v>https://world.lines.coscoshipping.com/home/About/about/Profile</x:v>
      </x:c>
      <x:c r="E54" s="42" t="str">
        <x:v>2026-09-07</x:v>
      </x:c>
      <x:c r="F54" s="42" t="str">
        <x:v>Official / primary source</x:v>
      </x:c>
      <x:c r="G54" s="102"/>
      <x:c r="H54" s="102"/>
    </x:row>
    <x:row r="55">
      <x:c r="A55" s="42" t="str">
        <x:v>SRC_0054</x:v>
      </x:c>
      <x:c r="B55" s="42" t="str">
        <x:v>COSCO SHIPPING</x:v>
      </x:c>
      <x:c r="C55" s="42" t="str">
        <x:v>Group fleet by segment</x:v>
      </x:c>
      <x:c r="D55" s="42" t="str">
        <x:v>https://expo.lines.coscoshipping.com/expo/about</x:v>
      </x:c>
      <x:c r="E55" s="42" t="str">
        <x:v>2026-09-07</x:v>
      </x:c>
      <x:c r="F55" s="42" t="str">
        <x:v>Official / primary source</x:v>
      </x:c>
      <x:c r="G55" s="102"/>
      <x:c r="H55" s="102"/>
    </x:row>
    <x:row r="56">
      <x:c r="A56" s="42" t="str">
        <x:v>SRC_0055</x:v>
      </x:c>
      <x:c r="B56" s="42" t="str">
        <x:v>COSCO SHIPPING Ports</x:v>
      </x:c>
      <x:c r="C56" s="42" t="str">
        <x:v>Ports business</x:v>
      </x:c>
      <x:c r="D56" s="42" t="str">
        <x:v>https://ports.coscoshipping.com/en/</x:v>
      </x:c>
      <x:c r="E56" s="42" t="str">
        <x:v>2026-09-07</x:v>
      </x:c>
      <x:c r="F56" s="42" t="str">
        <x:v>Official / primary source</x:v>
      </x:c>
      <x:c r="G56" s="102"/>
      <x:c r="H56" s="102"/>
    </x:row>
    <x:row r="57">
      <x:c r="A57" s="42" t="str">
        <x:v>SRC_0056</x:v>
      </x:c>
      <x:c r="B57" s="42" t="str">
        <x:v>Evergreen Marine</x:v>
      </x:c>
      <x:c r="C57" s="42" t="str">
        <x:v>Evergreen global service footprint</x:v>
      </x:c>
      <x:c r="D57" s="42" t="str">
        <x:v>https://www.evergreen-marine.com/tuf1/ad/2022a/index.html</x:v>
      </x:c>
      <x:c r="E57" s="42" t="str">
        <x:v>2026-09-07</x:v>
      </x:c>
      <x:c r="F57" s="42" t="str">
        <x:v>Official / primary source</x:v>
      </x:c>
      <x:c r="G57" s="102"/>
      <x:c r="H57" s="102"/>
    </x:row>
    <x:row r="58">
      <x:c r="A58" s="42" t="str">
        <x:v>SRC_0057</x:v>
      </x:c>
      <x:c r="B58" s="42" t="str">
        <x:v>Evergreen Marine</x:v>
      </x:c>
      <x:c r="C58" s="42" t="str">
        <x:v>2023 fleet classes / operating fleet</x:v>
      </x:c>
      <x:c r="D58" s="42" t="str">
        <x:v>https://csr.evergreen-marine.com/pdf/csr-policy-report/Evergreen_CSR_2023.pdf?v=202409</x:v>
      </x:c>
      <x:c r="E58" s="42" t="str">
        <x:v>2026-09-07</x:v>
      </x:c>
      <x:c r="F58" s="42" t="str">
        <x:v>Official / primary source</x:v>
      </x:c>
      <x:c r="G58" s="102"/>
      <x:c r="H58" s="102"/>
    </x:row>
    <x:row r="59">
      <x:c r="A59" s="42" t="str">
        <x:v>SRC_0058</x:v>
      </x:c>
      <x:c r="B59" s="42" t="str">
        <x:v>AD Ports Group</x:v>
      </x:c>
      <x:c r="C59" s="42" t="str">
        <x:v>GFS ownership increased to 81%</x:v>
      </x:c>
      <x:c r="D59" s="42" t="str">
        <x:v>https://www.adportsgroup.com/en/news-and-media/2026/06/24/ad-ports-group-increases-ownership-in-global-feeder-shipping</x:v>
      </x:c>
      <x:c r="E59" s="42" t="str">
        <x:v>2026-09-07</x:v>
      </x:c>
      <x:c r="F59" s="42" t="str">
        <x:v>Official / primary source</x:v>
      </x:c>
      <x:c r="G59" s="102"/>
      <x:c r="H59" s="102"/>
    </x:row>
    <x:row r="60">
      <x:c r="A60" s="42" t="str">
        <x:v>SRC_0059</x:v>
      </x:c>
      <x:c r="B60" s="42" t="str">
        <x:v>Noatum</x:v>
      </x:c>
      <x:c r="C60" s="42" t="str">
        <x:v>Noatum integration into AD Ports Group</x:v>
      </x:c>
      <x:c r="D60" s="42" t="str">
        <x:v>https://www.noatum.com/en/about-noatum/</x:v>
      </x:c>
      <x:c r="E60" s="42" t="str">
        <x:v>2026-09-07</x:v>
      </x:c>
      <x:c r="F60" s="42" t="str">
        <x:v>Official / primary source</x:v>
      </x:c>
      <x:c r="G60" s="102"/>
      <x:c r="H60" s="102"/>
    </x:row>
    <x:row r="61">
      <x:c r="A61" s="42" t="str">
        <x:v>SRC_0060</x:v>
      </x:c>
      <x:c r="B61" s="42" t="str">
        <x:v>United Global Ro-Ro</x:v>
      </x:c>
      <x:c r="C61" s="42" t="str">
        <x:v>UGR fleet list</x:v>
      </x:c>
      <x:c r="D61" s="42" t="str">
        <x:v>https://www.ugrlines.com/fleet</x:v>
      </x:c>
      <x:c r="E61" s="42" t="str">
        <x:v>2026-09-07</x:v>
      </x:c>
      <x:c r="F61" s="42" t="str">
        <x:v>Official / primary source</x:v>
      </x:c>
      <x:c r="G61" s="102"/>
      <x:c r="H61" s="102"/>
    </x:row>
    <x:row r="62">
      <x:c r="A62" s="42" t="str">
        <x:v>SRC_0061</x:v>
      </x:c>
      <x:c r="B62" s="42" t="str">
        <x:v>A.P. Moller - Maersk</x:v>
      </x:c>
      <x:c r="C62" s="42" t="str">
        <x:v>2017 cyber attack update</x:v>
      </x:c>
      <x:c r="D62" s="42" t="str">
        <x:v>https://investor.maersk.com/news-releases/news-release-details/cyber-attack-update</x:v>
      </x:c>
      <x:c r="E62" s="42" t="str">
        <x:v>2026-09-07</x:v>
      </x:c>
      <x:c r="F62" s="42" t="str">
        <x:v>Official / primary source</x:v>
      </x:c>
      <x:c r="G62" s="102"/>
      <x:c r="H62" s="102"/>
    </x:row>
    <x:row r="63">
      <x:c r="A63" s="42" t="str">
        <x:v>SRC_0062</x:v>
      </x:c>
      <x:c r="B63" s="42" t="str">
        <x:v>A.P. Moller - Maersk</x:v>
      </x:c>
      <x:c r="C63" s="42" t="str">
        <x:v>2017 NotPetya impact and business units affected</x:v>
      </x:c>
      <x:c r="D63" s="42" t="str">
        <x:v>https://investor.maersk.com/static-files/0ed2b2c8-518c-48ce-b009-c7b06308ad71</x:v>
      </x:c>
      <x:c r="E63" s="42" t="str">
        <x:v>2026-09-07</x:v>
      </x:c>
      <x:c r="F63" s="42" t="str">
        <x:v>Official / primary source</x:v>
      </x:c>
      <x:c r="G63" s="102"/>
      <x:c r="H63" s="102"/>
    </x:row>
    <x:row r="64">
      <x:c r="A64" s="42" t="str">
        <x:v>SRC_0063</x:v>
      </x:c>
      <x:c r="B64" s="42" t="str">
        <x:v>Suez Canal Authority</x:v>
      </x:c>
      <x:c r="C64" s="42" t="str">
        <x:v>Suez Canal historical timeline</x:v>
      </x:c>
      <x:c r="D64" s="42" t="str">
        <x:v>https://www.suezcanal.gov.eg/English/About/SuezCanal/Pages/CanalHistory.aspx</x:v>
      </x:c>
      <x:c r="E64" s="42" t="str">
        <x:v>2026-09-07</x:v>
      </x:c>
      <x:c r="F64" s="42" t="str">
        <x:v>Official / primary source</x:v>
      </x:c>
      <x:c r="G64" s="102"/>
      <x:c r="H64" s="102"/>
    </x:row>
    <x:row r="65">
      <x:c r="A65" s="42" t="str">
        <x:v>SRC_0064</x:v>
      </x:c>
      <x:c r="B65" s="42" t="str">
        <x:v>www.msc.com</x:v>
      </x:c>
      <x:c r="C65" s="42" t="str"/>
      <x:c r="D65" s="42" t="str">
        <x:v>https://www.msc.com/en/about-us/msc-group</x:v>
      </x:c>
      <x:c r="E65" s="42" t="str">
        <x:v>2026-09-07</x:v>
      </x:c>
      <x:c r="F65" s="42" t="str">
        <x:v>Official / primary source</x:v>
      </x:c>
      <x:c r="G65" s="102"/>
      <x:c r="H65" s="102"/>
    </x:row>
    <x:row r="66">
      <x:c r="A66" s="42" t="str">
        <x:v>SRC_0065</x:v>
      </x:c>
      <x:c r="B66" s="42" t="str">
        <x:v>www.noatum.com</x:v>
      </x:c>
      <x:c r="C66" s="42" t="str"/>
      <x:c r="D66" s="42" t="str">
        <x:v>https://www.noatum.com/en/</x:v>
      </x:c>
      <x:c r="E66" s="42" t="str">
        <x:v>2026-09-07</x:v>
      </x:c>
      <x:c r="F66" s="42" t="str">
        <x:v>Official / primary source</x:v>
      </x:c>
      <x:c r="G66" s="102"/>
      <x:c r="H66" s="102"/>
    </x:row>
    <x:row r="67">
      <x:c r="A67" s="102" t="str">
        <x:v>SRC_0066</x:v>
      </x:c>
      <x:c r="B67" s="102" t="str">
        <x:v>ADNOC Logistics &amp; Services</x:v>
      </x:c>
      <x:c r="C67" s="102" t="str">
        <x:v>Fleet sheet; 900+ owned/chartered/operated vessels and 112-vessel shipping fleet</x:v>
      </x:c>
      <x:c r="D67" s="102" t="str">
        <x:v>https://adnocls.ae/-/media/LS/Fleet%20Sheet/ADNOC%20LS%20Fleet%20Sheet%20Eng%20Dec%202026</x:v>
      </x:c>
      <x:c r="E67" s="102" t="str">
        <x:v>2026-09-07</x:v>
      </x:c>
      <x:c r="F67" s="102" t="str">
        <x:v>Official / primary source</x:v>
      </x:c>
      <x:c r="G67" s="102"/>
      <x:c r="H67" s="102"/>
    </x:row>
    <x:row r="68">
      <x:c r="A68" s="102" t="str">
        <x:v>SRC_0067</x:v>
      </x:c>
      <x:c r="B68" s="102" t="str">
        <x:v>ADNOC Logistics &amp; Services</x:v>
      </x:c>
      <x:c r="C68" s="102" t="str">
        <x:v>Leadership</x:v>
      </x:c>
      <x:c r="D68" s="102" t="str">
        <x:v>https://www.adnocls.ae/en/about-us/leadership</x:v>
      </x:c>
      <x:c r="E68" s="102" t="str">
        <x:v>2026-09-07</x:v>
      </x:c>
      <x:c r="F68" s="102" t="str">
        <x:v>Official / primary source</x:v>
      </x:c>
      <x:c r="G68" s="102"/>
      <x:c r="H68" s="102"/>
    </x:row>
    <x:row r="69">
      <x:c r="A69" s="102" t="str">
        <x:v>SRC_0068</x:v>
      </x:c>
      <x:c r="B69" s="102" t="str">
        <x:v>ADNOC Logistics &amp; Services</x:v>
      </x:c>
      <x:c r="C69" s="102" t="str">
        <x:v>Four 175,000 m3 LNG carriers ordered at Jiangnan; delivery 2029</x:v>
      </x:c>
      <x:c r="D69" s="102" t="str">
        <x:v>https://adnocls.ae/en/news-and-media/press-releases/2026/four-new-carriers/</x:v>
      </x:c>
      <x:c r="E69" s="102" t="str">
        <x:v>2026-09-07</x:v>
      </x:c>
      <x:c r="F69" s="102" t="str">
        <x:v>Official / primary source</x:v>
      </x:c>
      <x:c r="G69" s="102"/>
      <x:c r="H69" s="102"/>
    </x:row>
    <x:row r="70">
      <x:c r="A70" s="102" t="str">
        <x:v>SRC_0069</x:v>
      </x:c>
      <x:c r="B70" s="102" t="str">
        <x:v>ADNOC Logistics &amp; Services</x:v>
      </x:c>
      <x:c r="C70" s="102" t="str">
        <x:v>USD1.3bn acquisition: six VLCCs and five VLGCs</x:v>
      </x:c>
      <x:c r="D70" s="102" t="str">
        <x:v>https://www.adnocls.ae/en/news-and-media/press-releases/2026/strengthens-fleet-with-11-new-vessels</x:v>
      </x:c>
      <x:c r="E70" s="102" t="str">
        <x:v>2026-09-07</x:v>
      </x:c>
      <x:c r="F70" s="102" t="str">
        <x:v>Official / primary source</x:v>
      </x:c>
      <x:c r="G70" s="102"/>
      <x:c r="H70" s="102"/>
    </x:row>
    <x:row r="71">
      <x:c r="A71" s="102" t="str">
        <x:v>SRC_0070</x:v>
      </x:c>
      <x:c r="B71" s="102" t="str">
        <x:v>ADNOC Logistics &amp; Services</x:v>
      </x:c>
      <x:c r="C71" s="102" t="str">
        <x:v>Sixth Jiangnan 175,000 m3 LNG carrier</x:v>
      </x:c>
      <x:c r="D71" s="102" t="str">
        <x:v>https://adnocls.ae/en/news-and-media/press-releases/2026/al-taweelah-delivery-of-sixth-next-generation-lng-carrier</x:v>
      </x:c>
      <x:c r="E71" s="102" t="str">
        <x:v>2026-09-07</x:v>
      </x:c>
      <x:c r="F71" s="102" t="str">
        <x:v>Official / primary source</x:v>
      </x:c>
      <x:c r="G71" s="102"/>
      <x:c r="H71" s="102"/>
    </x:row>
    <x:row r="72">
      <x:c r="A72" s="102" t="str">
        <x:v>SRC_0071</x:v>
      </x:c>
      <x:c r="B72" s="102" t="str">
        <x:v>ADNOC Logistics &amp; Services</x:v>
      </x:c>
      <x:c r="C72" s="102" t="str">
        <x:v>AW Shipping VLGC fleet; Jiangnan</x:v>
      </x:c>
      <x:c r="D72" s="102" t="str">
        <x:v>https://www.adnocls.ae/en/news-and-media/press-releases/2023/adnoc_ls-expands-its-shipping-fleet</x:v>
      </x:c>
      <x:c r="E72" s="102" t="str">
        <x:v>2026-09-07</x:v>
      </x:c>
      <x:c r="F72" s="102" t="str">
        <x:v>Official / primary source</x:v>
      </x:c>
      <x:c r="G72" s="102"/>
      <x:c r="H72" s="102"/>
    </x:row>
    <x:row r="73">
      <x:c r="A73" s="102" t="str">
        <x:v>SRC_0072</x:v>
      </x:c>
      <x:c r="B73" s="102" t="str">
        <x:v>ADNOC Logistics &amp; Services</x:v>
      </x:c>
      <x:c r="C73" s="102" t="str">
        <x:v>Samsung HI and Hanwha Ocean LNG newbuilds</x:v>
      </x:c>
      <x:c r="D73" s="102" t="str">
        <x:v>https://www.adnocls.ae/en/news-and-media/press-releases/2024/adnoc_ls-plc-expands-lng-carrier-fleet</x:v>
      </x:c>
      <x:c r="E73" s="102" t="str">
        <x:v>2026-09-07</x:v>
      </x:c>
      <x:c r="F73" s="102" t="str">
        <x:v>Official / primary source</x:v>
      </x:c>
      <x:c r="G73" s="102"/>
      <x:c r="H73" s="102"/>
    </x:row>
    <x:row r="74">
      <x:c r="A74" s="102" t="str">
        <x:v>SRC_0073</x:v>
      </x:c>
      <x:c r="B74" s="102" t="str">
        <x:v>ADNOC Logistics &amp; Services</x:v>
      </x:c>
      <x:c r="C74" s="102" t="str">
        <x:v>AW Shipping VLEC fleet; first delivery</x:v>
      </x:c>
      <x:c r="D74" s="102" t="str">
        <x:v>https://adnocls.ae/en/news-and-media/press-releases/2025/first-very-large-ethane-carrier</x:v>
      </x:c>
      <x:c r="E74" s="102" t="str">
        <x:v>2026-09-07</x:v>
      </x:c>
      <x:c r="F74" s="102" t="str">
        <x:v>Official / primary source</x:v>
      </x:c>
      <x:c r="G74" s="102"/>
      <x:c r="H74" s="102"/>
    </x:row>
    <x:row r="75">
      <x:c r="A75" s="102" t="str">
        <x:v>SRC_0074</x:v>
      </x:c>
      <x:c r="B75" s="102" t="str">
        <x:v>Bahri</x:v>
      </x:c>
      <x:c r="C75" s="102" t="str">
        <x:v>Q2 2026 fleet 107 owned / 109 operated</x:v>
      </x:c>
      <x:c r="D75" s="102" t="str">
        <x:v>https://www.bahri.sa/en/news-insights/news-insight/2026/bahri-reports-record-net-profit-of-sar-2-75-billion-for-q2-2026/</x:v>
      </x:c>
      <x:c r="E75" s="102" t="str">
        <x:v>2026-09-07</x:v>
      </x:c>
      <x:c r="F75" s="102" t="str">
        <x:v>Official / primary source</x:v>
      </x:c>
      <x:c r="G75" s="102"/>
      <x:c r="H75" s="102"/>
    </x:row>
    <x:row r="76">
      <x:c r="A76" s="102" t="str">
        <x:v>SRC_0075</x:v>
      </x:c>
      <x:c r="B76" s="102" t="str">
        <x:v>Bahri</x:v>
      </x:c>
      <x:c r="C76" s="102" t="str">
        <x:v>Executive management</x:v>
      </x:c>
      <x:c r="D76" s="102" t="str">
        <x:v>https://www.bahri.sa/en/about-bahri/executive-management/</x:v>
      </x:c>
      <x:c r="E76" s="102" t="str">
        <x:v>2026-09-07</x:v>
      </x:c>
      <x:c r="F76" s="102" t="str">
        <x:v>Official / primary source</x:v>
      </x:c>
      <x:c r="G76" s="102"/>
      <x:c r="H76" s="102"/>
    </x:row>
    <x:row r="77">
      <x:c r="A77" s="102" t="str">
        <x:v>SRC_0076</x:v>
      </x:c>
      <x:c r="B77" s="102" t="str">
        <x:v>Bahri</x:v>
      </x:c>
      <x:c r="C77" s="102" t="str">
        <x:v>Two LNG dual-fuel RoCon newbuilds plus two options at Jingling Shipyard</x:v>
      </x:c>
      <x:c r="D77" s="102" t="str">
        <x:v>https://www.bahri.sa/en/news-insights/news-insight/2026/bahri-line-announces-newbuild-program-for-dual-fuel-lng-powered-rocon-vessels/</x:v>
      </x:c>
      <x:c r="E77" s="102" t="str">
        <x:v>2026-09-07</x:v>
      </x:c>
      <x:c r="F77" s="102" t="str">
        <x:v>Official / primary source</x:v>
      </x:c>
      <x:c r="G77" s="102"/>
      <x:c r="H77" s="102"/>
    </x:row>
    <x:row r="78">
      <x:c r="A78" s="102" t="str">
        <x:v>SRC_0077</x:v>
      </x:c>
      <x:c r="B78" s="102" t="str">
        <x:v>Bahri</x:v>
      </x:c>
      <x:c r="C78" s="102" t="str">
        <x:v>2025 annual report fleet mix and newbuilds</x:v>
      </x:c>
      <x:c r="D78" s="102" t="str">
        <x:v>https://www.bahri.sa/media/go4a3eke/bahri-ar25_english-final-to-tadawul.pdf</x:v>
      </x:c>
      <x:c r="E78" s="102" t="str">
        <x:v>2026-09-07</x:v>
      </x:c>
      <x:c r="F78" s="102" t="str">
        <x:v>Official / primary source</x:v>
      </x:c>
      <x:c r="G78" s="102"/>
      <x:c r="H78" s="102"/>
    </x:row>
    <x:row r="79">
      <x:c r="A79" s="102" t="str">
        <x:v>SRC_0078</x:v>
      </x:c>
      <x:c r="B79" s="102" t="str">
        <x:v>Bahri</x:v>
      </x:c>
      <x:c r="C79" s="102" t="str">
        <x:v>Q1 2026 newbuild orderbook</x:v>
      </x:c>
      <x:c r="D79" s="102" t="str">
        <x:v>https://www.bahri.sa/en/news-insights/news-insight/2026/bahri-reports-first-quarter-2026-results-with-net-profit-of-sar-2-15-billion/</x:v>
      </x:c>
      <x:c r="E79" s="102" t="str">
        <x:v>2026-09-07</x:v>
      </x:c>
      <x:c r="F79" s="102" t="str">
        <x:v>Official / primary source</x:v>
      </x:c>
      <x:c r="G79" s="102"/>
      <x:c r="H79" s="102"/>
    </x:row>
    <x:row r="80">
      <x:c r="A80" s="102" t="str">
        <x:v>SRC_0079</x:v>
      </x:c>
      <x:c r="B80" s="102" t="str">
        <x:v>Nakilat</x:v>
      </x:c>
      <x:c r="C80" s="102" t="str">
        <x:v>40-vessel newbuild orderbook</x:v>
      </x:c>
      <x:c r="D80" s="102" t="str">
        <x:v>https://nakilat.com/2026/07/21/nakilat-achieves-qar-857-million-net-profit-for-the-first-half-of-2026/</x:v>
      </x:c>
      <x:c r="E80" s="102" t="str">
        <x:v>2026-09-07</x:v>
      </x:c>
      <x:c r="F80" s="102" t="str">
        <x:v>Official / primary source</x:v>
      </x:c>
      <x:c r="G80" s="102"/>
      <x:c r="H80" s="102"/>
    </x:row>
    <x:row r="81">
      <x:c r="A81" s="102" t="str">
        <x:v>SRC_0080</x:v>
      </x:c>
      <x:c r="B81" s="102" t="str">
        <x:v>Nakilat</x:v>
      </x:c>
      <x:c r="C81" s="102" t="str">
        <x:v>Shipyard split for 40-vessel newbuild program</x:v>
      </x:c>
      <x:c r="D81" s="102" t="str">
        <x:v>https://investors.nakilat.com/English/why-invest/history-and-milestones/default.aspx</x:v>
      </x:c>
      <x:c r="E81" s="102" t="str">
        <x:v>2026-09-07</x:v>
      </x:c>
      <x:c r="F81" s="102" t="str">
        <x:v>Official / primary source</x:v>
      </x:c>
      <x:c r="G81" s="102"/>
      <x:c r="H81" s="102"/>
    </x:row>
    <x:row r="82">
      <x:c r="A82" s="102" t="str">
        <x:v>SRC_0081</x:v>
      </x:c>
      <x:c r="B82" s="102" t="str">
        <x:v>Nakilat</x:v>
      </x:c>
      <x:c r="C82" s="102" t="str">
        <x:v>2025 annual report / CEO</x:v>
      </x:c>
      <x:c r="D82" s="102" t="str">
        <x:v>https://www.nakilat.com/ar2025/</x:v>
      </x:c>
      <x:c r="E82" s="102" t="str">
        <x:v>2026-09-07</x:v>
      </x:c>
      <x:c r="F82" s="102" t="str">
        <x:v>Official / primary source</x:v>
      </x:c>
      <x:c r="G82" s="102"/>
      <x:c r="H82" s="102"/>
    </x:row>
    <x:row r="83">
      <x:c r="A83" s="102" t="str">
        <x:v>SRC_0082</x:v>
      </x:c>
      <x:c r="B83" s="102" t="str">
        <x:v>Milaha</x:v>
      </x:c>
      <x:c r="C83" s="102" t="str">
        <x:v>2025 annual report</x:v>
      </x:c>
      <x:c r="D83" s="102" t="str">
        <x:v>https://www.milaha.com/sites/default/files/2026-02/Milaha-Annual-Report-2025-EN.pdf</x:v>
      </x:c>
      <x:c r="E83" s="102" t="str">
        <x:v>2026-09-07</x:v>
      </x:c>
      <x:c r="F83" s="102" t="str">
        <x:v>Official / primary source</x:v>
      </x:c>
      <x:c r="G83" s="102"/>
      <x:c r="H83" s="102"/>
    </x:row>
    <x:row r="84">
      <x:c r="A84" s="102" t="str">
        <x:v>SRC_0083</x:v>
      </x:c>
      <x:c r="B84" s="102" t="str">
        <x:v>Milaha</x:v>
      </x:c>
      <x:c r="C84" s="102" t="str">
        <x:v>Executive management</x:v>
      </x:c>
      <x:c r="D84" s="102" t="str">
        <x:v>https://www.milaha.com/en/executive-management</x:v>
      </x:c>
      <x:c r="E84" s="102" t="str">
        <x:v>2026-09-07</x:v>
      </x:c>
      <x:c r="F84" s="102" t="str">
        <x:v>Official / primary source</x:v>
      </x:c>
      <x:c r="G84" s="102"/>
      <x:c r="H84" s="102"/>
    </x:row>
    <x:row r="85">
      <x:c r="A85" s="102" t="str">
        <x:v>SRC_0084</x:v>
      </x:c>
      <x:c r="B85" s="102" t="str">
        <x:v>Milaha</x:v>
      </x:c>
      <x:c r="C85" s="102" t="str">
        <x:v>Executive roles</x:v>
      </x:c>
      <x:c r="D85" s="102" t="str">
        <x:v>https://www.milaha.com/sites/default/files/2026-02/Milaha%20Corporate%20Governance%20Report%202025.pdf</x:v>
      </x:c>
      <x:c r="E85" s="102" t="str">
        <x:v>2026-09-07</x:v>
      </x:c>
      <x:c r="F85" s="102" t="str">
        <x:v>Official / primary source</x:v>
      </x:c>
      <x:c r="G85" s="102"/>
      <x:c r="H85" s="102"/>
    </x:row>
    <x:row r="86">
      <x:c r="A86" s="102" t="str">
        <x:v>SRC_0085</x:v>
      </x:c>
      <x:c r="B86" s="102" t="str">
        <x:v>QatarEnergy</x:v>
      </x:c>
      <x:c r="C86" s="102" t="str">
        <x:v>Existing LNG transport fleet of 69 vessels</x:v>
      </x:c>
      <x:c r="D86" s="102" t="str">
        <x:v>https://www.qatarenergy.qa/en/MarketingAndTrading/Marketing/Pages/DeliveringToCustomers.aspx</x:v>
      </x:c>
      <x:c r="E86" s="102" t="str">
        <x:v>2026-09-07</x:v>
      </x:c>
      <x:c r="F86" s="102" t="str">
        <x:v>Official / primary source</x:v>
      </x:c>
      <x:c r="G86" s="102"/>
      <x:c r="H86" s="102"/>
    </x:row>
    <x:row r="87">
      <x:c r="A87" s="102" t="str">
        <x:v>SRC_0086</x:v>
      </x:c>
      <x:c r="B87" s="102" t="str">
        <x:v>QatarEnergy</x:v>
      </x:c>
      <x:c r="C87" s="102" t="str">
        <x:v>128-vessel LNG fleet expansion program</x:v>
      </x:c>
      <x:c r="D87" s="102" t="str">
        <x:v>https://www.qatarenergy.qa/en/MediaCenter/Publications/QatarEnergy_Investors_Presentation_November_2025.pdf</x:v>
      </x:c>
      <x:c r="E87" s="102" t="str">
        <x:v>2026-09-07</x:v>
      </x:c>
      <x:c r="F87" s="102" t="str">
        <x:v>Official / primary source</x:v>
      </x:c>
      <x:c r="G87" s="102"/>
      <x:c r="H87" s="102"/>
    </x:row>
    <x:row r="88">
      <x:c r="A88" s="102" t="str">
        <x:v>SRC_0087</x:v>
      </x:c>
      <x:c r="B88" s="102" t="str">
        <x:v>QatarEnergy</x:v>
      </x:c>
      <x:c r="C88" s="102" t="str">
        <x:v>Governance and President &amp; CEO</x:v>
      </x:c>
      <x:c r="D88" s="102" t="str">
        <x:v>https://www.qatarenergy.qa/en/WhoWeAre/Governance/Pages/default.aspx</x:v>
      </x:c>
      <x:c r="E88" s="102" t="str">
        <x:v>2026-09-07</x:v>
      </x:c>
      <x:c r="F88" s="102" t="str">
        <x:v>Official / primary source</x:v>
      </x:c>
      <x:c r="G88" s="102"/>
      <x:c r="H88" s="102"/>
    </x:row>
    <x:row r="89">
      <x:c r="A89" s="102" t="str">
        <x:v>SRC_0088</x:v>
      </x:c>
      <x:c r="B89" s="102" t="str">
        <x:v>QatarEnergy</x:v>
      </x:c>
      <x:c r="C89" s="102" t="str">
        <x:v>Rex Tillerson and Nakilat charter milestones</x:v>
      </x:c>
      <x:c r="D89" s="102" t="str">
        <x:v>https://www.qatarenergy.qa/en/MediaCenter/Publications/%E2%80%8BQatarEnergy%20Annual%20Review%202024.pdf</x:v>
      </x:c>
      <x:c r="E89" s="102" t="str">
        <x:v>2026-09-07</x:v>
      </x:c>
      <x:c r="F89" s="102" t="str">
        <x:v>Official / primary source</x:v>
      </x:c>
      <x:c r="G89" s="102"/>
      <x:c r="H89" s="102"/>
    </x:row>
    <x:row r="90">
      <x:c r="A90" s="102" t="str">
        <x:v>SRC_0089</x:v>
      </x:c>
      <x:c r="B90" s="102" t="str">
        <x:v>BYD</x:v>
      </x:c>
      <x:c r="C90" s="102" t="str">
        <x:v>BYD Explorer No.1 maiden voyage</x:v>
      </x:c>
      <x:c r="D90" s="102" t="str">
        <x:v>https://www.bydglobal.com/sites/Satellite?c=BydArticle&amp;cid=1617162471147&amp;d=Touch&amp;pagename=BYD_EN%2FBydArticle%2FBYD_ENCommon%2FArticleDetails</x:v>
      </x:c>
      <x:c r="E90" s="102" t="str">
        <x:v>2026-09-07</x:v>
      </x:c>
      <x:c r="F90" s="102" t="str">
        <x:v>Official / primary source</x:v>
      </x:c>
      <x:c r="G90" s="102"/>
      <x:c r="H90" s="102"/>
    </x:row>
    <x:row r="91">
      <x:c r="A91" s="102" t="str">
        <x:v>SRC_0090</x:v>
      </x:c>
      <x:c r="B91" s="102" t="str">
        <x:v>AutoNewGen</x:v>
      </x:c>
      <x:c r="C91" s="102" t="str">
        <x:v>Eight-vessel BYD dedicated car-carrier fleet and IMO numbers</x:v>
      </x:c>
      <x:c r="D91" s="102" t="str">
        <x:v>https://www.autonewgen.com/insights/byd-global-fleet/byd-global-fleet-report-vessel-positions-routes-and-export-network-update-august-10-2026.html</x:v>
      </x:c>
      <x:c r="E91" s="102" t="str">
        <x:v>2026-09-07</x:v>
      </x:c>
      <x:c r="F91" s="102" t="str">
        <x:v>Secondary / specialist</x:v>
      </x:c>
      <x:c r="G91" s="102"/>
      <x:c r="H91" s="102"/>
    </x:row>
    <x:row r="92">
      <x:c r="A92" s="102" t="str">
        <x:v>SRC_0091</x:v>
      </x:c>
      <x:c r="B92" s="102" t="str">
        <x:v>Offshore Energy</x:v>
      </x:c>
      <x:c r="C92" s="102" t="str">
        <x:v>BYD 7,000 CEU ships; Zodiac-chartered duo; GSI newbuilds</x:v>
      </x:c>
      <x:c r="D92" s="102" t="str">
        <x:v>https://www.offshore-energy.biz/byd-takes-delivery-of-new-7000-ceu-lng-dual-fuel-car-carrier/</x:v>
      </x:c>
      <x:c r="E92" s="102" t="str">
        <x:v>2026-09-07</x:v>
      </x:c>
      <x:c r="F92" s="102" t="str">
        <x:v>Secondary / specialist</x:v>
      </x:c>
      <x:c r="G92" s="102"/>
      <x:c r="H92" s="102"/>
    </x:row>
    <x:row r="93">
      <x:c r="A93" s="102" t="str">
        <x:v>SRC_0092</x:v>
      </x:c>
      <x:c r="B93" s="102" t="str">
        <x:v>Deltamarin</x:v>
      </x:c>
      <x:c r="C93" s="102" t="str">
        <x:v>BYD Shenzhen 9,200 CEU PCTC</x:v>
      </x:c>
      <x:c r="D93" s="102" t="str">
        <x:v>https://deltamarin.com/references/pctc/byd-9200ceu-class-jlz/</x:v>
      </x:c>
      <x:c r="E93" s="102" t="str">
        <x:v>2026-09-07</x:v>
      </x:c>
      <x:c r="F93" s="102" t="str">
        <x:v>Official / primary source</x:v>
      </x:c>
      <x:c r="G93" s="102"/>
      <x:c r="H93" s="102"/>
    </x:row>
    <x:row r="94">
      <x:c r="A94" s="102" t="str">
        <x:v>SRC_0093</x:v>
      </x:c>
      <x:c r="B94" s="102" t="str">
        <x:v>Deltamarin</x:v>
      </x:c>
      <x:c r="C94" s="102" t="str">
        <x:v>BYD Changsha 9,200 CEU PCTC</x:v>
      </x:c>
      <x:c r="D94" s="102" t="str">
        <x:v>https://deltamarin.com/references/pctc/byd-9200ceu-class-cmhi/</x:v>
      </x:c>
      <x:c r="E94" s="102" t="str">
        <x:v>2026-09-07</x:v>
      </x:c>
      <x:c r="F94" s="102" t="str">
        <x:v>Official / primary source</x:v>
      </x:c>
      <x:c r="G94" s="102"/>
      <x:c r="H94" s="102"/>
    </x:row>
    <x:row r="95">
      <x:c r="A95" s="102" t="str">
        <x:v>SRC_0094</x:v>
      </x:c>
      <x:c r="B95" s="102" t="str">
        <x:v>Deltamarin</x:v>
      </x:c>
      <x:c r="C95" s="102" t="str">
        <x:v>BYD Jinan 9,200 CEU PCTC</x:v>
      </x:c>
      <x:c r="D95" s="102" t="str">
        <x:v>https://deltamarin.com/references/pctc/byd-jinan/</x:v>
      </x:c>
      <x:c r="E95" s="102" t="str">
        <x:v>2026-09-07</x:v>
      </x:c>
      <x:c r="F95" s="102" t="str">
        <x:v>Official / primary source</x:v>
      </x:c>
      <x:c r="G95" s="102"/>
      <x:c r="H95" s="102"/>
    </x:row>
    <x:row r="96">
      <x:c r="A96" s="102" t="str">
        <x:v>SRC_0095</x:v>
      </x:c>
      <x:c r="B96" s="102" t="str">
        <x:v>Deltamarin</x:v>
      </x:c>
      <x:c r="C96" s="102" t="str">
        <x:v>BYD Xi'an 9,200 CEU PCTC</x:v>
      </x:c>
      <x:c r="D96" s="102" t="str">
        <x:v>https://deltamarin.com/references/pctc/byd-xian/</x:v>
      </x:c>
      <x:c r="E96" s="102" t="str">
        <x:v>2026-09-07</x:v>
      </x:c>
      <x:c r="F96" s="102" t="str">
        <x:v>Official / primary source</x:v>
      </x:c>
      <x:c r="G96" s="102"/>
      <x:c r="H96" s="102"/>
    </x:row>
    <x:row r="97">
      <x:c r="A97" s="102" t="str">
        <x:v>SRC_0096</x:v>
      </x:c>
      <x:c r="B97" s="102" t="str">
        <x:v>ZIM</x:v>
      </x:c>
      <x:c r="C97" s="102" t="str">
        <x:v>Q2 2026 fleet and 40-vessel charter orderbook</x:v>
      </x:c>
      <x:c r="D97" s="102" t="str">
        <x:v>https://investors.zim.com/news/news-details/2026/ZIM-Reports-Strong-Results-for-the-Second-Quarter-of-2026-Benefiting-from-its-Leading-Transpacific-Position-Agile-Commercial-Approach-and-Efficient-Cost-Structure/default.aspx</x:v>
      </x:c>
      <x:c r="E97" s="102" t="str">
        <x:v>2026-09-07</x:v>
      </x:c>
      <x:c r="F97" s="102" t="str">
        <x:v>Official / primary source</x:v>
      </x:c>
      <x:c r="G97" s="102"/>
      <x:c r="H97" s="102"/>
    </x:row>
    <x:row r="98">
      <x:c r="A98" s="102" t="str">
        <x:v>SRC_0097</x:v>
      </x:c>
      <x:c r="B98" s="102" t="str">
        <x:v>ZIM</x:v>
      </x:c>
      <x:c r="C98" s="102" t="str">
        <x:v>Ten 11,500 TEU LNG dual-fuel newbuild charters</x:v>
      </x:c>
      <x:c r="D98" s="102" t="str">
        <x:v>https://investors.zim.com/news/news-details/2025/ZIM-Announces-New-Long-Term-Chartering-Agreements-for-Ten-11500-TEU-LNG-Dual-Fueled-Vessels/default.aspx</x:v>
      </x:c>
      <x:c r="E98" s="102" t="str">
        <x:v>2026-09-07</x:v>
      </x:c>
      <x:c r="F98" s="102" t="str">
        <x:v>Official / primary source</x:v>
      </x:c>
      <x:c r="G98" s="102"/>
      <x:c r="H98" s="102"/>
    </x:row>
    <x:row r="99">
      <x:c r="A99" s="102" t="str">
        <x:v>SRC_0098</x:v>
      </x:c>
      <x:c r="B99" s="102" t="str">
        <x:v>ZIM</x:v>
      </x:c>
      <x:c r="C99" s="102" t="str">
        <x:v>Eli Glickman departure / notice period</x:v>
      </x:c>
      <x:c r="D99" s="102" t="str">
        <x:v>https://investors.zim.com/news/news-details/2026/ZIM-Announces-CEO-Departure/default.aspx</x:v>
      </x:c>
      <x:c r="E99" s="102" t="str">
        <x:v>2026-09-07</x:v>
      </x:c>
      <x:c r="F99" s="102" t="str">
        <x:v>Official / primary source</x:v>
      </x:c>
      <x:c r="G99" s="102"/>
      <x:c r="H99" s="102"/>
    </x:row>
    <x:row r="100">
      <x:c r="A100" s="102" t="str">
        <x:v>SRC_0099</x:v>
      </x:c>
      <x:c r="B100" s="102" t="str">
        <x:v>SINOKOR</x:v>
      </x:c>
      <x:c r="C100" s="102" t="str">
        <x:v>Operating fleet, routes and offices</x:v>
      </x:c>
      <x:c r="D100" s="102" t="str">
        <x:v>https://www.sinokor.co.kr/en/</x:v>
      </x:c>
      <x:c r="E100" s="102" t="str">
        <x:v>2026-09-07</x:v>
      </x:c>
      <x:c r="F100" s="102" t="str">
        <x:v>Official / primary source</x:v>
      </x:c>
      <x:c r="G100" s="102"/>
      <x:c r="H100" s="102"/>
    </x:row>
    <x:row r="101">
      <x:c r="A101" s="102" t="str">
        <x:v>SRC_0100</x:v>
      </x:c>
      <x:c r="B101" s="102" t="str">
        <x:v>SINOKOR</x:v>
      </x:c>
      <x:c r="C101" s="102" t="str">
        <x:v>Company overview and representative directors</x:v>
      </x:c>
      <x:c r="D101" s="102" t="str">
        <x:v>https://www.sinokor.co.kr/en/Intro.html</x:v>
      </x:c>
      <x:c r="E101" s="102" t="str">
        <x:v>2026-09-07</x:v>
      </x:c>
      <x:c r="F101" s="102" t="str">
        <x:v>Official / primary source</x:v>
      </x:c>
      <x:c r="G101" s="102"/>
      <x:c r="H101" s="102"/>
    </x:row>
    <x:row r="102">
      <x:c r="A102" s="102" t="str">
        <x:v>SRC_0101</x:v>
      </x:c>
      <x:c r="B102" s="102" t="str">
        <x:v>SINOKOR</x:v>
      </x:c>
      <x:c r="C102" s="102" t="str">
        <x:v>Representative directors</x:v>
      </x:c>
      <x:c r="D102" s="102" t="str">
        <x:v>https://www.sinokor.co.kr/en/CEO-Greeting.html</x:v>
      </x:c>
      <x:c r="E102" s="102" t="str">
        <x:v>2026-09-07</x:v>
      </x:c>
      <x:c r="F102" s="102" t="str">
        <x:v>Official / primary source</x:v>
      </x:c>
      <x:c r="G102" s="102"/>
      <x:c r="H102" s="102"/>
    </x:row>
    <x:row r="103">
      <x:c r="A103" s="102" t="str">
        <x:v>SRC_0102</x:v>
      </x:c>
      <x:c r="B103" s="102" t="str">
        <x:v>SINOKOR</x:v>
      </x:c>
      <x:c r="C103" s="102" t="str">
        <x:v>Named vessel list and technical specifications</x:v>
      </x:c>
      <x:c r="D103" s="102" t="str">
        <x:v>https://www.sinokor.co.kr/en/Vessel-Info.html</x:v>
      </x:c>
      <x:c r="E103" s="102" t="str">
        <x:v>2026-09-07</x:v>
      </x:c>
      <x:c r="F103" s="102" t="str">
        <x:v>Official / primary source</x:v>
      </x:c>
      <x:c r="G103" s="102"/>
      <x:c r="H103" s="102"/>
    </x:row>
    <x:row r="104">
      <x:c r="A104" s="102" t="str">
        <x:v>SRC_0103</x:v>
      </x:c>
      <x:c r="B104" s="102" t="str">
        <x:v>bp Shipping Limited</x:v>
      </x:c>
      <x:c r="C104" s="102" t="str">
        <x:v>2024 company filing; 48 international oil, LNG and supply vessels baseline</x:v>
      </x:c>
      <x:c r="D104" s="102" t="str">
        <x:v>https://www.bp.com/api/files/6cqieuqhq4no/master/6uMehkBnVdf817fCsOxs9Y/45bdf9a093a43ad78b4016543e248dfb/bp-shipping-limited-2024.pdf</x:v>
      </x:c>
      <x:c r="E104" s="102" t="str">
        <x:v>2026-09-07</x:v>
      </x:c>
      <x:c r="F104" s="102" t="str">
        <x:v>Official / primary source</x:v>
      </x:c>
      <x:c r="G104" s="102"/>
      <x:c r="H104" s="102"/>
    </x:row>
    <x:row r="105">
      <x:c r="A105" s="102" t="str">
        <x:v>SRC_0104</x:v>
      </x:c>
      <x:c r="B105" s="102" t="str">
        <x:v>bp</x:v>
      </x:c>
      <x:c r="C105" s="102" t="str">
        <x:v>Murray Auchincloss CEO appointment</x:v>
      </x:c>
      <x:c r="D105" s="102" t="str">
        <x:v>https://www.bp.com/content/dam/bp/business-sites/en/global/corporate/pdfs/news-and-insights/press-releases/murray-auchincloss-appointed-bp-chief-executive-officer.pdf</x:v>
      </x:c>
      <x:c r="E105" s="102" t="str">
        <x:v>2026-09-07</x:v>
      </x:c>
      <x:c r="F105" s="102" t="str">
        <x:v>Official / primary source</x:v>
      </x:c>
      <x:c r="G105" s="102"/>
      <x:c r="H105" s="102"/>
    </x:row>
    <x:row r="106">
      <x:c r="A106" s="102" t="str">
        <x:v>SRC_0105</x:v>
      </x:c>
      <x:c r="B106" s="102" t="str">
        <x:v>Chevron</x:v>
      </x:c>
      <x:c r="C106" s="102" t="str">
        <x:v>Chevron Shipping operations and Asia Excellence</x:v>
      </x:c>
      <x:c r="D106" s="102" t="str">
        <x:v>https://www.chevron.com/what-we-do/energy/transportation/shipping</x:v>
      </x:c>
      <x:c r="E106" s="102" t="str">
        <x:v>2026-09-07</x:v>
      </x:c>
      <x:c r="F106" s="102" t="str">
        <x:v>Official / primary source</x:v>
      </x:c>
      <x:c r="G106" s="102"/>
      <x:c r="H106" s="102"/>
    </x:row>
    <x:row r="107">
      <x:c r="A107" s="102" t="str">
        <x:v>SRC_0106</x:v>
      </x:c>
      <x:c r="B107" s="102" t="str">
        <x:v>Chevron</x:v>
      </x:c>
      <x:c r="C107" s="102" t="str">
        <x:v>Corporate leadership</x:v>
      </x:c>
      <x:c r="D107" s="102" t="str">
        <x:v>https://www.chevron.com/who-we-are/leadership</x:v>
      </x:c>
      <x:c r="E107" s="102" t="str">
        <x:v>2026-09-07</x:v>
      </x:c>
      <x:c r="F107" s="102" t="str">
        <x:v>Official / primary source</x:v>
      </x:c>
      <x:c r="G107" s="102"/>
      <x:c r="H107" s="102"/>
    </x:row>
    <x:row r="108">
      <x:c r="A108" s="102" t="str">
        <x:v>SRC_0107</x:v>
      </x:c>
      <x:c r="B108" s="102" t="str">
        <x:v>ExxonMobil</x:v>
      </x:c>
      <x:c r="C108" s="102" t="str">
        <x:v>SeaRiver Maritime and International Marine Transportation entities</x:v>
      </x:c>
      <x:c r="D108" s="102" t="str">
        <x:v>https://corporate.exxonmobil.com/global-legal-pages/our-privacy-policies/data-privacy-code-of-conduct</x:v>
      </x:c>
      <x:c r="E108" s="102" t="str">
        <x:v>2026-09-07</x:v>
      </x:c>
      <x:c r="F108" s="102" t="str">
        <x:v>Official / primary source</x:v>
      </x:c>
      <x:c r="G108" s="102"/>
      <x:c r="H108" s="102"/>
    </x:row>
    <x:row r="109">
      <x:c r="A109" s="102" t="str">
        <x:v>SRC_0108</x:v>
      </x:c>
      <x:c r="B109" s="102" t="str">
        <x:v>ExxonMobil</x:v>
      </x:c>
      <x:c r="C109" s="102" t="str">
        <x:v>Darren Woods Chairman &amp; CEO</x:v>
      </x:c>
      <x:c r="D109" s="102" t="str">
        <x:v>https://corporate.exxonmobil.com/news/corporate-news/2026-annual-shareholder-meeting</x:v>
      </x:c>
      <x:c r="E109" s="102" t="str">
        <x:v>2026-09-07</x:v>
      </x:c>
      <x:c r="F109" s="102" t="str">
        <x:v>Official / primary source</x:v>
      </x:c>
      <x:c r="G109" s="102"/>
      <x:c r="H109" s="102"/>
    </x:row>
    <x:row r="110">
      <x:c r="A110" s="102" t="str">
        <x:v>SRC_0109</x:v>
      </x:c>
      <x:c r="B110" s="102" t="str">
        <x:v>Performance Shipping</x:v>
      </x:c>
      <x:c r="C110" s="102" t="str">
        <x:v>P. Long Beach 24-month charter to SeaRiver Maritime</x:v>
      </x:c>
      <x:c r="D110" s="102" t="str">
        <x:v>https://pshipping.com/news/news-performance-shipping-inc-secures-two-year-time-charter-contract-m-t-p-long-beach-us30500-day?page=3</x:v>
      </x:c>
      <x:c r="E110" s="102" t="str">
        <x:v>2026-09-07</x:v>
      </x:c>
      <x:c r="F110" s="102" t="str">
        <x:v>Company / primary source</x:v>
      </x:c>
      <x:c r="G110" s="102"/>
      <x:c r="H110" s="102"/>
    </x:row>
    <x:row r="111">
      <x:c r="A111" s="102" t="str">
        <x:v>SRC_0110</x:v>
      </x:c>
      <x:c r="B111" s="102" t="str">
        <x:v>Reuters</x:v>
      </x:c>
      <x:c r="C111" s="102" t="str">
        <x:v>Exxon booked Largo Eagle and Nord Ventura via Vitol for U.S.-Australia fuel movement</x:v>
      </x:c>
      <x:c r="D111" s="102" t="str">
        <x:v>https://www.reuters.com/business/energy/exxon-send-its-first-fuel-shipment-us-gulf-coast-australia-sources-say-2026-03-04/</x:v>
      </x:c>
      <x:c r="E111" s="102" t="str">
        <x:v>2026-09-07</x:v>
      </x:c>
      <x:c r="F111" s="102" t="str">
        <x:v>Reuters / media</x:v>
      </x:c>
      <x:c r="G111" s="102"/>
      <x:c r="H111" s="102"/>
    </x:row>
    <x:row r="112">
      <x:c r="A112" s="102" t="str">
        <x:v>SRC_0111</x:v>
      </x:c>
      <x:c r="B112" s="102" t="str">
        <x:v>BC Ferries</x:v>
      </x:c>
      <x:c r="C112" s="102" t="str">
        <x:v>Fleet and regular route assignments</x:v>
      </x:c>
      <x:c r="D112" s="102" t="str">
        <x:v>https://www.bcferries.com/on-the-ferry/our-fleet</x:v>
      </x:c>
      <x:c r="E112" s="102" t="str">
        <x:v>2026-09-07</x:v>
      </x:c>
      <x:c r="F112" s="102" t="str">
        <x:v>Official / primary source</x:v>
      </x:c>
      <x:c r="G112" s="102"/>
      <x:c r="H112" s="102"/>
    </x:row>
    <x:row r="113">
      <x:c r="A113" s="102" t="str">
        <x:v>SRC_0112</x:v>
      </x:c>
      <x:c r="B113" s="102" t="str">
        <x:v>BC Ferries</x:v>
      </x:c>
      <x:c r="C113" s="102" t="str">
        <x:v>Route network / destinations</x:v>
      </x:c>
      <x:c r="D113" s="102" t="str">
        <x:v>https://www.bcferries.com/routes-fares/discover-route-map</x:v>
      </x:c>
      <x:c r="E113" s="102" t="str">
        <x:v>2026-09-07</x:v>
      </x:c>
      <x:c r="F113" s="102" t="str">
        <x:v>Official / primary source</x:v>
      </x:c>
      <x:c r="G113" s="102"/>
      <x:c r="H113" s="102"/>
    </x:row>
    <x:row r="114">
      <x:c r="A114" s="102" t="str">
        <x:v>SRC_0113</x:v>
      </x:c>
      <x:c r="B114" s="102" t="str">
        <x:v>BC Ferries</x:v>
      </x:c>
      <x:c r="C114" s="102" t="str">
        <x:v>Fiscal 2026 cancellations and capacity-utilization reporting</x:v>
      </x:c>
      <x:c r="D114" s="102" t="str">
        <x:v>https://www.bcferries.com/web_image/hcb/h55/9091176857630.pdf</x:v>
      </x:c>
      <x:c r="E114" s="102" t="str">
        <x:v>2026-09-07</x:v>
      </x:c>
      <x:c r="F114" s="102" t="str">
        <x:v>Official / primary source</x:v>
      </x:c>
      <x:c r="G114" s="102"/>
      <x:c r="H114" s="102"/>
    </x:row>
    <x:row r="115">
      <x:c r="A115" s="102" t="str">
        <x:v>SRC_0114</x:v>
      </x:c>
      <x:c r="B115" s="102" t="str">
        <x:v>Washington State Ferries</x:v>
      </x:c>
      <x:c r="C115" s="102" t="str">
        <x:v>21-ferry fleet overview</x:v>
      </x:c>
      <x:c r="D115" s="102" t="str">
        <x:v>https://wsdot.wa.gov/travel/washington-state-ferries/ferries-terminals/about-our-fleet</x:v>
      </x:c>
      <x:c r="E115" s="102" t="str">
        <x:v>2026-09-07</x:v>
      </x:c>
      <x:c r="F115" s="102" t="str">
        <x:v>Official / primary source</x:v>
      </x:c>
      <x:c r="G115" s="102"/>
      <x:c r="H115" s="102"/>
    </x:row>
    <x:row r="116">
      <x:c r="A116" s="102" t="str">
        <x:v>SRC_0115</x:v>
      </x:c>
      <x:c r="B116" s="102" t="str">
        <x:v>Washington State Ferries</x:v>
      </x:c>
      <x:c r="C116" s="102" t="str">
        <x:v>Route network and current ferry operations</x:v>
      </x:c>
      <x:c r="D116" s="102" t="str">
        <x:v>https://wsdot.wa.gov/travel/washington-state-ferries</x:v>
      </x:c>
      <x:c r="E116" s="102" t="str">
        <x:v>2026-09-07</x:v>
      </x:c>
      <x:c r="F116" s="102" t="str">
        <x:v>Official / primary source</x:v>
      </x:c>
      <x:c r="G116" s="102"/>
      <x:c r="H116" s="102"/>
    </x:row>
    <x:row r="117">
      <x:c r="A117" s="102" t="str">
        <x:v>SRC_0116</x:v>
      </x:c>
      <x:c r="B117" s="102" t="str">
        <x:v>Washington State Ferries</x:v>
      </x:c>
      <x:c r="C117" s="102" t="str">
        <x:v>FY2025 cancellation-performance categories</x:v>
      </x:c>
      <x:c r="D117" s="102" t="str">
        <x:v>https://wsdot.wa.gov/sites/default/files/2026-01/Ferries-Report-FY2025PerformanceMeasures.pdf</x:v>
      </x:c>
      <x:c r="E117" s="102" t="str">
        <x:v>2026-09-07</x:v>
      </x:c>
      <x:c r="F117" s="102" t="str">
        <x:v>Official / primary source</x:v>
      </x:c>
      <x:c r="G117" s="102"/>
      <x:c r="H117" s="102"/>
    </x:row>
    <x:row r="118">
      <x:c r="A118" s="102" t="str">
        <x:v>SRC_0117</x:v>
      </x:c>
      <x:c r="B118" s="102" t="str">
        <x:v>Washington State Ferries</x:v>
      </x:c>
      <x:c r="C118" s="102" t="str">
        <x:v>Weekly operating statistics and cancellations</x:v>
      </x:c>
      <x:c r="D118" s="102" t="str">
        <x:v>https://apps.wsdot.wa.gov/travel/washington-state-ferries/about-us/weekly-update</x:v>
      </x:c>
      <x:c r="E118" s="102" t="str">
        <x:v>2026-09-07</x:v>
      </x:c>
      <x:c r="F118" s="102" t="str">
        <x:v>Official / primary source</x:v>
      </x:c>
      <x:c r="G118" s="102"/>
      <x:c r="H118" s="102"/>
    </x:row>
    <x:row r="119">
      <x:c r="A119" s="102" t="str">
        <x:v>SRC_0118</x:v>
      </x:c>
      <x:c r="B119" s="102" t="str">
        <x:v>Washington State Ferries</x:v>
      </x:c>
      <x:c r="C119" s="102" t="str">
        <x:v>Calendar 2025 ridership and reliability</x:v>
      </x:c>
      <x:c r="D119" s="102" t="str">
        <x:v>https://wsdot.wa.gov/about/news/2026/state-ferry-ridership-rises-nearly-1-million-2025-full-domestic-service-returns-cancellations-plunge</x:v>
      </x:c>
      <x:c r="E119" s="102" t="str">
        <x:v>2026-09-07</x:v>
      </x:c>
      <x:c r="F119" s="102" t="str">
        <x:v>Official / primary source</x:v>
      </x:c>
      <x:c r="G119" s="102"/>
      <x:c r="H119" s="102"/>
    </x:row>
    <x:row r="120">
      <x:c r="A120" s="102" t="str">
        <x:v>SRC_0119</x:v>
      </x:c>
      <x:c r="B120" s="102" t="str">
        <x:v>Alaska Marine Highway System</x:v>
      </x:c>
      <x:c r="C120" s="102" t="str">
        <x:v>Fleet and 3,500-mile marine-highway overview</x:v>
      </x:c>
      <x:c r="D120" s="102" t="str">
        <x:v>https://dot.alaska.gov/amhs/fleet.shtml</x:v>
      </x:c>
      <x:c r="E120" s="102" t="str">
        <x:v>2026-09-07</x:v>
      </x:c>
      <x:c r="F120" s="102" t="str">
        <x:v>Official / primary source</x:v>
      </x:c>
      <x:c r="G120" s="102"/>
      <x:c r="H120" s="102"/>
    </x:row>
    <x:row r="121">
      <x:c r="A121" s="102" t="str">
        <x:v>SRC_0120</x:v>
      </x:c>
      <x:c r="B121" s="102" t="str">
        <x:v>Alaska Marine Highway System</x:v>
      </x:c>
      <x:c r="C121" s="102" t="str">
        <x:v>Routes and communities</x:v>
      </x:c>
      <x:c r="D121" s="102" t="str">
        <x:v>https://dot.alaska.gov/amhs/route.shtml</x:v>
      </x:c>
      <x:c r="E121" s="102" t="str">
        <x:v>2026-09-07</x:v>
      </x:c>
      <x:c r="F121" s="102" t="str">
        <x:v>Official / primary source</x:v>
      </x:c>
      <x:c r="G121" s="102"/>
      <x:c r="H121" s="102"/>
    </x:row>
    <x:row r="122">
      <x:c r="A122" s="102" t="str">
        <x:v>SRC_0121</x:v>
      </x:c>
      <x:c r="B122" s="102" t="str">
        <x:v>Alaska Marine Highway System</x:v>
      </x:c>
      <x:c r="C122" s="102" t="str">
        <x:v>Current vessel service / overhaul status</x:v>
      </x:c>
      <x:c r="D122" s="102" t="str">
        <x:v>https://dot.alaska.gov/amhs/fleet/fleet_status.shtml</x:v>
      </x:c>
      <x:c r="E122" s="102" t="str">
        <x:v>2026-09-07</x:v>
      </x:c>
      <x:c r="F122" s="102" t="str">
        <x:v>Official / primary source</x:v>
      </x:c>
      <x:c r="G122" s="102"/>
      <x:c r="H122" s="102"/>
    </x:row>
    <x:row r="123">
      <x:c r="A123" s="102" t="str">
        <x:v>SRC_0122</x:v>
      </x:c>
      <x:c r="B123" s="102" t="str">
        <x:v>Marine Atlantic</x:v>
      </x:c>
      <x:c r="C123" s="102" t="str">
        <x:v>Newfoundland-Nova Scotia ferry routes</x:v>
      </x:c>
      <x:c r="D123" s="102" t="str">
        <x:v>https://www.marineatlantic.ca/sailing-information/sailing-routes</x:v>
      </x:c>
      <x:c r="E123" s="102" t="str">
        <x:v>2026-09-07</x:v>
      </x:c>
      <x:c r="F123" s="102" t="str">
        <x:v>Official / primary source</x:v>
      </x:c>
      <x:c r="G123" s="102"/>
      <x:c r="H123" s="102"/>
    </x:row>
    <x:row r="124">
      <x:c r="A124" s="102" t="str">
        <x:v>SRC_0123</x:v>
      </x:c>
      <x:c r="B124" s="102" t="str">
        <x:v>Marine Atlantic</x:v>
      </x:c>
      <x:c r="C124" s="102" t="str">
        <x:v>Passenger/commercial fleet</x:v>
      </x:c>
      <x:c r="D124" s="102" t="str">
        <x:v>https://www.marineatlantic.ca/onboard-experience/our-fleet</x:v>
      </x:c>
      <x:c r="E124" s="102" t="str">
        <x:v>2026-09-07</x:v>
      </x:c>
      <x:c r="F124" s="102" t="str">
        <x:v>Official / primary source</x:v>
      </x:c>
      <x:c r="G124" s="102"/>
      <x:c r="H124" s="102"/>
    </x:row>
    <x:row r="125">
      <x:c r="A125" s="102" t="str">
        <x:v>SRC_0124</x:v>
      </x:c>
      <x:c r="B125" s="102" t="str">
        <x:v>Marine Atlantic</x:v>
      </x:c>
      <x:c r="C125" s="102" t="str">
        <x:v>Sailing utilization and scheduled/actual departure data</x:v>
      </x:c>
      <x:c r="D125" s="102" t="str">
        <x:v>https://www.marineatlantic.ca/commercial-services/sailing-traffic-information</x:v>
      </x:c>
      <x:c r="E125" s="102" t="str">
        <x:v>2026-09-07</x:v>
      </x:c>
      <x:c r="F125" s="102" t="str">
        <x:v>Official / primary source</x:v>
      </x:c>
      <x:c r="G125" s="102"/>
      <x:c r="H125" s="102"/>
    </x:row>
    <x:row r="126">
      <x:c r="A126" s="102" t="str">
        <x:v>SRC_0125</x:v>
      </x:c>
      <x:c r="B126" s="102" t="str">
        <x:v>P&amp;O Ferries</x:v>
      </x:c>
      <x:c r="C126" s="102" t="str">
        <x:v>Dover-Calais, Hull-Rotterdam and Cairnryan-Larne route network</x:v>
      </x:c>
      <x:c r="D126" s="102" t="str">
        <x:v>https://www.poferries.com/en/routes</x:v>
      </x:c>
      <x:c r="E126" s="102" t="str">
        <x:v>2026-09-07</x:v>
      </x:c>
      <x:c r="F126" s="102" t="str">
        <x:v>Official / primary source</x:v>
      </x:c>
      <x:c r="G126" s="102"/>
      <x:c r="H126" s="102"/>
    </x:row>
    <x:row r="127">
      <x:c r="A127" s="102" t="str">
        <x:v>SRC_0126</x:v>
      </x:c>
      <x:c r="B127" s="102" t="str">
        <x:v>DFDS</x:v>
      </x:c>
      <x:c r="C127" s="102" t="str">
        <x:v>European passenger-ferry routes</x:v>
      </x:c>
      <x:c r="D127" s="102" t="str">
        <x:v>https://www.dfds.com/en/passenger-ferries/ferry-crossings</x:v>
      </x:c>
      <x:c r="E127" s="102" t="str">
        <x:v>2026-09-07</x:v>
      </x:c>
      <x:c r="F127" s="102" t="str">
        <x:v>Official / primary source</x:v>
      </x:c>
      <x:c r="G127" s="102"/>
      <x:c r="H127" s="102"/>
    </x:row>
    <x:row r="128">
      <x:c r="A128" s="102" t="str">
        <x:v>SRC_0127</x:v>
      </x:c>
      <x:c r="B128" s="102" t="str">
        <x:v>MOL Sunflower</x:v>
      </x:c>
      <x:c r="C128" s="102" t="str">
        <x:v>Kansai-Kyushu ferry network</x:v>
      </x:c>
      <x:c r="D128" s="102" t="str">
        <x:v>https://www.ferry-sunflower.co.jp/en/</x:v>
      </x:c>
      <x:c r="E128" s="102" t="str">
        <x:v>2026-09-07</x:v>
      </x:c>
      <x:c r="F128" s="102" t="str">
        <x:v>Official / primary source</x:v>
      </x:c>
      <x:c r="G128" s="102"/>
      <x:c r="H128" s="102"/>
    </x:row>
    <x:row r="129">
      <x:c r="A129" s="102" t="str">
        <x:v>SRC_0128</x:v>
      </x:c>
      <x:c r="B129" s="102" t="str">
        <x:v>MOL Sunflower</x:v>
      </x:c>
      <x:c r="C129" s="102" t="str">
        <x:v>Osaka-Beppu timetable and vessel capacity</x:v>
      </x:c>
      <x:c r="D129" s="102" t="str">
        <x:v>https://www.ferry-sunflower.co.jp/en/route/osaka-beppu/time/</x:v>
      </x:c>
      <x:c r="E129" s="102" t="str">
        <x:v>2026-09-07</x:v>
      </x:c>
      <x:c r="F129" s="102" t="str">
        <x:v>Official / primary source</x:v>
      </x:c>
      <x:c r="G129" s="102"/>
      <x:c r="H129" s="102"/>
    </x:row>
    <x:row r="130">
      <x:c r="A130" s="102" t="str">
        <x:v>SRC_0129</x:v>
      </x:c>
      <x:c r="B130" s="102" t="str">
        <x:v>2GO Travel</x:v>
      </x:c>
      <x:c r="C130" s="102" t="str">
        <x:v>Philippine inter-island sailing schedule and vessel assignments</x:v>
      </x:c>
      <x:c r="D130" s="102" t="str">
        <x:v>https://2go.com.ph/travel/book/sailing-schedule/</x:v>
      </x:c>
      <x:c r="E130" s="102" t="str">
        <x:v>2026-09-07</x:v>
      </x:c>
      <x:c r="F130" s="102" t="str">
        <x:v>Official / primary source</x:v>
      </x:c>
      <x:c r="G130" s="102"/>
      <x:c r="H130" s="102"/>
    </x:row>
    <x:row r="131">
      <x:c r="A131" s="102" t="str">
        <x:v>SRC_0130</x:v>
      </x:c>
      <x:c r="B131" s="102" t="str">
        <x:v>2GO Travel</x:v>
      </x:c>
      <x:c r="C131" s="102" t="str">
        <x:v>31 Mar 2026 voyage advisory / operational concern</x:v>
      </x:c>
      <x:c r="D131" s="102" t="str">
        <x:v>https://2go.com.ph/travel/advisories/travel-advisory-as-of-march-27-2027/</x:v>
      </x:c>
      <x:c r="E131" s="102" t="str">
        <x:v>2026-09-07</x:v>
      </x:c>
      <x:c r="F131" s="102" t="str">
        <x:v>Official / primary source</x:v>
      </x:c>
      <x:c r="G131" s="102"/>
      <x:c r="H131" s="102"/>
    </x:row>
    <x:row r="132">
      <x:c r="A132" s="102" t="str">
        <x:v>SRC_0131</x:v>
      </x:c>
      <x:c r="B132" s="102" t="str">
        <x:v>2GO Travel</x:v>
      </x:c>
      <x:c r="C132" s="102" t="str">
        <x:v>11 Apr 2026 voyage advisory / operational concern</x:v>
      </x:c>
      <x:c r="D132" s="102" t="str">
        <x:v>https://2go.com.ph/travel/advisories/travel-advisory-as-of-april-11-2026/</x:v>
      </x:c>
      <x:c r="E132" s="102" t="str">
        <x:v>2026-09-07</x:v>
      </x:c>
      <x:c r="F132" s="102" t="str">
        <x:v>Official / primary source</x:v>
      </x:c>
      <x:c r="G132" s="102"/>
      <x:c r="H132" s="102"/>
    </x:row>
    <x:row r="133">
      <x:c r="A133" s="102" t="str">
        <x:v>SRC_0132</x:v>
      </x:c>
      <x:c r="B133" s="102" t="str">
        <x:v>ASDP Indonesia Ferry</x:v>
      </x:c>
      <x:c r="C133" s="102" t="str">
        <x:v>Public fleet register and route/tariff framework</x:v>
      </x:c>
      <x:c r="D133" s="102" t="str">
        <x:v>https://www.asdp.id/kapal</x:v>
      </x:c>
      <x:c r="E133" s="102" t="str">
        <x:v>2026-09-07</x:v>
      </x:c>
      <x:c r="F133" s="102" t="str">
        <x:v>Official / primary source</x:v>
      </x:c>
      <x:c r="G133" s="102"/>
      <x:c r="H133" s="102"/>
    </x:row>
    <x:row r="134">
      <x:c r="A134" s="102" t="str">
        <x:v>SRC_0133</x:v>
      </x:c>
      <x:c r="B134" s="102" t="str">
        <x:v>Star Ferry</x:v>
      </x:c>
      <x:c r="C134" s="102" t="str">
        <x:v>Hong Kong ferry routes, service notices and electric-ferry tender</x:v>
      </x:c>
      <x:c r="D134" s="102" t="str">
        <x:v>https://www.starferry.com.hk/</x:v>
      </x:c>
      <x:c r="E134" s="102" t="str">
        <x:v>2026-09-07</x:v>
      </x:c>
      <x:c r="F134" s="102" t="str">
        <x:v>Official / primary source</x:v>
      </x:c>
      <x:c r="G134" s="102"/>
      <x:c r="H134" s="102"/>
    </x:row>
    <x:row r="135">
      <x:c r="A135" s="102" t="str">
        <x:v>SRC_0134</x:v>
      </x:c>
      <x:c r="B135" s="102" t="str">
        <x:v>Arab Bridge Maritime</x:v>
      </x:c>
      <x:c r="C135" s="102" t="str">
        <x:v>Aqaba-Nuweiba passenger, vehicle and freight ferry services</x:v>
      </x:c>
      <x:c r="D135" s="102" t="str">
        <x:v>https://www.abmaritime.com.jo/?lang=en</x:v>
      </x:c>
      <x:c r="E135" s="102" t="str">
        <x:v>2026-09-07</x:v>
      </x:c>
      <x:c r="F135" s="102" t="str">
        <x:v>Official / primary source</x:v>
      </x:c>
      <x:c r="G135" s="102"/>
      <x:c r="H135" s="102"/>
    </x:row>
    <x:row r="136">
      <x:c r="A136" s="102" t="str">
        <x:v>SRC_0135</x:v>
      </x:c>
      <x:c r="B136" s="102" t="str">
        <x:v>Arab Bridge Maritime</x:v>
      </x:c>
      <x:c r="C136" s="102" t="str">
        <x:v>Government ownership and seven-vessel fleet statement</x:v>
      </x:c>
      <x:c r="D136" s="102" t="str">
        <x:v>https://www.abmaritime.com.jo/about/?lang=en</x:v>
      </x:c>
      <x:c r="E136" s="102" t="str">
        <x:v>2026-09-07</x:v>
      </x:c>
      <x:c r="F136" s="102" t="str">
        <x:v>Official / primary source</x:v>
      </x:c>
      <x:c r="G136" s="102"/>
      <x:c r="H136" s="102"/>
    </x:row>
    <x:row r="137">
      <x:c r="A137" s="102" t="str">
        <x:v>SRC_0136</x:v>
      </x:c>
      <x:c r="B137" s="102" t="str">
        <x:v>Arab Bridge Maritime</x:v>
      </x:c>
      <x:c r="C137" s="102" t="str">
        <x:v>Aqaba-Nuweiba daily schedule</x:v>
      </x:c>
      <x:c r="D137" s="102" t="str">
        <x:v>https://cms.abmaritime.com.jo/node/34</x:v>
      </x:c>
      <x:c r="E137" s="102" t="str">
        <x:v>2026-09-07</x:v>
      </x:c>
      <x:c r="F137" s="102" t="str">
        <x:v>Official / primary source</x:v>
      </x:c>
      <x:c r="G137" s="102"/>
      <x:c r="H137" s="102"/>
    </x:row>
    <x:row r="138">
      <x:c r="A138" s="102" t="str">
        <x:v>SRC_0137</x:v>
      </x:c>
      <x:c r="B138" s="102" t="str">
        <x:v>Arab Bridge Maritime</x:v>
      </x:c>
      <x:c r="C138" s="102" t="str">
        <x:v>Fleet names and New Aqaba passenger capacity</x:v>
      </x:c>
      <x:c r="D138" s="102" t="str">
        <x:v>https://www.abmaritime.com.jo/fleet/newaqaba/?lang=ar</x:v>
      </x:c>
      <x:c r="E138" s="102" t="str">
        <x:v>2026-09-07</x:v>
      </x:c>
      <x:c r="F138" s="102" t="str">
        <x:v>Official / primary source</x:v>
      </x:c>
      <x:c r="G138" s="102"/>
      <x:c r="H138" s="102"/>
    </x:row>
    <x:row r="139">
      <x:c r="A139" s="102" t="str">
        <x:v>SRC_0138</x:v>
      </x:c>
      <x:c r="B139" s="102" t="str">
        <x:v>AD Ports Group</x:v>
      </x:c>
      <x:c r="C139" s="102" t="str">
        <x:v>Safaga-NEOM ferry operations and Red Sea passenger-terminal integration</x:v>
      </x:c>
      <x:c r="D139" s="102" t="str">
        <x:v>https://www.adportsgroup.com/en/news-and-media/2026/05/19/ad-ports-group-launches-cruise-and-ferry-terminal-services-in-egypt</x:v>
      </x:c>
      <x:c r="E139" s="102" t="str">
        <x:v>2026-09-07</x:v>
      </x:c>
      <x:c r="F139" s="102" t="str">
        <x:v>Official / primary source</x:v>
      </x:c>
      <x:c r="G139" s="102"/>
      <x:c r="H139" s="102"/>
    </x:row>
    <x:row r="140">
      <x:c r="A140" s="102" t="str">
        <x:v>SRC_0139</x:v>
      </x:c>
      <x:c r="B140" s="102" t="str">
        <x:v>SeaLink Kangaroo Island</x:v>
      </x:c>
      <x:c r="C140" s="102" t="str">
        <x:v>Current car/passenger ferry fleet and capacity</x:v>
      </x:c>
      <x:c r="D140" s="102" t="str">
        <x:v>https://www.sealink.com.au/kangaroo-island/our-ferries/</x:v>
      </x:c>
      <x:c r="E140" s="102" t="str">
        <x:v>2026-09-07</x:v>
      </x:c>
      <x:c r="F140" s="102" t="str">
        <x:v>Official / primary source</x:v>
      </x:c>
      <x:c r="G140" s="102"/>
      <x:c r="H140" s="102"/>
    </x:row>
    <x:row r="141">
      <x:c r="A141" s="102" t="str">
        <x:v>SRC_0140</x:v>
      </x:c>
      <x:c r="B141" s="102" t="str">
        <x:v>SeaLink Kangaroo Island</x:v>
      </x:c>
      <x:c r="C141" s="102" t="str">
        <x:v>Cape Jervis-Penneshaw timetable</x:v>
      </x:c>
      <x:c r="D141" s="102" t="str">
        <x:v>https://www.sealink.com.au/kangaroo-island/timetable/</x:v>
      </x:c>
      <x:c r="E141" s="102" t="str">
        <x:v>2026-09-07</x:v>
      </x:c>
      <x:c r="F141" s="102" t="str">
        <x:v>Official / primary source</x:v>
      </x:c>
      <x:c r="G141" s="102"/>
      <x:c r="H141" s="102"/>
    </x:row>
    <x:row r="142">
      <x:c r="A142" s="102" t="str">
        <x:v>SRC_0141</x:v>
      </x:c>
      <x:c r="B142" s="102" t="str">
        <x:v>SeaLink Kangaroo Island</x:v>
      </x:c>
      <x:c r="C142" s="102" t="str">
        <x:v>Ruwi commissioning incident and service-transition delay</x:v>
      </x:c>
      <x:c r="D142" s="102" t="str">
        <x:v>https://www.sealink.com.au/kangaroo-island/news/important-update-on-the-timing-for-new-kifs/</x:v>
      </x:c>
      <x:c r="E142" s="102" t="str">
        <x:v>2026-09-07</x:v>
      </x:c>
      <x:c r="F142" s="102" t="str">
        <x:v>Official / primary source</x:v>
      </x:c>
      <x:c r="G142" s="102"/>
      <x:c r="H142" s="102"/>
    </x:row>
    <x:row r="143">
      <x:c r="A143" s="102" t="str">
        <x:v>SRC_0142</x:v>
      </x:c>
      <x:c r="B143" s="102" t="str">
        <x:v>Fullers360</x:v>
      </x:c>
      <x:c r="C143" s="102" t="str">
        <x:v>Auckland ferry timetables and travel alerts</x:v>
      </x:c>
      <x:c r="D143" s="102" t="str">
        <x:v>https://www.fullers.co.nz/timetables-and-fares/</x:v>
      </x:c>
      <x:c r="E143" s="102" t="str">
        <x:v>2026-09-07</x:v>
      </x:c>
      <x:c r="F143" s="102" t="str">
        <x:v>Official / primary source</x:v>
      </x:c>
      <x:c r="G143" s="102"/>
      <x:c r="H143" s="102"/>
    </x:row>
    <x:row r="144">
      <x:c r="A144" s="102" t="str">
        <x:v>SRC_0143</x:v>
      </x:c>
      <x:c r="B144" s="102" t="str">
        <x:v>Fullers360</x:v>
      </x:c>
      <x:c r="C144" s="102" t="str">
        <x:v>Waiheke weekly service-frequency information</x:v>
      </x:c>
      <x:c r="D144" s="102" t="str">
        <x:v>https://www.fullers.co.nz/news-updates/customer-updates/2025-10/fullers360-ferry-services-move-to-summer-timetable-from-monday-20-october/</x:v>
      </x:c>
      <x:c r="E144" s="102" t="str">
        <x:v>2026-09-07</x:v>
      </x:c>
      <x:c r="F144" s="102" t="str">
        <x:v>Official / primary source</x:v>
      </x:c>
      <x:c r="G144" s="102"/>
      <x:c r="H144" s="102"/>
    </x:row>
    <x:row r="145">
      <x:c r="A145" s="102" t="str">
        <x:v>SRC_0144</x:v>
      </x:c>
      <x:c r="B145" s="102" t="str">
        <x:v>CalMac Ferries</x:v>
      </x:c>
      <x:c r="C145" s="102" t="str">
        <x:v>Route-level reliability and punctuality reporting</x:v>
      </x:c>
      <x:c r="D145" s="102" t="str">
        <x:v>https://corporate.calmac.co.uk/en-gb/about-us/performance-reports/route-performance/</x:v>
      </x:c>
      <x:c r="E145" s="102" t="str">
        <x:v>2026-09-07</x:v>
      </x:c>
      <x:c r="F145" s="102" t="str">
        <x:v>Official / primary source</x:v>
      </x:c>
      <x:c r="G145" s="102"/>
      <x:c r="H145" s="102"/>
    </x:row>
    <x:row r="146">
      <x:c r="A146" s="102" t="str">
        <x:v>SRC_0145</x:v>
      </x:c>
      <x:c r="B146" s="102" t="str">
        <x:v>Great Lakes St. Lawrence Seaway System</x:v>
      </x:c>
      <x:c r="C146" s="102" t="str">
        <x:v>System dimensions, lock counts, travel distances and cargo history</x:v>
      </x:c>
      <x:c r="D146" s="102" t="str">
        <x:v>https://greatlakes-seaway.com/en/the-seaway/facts-figures/</x:v>
      </x:c>
      <x:c r="E146" s="102" t="str">
        <x:v>2026-09-07</x:v>
      </x:c>
      <x:c r="F146" s="102" t="str">
        <x:v>Official / primary source</x:v>
      </x:c>
      <x:c r="G146" s="102"/>
      <x:c r="H146" s="102"/>
    </x:row>
    <x:row r="147">
      <x:c r="A147" s="102" t="str">
        <x:v>SRC_0146</x:v>
      </x:c>
      <x:c r="B147" s="102" t="str">
        <x:v>Great Lakes St. Lawrence Seaway System</x:v>
      </x:c>
      <x:c r="C147" s="102" t="str">
        <x:v>2026 Seaway Handbook / regulations and navigation requirements</x:v>
      </x:c>
      <x:c r="D147" s="102" t="str">
        <x:v>https://greatlakes-seaway.com/en/commercial-shipping/seaway-handbook/</x:v>
      </x:c>
      <x:c r="E147" s="102" t="str">
        <x:v>2026-09-07</x:v>
      </x:c>
      <x:c r="F147" s="102" t="str">
        <x:v>Official / primary source</x:v>
      </x:c>
      <x:c r="G147" s="102"/>
      <x:c r="H147" s="102"/>
    </x:row>
    <x:row r="148">
      <x:c r="A148" s="102" t="str">
        <x:v>SRC_0147</x:v>
      </x:c>
      <x:c r="B148" s="102" t="str">
        <x:v>Great Lakes St. Lawrence Seaway System</x:v>
      </x:c>
      <x:c r="C148" s="102" t="str">
        <x:v>2026 Welland Canal notices and operational restrictions</x:v>
      </x:c>
      <x:c r="D148" s="102" t="str">
        <x:v>https://greatlakes-seaway.com/en/news-and-information/notices/notices-to-shipping-welland-canal/</x:v>
      </x:c>
      <x:c r="E148" s="102" t="str">
        <x:v>2026-09-07</x:v>
      </x:c>
      <x:c r="F148" s="102" t="str">
        <x:v>Official / primary source</x:v>
      </x:c>
      <x:c r="G148" s="102"/>
      <x:c r="H148" s="102"/>
    </x:row>
    <x:row r="149">
      <x:c r="A149" s="102" t="str">
        <x:v>SRC_0148</x:v>
      </x:c>
      <x:c r="B149" s="102" t="str">
        <x:v>U.S. Army Corps of Engineers</x:v>
      </x:c>
      <x:c r="C149" s="102" t="str">
        <x:v>2026 Soo Locks opening / seasonal navigation</x:v>
      </x:c>
      <x:c r="D149" s="102" t="str">
        <x:v>https://www.lrd.usace.army.mil/News/News-Releases/Display/Article/4429668/soo-locks-to-open-for-2026-shipping-season/</x:v>
      </x:c>
      <x:c r="E149" s="102" t="str">
        <x:v>2026-09-07</x:v>
      </x:c>
      <x:c r="F149" s="102" t="str">
        <x:v>Official / primary source</x:v>
      </x:c>
      <x:c r="G149" s="102"/>
      <x:c r="H149" s="102"/>
    </x:row>
    <x:row r="150">
      <x:c r="A150" s="102" t="str">
        <x:v>SRC_0149</x:v>
      </x:c>
      <x:c r="B150" s="102" t="str">
        <x:v>American Great Lakes Ports Association / Martin Associates</x:v>
      </x:c>
      <x:c r="C150" s="102" t="str">
        <x:v>19 U.S. and 22 Canadian ports modeled in Great Lakes economic impact work</x:v>
      </x:c>
      <x:c r="D150" s="102" t="str">
        <x:v>https://www.greatlakesports.org/wp-content/uploads/2024/03/2023-Chicago-v2-9-13-23.pdf</x:v>
      </x:c>
      <x:c r="E150" s="102" t="str">
        <x:v>2026-09-07</x:v>
      </x:c>
      <x:c r="F150" s="102" t="str">
        <x:v>Official / primary source</x:v>
      </x:c>
      <x:c r="G150" s="102"/>
      <x:c r="H150" s="102"/>
    </x:row>
    <x:row r="151">
      <x:c r="A151" s="102" t="str">
        <x:v>SRC_0150</x:v>
      </x:c>
      <x:c r="B151" s="102" t="str">
        <x:v>American Great Lakes Ports Association</x:v>
      </x:c>
      <x:c r="C151" s="102" t="str">
        <x:v>Current public-port member framework and regional port role</x:v>
      </x:c>
      <x:c r="D151" s="102" t="str">
        <x:v>https://www.greatlakesports.org/members/port-members/</x:v>
      </x:c>
      <x:c r="E151" s="102" t="str">
        <x:v>2026-09-07</x:v>
      </x:c>
      <x:c r="F151" s="102" t="str">
        <x:v>Official / primary source</x:v>
      </x:c>
      <x:c r="G151" s="102"/>
      <x:c r="H151" s="102"/>
    </x:row>
    <x:row r="152">
      <x:c r="A152" s="102" t="str">
        <x:v>SRC_0151</x:v>
      </x:c>
      <x:c r="B152" s="102" t="str">
        <x:v>Duluth Seaway Port Authority</x:v>
      </x:c>
      <x:c r="C152" s="102" t="str">
        <x:v>Duluth-Superior terminals, rail, shipyard and multimodal facilities</x:v>
      </x:c>
      <x:c r="D152" s="102" t="str">
        <x:v>https://duluthport.com/business/port-operations-and-facilities/</x:v>
      </x:c>
      <x:c r="E152" s="102" t="str">
        <x:v>2026-09-07</x:v>
      </x:c>
      <x:c r="F152" s="102" t="str">
        <x:v>Official / primary source</x:v>
      </x:c>
      <x:c r="G152" s="102"/>
      <x:c r="H152" s="102"/>
    </x:row>
    <x:row r="153">
      <x:c r="A153" s="102" t="str">
        <x:v>SRC_0152</x:v>
      </x:c>
      <x:c r="B153" s="102" t="str">
        <x:v>CSL</x:v>
      </x:c>
      <x:c r="C153" s="102" t="str">
        <x:v>Canada Steamship Lines, CSL Americas, CSL Australia and global divisions / joint ventures</x:v>
      </x:c>
      <x:c r="D153" s="102" t="str">
        <x:v>https://cslships.com/our-divisions-and-joint-ventures/</x:v>
      </x:c>
      <x:c r="E153" s="102" t="str">
        <x:v>2026-09-07</x:v>
      </x:c>
      <x:c r="F153" s="102" t="str">
        <x:v>Official / primary source</x:v>
      </x:c>
      <x:c r="G153" s="102"/>
      <x:c r="H153" s="102"/>
    </x:row>
    <x:row r="154">
      <x:c r="A154" s="102" t="str">
        <x:v>SRC_0153</x:v>
      </x:c>
      <x:c r="B154" s="102" t="str">
        <x:v>CSL</x:v>
      </x:c>
      <x:c r="C154" s="102" t="str">
        <x:v>Global fleet by region, including 17 Great Lakes/St. Lawrence and 15 Australia/Asia vessels</x:v>
      </x:c>
      <x:c r="D154" s="102" t="str">
        <x:v>https://cslships.com/global-fleet/</x:v>
      </x:c>
      <x:c r="E154" s="102" t="str">
        <x:v>2026-09-07</x:v>
      </x:c>
      <x:c r="F154" s="102" t="str">
        <x:v>Official / primary source</x:v>
      </x:c>
      <x:c r="G154" s="102"/>
      <x:c r="H154" s="102"/>
    </x:row>
    <x:row r="155">
      <x:c r="A155" s="102" t="str">
        <x:v>SRC_0154</x:v>
      </x:c>
      <x:c r="B155" s="102" t="str">
        <x:v>CSL</x:v>
      </x:c>
      <x:c r="C155" s="102" t="str">
        <x:v>Current CSL executive and commercial leadership</x:v>
      </x:c>
      <x:c r="D155" s="102" t="str">
        <x:v>https://cslships.com/meet-our-team/</x:v>
      </x:c>
      <x:c r="E155" s="102" t="str">
        <x:v>2026-09-07</x:v>
      </x:c>
      <x:c r="F155" s="102" t="str">
        <x:v>Official / primary source</x:v>
      </x:c>
      <x:c r="G155" s="102"/>
      <x:c r="H155" s="102"/>
    </x:row>
    <x:row r="156">
      <x:c r="A156" s="102" t="str">
        <x:v>SRC_0155</x:v>
      </x:c>
      <x:c r="B156" s="102" t="str">
        <x:v>Algoma Central Corporation</x:v>
      </x:c>
      <x:c r="C156" s="102" t="str">
        <x:v>Great Lakes/St. Lawrence fleets, international self-unloaders and fleet-renewal program</x:v>
      </x:c>
      <x:c r="D156" s="102" t="str">
        <x:v>https://www.algonet.com/fleets/</x:v>
      </x:c>
      <x:c r="E156" s="102" t="str">
        <x:v>2026-09-07</x:v>
      </x:c>
      <x:c r="F156" s="102" t="str">
        <x:v>Official / primary source</x:v>
      </x:c>
      <x:c r="G156" s="102"/>
      <x:c r="H156" s="102"/>
    </x:row>
    <x:row r="157">
      <x:c r="A157" s="102" t="str">
        <x:v>SRC_0156</x:v>
      </x:c>
      <x:c r="B157" s="102" t="str">
        <x:v>Interlake Steamship Company</x:v>
      </x:c>
      <x:c r="C157" s="102" t="str">
        <x:v>Named Great Lakes fleet and capacity</x:v>
      </x:c>
      <x:c r="D157" s="102" t="str">
        <x:v>https://www.interlake-steamship.com/our-fleet/</x:v>
      </x:c>
      <x:c r="E157" s="102" t="str">
        <x:v>2026-09-07</x:v>
      </x:c>
      <x:c r="F157" s="102" t="str">
        <x:v>Official / primary source</x:v>
      </x:c>
      <x:c r="G157" s="102"/>
      <x:c r="H157" s="102"/>
    </x:row>
    <x:row r="158">
      <x:c r="A158" s="102" t="str">
        <x:v>SRC_0157</x:v>
      </x:c>
      <x:c r="B158" s="102" t="str">
        <x:v>Interlake Steamship Company</x:v>
      </x:c>
      <x:c r="C158" s="102" t="str">
        <x:v>2026 season: full fleet of 11 commercial vessels and 20m+ tons expected</x:v>
      </x:c>
      <x:c r="D158" s="102" t="str">
        <x:v>https://interlake-steamship.com/media/newsroom/</x:v>
      </x:c>
      <x:c r="E158" s="102" t="str">
        <x:v>2026-09-07</x:v>
      </x:c>
      <x:c r="F158" s="102" t="str">
        <x:v>Official / primary source</x:v>
      </x:c>
      <x:c r="G158" s="102"/>
      <x:c r="H158" s="102"/>
    </x:row>
    <x:row r="159">
      <x:c r="A159" s="102" t="str">
        <x:v>SRC_0158</x:v>
      </x:c>
      <x:c r="B159" s="102" t="str">
        <x:v>CN / Great Lakes Fleet</x:v>
      </x:c>
      <x:c r="C159" s="102" t="str">
        <x:v>Great Lakes Fleet cargo routes, self-unloading capability and CN rail connectivity</x:v>
      </x:c>
      <x:c r="D159" s="102" t="str">
        <x:v>https://www.cn.ca/-/media/Files/Our-Business/Brochure/CN-Great-Lakes-Fleet-brochure-en.pdf?la=en</x:v>
      </x:c>
      <x:c r="E159" s="102" t="str">
        <x:v>2026-09-07</x:v>
      </x:c>
      <x:c r="F159" s="102" t="str">
        <x:v>Official / primary source</x:v>
      </x:c>
      <x:c r="G159" s="102"/>
      <x:c r="H159" s="102"/>
    </x:row>
    <x:row r="160">
      <x:c r="A160" s="102" t="str">
        <x:v>SRC_0159</x:v>
      </x:c>
      <x:c r="B160" s="102" t="str">
        <x:v>Fednav</x:v>
      </x:c>
      <x:c r="C160" s="102" t="str">
        <x:v>130+ dry-bulk carriers and Great Lakes/St. Lawrence-to-global operations</x:v>
      </x:c>
      <x:c r="D160" s="102" t="str">
        <x:v>https://www.fednav.com/our-fleet</x:v>
      </x:c>
      <x:c r="E160" s="102" t="str">
        <x:v>2026-09-07</x:v>
      </x:c>
      <x:c r="F160" s="102" t="str">
        <x:v>Official / primary source</x:v>
      </x:c>
      <x:c r="G160" s="102"/>
      <x:c r="H160" s="102"/>
    </x:row>
    <x:row r="161">
      <x:c r="A161" s="102" t="str">
        <x:v>SRC_0160</x:v>
      </x:c>
      <x:c r="B161" s="102" t="str">
        <x:v>McKeil Marine</x:v>
      </x:c>
      <x:c r="C161" s="102" t="str">
        <x:v>Great Lakes/St. Lawrence, East Coast and Canadian Arctic marine services</x:v>
      </x:c>
      <x:c r="D161" s="102" t="str">
        <x:v>https://mckeil.com/</x:v>
      </x:c>
      <x:c r="E161" s="102" t="str">
        <x:v>2026-09-07</x:v>
      </x:c>
      <x:c r="F161" s="102" t="str">
        <x:v>Official / primary source</x:v>
      </x:c>
      <x:c r="G161" s="102"/>
      <x:c r="H161" s="102"/>
    </x:row>
    <x:row r="162">
      <x:c r="A162" s="102" t="str">
        <x:v>SRC_0161</x:v>
      </x:c>
      <x:c r="B162" s="102" t="str">
        <x:v>Mainstay Maritime</x:v>
      </x:c>
      <x:c r="C162" s="102" t="str">
        <x:v>Current Great Lakes marine group, American Steamship, Grand River Navigation, Andrie history and management</x:v>
      </x:c>
      <x:c r="D162" s="102" t="str">
        <x:v>https://www.mainstaymaritime.com/who-we-are</x:v>
      </x:c>
      <x:c r="E162" s="102" t="str">
        <x:v>2026-09-07</x:v>
      </x:c>
      <x:c r="F162" s="102" t="str">
        <x:v>Official / primary source</x:v>
      </x:c>
      <x:c r="G162" s="102"/>
      <x:c r="H162" s="102"/>
    </x:row>
    <x:row r="163">
      <x:c r="A163" s="102" t="str">
        <x:v>SRC_0162</x:v>
      </x:c>
      <x:c r="B163" s="102" t="str">
        <x:v>Mainstay Maritime</x:v>
      </x:c>
      <x:c r="C163" s="102" t="str">
        <x:v>Current operating entities and Great Lakes locations</x:v>
      </x:c>
      <x:c r="D163" s="102" t="str">
        <x:v>https://www.mainstaymaritime.com/locations</x:v>
      </x:c>
      <x:c r="E163" s="102" t="str">
        <x:v>2026-09-07</x:v>
      </x:c>
      <x:c r="F163" s="102" t="str">
        <x:v>Official / primary source</x:v>
      </x:c>
      <x:c r="G163" s="102"/>
      <x:c r="H163" s="102"/>
    </x:row>
    <x:row r="164">
      <x:c r="A164" s="102" t="str">
        <x:v>SRC_0163</x:v>
      </x:c>
      <x:c r="B164" s="102" t="str">
        <x:v>Cruise the Great Lakes</x:v>
      </x:c>
      <x:c r="C164" s="102" t="str">
        <x:v>2026: seven cruise lines, ten ships, 800+ port visits, 23,000+ passengers forecast</x:v>
      </x:c>
      <x:c r="D164" s="102" t="str">
        <x:v>https://www.cruisethegreatlakes.com/news/cruise-the-great-lakes-forecasts-record-growth-in-2026/</x:v>
      </x:c>
      <x:c r="E164" s="102" t="str">
        <x:v>2026-09-07</x:v>
      </x:c>
      <x:c r="F164" s="102" t="str">
        <x:v>Official / primary source</x:v>
      </x:c>
      <x:c r="G164" s="102"/>
      <x:c r="H164" s="102"/>
    </x:row>
    <x:row r="165">
      <x:c r="A165" s="102" t="str">
        <x:v>SRC_0164</x:v>
      </x:c>
      <x:c r="B165" s="102" t="str">
        <x:v>Victory Cruise Lines</x:v>
      </x:c>
      <x:c r="C165" s="102" t="str">
        <x:v>2026 Great Lakes itineraries using Victory I and Victory II</x:v>
      </x:c>
      <x:c r="D165" s="102" t="str">
        <x:v>https://victorycruiselines.com/voyages</x:v>
      </x:c>
      <x:c r="E165" s="102" t="str">
        <x:v>2026-09-07</x:v>
      </x:c>
      <x:c r="F165" s="102" t="str">
        <x:v>Official / primary source</x:v>
      </x:c>
      <x:c r="G165" s="102"/>
      <x:c r="H165" s="102"/>
    </x:row>
    <x:row r="166">
      <x:c r="A166" s="102" t="str">
        <x:v>SRC_0165</x:v>
      </x:c>
      <x:c r="B166" s="102" t="str">
        <x:v>Pearl Seas Cruises</x:v>
      </x:c>
      <x:c r="C166" s="102" t="str">
        <x:v>2026 Great Lakes season aboard Pearl Mist</x:v>
      </x:c>
      <x:c r="D166" s="102" t="str">
        <x:v>https://www.pearlseascruises.com/media/page/pearl-seas-cruises-opens-2026-cruise-season</x:v>
      </x:c>
      <x:c r="E166" s="102" t="str">
        <x:v>2026-09-07</x:v>
      </x:c>
      <x:c r="F166" s="102" t="str">
        <x:v>Official / primary source</x:v>
      </x:c>
      <x:c r="G166" s="102"/>
      <x:c r="H166" s="102"/>
    </x:row>
    <x:row r="167">
      <x:c r="A167" s="102" t="str">
        <x:v>SRC_0166</x:v>
      </x:c>
      <x:c r="B167" s="102" t="str">
        <x:v>Viking</x:v>
      </x:c>
      <x:c r="C167" s="102" t="str">
        <x:v>Great Lakes Collection itinerary including Soo Locks, Duluth, Thunder Bay and Toronto</x:v>
      </x:c>
      <x:c r="D167" s="102" t="str">
        <x:v>https://www.vikingcruises.com/expeditions/cruise-destinations/great-lakes-canada/great-lakes-collection/index.html</x:v>
      </x:c>
      <x:c r="E167" s="102" t="str">
        <x:v>2026-09-07</x:v>
      </x:c>
      <x:c r="F167" s="102" t="str">
        <x:v>Official / primary source</x:v>
      </x:c>
      <x:c r="G167" s="102"/>
      <x:c r="H167" s="102"/>
    </x:row>
    <x:row r="168">
      <x:c r="A168" s="102" t="str">
        <x:v>SRC_0167</x:v>
      </x:c>
      <x:c r="B168" s="102" t="str">
        <x:v>Michigan EGLE</x:v>
      </x:c>
      <x:c r="C168" s="102" t="str">
        <x:v>2023 ballast-water report containing Great Lakes vessel name, owner/operator, IMO, flag and vessel type</x:v>
      </x:c>
      <x:c r="D168" s="102" t="str">
        <x:v>https://www.michigan.gov/egle/-/media/Project/Websites/egle/Documents/Programs/WRD/Ballast-Water/2023-report.pdf</x:v>
      </x:c>
      <x:c r="E168" s="102" t="str">
        <x:v>2026-09-07</x:v>
      </x:c>
      <x:c r="F168" s="102" t="str">
        <x:v>Government / regulator</x:v>
      </x:c>
      <x:c r="G168" s="102"/>
      <x:c r="H168" s="102"/>
    </x:row>
    <x:row r="169">
      <x:c r="A169" s="102" t="str">
        <x:v>SRC_0168</x:v>
      </x:c>
      <x:c r="B169" s="102" t="str">
        <x:v>CSL</x:v>
      </x:c>
      <x:c r="C169" s="102" t="str">
        <x:v>Current cement-ship fleet and Eureka Shipping / Tamarack relationship</x:v>
      </x:c>
      <x:c r="D169" s="102" t="str">
        <x:v>https://cslships.com/fleet/cement-ships/</x:v>
      </x:c>
      <x:c r="E169" s="102" t="str">
        <x:v>2026-09-07</x:v>
      </x:c>
      <x:c r="F169" s="102" t="str">
        <x:v>Official / primary source</x:v>
      </x:c>
      <x:c r="G169" s="102"/>
      <x:c r="H169" s="102"/>
    </x:row>
    <x:row r="170">
      <x:c r="A170" s="102" t="str">
        <x:v>SRC_0169</x:v>
      </x:c>
      <x:c r="B170" s="102" t="str">
        <x:v>Maritime Optima</x:v>
      </x:c>
      <x:c r="C170" s="102" t="str">
        <x:v>Nukumi IMO/MMSI identity</x:v>
      </x:c>
      <x:c r="D170" s="102" t="str">
        <x:v>https://maritimeoptima.com/public/vessels/pages/imo%3A9914711/mmsi%3A316048137/NUKUMI.html</x:v>
      </x:c>
      <x:c r="E170" s="102" t="str">
        <x:v>2026-09-07</x:v>
      </x:c>
      <x:c r="F170" s="102" t="str">
        <x:v>Secondary vessel registry / AIS</x:v>
      </x:c>
      <x:c r="G170" s="102"/>
      <x:c r="H170" s="102"/>
    </x:row>
    <x:row r="171">
      <x:c r="A171" s="102" t="str">
        <x:v>SRC_0170</x:v>
      </x:c>
      <x:c r="B171" s="102" t="str">
        <x:v>Maritime Optima</x:v>
      </x:c>
      <x:c r="C171" s="102" t="str">
        <x:v>Tamarack IMO/MMSI identity</x:v>
      </x:c>
      <x:c r="D171" s="102" t="str">
        <x:v>https://maritimeoptima.com/public/vessels/pages/imo%3A1037153/mmsi%3A316041965/TAMARACK.html</x:v>
      </x:c>
      <x:c r="E171" s="102" t="str">
        <x:v>2026-09-07</x:v>
      </x:c>
      <x:c r="F171" s="102" t="str">
        <x:v>Secondary vessel registry / AIS</x:v>
      </x:c>
      <x:c r="G171" s="102"/>
      <x:c r="H171" s="102"/>
    </x:row>
    <x:row r="172">
      <x:c r="A172" s="102" t="str">
        <x:v>SRC_0171</x:v>
      </x:c>
      <x:c r="B172" s="102" t="str">
        <x:v>Algoma Central Corporation</x:v>
      </x:c>
      <x:c r="C172" s="102" t="str">
        <x:v>Algoma East Coast official specification sheet</x:v>
      </x:c>
      <x:c r="D172" s="102" t="str">
        <x:v>https://www.algonet.com/wp-content/uploads/2025/04/Algoma-East-Coast_Spec-Sheet.pdf</x:v>
      </x:c>
      <x:c r="E172" s="102" t="str">
        <x:v>2026-09-07</x:v>
      </x:c>
      <x:c r="F172" s="102" t="str">
        <x:v>Official / primary source</x:v>
      </x:c>
      <x:c r="G172" s="102"/>
      <x:c r="H172" s="102"/>
    </x:row>
    <x:row r="173">
      <x:c r="A173" s="102" t="str">
        <x:v>SRC_0172</x:v>
      </x:c>
      <x:c r="B173" s="102" t="str">
        <x:v>VesselFinder</x:v>
      </x:c>
      <x:c r="C173" s="102" t="str">
        <x:v>Algoma East Coast IMO/MMSI identity</x:v>
      </x:c>
      <x:c r="D173" s="102" t="str">
        <x:v>https://www.vesselfinder.com/vessels/details/1022079</x:v>
      </x:c>
      <x:c r="E173" s="102" t="str">
        <x:v>2026-09-07</x:v>
      </x:c>
      <x:c r="F173" s="102" t="str">
        <x:v>Secondary vessel registry / AIS</x:v>
      </x:c>
      <x:c r="G173" s="102"/>
      <x:c r="H173" s="102"/>
    </x:row>
    <x:row r="174">
      <x:c r="A174" s="102" t="str">
        <x:v>SRC_0173</x:v>
      </x:c>
      <x:c r="B174" s="102" t="str">
        <x:v>VesselFinder</x:v>
      </x:c>
      <x:c r="C174" s="102" t="str">
        <x:v>Algoma Acadian IMO/MMSI identity</x:v>
      </x:c>
      <x:c r="D174" s="102" t="str">
        <x:v>https://www.vesselfinder.com/vessels/details/1022081</x:v>
      </x:c>
      <x:c r="E174" s="102" t="str">
        <x:v>2026-09-07</x:v>
      </x:c>
      <x:c r="F174" s="102" t="str">
        <x:v>Secondary vessel registry / AIS</x:v>
      </x:c>
      <x:c r="G174" s="102"/>
      <x:c r="H174" s="102"/>
    </x:row>
    <x:row r="175">
      <x:c r="A175" s="102" t="str">
        <x:v>SRC_0174</x:v>
      </x:c>
      <x:c r="B175" s="102" t="str">
        <x:v>VesselFinder</x:v>
      </x:c>
      <x:c r="C175" s="102" t="str">
        <x:v>Algoma Bear IMO identity</x:v>
      </x:c>
      <x:c r="D175" s="102" t="str">
        <x:v>https://www.vesselfinder.com/vessels/details/9619309</x:v>
      </x:c>
      <x:c r="E175" s="102" t="str">
        <x:v>2026-09-07</x:v>
      </x:c>
      <x:c r="F175" s="102" t="str">
        <x:v>Secondary vessel registry / AIS</x:v>
      </x:c>
      <x:c r="G175" s="102"/>
      <x:c r="H175" s="102"/>
    </x:row>
    <x:row r="176">
      <x:c r="A176" s="102" t="str">
        <x:v>SRC_0175</x:v>
      </x:c>
      <x:c r="B176" s="102" t="str">
        <x:v>VesselFinder</x:v>
      </x:c>
      <x:c r="C176" s="102" t="str">
        <x:v>Algoma Endeavour IMO/MMSI identity</x:v>
      </x:c>
      <x:c r="D176" s="102" t="str">
        <x:v>https://www.vesselfinder.com/vessels/details/9790141</x:v>
      </x:c>
      <x:c r="E176" s="102" t="str">
        <x:v>2026-09-07</x:v>
      </x:c>
      <x:c r="F176" s="102" t="str">
        <x:v>Secondary vessel registry / AIS</x:v>
      </x:c>
      <x:c r="G176" s="102"/>
      <x:c r="H176" s="102"/>
    </x:row>
    <x:row r="177">
      <x:c r="A177" s="102" t="str">
        <x:v>SRC_0176</x:v>
      </x:c>
      <x:c r="B177" s="102" t="str">
        <x:v>McKeil Marine</x:v>
      </x:c>
      <x:c r="C177" s="102" t="str">
        <x:v>Current public fleet list</x:v>
      </x:c>
      <x:c r="D177" s="102" t="str">
        <x:v>https://mckeil.com/our-fleet/</x:v>
      </x:c>
      <x:c r="E177" s="102" t="str">
        <x:v>2026-09-07</x:v>
      </x:c>
      <x:c r="F177" s="102" t="str">
        <x:v>Official / primary source</x:v>
      </x:c>
      <x:c r="G177" s="102"/>
      <x:c r="H177" s="102"/>
    </x:row>
    <x:row r="178">
      <x:c r="A178" s="102" t="str">
        <x:v>SRC_0177</x:v>
      </x:c>
      <x:c r="B178" s="102" t="str">
        <x:v>McKeil Marine</x:v>
      </x:c>
      <x:c r="C178" s="102" t="str">
        <x:v>Florence Spirit IMO, Canadian Official Number, year and capacity</x:v>
      </x:c>
      <x:c r="D178" s="102" t="str">
        <x:v>https://mckeil.com/our-fleet/florence-spirit/</x:v>
      </x:c>
      <x:c r="E178" s="102" t="str">
        <x:v>2026-09-07</x:v>
      </x:c>
      <x:c r="F178" s="102" t="str">
        <x:v>Official / primary source</x:v>
      </x:c>
      <x:c r="G178" s="102"/>
      <x:c r="H178" s="102"/>
    </x:row>
    <x:row r="179">
      <x:c r="A179" s="102" t="str">
        <x:v>SRC_0178</x:v>
      </x:c>
      <x:c r="B179" s="102" t="str">
        <x:v>CN</x:v>
      </x:c>
      <x:c r="C179" s="102" t="str">
        <x:v>Integrated rail + Great Lakes Fleet iron-ore supply chain</x:v>
      </x:c>
      <x:c r="D179" s="102" t="str">
        <x:v>https://www.cn.ca/-/media/files/investors/investor-fact-book/2025-cn-investor-fact-book-en.pdf</x:v>
      </x:c>
      <x:c r="E179" s="102" t="str">
        <x:v>2026-09-07</x:v>
      </x:c>
      <x:c r="F179" s="102" t="str">
        <x:v>Official / primary source</x:v>
      </x:c>
      <x:c r="G179" s="102"/>
      <x:c r="H179" s="102"/>
    </x:row>
    <x:row r="180">
      <x:c r="A180" s="102" t="str">
        <x:v>SRC_0179</x:v>
      </x:c>
      <x:c r="B180" s="102" t="str">
        <x:v>GFS Ship Management</x:v>
      </x:c>
      <x:c r="C180" s="102" t="str">
        <x:v>Published container fleet: vessel names, build year, GT, DWT, TEU and LOA</x:v>
      </x:c>
      <x:c r="D180" s="102" t="str">
        <x:v>https://gfsmgmt.com/container-fleet/</x:v>
      </x:c>
      <x:c r="E180" s="102" t="str">
        <x:v>2026-09-07</x:v>
      </x:c>
      <x:c r="F180" s="102" t="str">
        <x:v>Official / primary source</x:v>
      </x:c>
      <x:c r="G180" s="102"/>
      <x:c r="H180" s="102"/>
    </x:row>
    <x:row r="181">
      <x:c r="A181" s="102" t="str">
        <x:v>SRC_0180</x:v>
      </x:c>
      <x:c r="B181" s="102" t="str">
        <x:v>GFS Ship Management</x:v>
      </x:c>
      <x:c r="C181" s="102" t="str">
        <x:v>Company profile: Dubai HQ; ship manager / owner representative; 30+ in-house vessels and &gt;120,000 TEU under management</x:v>
      </x:c>
      <x:c r="D181" s="102" t="str">
        <x:v>https://gfsmgmt.com/about-us/</x:v>
      </x:c>
      <x:c r="E181" s="102" t="str">
        <x:v>2026-09-07</x:v>
      </x:c>
      <x:c r="F181" s="102" t="str">
        <x:v>Official / primary source</x:v>
      </x:c>
      <x:c r="G181" s="102"/>
      <x:c r="H181" s="102"/>
    </x:row>
    <x:row r="182">
      <x:c r="A182" s="102" t="str">
        <x:v>SRC_0181</x:v>
      </x:c>
      <x:c r="B182" s="102" t="str">
        <x:v>Linescape</x:v>
      </x:c>
      <x:c r="C182" s="102" t="str">
        <x:v>Global Feeder Shipping commercial-carrier fleet snapshot: 36 vessels</x:v>
      </x:c>
      <x:c r="D182" s="102" t="str">
        <x:v>https://www.linescape.com/carriers/66/</x:v>
      </x:c>
      <x:c r="E182" s="102" t="str">
        <x:v>2026-09-07</x:v>
      </x:c>
      <x:c r="F182" s="102" t="str">
        <x:v>Industry schedule / fleet data</x:v>
      </x:c>
      <x:c r="G182" s="102"/>
      <x:c r="H182" s="102"/>
    </x:row>
    <x:row r="183">
      <x:c r="A183" s="102" t="str">
        <x:v>SRC_0182</x:v>
      </x:c>
      <x:c r="B183" s="102" t="str">
        <x:v>Linescape</x:v>
      </x:c>
      <x:c r="C183" s="102" t="str">
        <x:v>CMA CGM commercially scheduled fleet snapshot: 844 vessels</x:v>
      </x:c>
      <x:c r="D183" s="102" t="str">
        <x:v>https://www.linescape.com/carriers/3/</x:v>
      </x:c>
      <x:c r="E183" s="102" t="str">
        <x:v>2026-09-07</x:v>
      </x:c>
      <x:c r="F183" s="102" t="str">
        <x:v>Industry schedule / fleet data</x:v>
      </x:c>
      <x:c r="G183" s="102"/>
      <x:c r="H183" s="102"/>
    </x:row>
    <x:row r="184">
      <x:c r="A184" s="102" t="str">
        <x:v>SRC_0183</x:v>
      </x:c>
      <x:c r="B184" s="102" t="str">
        <x:v>Linescape</x:v>
      </x:c>
      <x:c r="C184" s="102" t="str">
        <x:v>Active carrier universe: deep-sea, short-sea, feeder and RoRo carriers</x:v>
      </x:c>
      <x:c r="D184" s="102" t="str">
        <x:v>https://www.linescape.com/carriers/</x:v>
      </x:c>
      <x:c r="E184" s="102" t="str">
        <x:v>2026-09-07</x:v>
      </x:c>
      <x:c r="F184" s="102" t="str">
        <x:v>Industry schedule / fleet data</x:v>
      </x:c>
      <x:c r="G184" s="102"/>
      <x:c r="H184" s="102"/>
    </x:row>
    <x:row r="185">
      <x:c r="A185" s="102" t="str">
        <x:v>SRC_0184</x:v>
      </x:c>
      <x:c r="B185" s="102" t="str">
        <x:v>Lloyd's List</x:v>
      </x:c>
      <x:c r="C185" s="102" t="str">
        <x:v>GFS Galaxy described as beneficially owned by AD Ports Group and operated by Global Feeder Shipping; Iranian attack in Strait of Hormuz</x:v>
      </x:c>
      <x:c r="D185" s="102" t="str">
        <x:v>https://www.lloydslist.com/LL1157811/Strait-of-Hormuz-conflict-escalates-as-latest-Iran-strike-leaves-boxship-on-fire</x:v>
      </x:c>
      <x:c r="E185" s="102" t="str">
        <x:v>2026-09-07</x:v>
      </x:c>
      <x:c r="F185" s="102" t="str">
        <x:v>Specialist maritime media</x:v>
      </x:c>
      <x:c r="G185" s="102"/>
      <x:c r="H185" s="102"/>
    </x:row>
    <x:row r="186">
      <x:c r="A186" s="102" t="str">
        <x:v>SRC_0185</x:v>
      </x:c>
      <x:c r="B186" s="102" t="str">
        <x:v>AD Ports Group / ADX</x:v>
      </x:c>
      <x:c r="C186" s="102" t="str">
        <x:v>H1 2026 financial statements: GFS Galaxy security incident; vessel subsequently brought safely to Khor Fakkan; damage/insurance assessment ongoing</x:v>
      </x:c>
      <x:c r="D186" s="102" t="str">
        <x:v>https://apigateway.adx.ae/adx/cdn/1.0/content/download/5266207</x:v>
      </x:c>
      <x:c r="E186" s="102" t="str">
        <x:v>2026-09-07</x:v>
      </x:c>
      <x:c r="F186" s="102" t="str">
        <x:v>Official filing / primary source</x:v>
      </x:c>
      <x:c r="G186" s="102"/>
      <x:c r="H186" s="102"/>
    </x:row>
    <x:row r="187">
      <x:c r="A187" s="102" t="str">
        <x:v>SRC_0186</x:v>
      </x:c>
      <x:c r="B187" s="102" t="str">
        <x:v>GFS Ship Management</x:v>
      </x:c>
      <x:c r="C187" s="102" t="str">
        <x:v>GFS Pride fleet acquisition; vessel entered JJS service operated by Global Feeder Shipping</x:v>
      </x:c>
      <x:c r="D187" s="102" t="str">
        <x:v>https://gfsmgmt.com/hello-world-2/</x:v>
      </x:c>
      <x:c r="E187" s="102" t="str">
        <x:v>2026-09-07</x:v>
      </x:c>
      <x:c r="F187" s="102" t="str">
        <x:v>Official / primary source</x:v>
      </x:c>
      <x:c r="G187" s="102"/>
      <x:c r="H187" s="102"/>
    </x:row>
    <x:row r="188">
      <x:c r="A188" s="102" t="str">
        <x:v>SRC_0187</x:v>
      </x:c>
      <x:c r="B188" s="102" t="str">
        <x:v>AD Ports Group</x:v>
      </x:c>
      <x:c r="C188" s="102" t="str">
        <x:v>Completed acquisition of 70% of Transmar International Shipping and TCI</x:v>
      </x:c>
      <x:c r="D188" s="102" t="str">
        <x:v>https://www.adportsgroup.com/en/news-and-media/2022/09/14/ad-ports-group-completes-acquisition-of-majority-stakes-in-egypts-transmar-and-transcargo-intl</x:v>
      </x:c>
      <x:c r="E188" s="102" t="str">
        <x:v>2026-09-07</x:v>
      </x:c>
      <x:c r="F188" s="102" t="str">
        <x:v>Official / primary source</x:v>
      </x:c>
      <x:c r="G188" s="102"/>
      <x:c r="H188" s="102"/>
    </x:row>
    <x:row r="189">
      <x:c r="A189" s="102" t="str">
        <x:v>SRC_0188</x:v>
      </x:c>
      <x:c r="B189" s="102" t="str">
        <x:v>Rynda</x:v>
      </x:c>
      <x:c r="C189" s="102" t="str">
        <x:v>GFS Galaxy vessel particulars: IMO, GT/DWT, flag, dimensions, registered owner and GFS Ship Management role</x:v>
      </x:c>
      <x:c r="D189" s="102" t="str">
        <x:v>https://rynda.io/vessels/9401271-gfs-galaxy</x:v>
      </x:c>
      <x:c r="E189" s="102" t="str">
        <x:v>2026-09-07</x:v>
      </x:c>
      <x:c r="F189" s="102" t="str">
        <x:v>Vessel registry / industry data</x:v>
      </x:c>
      <x:c r="G189" s="102"/>
      <x:c r="H189" s="102"/>
    </x:row>
    <x:row r="190">
      <x:c r="A190" s="102" t="str">
        <x:v>SRC_0189</x:v>
      </x:c>
      <x:c r="B190" s="102" t="str">
        <x:v>Rynda</x:v>
      </x:c>
      <x:c r="C190" s="102" t="str">
        <x:v>Athena vessel particulars: IMO, GT/DWT, flag, MMSI/call sign, registered owner and GFS Ship Management role</x:v>
      </x:c>
      <x:c r="D190" s="102" t="str">
        <x:v>https://rynda.io/vessels/9187344-athena</x:v>
      </x:c>
      <x:c r="E190" s="102" t="str">
        <x:v>2026-09-07</x:v>
      </x:c>
      <x:c r="F190" s="102" t="str">
        <x:v>Vessel registry / industry data</x:v>
      </x:c>
      <x:c r="G190" s="102"/>
      <x:c r="H190" s="102"/>
    </x:row>
    <x:row r="191">
      <x:c r="A191" s="102" t="str">
        <x:v>SRC_0190</x:v>
      </x:c>
      <x:c r="B191" s="102" t="str">
        <x:v>AD Ports Group</x:v>
      </x:c>
      <x:c r="C191" s="102" t="str">
        <x:v>Maritime &amp; Shipping portfolio page showing Global Feeder Shipping within the Group's shipping ecosystem</x:v>
      </x:c>
      <x:c r="D191" s="102" t="str">
        <x:v>https://www.adportsgroup.com/en/integrated-clusters/maritime-and-shipping</x:v>
      </x:c>
      <x:c r="E191" s="102" t="str">
        <x:v>2026-09-07</x:v>
      </x:c>
      <x:c r="F191" s="102" t="str">
        <x:v>Official / primary source</x:v>
      </x:c>
      <x:c r="G191" s="102"/>
      <x:c r="H191" s="102"/>
    </x:row>
    <x:row r="192">
      <x:c r="A192" s="102" t="str">
        <x:v>SRC_0191</x:v>
      </x:c>
      <x:c r="B192" s="102" t="str">
        <x:v>Fluent Cargo</x:v>
      </x:c>
      <x:c r="C192" s="102" t="str">
        <x:v>CMA CGM upcoming/current schedule vessel seed; deployment evidence only</x:v>
      </x:c>
      <x:c r="D192" s="102" t="str">
        <x:v>https://www.fluentcargo.com/carriers/scac/CMDU</x:v>
      </x:c>
      <x:c r="E192" s="102" t="str">
        <x:v>2026-09-07</x:v>
      </x:c>
      <x:c r="F192" s="102" t="str">
        <x:v>Carrier schedule / deployment evidence</x:v>
      </x:c>
      <x:c r="G192" s="102"/>
      <x:c r="H192" s="102"/>
    </x:row>
    <x:row r="193">
      <x:c r="A193" s="102" t="str">
        <x:v>SRC_0192</x:v>
      </x:c>
      <x:c r="B193" s="102" t="str">
        <x:v>Fluent Cargo</x:v>
      </x:c>
      <x:c r="C193" s="102" t="str">
        <x:v>MSC upcoming/current schedule vessel seed; deployment evidence only</x:v>
      </x:c>
      <x:c r="D193" s="102" t="str">
        <x:v>https://www.fluentcargo.com/carriers/scac/MSCU</x:v>
      </x:c>
      <x:c r="E193" s="102" t="str">
        <x:v>2026-09-07</x:v>
      </x:c>
      <x:c r="F193" s="102" t="str">
        <x:v>Carrier schedule / deployment evidence</x:v>
      </x:c>
      <x:c r="G193" s="102"/>
      <x:c r="H193" s="102"/>
    </x:row>
    <x:row r="194">
      <x:c r="A194" s="102" t="str">
        <x:v>SRC_0193</x:v>
      </x:c>
      <x:c r="B194" s="102" t="str">
        <x:v>Fluent Cargo</x:v>
      </x:c>
      <x:c r="C194" s="102" t="str">
        <x:v>Maersk upcoming/current schedule vessel seed; deployment evidence only</x:v>
      </x:c>
      <x:c r="D194" s="102" t="str">
        <x:v>https://www.fluentcargo.com/carriers/scac/MAEU</x:v>
      </x:c>
      <x:c r="E194" s="102" t="str">
        <x:v>2026-09-07</x:v>
      </x:c>
      <x:c r="F194" s="102" t="str">
        <x:v>Carrier schedule / deployment evidence</x:v>
      </x:c>
      <x:c r="G194" s="102"/>
      <x:c r="H194" s="102"/>
    </x:row>
    <x:row r="195">
      <x:c r="A195" s="102" t="str">
        <x:v>SRC_0194</x:v>
      </x:c>
      <x:c r="B195" s="102" t="str">
        <x:v>Fluent Cargo</x:v>
      </x:c>
      <x:c r="C195" s="102" t="str">
        <x:v>COSCO upcoming/current schedule vessel seed; deployment evidence only</x:v>
      </x:c>
      <x:c r="D195" s="102" t="str">
        <x:v>https://www.fluentcargo.com/carriers/scac/COSU</x:v>
      </x:c>
      <x:c r="E195" s="102" t="str">
        <x:v>2026-09-07</x:v>
      </x:c>
      <x:c r="F195" s="102" t="str">
        <x:v>Carrier schedule / deployment evidence</x:v>
      </x:c>
      <x:c r="G195" s="102"/>
      <x:c r="H195" s="102"/>
    </x:row>
    <x:row r="196">
      <x:c r="A196" s="102" t="str">
        <x:v>SRC_0195</x:v>
      </x:c>
      <x:c r="B196" s="102" t="str">
        <x:v>Fluent Cargo</x:v>
      </x:c>
      <x:c r="C196" s="102" t="str">
        <x:v>Evergreen upcoming/current schedule vessel seed; deployment evidence only</x:v>
      </x:c>
      <x:c r="D196" s="102" t="str">
        <x:v>https://www.fluentcargo.com/carriers/scac/EGLV</x:v>
      </x:c>
      <x:c r="E196" s="102" t="str">
        <x:v>2026-09-07</x:v>
      </x:c>
      <x:c r="F196" s="102" t="str">
        <x:v>Carrier schedule / deployment evidence</x:v>
      </x:c>
      <x:c r="G196" s="102"/>
      <x:c r="H196" s="102"/>
    </x:row>
    <x:row r="197">
      <x:c r="A197" s="102" t="str">
        <x:v>SRC_0196</x:v>
      </x:c>
      <x:c r="B197" s="102" t="str">
        <x:v>Fluent Cargo</x:v>
      </x:c>
      <x:c r="C197" s="102" t="str">
        <x:v>Hapag-Lloyd upcoming/current schedule vessel seed; deployment evidence only</x:v>
      </x:c>
      <x:c r="D197" s="102" t="str">
        <x:v>https://www.fluentcargo.com/carriers/scac/HLCU</x:v>
      </x:c>
      <x:c r="E197" s="102" t="str">
        <x:v>2026-09-07</x:v>
      </x:c>
      <x:c r="F197" s="102" t="str">
        <x:v>Carrier schedule / deployment evidence</x:v>
      </x:c>
      <x:c r="G197" s="102"/>
      <x:c r="H197" s="102"/>
    </x:row>
    <x:row r="198">
      <x:c r="A198" s="102" t="str">
        <x:v>SRC_0197</x:v>
      </x:c>
      <x:c r="B198" s="102" t="str">
        <x:v>Fluent Cargo</x:v>
      </x:c>
      <x:c r="C198" s="102" t="str">
        <x:v>ONE upcoming/current schedule vessel seed; deployment evidence only</x:v>
      </x:c>
      <x:c r="D198" s="102" t="str">
        <x:v>https://www.fluentcargo.com/carriers/scac/ONEY</x:v>
      </x:c>
      <x:c r="E198" s="102" t="str">
        <x:v>2026-09-07</x:v>
      </x:c>
      <x:c r="F198" s="102" t="str">
        <x:v>Carrier schedule / deployment evidence</x:v>
      </x:c>
      <x:c r="G198" s="102"/>
      <x:c r="H198" s="102"/>
    </x:row>
    <x:row r="199">
      <x:c r="A199" s="102" t="str">
        <x:v>SRC_0198</x:v>
      </x:c>
      <x:c r="B199" s="102" t="str">
        <x:v>Fluent Cargo</x:v>
      </x:c>
      <x:c r="C199" s="102" t="str">
        <x:v>Yang Ming upcoming/current schedule vessel seed; deployment evidence only</x:v>
      </x:c>
      <x:c r="D199" s="102" t="str">
        <x:v>https://www.fluentcargo.com/carriers/scac/YMLU</x:v>
      </x:c>
      <x:c r="E199" s="102" t="str">
        <x:v>2026-09-07</x:v>
      </x:c>
      <x:c r="F199" s="102" t="str">
        <x:v>Carrier schedule / deployment evidence</x:v>
      </x:c>
      <x:c r="G199" s="102"/>
      <x:c r="H199" s="102"/>
    </x:row>
    <x:row r="200">
      <x:c r="A200" s="102" t="str">
        <x:v>SRC_0199</x:v>
      </x:c>
      <x:c r="B200" s="102" t="str">
        <x:v>Fluent Cargo</x:v>
      </x:c>
      <x:c r="C200" s="102" t="str">
        <x:v>HMM upcoming/current schedule vessel seed; deployment evidence only</x:v>
      </x:c>
      <x:c r="D200" s="102" t="str">
        <x:v>https://www.fluentcargo.com/carriers/scac/HDMU</x:v>
      </x:c>
      <x:c r="E200" s="102" t="str">
        <x:v>2026-09-07</x:v>
      </x:c>
      <x:c r="F200" s="102" t="str">
        <x:v>Carrier schedule / deployment evidence</x:v>
      </x:c>
      <x:c r="G200" s="102"/>
      <x:c r="H200" s="102"/>
    </x:row>
    <x:row r="201">
      <x:c r="A201" s="102" t="str">
        <x:v>SRC_0200</x:v>
      </x:c>
      <x:c r="B201" s="102" t="str">
        <x:v>Fluent Cargo</x:v>
      </x:c>
      <x:c r="C201" s="102" t="str">
        <x:v>PIL upcoming/current schedule vessel seed; deployment evidence only</x:v>
      </x:c>
      <x:c r="D201" s="102" t="str">
        <x:v>https://www.fluentcargo.com/carriers/scac/PCIU</x:v>
      </x:c>
      <x:c r="E201" s="102" t="str">
        <x:v>2026-09-07</x:v>
      </x:c>
      <x:c r="F201" s="102" t="str">
        <x:v>Carrier schedule / deployment evidence</x:v>
      </x:c>
      <x:c r="G201" s="102"/>
      <x:c r="H201" s="102"/>
    </x:row>
    <x:row r="202">
      <x:c r="A202" s="102" t="str">
        <x:v>SRC_0201</x:v>
      </x:c>
      <x:c r="B202" s="102" t="str">
        <x:v>Fluent Cargo</x:v>
      </x:c>
      <x:c r="C202" s="102" t="str">
        <x:v>Wan Hai upcoming/current schedule vessel seed; deployment evidence only</x:v>
      </x:c>
      <x:c r="D202" s="102" t="str">
        <x:v>https://www.fluentcargo.com/carriers/scac/22AA</x:v>
      </x:c>
      <x:c r="E202" s="102" t="str">
        <x:v>2026-09-07</x:v>
      </x:c>
      <x:c r="F202" s="102" t="str">
        <x:v>Carrier schedule / deployment evidence</x:v>
      </x:c>
      <x:c r="G202" s="102"/>
      <x:c r="H202" s="102"/>
    </x:row>
    <x:row r="203">
      <x:c r="A203" s="102" t="str">
        <x:v>SRC_0202</x:v>
      </x:c>
      <x:c r="B203" s="102" t="str">
        <x:v>Fluent Cargo</x:v>
      </x:c>
      <x:c r="C203" s="102" t="str">
        <x:v>ZIM upcoming/current schedule vessel seed; deployment evidence only</x:v>
      </x:c>
      <x:c r="D203" s="102" t="str">
        <x:v>https://www.fluentcargo.com/carriers/scac/ZIMU</x:v>
      </x:c>
      <x:c r="E203" s="102" t="str">
        <x:v>2026-09-07</x:v>
      </x:c>
      <x:c r="F203" s="102" t="str">
        <x:v>Carrier schedule / deployment evidence</x:v>
      </x:c>
      <x:c r="G203" s="102"/>
      <x:c r="H203" s="102"/>
    </x:row>
    <x:row r="204">
      <x:c r="A204" s="102" t="str">
        <x:v>SRC_0203</x:v>
      </x:c>
      <x:c r="B204" s="102" t="str">
        <x:v>Fluent Cargo</x:v>
      </x:c>
      <x:c r="C204" s="102" t="str">
        <x:v>Unifeeder upcoming/current schedule vessel seed; deployment evidence only</x:v>
      </x:c>
      <x:c r="D204" s="102" t="str">
        <x:v>https://www.fluentcargo.com/carriers/scac/UFEE</x:v>
      </x:c>
      <x:c r="E204" s="102" t="str">
        <x:v>2026-09-07</x:v>
      </x:c>
      <x:c r="F204" s="102" t="str">
        <x:v>Carrier schedule / deployment evidence</x:v>
      </x:c>
      <x:c r="G204" s="102"/>
      <x:c r="H204" s="102"/>
    </x:row>
    <x:row r="205">
      <x:c r="A205" s="102" t="str">
        <x:v>SRC_0204</x:v>
      </x:c>
      <x:c r="B205" s="102" t="str">
        <x:v>Fluent Cargo</x:v>
      </x:c>
      <x:c r="C205" s="102" t="str">
        <x:v>SeaLead current/upcoming schedule vessel seed</x:v>
      </x:c>
      <x:c r="D205" s="102" t="str">
        <x:v>https://www.fluentcargo.com/carriers/sealead-shipping</x:v>
      </x:c>
      <x:c r="E205" s="102" t="str">
        <x:v>2026-09-07</x:v>
      </x:c>
      <x:c r="F205" s="102" t="str">
        <x:v>Carrier schedule / deployment evidence</x:v>
      </x:c>
      <x:c r="G205" s="102"/>
      <x:c r="H205" s="102"/>
    </x:row>
    <x:row r="206">
      <x:c r="A206" s="102" t="str">
        <x:v>SRC_0205</x:v>
      </x:c>
      <x:c r="B206" s="102" t="str">
        <x:v>Fluent Cargo</x:v>
      </x:c>
      <x:c r="C206" s="102" t="str">
        <x:v>Emirates Shipping Line current/upcoming schedule vessel seed</x:v>
      </x:c>
      <x:c r="D206" s="102" t="str">
        <x:v>https://www.fluentcargo.com/carriers/scac/ESPU</x:v>
      </x:c>
      <x:c r="E206" s="102" t="str">
        <x:v>2026-09-07</x:v>
      </x:c>
      <x:c r="F206" s="102" t="str">
        <x:v>Carrier schedule / deployment evidence</x:v>
      </x:c>
      <x:c r="G206" s="102"/>
      <x:c r="H206" s="102"/>
    </x:row>
    <x:row r="207">
      <x:c r="A207" s="102" t="str">
        <x:v>SRC_0206</x:v>
      </x:c>
      <x:c r="B207" s="102" t="str">
        <x:v>Fluent Cargo</x:v>
      </x:c>
      <x:c r="C207" s="102" t="str">
        <x:v>X-Press Feeders current/upcoming schedule vessel seed</x:v>
      </x:c>
      <x:c r="D207" s="102" t="str">
        <x:v>https://www.fluentcargo.com/carriers/x-press-feeders</x:v>
      </x:c>
      <x:c r="E207" s="102" t="str">
        <x:v>2026-09-07</x:v>
      </x:c>
      <x:c r="F207" s="102" t="str">
        <x:v>Carrier schedule / deployment evidence</x:v>
      </x:c>
      <x:c r="G207" s="102"/>
      <x:c r="H207" s="102"/>
    </x:row>
    <x:row r="208">
      <x:c r="A208" s="102" t="str">
        <x:v>SRC_0207</x:v>
      </x:c>
      <x:c r="B208" s="102" t="str">
        <x:v>Fluent Cargo</x:v>
      </x:c>
      <x:c r="C208" s="102" t="str">
        <x:v>Global Feeder Shipping current/upcoming schedule vessel seed</x:v>
      </x:c>
      <x:c r="D208" s="102" t="str">
        <x:v>https://www.fluentcargo.com/carriers/global-feeder-shipping</x:v>
      </x:c>
      <x:c r="E208" s="102" t="str">
        <x:v>2026-09-07</x:v>
      </x:c>
      <x:c r="F208" s="102" t="str">
        <x:v>Carrier schedule / deployment evidence</x:v>
      </x:c>
      <x:c r="G208" s="102"/>
      <x:c r="H208" s="102"/>
    </x:row>
    <x:row r="209">
      <x:c r="A209" s="102" t="str">
        <x:v>SRC_0208</x:v>
      </x:c>
      <x:c r="B209" s="102" t="str">
        <x:v>Fluent Cargo</x:v>
      </x:c>
      <x:c r="C209" s="102" t="str">
        <x:v>SAFEEN Feeders latest public schedule snapshot</x:v>
      </x:c>
      <x:c r="D209" s="102" t="str">
        <x:v>https://www.fluentcargo.com/carriers/safeen-feeders</x:v>
      </x:c>
      <x:c r="E209" s="102" t="str">
        <x:v>2026-09-07</x:v>
      </x:c>
      <x:c r="F209" s="102" t="str">
        <x:v>Carrier schedule / deployment evidence</x:v>
      </x:c>
      <x:c r="G209" s="102"/>
      <x:c r="H209" s="102"/>
    </x:row>
    <x:row r="210">
      <x:c r="A210" s="102" t="str">
        <x:v>SRC_0209</x:v>
      </x:c>
      <x:c r="B210" s="102" t="str">
        <x:v>VesselTracker</x:v>
      </x:c>
      <x:c r="C210" s="102" t="str">
        <x:v>GFS-named vessel registry seed: IMO and call-sign universe</x:v>
      </x:c>
      <x:c r="D210" s="102" t="str">
        <x:v>https://www.vesseltracker.com/en1000/vessels.html?page=34&amp;search=G</x:v>
      </x:c>
      <x:c r="E210" s="102" t="str">
        <x:v>2026-09-07</x:v>
      </x:c>
      <x:c r="F210" s="102" t="str">
        <x:v>Vessel registry / industry data</x:v>
      </x:c>
      <x:c r="G210" s="102"/>
      <x:c r="H210" s="102"/>
    </x:row>
    <x:row r="211">
      <x:c r="A211" s="102" t="str">
        <x:v>SRC_0210</x:v>
      </x:c>
      <x:c r="B211" s="102" t="str">
        <x:v>ShipVault</x:v>
      </x:c>
      <x:c r="C211" s="102" t="str">
        <x:v>GFS Rhea particulars: IMO, flag, build, GT, DWT, LOA, beam, TEU, MMSI and owner</x:v>
      </x:c>
      <x:c r="D211" s="102" t="str">
        <x:v>https://shipvault.com/ship/gfs-rhea-9373486</x:v>
      </x:c>
      <x:c r="E211" s="102" t="str">
        <x:v>2026-09-07</x:v>
      </x:c>
      <x:c r="F211" s="102" t="str">
        <x:v>Vessel registry / industry data</x:v>
      </x:c>
      <x:c r="G211" s="102"/>
      <x:c r="H211" s="102"/>
    </x:row>
    <x:row r="212">
      <x:c r="A212" s="102" t="str">
        <x:v>SRC_0211</x:v>
      </x:c>
      <x:c r="B212" s="102" t="str">
        <x:v>CMA CGM Group</x:v>
      </x:c>
      <x:c r="C212" s="102" t="str">
        <x:v>Fleet overview: more than 700 vessels operating; CMA SHIPS technical-management context</x:v>
      </x:c>
      <x:c r="D212" s="102" t="str">
        <x:v>https://www.cmacgm-group.com/en/group-and-vision/our-group/fleet</x:v>
      </x:c>
      <x:c r="E212" s="102" t="str">
        <x:v>2026-09-07</x:v>
      </x:c>
      <x:c r="F212" s="102" t="str">
        <x:v>Official / primary source</x:v>
      </x:c>
      <x:c r="G212" s="102"/>
      <x:c r="H212" s="102"/>
    </x:row>
    <x:row r="213">
      <x:c r="A213" s="102" t="str">
        <x:v>SRC_0212</x:v>
      </x:c>
      <x:c r="B213" s="102" t="str">
        <x:v>Linescape</x:v>
      </x:c>
      <x:c r="C213" s="102" t="str">
        <x:v>Bulk-data schema includes IMO, owner/operator, GT/NT, DWT, TEU, flag, year and premium shipyard/dimension fields</x:v>
      </x:c>
      <x:c r="D213" s="102" t="str">
        <x:v>https://www.linescape.com/bulk-data-formats/</x:v>
      </x:c>
      <x:c r="E213" s="102" t="str">
        <x:v>2026-09-07</x:v>
      </x:c>
      <x:c r="F213" s="102" t="str">
        <x:v>Industry fleet-data schema</x:v>
      </x:c>
      <x:c r="G213" s="102"/>
      <x:c r="H213" s="102"/>
    </x:row>
    <x:row r="214">
      <x:c r="A214" s="102" t="str">
        <x:v>SRC_0213</x:v>
      </x:c>
      <x:c r="B214" s="102" t="str">
        <x:v>Gosships Intelligence</x:v>
      </x:c>
      <x:c r="C214" s="102" t="str">
        <x:v>User-provided September 2026 VLCC ranking benchmark; methodology excludes sanctioned tonnage and compares tradeable VLCC fleets</x:v>
      </x:c>
      <x:c r="D214" s="102" t="str">
        <x:v>https://www.gosships.com/</x:v>
      </x:c>
      <x:c r="E214" s="102" t="str">
        <x:v>2026-09-07</x:v>
      </x:c>
      <x:c r="F214" s="102" t="str">
        <x:v>Secondary intelligence / benchmark graphic</x:v>
      </x:c>
      <x:c r="G214" s="102"/>
      <x:c r="H214" s="102"/>
    </x:row>
    <x:row r="215">
      <x:c r="A215" s="102" t="str">
        <x:v>SRC_0214</x:v>
      </x:c>
      <x:c r="B215" s="102" t="str">
        <x:v>Bahri</x:v>
      </x:c>
      <x:c r="C215" s="102" t="str">
        <x:v>Current Bahri corporate fleet facts: 104 vessels and 50 VLCCs</x:v>
      </x:c>
      <x:c r="D215" s="102" t="str">
        <x:v>https://www.bahri.sa/en/</x:v>
      </x:c>
      <x:c r="E215" s="102" t="str">
        <x:v>2026-09-07</x:v>
      </x:c>
      <x:c r="F215" s="102" t="str">
        <x:v>Official / primary source</x:v>
      </x:c>
      <x:c r="G215" s="102"/>
      <x:c r="H215" s="102"/>
    </x:row>
    <x:row r="216">
      <x:c r="A216" s="102" t="str">
        <x:v>SRC_0215</x:v>
      </x:c>
      <x:c r="B216" s="102" t="str">
        <x:v>Frontline plc / SEC</x:v>
      </x:c>
      <x:c r="C216" s="102" t="str">
        <x:v>August 2026 fleet update: pro-forma 40 VLCCs after remaining newbuilding deliveries and announced VLCC sales</x:v>
      </x:c>
      <x:c r="D216" s="102" t="str">
        <x:v>https://www.sec.gov/Archives/edgar/data/913290/000091957426005942/p15060813_ex-1.htm</x:v>
      </x:c>
      <x:c r="E216" s="102" t="str">
        <x:v>2026-09-07</x:v>
      </x:c>
      <x:c r="F216" s="102" t="str">
        <x:v>Official filing / primary source</x:v>
      </x:c>
      <x:c r="G216" s="102"/>
      <x:c r="H216" s="102"/>
    </x:row>
    <x:row r="217">
      <x:c r="A217" s="102" t="str">
        <x:v>SRC_0216</x:v>
      </x:c>
      <x:c r="B217" s="102" t="str">
        <x:v>DHT Holdings</x:v>
      </x:c>
      <x:c r="C217" s="102" t="str">
        <x:v>July 2026 fleet update; DHT fleet consists entirely of VLCCs and completed four 2026 newbuilding deliveries</x:v>
      </x:c>
      <x:c r="D217" s="102" t="str">
        <x:v>https://www.dhtankers.com/dht-holdings-inc-announces-fleet-update/</x:v>
      </x:c>
      <x:c r="E217" s="102" t="str">
        <x:v>2026-09-07</x:v>
      </x:c>
      <x:c r="F217" s="102" t="str">
        <x:v>Official / primary source</x:v>
      </x:c>
      <x:c r="G217" s="102"/>
      <x:c r="H217" s="102"/>
    </x:row>
    <x:row r="218">
      <x:c r="A218" s="102" t="str">
        <x:v>SRC_0217</x:v>
      </x:c>
      <x:c r="B218" s="102" t="str">
        <x:v>Asyad</x:v>
      </x:c>
      <x:c r="C218" s="102" t="str">
        <x:v>Official fleet page listing crude, product, gas, dry-bulk and liner vessels including named VLCC fleet</x:v>
      </x:c>
      <x:c r="D218" s="102" t="str">
        <x:v>https://www.asyad.com/maritime/transport/our-fleet</x:v>
      </x:c>
      <x:c r="E218" s="102" t="str">
        <x:v>2026-09-07</x:v>
      </x:c>
      <x:c r="F218" s="102" t="str">
        <x:v>Official / primary source</x:v>
      </x:c>
      <x:c r="G218" s="102"/>
      <x:c r="H218" s="102"/>
    </x:row>
    <x:row r="219">
      <x:c r="A219" s="102" t="str">
        <x:v>SRC_0218</x:v>
      </x:c>
      <x:c r="B219" s="102" t="str">
        <x:v>Asyad Shipping</x:v>
      </x:c>
      <x:c r="C219" s="102" t="str">
        <x:v>FY2025 results presentation: 91 total fleet; crude segment 14 owned, 3 chartered-in and 4-7 orderbook depending timing basis</x:v>
      </x:c>
      <x:c r="D219" s="102" t="str">
        <x:v>https://www.asyadshipping.com/assets/frontend/uploads/ir/FY2025Resultsprsentation25Feb.pdf</x:v>
      </x:c>
      <x:c r="E219" s="102" t="str">
        <x:v>2026-09-07</x:v>
      </x:c>
      <x:c r="F219" s="102" t="str">
        <x:v>Official filing / investor presentation</x:v>
      </x:c>
      <x:c r="G219" s="102"/>
      <x:c r="H219" s="102"/>
    </x:row>
    <x:row r="220">
      <x:c r="A220" s="102" t="str">
        <x:v>SRC_0219</x:v>
      </x:c>
      <x:c r="B220" s="102" t="str">
        <x:v>Reuters</x:v>
      </x:c>
      <x:c r="C220" s="102" t="str">
        <x:v>China Merchants Energy Shipping and COSCO Shipping Energy used more than 100 VLCCs for Chinese Middle East crude imports and shifted STS operations outside Gulf chokepoints</x:v>
      </x:c>
      <x:c r="D220" s="102" t="str">
        <x:v>https://www.reuters.com/business/energy/chinas-state-shippers-deploy-oil-tankers-outside-gulf-avoid-chokepoints-sources-2026-08-18/</x:v>
      </x:c>
      <x:c r="E220" s="102" t="str">
        <x:v>2026-09-07</x:v>
      </x:c>
      <x:c r="F220" s="102" t="str">
        <x:v>Major news / operational intelligence</x:v>
      </x:c>
      <x:c r="G220" s="102"/>
      <x:c r="H220" s="102"/>
    </x:row>
    <x:row r="221">
      <x:c r="A221" s="102" t="str">
        <x:v>SRC_0220</x:v>
      </x:c>
      <x:c r="B221" s="102" t="str">
        <x:v>NYK Line</x:v>
      </x:c>
      <x:c r="C221" s="102" t="str">
        <x:v>FY2025 results: NYK operated 106 tankers as of March 2026, with owned/co-owned and chartered split disclosed at segment level</x:v>
      </x:c>
      <x:c r="D221" s="102" t="str">
        <x:v>https://www.nyk.com/english/ir/library/result/2025/__icsFiles/afieldfile/2026/05/11/260511_ppt_en.pdf</x:v>
      </x:c>
      <x:c r="E221" s="102" t="str">
        <x:v>2026-09-07</x:v>
      </x:c>
      <x:c r="F221" s="102" t="str">
        <x:v>Official filing / investor presentation</x:v>
      </x:c>
      <x:c r="G221" s="102"/>
      <x:c r="H221" s="102"/>
    </x:row>
    <x:row r="222">
      <x:c r="A222" s="102" t="str">
        <x:v>SRC_0221</x:v>
      </x:c>
      <x:c r="B222" s="102" t="str">
        <x:v>NYK Line</x:v>
      </x:c>
      <x:c r="C222" s="102" t="str">
        <x:v>Takaoka identified by NYK as a VLCC; official vessel particulars and management information</x:v>
      </x:c>
      <x:c r="D222" s="102" t="str">
        <x:v>https://www.nyk.com/english/news/2026/20260519_1.html</x:v>
      </x:c>
      <x:c r="E222" s="102" t="str">
        <x:v>2026-09-07</x:v>
      </x:c>
      <x:c r="F222" s="102" t="str">
        <x:v>Official / primary source</x:v>
      </x:c>
      <x:c r="G222" s="102"/>
      <x:c r="H222" s="102"/>
    </x:row>
    <x:row r="223">
      <x:c r="A223" s="102" t="str">
        <x:v>SRC_0222</x:v>
      </x:c>
      <x:c r="B223" s="102" t="str">
        <x:v>MarineLink Maritime Directory</x:v>
      </x:c>
      <x:c r="C223" s="102" t="str">
        <x:v>Public named-vessel directory for Maran Tankers Management crude-oil tanker fleet</x:v>
      </x:c>
      <x:c r="D223" s="102" t="str">
        <x:v>https://directory.marinelink.com/ships/companies-maran_tankers_management_inc~2e</x:v>
      </x:c>
      <x:c r="E223" s="102" t="str">
        <x:v>2026-09-07</x:v>
      </x:c>
      <x:c r="F223" s="102" t="str">
        <x:v>Industry directory / secondary source</x:v>
      </x:c>
      <x:c r="G223" s="102"/>
      <x:c r="H223" s="102"/>
    </x:row>
    <x:row r="224">
      <x:c r="A224" s="102" t="str">
        <x:v>SRC_0223</x:v>
      </x:c>
      <x:c r="B224" s="102" t="str">
        <x:v>Gosships Intelligence</x:v>
      </x:c>
      <x:c r="C224" s="102" t="str">
        <x:v>Background on tanker expansion by container and diversified shipping groups including COSCO, HMM, Japanese owners and MSC</x:v>
      </x:c>
      <x:c r="D224" s="102" t="str">
        <x:v>https://www.gosships.com/p/msc-cosco-hmm-and-other-container</x:v>
      </x:c>
      <x:c r="E224" s="102" t="str">
        <x:v>2026-09-07</x:v>
      </x:c>
      <x:c r="F224" s="102" t="str">
        <x:v>Secondary intelligence / industry analysis</x:v>
      </x:c>
      <x:c r="G224" s="102"/>
      <x:c r="H224" s="102"/>
    </x:row>
    <x:row r="225">
      <x:c r="A225" s="102" t="str">
        <x:v>SRC_0224</x:v>
      </x:c>
      <x:c r="B225" s="102" t="str">
        <x:v>DHT Holdings</x:v>
      </x:c>
      <x:c r="C225" s="102" t="str">
        <x:v>Q2 2026 statement confirms DHT is a pure-play VLCC crude-oil tanker company</x:v>
      </x:c>
      <x:c r="D225" s="102" t="str">
        <x:v>https://www.dhtankers.com/dht-holdings-inc-second-quarter-2026-results/</x:v>
      </x:c>
      <x:c r="E225" s="102" t="str">
        <x:v>2026-09-07</x:v>
      </x:c>
      <x:c r="F225" s="102" t="str">
        <x:v>Official / primary source</x:v>
      </x:c>
      <x:c r="G225" s="102"/>
      <x:c r="H225" s="102"/>
    </x:row>
    <x:row r="226">
      <x:c r="A226" s="102" t="str">
        <x:v>SRC_0225</x:v>
      </x:c>
      <x:c r="B226" s="102" t="str">
        <x:v>Reuters</x:v>
      </x:c>
      <x:c r="C226" s="102" t="str">
        <x:v>Rhine low-water risk threatened to split the river for commercial shipping at Kaub</x:v>
      </x:c>
      <x:c r="D226" s="102" t="str">
        <x:v>https://www.reuters.com/business/environment/german-shippers-warn-rhine-could-be-split-two-by-low-water-2026-08-09/</x:v>
      </x:c>
      <x:c r="E226" s="102" t="str">
        <x:v>2026-09-07</x:v>
      </x:c>
      <x:c r="F226" s="102" t="str">
        <x:v>Major news / operational disruption</x:v>
      </x:c>
      <x:c r="G226" s="102"/>
      <x:c r="H226" s="102"/>
    </x:row>
    <x:row r="227">
      <x:c r="A227" s="102" t="str">
        <x:v>SRC_0226</x:v>
      </x:c>
      <x:c r="B227" s="102" t="str">
        <x:v>Reuters</x:v>
      </x:c>
      <x:c r="C227" s="102" t="str">
        <x:v>Rhine low water forced CMA CGM inland emergency fee as barge traffic was disrupted</x:v>
      </x:c>
      <x:c r="D227" s="102" t="str">
        <x:v>https://www.reuters.com/business/energy/frances-cma-cgm-charge-inland-emergency-fee-due-lower-river-levels-2026-08-21/</x:v>
      </x:c>
      <x:c r="E227" s="102" t="str">
        <x:v>2026-09-07</x:v>
      </x:c>
      <x:c r="F227" s="102" t="str">
        <x:v>Major news / commercial impact</x:v>
      </x:c>
      <x:c r="G227" s="102"/>
      <x:c r="H227" s="102"/>
    </x:row>
    <x:row r="228">
      <x:c r="A228" s="102" t="str">
        <x:v>SRC_0227</x:v>
      </x:c>
      <x:c r="B228" s="102" t="str">
        <x:v>Reuters</x:v>
      </x:c>
      <x:c r="C228" s="102" t="str">
        <x:v>Danube near-record low water stranded cruise vessels and suspended sightseeing services</x:v>
      </x:c>
      <x:c r="D228" s="102" t="str">
        <x:v>https://www.reuters.com/world/near-record-low-water-levels-disrupt-tourism-danube-2026-07-16/</x:v>
      </x:c>
      <x:c r="E228" s="102" t="str">
        <x:v>2026-09-07</x:v>
      </x:c>
      <x:c r="F228" s="102" t="str">
        <x:v>Major news / operational disruption</x:v>
      </x:c>
      <x:c r="G228" s="102"/>
      <x:c r="H228" s="102"/>
    </x:row>
    <x:row r="229">
      <x:c r="A229" s="102" t="str">
        <x:v>SRC_0228</x:v>
      </x:c>
      <x:c r="B229" s="102" t="str">
        <x:v>Reuters</x:v>
      </x:c>
      <x:c r="C229" s="102" t="str">
        <x:v>Typhoon Bavi made landfall in eastern China after broad evacuations and transport disruption</x:v>
      </x:c>
      <x:c r="D229" s="102" t="str">
        <x:v>https://www.reuters.com/business/environment/thousands-evacuated-taiwan-shuts-down-typhoon-bavi-2026-07-11/</x:v>
      </x:c>
      <x:c r="E229" s="102" t="str">
        <x:v>2026-09-07</x:v>
      </x:c>
      <x:c r="F229" s="102" t="str">
        <x:v>Major news / weather disruption</x:v>
      </x:c>
      <x:c r="G229" s="102"/>
      <x:c r="H229" s="102"/>
    </x:row>
    <x:row r="230">
      <x:c r="A230" s="102" t="str">
        <x:v>SRC_0229</x:v>
      </x:c>
      <x:c r="B230" s="102" t="str">
        <x:v>Reuters</x:v>
      </x:c>
      <x:c r="C230" s="102" t="str">
        <x:v>Cyclone Alfred closed Brisbane airport and suspended public transport</x:v>
      </x:c>
      <x:c r="D230" s="102" t="str">
        <x:v>https://www.reuters.com/business/environment/cyclone-alfred-stalls-off-australias-east-residents-sandbag-homes-transport-2025-03-06/</x:v>
      </x:c>
      <x:c r="E230" s="102" t="str">
        <x:v>2026-09-07</x:v>
      </x:c>
      <x:c r="F230" s="102" t="str">
        <x:v>Major news / weather disruption</x:v>
      </x:c>
      <x:c r="G230" s="102"/>
      <x:c r="H230" s="102"/>
    </x:row>
    <x:row r="231">
      <x:c r="A231" s="102" t="str">
        <x:v>SRC_0230</x:v>
      </x:c>
      <x:c r="B231" s="102" t="str">
        <x:v>Reuters</x:v>
      </x:c>
      <x:c r="C231" s="102" t="str">
        <x:v>Tropical Storm Wipha disrupted port, airport and rail services across Vietnam and the wider region</x:v>
      </x:c>
      <x:c r="D231" s="102" t="str">
        <x:v>https://www.reuters.com/business/environment/tropical-storm-wipha-makes-landfall-vietnam-heavy-rains-persist-philippines-2025-07-22/</x:v>
      </x:c>
      <x:c r="E231" s="102" t="str">
        <x:v>2026-09-07</x:v>
      </x:c>
      <x:c r="F231" s="102" t="str">
        <x:v>Major news / weather disruption</x:v>
      </x:c>
      <x:c r="G231" s="102"/>
      <x:c r="H231" s="102"/>
    </x:row>
    <x:row r="232">
      <x:c r="A232" s="102" t="str">
        <x:v>SRC_0231</x:v>
      </x:c>
      <x:c r="B232" s="102" t="str">
        <x:v>Reuters</x:v>
      </x:c>
      <x:c r="C232" s="102" t="str">
        <x:v>Typhoon Ragasa brought transport shutdowns and severe weather across Hong Kong, Taiwan and southern China</x:v>
      </x:c>
      <x:c r="D232" s="102" t="str">
        <x:v>https://www.reuters.com/business/environment/super-typhoon-lashes-hong-kong-with-hurricane-force-winds-heavy-rain-2025-09-23/</x:v>
      </x:c>
      <x:c r="E232" s="102" t="str">
        <x:v>2026-09-07</x:v>
      </x:c>
      <x:c r="F232" s="102" t="str">
        <x:v>Major news / weather disruption</x:v>
      </x:c>
      <x:c r="G232" s="102"/>
      <x:c r="H232" s="102"/>
    </x:row>
    <x:row r="233">
      <x:c r="A233" s="102" t="str">
        <x:v>SRC_0232</x:v>
      </x:c>
      <x:c r="B233" s="102" t="str">
        <x:v>Reuters</x:v>
      </x:c>
      <x:c r="C233" s="102" t="str">
        <x:v>Rotterdam ship backlog reflected combined Storm Amy and lashing-strike impacts</x:v>
      </x:c>
      <x:c r="D233" s="102" t="str">
        <x:v>https://www.reuters.com/business/world-at-work/lashers-strike-causes-growing-ship-backlog-rotterdam-port-2025-10-09/</x:v>
      </x:c>
      <x:c r="E233" s="102" t="str">
        <x:v>2026-09-07</x:v>
      </x:c>
      <x:c r="F233" s="102" t="str">
        <x:v>Major news / port disruption</x:v>
      </x:c>
      <x:c r="G233" s="102"/>
      <x:c r="H233" s="102"/>
    </x:row>
    <x:row r="234">
      <x:c r="A234" s="102" t="str">
        <x:v>SRC_0233</x:v>
      </x:c>
      <x:c r="B234" s="102" t="str">
        <x:v>Reuters</x:v>
      </x:c>
      <x:c r="C234" s="102" t="str">
        <x:v>Argentine maritime workers strike halted agro-export activity around Rosario</x:v>
      </x:c>
      <x:c r="D234" s="102" t="str">
        <x:v>https://www.reuters.com/business/world-at-work/argentine-maritime-workers-begin-48-hour-strike-against-labor-reform-2026-02-18/</x:v>
      </x:c>
      <x:c r="E234" s="102" t="str">
        <x:v>2026-09-07</x:v>
      </x:c>
      <x:c r="F234" s="102" t="str">
        <x:v>Major news / labour disruption</x:v>
      </x:c>
      <x:c r="G234" s="102"/>
      <x:c r="H234" s="102"/>
    </x:row>
    <x:row r="235">
      <x:c r="A235" s="102" t="str">
        <x:v>SRC_0234</x:v>
      </x:c>
      <x:c r="B235" s="102" t="str">
        <x:v>Reuters</x:v>
      </x:c>
      <x:c r="C235" s="102" t="str">
        <x:v>Greek seafarers' 24-hour strike halted ferry services during Gulf conflict</x:v>
      </x:c>
      <x:c r="D235" s="102" t="str">
        <x:v>https://www.reuters.com/world/europe/greek-seafarers-strike-over-crews-stranded-gulf-by-iran-war-2026-03-05/</x:v>
      </x:c>
      <x:c r="E235" s="102" t="str">
        <x:v>2026-09-07</x:v>
      </x:c>
      <x:c r="F235" s="102" t="str">
        <x:v>Major news / labour disruption</x:v>
      </x:c>
      <x:c r="G235" s="102"/>
      <x:c r="H235" s="102"/>
    </x:row>
    <x:row r="236">
      <x:c r="A236" s="102" t="str">
        <x:v>SRC_0235</x:v>
      </x:c>
      <x:c r="B236" s="102" t="str">
        <x:v>Reuters</x:v>
      </x:c>
      <x:c r="C236" s="102" t="str">
        <x:v>South Korean concrete transport stoppage affected semiconductor-plant construction</x:v>
      </x:c>
      <x:c r="D236" s="102" t="str">
        <x:v>https://www.reuters.com/business/world-at-work/south-korea-concrete-delivery-halt-threatens-samsung-sk-hynix-chip-plant-work-2026-06-12/</x:v>
      </x:c>
      <x:c r="E236" s="102" t="str">
        <x:v>2026-09-07</x:v>
      </x:c>
      <x:c r="F236" s="102" t="str">
        <x:v>Major news / industrial disruption</x:v>
      </x:c>
      <x:c r="G236" s="102"/>
      <x:c r="H236" s="102"/>
    </x:row>
    <x:row r="237">
      <x:c r="A237" s="102" t="str">
        <x:v>SRC_0236</x:v>
      </x:c>
      <x:c r="B237" s="102" t="str">
        <x:v>Reuters</x:v>
      </x:c>
      <x:c r="C237" s="102" t="str">
        <x:v>Flemish harbour pilots' work-to-rule disrupted Antwerp-Bruges and Zeebrugge shipping</x:v>
      </x:c>
      <x:c r="D237" s="102" t="str">
        <x:v>https://www.reuters.com/business/industrial-action-by-harbour-pilots-disrupts-shipping-antwerp-bruges-2025-10-08/</x:v>
      </x:c>
      <x:c r="E237" s="102" t="str">
        <x:v>2026-09-07</x:v>
      </x:c>
      <x:c r="F237" s="102" t="str">
        <x:v>Major news / port disruption</x:v>
      </x:c>
      <x:c r="G237" s="102"/>
      <x:c r="H237" s="102"/>
    </x:row>
    <x:row r="238">
      <x:c r="A238" s="102" t="str">
        <x:v>SRC_0237</x:v>
      </x:c>
      <x:c r="B238" s="102" t="str">
        <x:v>Reuters</x:v>
      </x:c>
      <x:c r="C238" s="102" t="str">
        <x:v>Genoa dockworkers walked out and port access was disrupted during nationwide Gaza-related protests</x:v>
      </x:c>
      <x:c r="D238" s="102" t="str">
        <x:v>https://www.reuters.com/world/europe/genoa-dockers-walk-out-italian-unions-protest-against-israel-2025-09-22/</x:v>
      </x:c>
      <x:c r="E238" s="102" t="str">
        <x:v>2026-09-07</x:v>
      </x:c>
      <x:c r="F238" s="102" t="str">
        <x:v>Major news / protest-labour disruption</x:v>
      </x:c>
      <x:c r="G238" s="102"/>
      <x:c r="H238" s="102"/>
    </x:row>
    <x:row r="239">
      <x:c r="A239" s="102" t="str">
        <x:v>SRC_0238</x:v>
      </x:c>
      <x:c r="B239" s="102" t="str">
        <x:v>Reuters</x:v>
      </x:c>
      <x:c r="C239" s="102" t="str">
        <x:v>Italian nationwide strikes disrupted flights, rail and urban transport</x:v>
      </x:c>
      <x:c r="D239" s="102" t="str">
        <x:v>https://www.reuters.com/business/aerospace-defense/transport-italy-disrupted-by-strikes-against-pm-meloni-2025-11-28/</x:v>
      </x:c>
      <x:c r="E239" s="102" t="str">
        <x:v>2026-09-07</x:v>
      </x:c>
      <x:c r="F239" s="102" t="str">
        <x:v>Major news / transport disruption</x:v>
      </x:c>
      <x:c r="G239" s="102"/>
      <x:c r="H239" s="102"/>
    </x:row>
    <x:row r="240">
      <x:c r="A240" s="102" t="str">
        <x:v>SRC_0239</x:v>
      </x:c>
      <x:c r="B240" s="102" t="str">
        <x:v>Reuters</x:v>
      </x:c>
      <x:c r="C240" s="102" t="str">
        <x:v>Greek farmer protests disrupted Volos port operations and border-road traffic</x:v>
      </x:c>
      <x:c r="D240" s="102" t="str">
        <x:v>https://www.reuters.com/business/environment/protesting-greek-farmers-disrupt-port-operations-nationwide-blockades-persist-2025-12-10/</x:v>
      </x:c>
      <x:c r="E240" s="102" t="str">
        <x:v>2026-09-07</x:v>
      </x:c>
      <x:c r="F240" s="102" t="str">
        <x:v>Major news / protest disruption</x:v>
      </x:c>
      <x:c r="G240" s="102"/>
      <x:c r="H240" s="102"/>
    </x:row>
    <x:row r="241">
      <x:c r="A241" s="102" t="str">
        <x:v>SRC_0240</x:v>
      </x:c>
      <x:c r="B241" s="102" t="str">
        <x:v>Reuters</x:v>
      </x:c>
      <x:c r="C241" s="102" t="str">
        <x:v>Czech and Slovak farmers disrupted a border crossing over non-EU agricultural imports</x:v>
      </x:c>
      <x:c r="D241" s="102" t="str">
        <x:v>https://www.reuters.com/world/europe/czech-slovak-farmers-clog-border-crossing-protest-non-eu-imports-2025-02-27/</x:v>
      </x:c>
      <x:c r="E241" s="102" t="str">
        <x:v>2026-09-07</x:v>
      </x:c>
      <x:c r="F241" s="102" t="str">
        <x:v>Major news / protest disruption</x:v>
      </x:c>
      <x:c r="G241" s="102"/>
      <x:c r="H241" s="102"/>
    </x:row>
    <x:row r="242">
      <x:c r="A242" s="102" t="str">
        <x:v>SRC_0241</x:v>
      </x:c>
      <x:c r="B242" s="102" t="str">
        <x:v>Reuters</x:v>
      </x:c>
      <x:c r="C242" s="102" t="str">
        <x:v>Anti-migrant protests blocked streets in Portsmouth after a similar Dover road blockade</x:v>
      </x:c>
      <x:c r="D242" s="102" t="str">
        <x:v>https://www.reuters.com/world/uk/uk-minister-condemns-anti-migrant-protests-portsmouth-2026-09-07/</x:v>
      </x:c>
      <x:c r="E242" s="102" t="str">
        <x:v>2026-09-07</x:v>
      </x:c>
      <x:c r="F242" s="102" t="str">
        <x:v>Major news / civil-unrest disruption</x:v>
      </x:c>
      <x:c r="G242" s="102"/>
      <x:c r="H242" s="102"/>
    </x:row>
    <x:row r="243">
      <x:c r="A243" s="102" t="str">
        <x:v>SRC_0242</x:v>
      </x:c>
      <x:c r="B243" s="102" t="str">
        <x:v>AP</x:v>
      </x:c>
      <x:c r="C243" s="102" t="str">
        <x:v>Masked protesters blocked roads into the Port of Dover, affecting traffic and ferry access</x:v>
      </x:c>
      <x:c r="D243" s="102" t="str">
        <x:v>https://apnews.com/article/8e263817b1ad5abd49beec7a6a8f88a4</x:v>
      </x:c>
      <x:c r="E243" s="102" t="str">
        <x:v>2026-09-07</x:v>
      </x:c>
      <x:c r="F243" s="102" t="str">
        <x:v>Major news / port-access disruption</x:v>
      </x:c>
      <x:c r="G243" s="102"/>
      <x:c r="H243" s="102"/>
    </x:row>
    <x:row r="244">
      <x:c r="A244" s="102" t="str">
        <x:v>SRC_0243</x:v>
      </x:c>
      <x:c r="B244" s="102" t="str">
        <x:v>Reuters</x:v>
      </x:c>
      <x:c r="C244" s="102" t="str">
        <x:v>Qantas ground crews voted for industrial action; no strike date set</x:v>
      </x:c>
      <x:c r="D244" s="102" t="str">
        <x:v>https://www.reuters.com/business/world-at-work/australias-qantas-airways-ground-crews-vote-strike-over-rock-bottom-pay-2026-08-31/</x:v>
      </x:c>
      <x:c r="E244" s="102" t="str">
        <x:v>2026-09-07</x:v>
      </x:c>
      <x:c r="F244" s="102" t="str">
        <x:v>Major news / labour watch</x:v>
      </x:c>
      <x:c r="G244" s="102"/>
      <x:c r="H244" s="102"/>
    </x:row>
    <x:row r="245">
      <x:c r="A245" s="102" t="str">
        <x:v>SRC_0244</x:v>
      </x:c>
      <x:c r="B245" s="102" t="str">
        <x:v>Reuters</x:v>
      </x:c>
      <x:c r="C245" s="102" t="str">
        <x:v>Micron Taiwan unions threatened strike action over bonus dispute</x:v>
      </x:c>
      <x:c r="D245" s="102" t="str">
        <x:v>https://www.reuters.com/business/world-at-work/microns-taiwan-unions-threaten-strike-over-bonus-dispute-2026-09-01/</x:v>
      </x:c>
      <x:c r="E245" s="102" t="str">
        <x:v>2026-09-07</x:v>
      </x:c>
      <x:c r="F245" s="102" t="str">
        <x:v>Major news / labour watch</x:v>
      </x:c>
      <x:c r="G245" s="102"/>
      <x:c r="H245" s="102"/>
    </x:row>
    <x:row r="246">
      <x:c r="A246" s="102" t="str">
        <x:v>SRC_0245</x:v>
      </x:c>
      <x:c r="B246" s="102" t="str">
        <x:v>Reuters</x:v>
      </x:c>
      <x:c r="C246" s="102" t="str">
        <x:v>Anak Krakatau ash disruption to Indonesian aviation and Sunda Strait operations</x:v>
      </x:c>
      <x:c r="D246" s="102" t="str">
        <x:v>https://www.reuters.com/business/environment/indonesias-jakarta-airport-suspends-flights-due-ash-mount-anak-krakatau-2026-09-06/</x:v>
      </x:c>
      <x:c r="E246" s="102" t="str">
        <x:v>2026-09-07</x:v>
      </x:c>
      <x:c r="F246" s="102" t="str">
        <x:v>Major news / natural hazard</x:v>
      </x:c>
      <x:c r="G246" s="102"/>
      <x:c r="H246" s="102"/>
    </x:row>
    <x:row r="247">
      <x:c r="A247" s="102" t="str">
        <x:v>SRC_0246</x:v>
      </x:c>
      <x:c r="B247" s="102" t="str">
        <x:v>Power &amp; Corridors</x:v>
      </x:c>
      <x:c r="C247" s="102" t="str">
        <x:v>Regional Logistics Alert - Indonesia / Sunda Strait, 06 Sept 2026</x:v>
      </x:c>
      <x:c r="D247" s="102" t="str">
        <x:v>https://www.powerncorridors.com/regional-logistics-alert-06-sept-2026-indonesia-sunda-strait/</x:v>
      </x:c>
      <x:c r="E247" s="102" t="str">
        <x:v>2026-09-07</x:v>
      </x:c>
      <x:c r="F247" s="102" t="str">
        <x:v>P&amp;C intelligence / secondary</x:v>
      </x:c>
      <x:c r="G247" s="102"/>
      <x:c r="H247" s="102"/>
    </x:row>
    <x:row r="248">
      <x:c r="A248" s="102" t="str">
        <x:v>SRC_0247</x:v>
      </x:c>
      <x:c r="B248" s="102" t="str">
        <x:v>Power &amp; Corridors</x:v>
      </x:c>
      <x:c r="C248" s="102" t="str">
        <x:v>Regional Trade Alert - Northern Europe port industrial action, 04 Sept 2026</x:v>
      </x:c>
      <x:c r="D248" s="102" t="str">
        <x:v>https://www.powerncorridors.com/regional-trade-alert-04-sept-2026-northern-europe/</x:v>
      </x:c>
      <x:c r="E248" s="102" t="str">
        <x:v>2026-09-07</x:v>
      </x:c>
      <x:c r="F248" s="102" t="str">
        <x:v>P&amp;C intelligence / secondary</x:v>
      </x:c>
      <x:c r="G248" s="102"/>
      <x:c r="H248" s="102"/>
    </x:row>
    <x:row r="249">
      <x:c r="A249" s="102" t="str">
        <x:v>SRC_0248</x:v>
      </x:c>
      <x:c r="B249" s="102" t="str">
        <x:v>Reuters</x:v>
      </x:c>
      <x:c r="C249" s="102" t="str">
        <x:v>Typhoon Dolphin disrupted ports, ferries, aviation and rail across Japan/China/Taiwan</x:v>
      </x:c>
      <x:c r="D249" s="102" t="str">
        <x:v>https://www.reuters.com/business/environment/typhoon-dolphin-hits-japans-okinawa-china-shuts-ports-ahead-landfall-2026-08-08/</x:v>
      </x:c>
      <x:c r="E249" s="102" t="str">
        <x:v>2026-09-07</x:v>
      </x:c>
      <x:c r="F249" s="102" t="str">
        <x:v>Major news / weather disruption</x:v>
      </x:c>
      <x:c r="G249" s="102"/>
      <x:c r="H249" s="102"/>
    </x:row>
    <x:row r="250">
      <x:c r="A250" s="102" t="str">
        <x:v>SRC_0249</x:v>
      </x:c>
      <x:c r="B250" s="102" t="str">
        <x:v>Associated Press</x:v>
      </x:c>
      <x:c r="C250" s="102" t="str">
        <x:v>Venezuela earthquake damage and airport closure</x:v>
      </x:c>
      <x:c r="D250" s="102" t="str">
        <x:v>https://apnews.com/article/74144da8c39b41ba7f3559ff3bd264d7</x:v>
      </x:c>
      <x:c r="E250" s="102" t="str">
        <x:v>2026-09-07</x:v>
      </x:c>
      <x:c r="F250" s="102" t="str">
        <x:v>Major news / natural hazard</x:v>
      </x:c>
      <x:c r="G250" s="102"/>
      <x:c r="H250" s="102"/>
    </x:row>
    <x:row r="251">
      <x:c r="A251" s="102" t="str">
        <x:v>SRC_0250</x:v>
      </x:c>
      <x:c r="B251" s="102" t="str">
        <x:v>Associated Press</x:v>
      </x:c>
      <x:c r="C251" s="102" t="str">
        <x:v>Haiti aviation restrictions and worker protest reporting</x:v>
      </x:c>
      <x:c r="D251" s="102" t="str">
        <x:v>https://apnews.com/article/70e3aa409fb24c7916568b4d904bfa4a</x:v>
      </x:c>
      <x:c r="E251" s="102" t="str">
        <x:v>2026-09-07</x:v>
      </x:c>
      <x:c r="F251" s="102" t="str">
        <x:v>Major news / civil/labour disruption</x:v>
      </x:c>
      <x:c r="G251" s="102"/>
      <x:c r="H251" s="102"/>
    </x:row>
    <x:row r="252">
      <x:c r="A252" s="102" t="str">
        <x:v>SRC_0251</x:v>
      </x:c>
      <x:c r="B252" s="102" t="str">
        <x:v>Le Nouvelliste</x:v>
      </x:c>
      <x:c r="C252" s="102" t="str">
        <x:v>Gang violence affecting Port-au-Prince and Varreux operations</x:v>
      </x:c>
      <x:c r="D252" s="102" t="str">
        <x:v>https://lenouvelliste.com/en/article/268530/escalating-gang-violence-affects-activities-at-the-apn-and-varreux-terminal</x:v>
      </x:c>
      <x:c r="E252" s="102" t="str">
        <x:v>2026-09-07</x:v>
      </x:c>
      <x:c r="F252" s="102" t="str">
        <x:v>Local news / civil disruption</x:v>
      </x:c>
      <x:c r="G252" s="102"/>
      <x:c r="H252" s="102"/>
    </x:row>
    <x:row r="253">
      <x:c r="A253" s="102" t="str">
        <x:v>SRC_0252</x:v>
      </x:c>
      <x:c r="B253" s="102" t="str">
        <x:v>World Customs Organization</x:v>
      </x:c>
      <x:c r="C253" s="102" t="str">
        <x:v>Haiti customs and trade-system context</x:v>
      </x:c>
      <x:c r="D253" s="102" t="str">
        <x:v>https://www.mag.wcoomd.org/magazine/wco-news-110-issue-2-2026/revisiting-haiti/</x:v>
      </x:c>
      <x:c r="E253" s="102" t="str">
        <x:v>2026-09-07</x:v>
      </x:c>
      <x:c r="F253" s="102" t="str">
        <x:v>Official / institutional context</x:v>
      </x:c>
      <x:c r="G253" s="102"/>
      <x:c r="H253" s="102"/>
    </x:row>
    <x:row r="254">
      <x:c r="A254" s="102" t="str">
        <x:v>SRC_0253</x:v>
      </x:c>
      <x:c r="B254" s="102" t="str">
        <x:v>Reuters</x:v>
      </x:c>
      <x:c r="C254" s="102" t="str">
        <x:v>Gyirong China-Nepal border crossing destroyed after glacial collapse and flood</x:v>
      </x:c>
      <x:c r="D254" s="102" t="str">
        <x:v>https://www.reuters.com/world/china/flood-destroyed-china-nepal-border-no-sign-once-busy-port-reuters-witnesses-2026-09-06/</x:v>
      </x:c>
      <x:c r="E254" s="102" t="str">
        <x:v>2026-09-07</x:v>
      </x:c>
      <x:c r="F254" s="102" t="str">
        <x:v>Major news / natural hazard</x:v>
      </x:c>
      <x:c r="G254" s="102"/>
      <x:c r="H254" s="102"/>
    </x:row>
    <x:row r="255">
      <x:c r="A255" t="str">
        <x:v>SRC_0254</x:v>
      </x:c>
      <x:c r="B255" t="str">
        <x:v>Associated Press</x:v>
      </x:c>
      <x:c r="C255" t="str">
        <x:v>Haiti worker protest over wages and fuel-price shock</x:v>
      </x:c>
      <x:c r="D255" t="str">
        <x:v>https://apnews.com/article/70b2c1166fc63788b36f9341d396e617</x:v>
      </x:c>
      <x:c r="E255" t="str">
        <x:v>2026-09-07</x:v>
      </x:c>
      <x:c r="F255" t="str">
        <x:v>Major news / protest-labour disruption</x:v>
      </x:c>
      <x:c r="G255"/>
      <x:c r="H255"/>
    </x:row>
    <x:row r="256">
      <x:c r="A256" s="102" t="str">
        <x:v>SRC_0255</x:v>
      </x:c>
      <x:c r="B256" s="102" t="str">
        <x:v>Brookfield Infrastructure Partners</x:v>
      </x:c>
      <x:c r="C256" s="102" t="str">
        <x:v>Q2 2026 filing confirms 34% disposition of UK port operation in Oct 2025 and 25% retained interest</x:v>
      </x:c>
      <x:c r="D256" s="102" t="str">
        <x:v>https://www.sec.gov/Archives/edgar/data/1406234/000140623426000006/bip-20260630_d2.htm</x:v>
      </x:c>
      <x:c r="E256" s="102" t="str">
        <x:v>2026-09-07</x:v>
      </x:c>
      <x:c r="F256" s="102" t="str">
        <x:v>Official filing / primary</x:v>
      </x:c>
      <x:c r="G256" s="102"/>
      <x:c r="H256" s="102"/>
    </x:row>
    <x:row r="257">
      <x:c r="A257" s="102" t="str">
        <x:v>SRC_0256</x:v>
      </x:c>
      <x:c r="B257" s="102" t="str">
        <x:v>Stonepeak</x:v>
      </x:c>
      <x:c r="C257" s="102" t="str">
        <x:v>United Ports LLC completed: Stonepeak 25%, CMA CGM 75% and operational control; 9-terminal portfolio; $2.4bn investment</x:v>
      </x:c>
      <x:c r="D257" s="102" t="str">
        <x:v>https://stonepeak.com/news/cma-cgm-and-stonepeak-complete-the-formation-of-united-ports-llc</x:v>
      </x:c>
      <x:c r="E257" s="102" t="str">
        <x:v>2026-09-07</x:v>
      </x:c>
      <x:c r="F257" s="102" t="str">
        <x:v>Official / primary</x:v>
      </x:c>
      <x:c r="G257" s="102"/>
      <x:c r="H257" s="102"/>
    </x:row>
    <x:row r="258">
      <x:c r="A258" s="102" t="str">
        <x:v>SRC_0257</x:v>
      </x:c>
      <x:c r="B258" s="102" t="str">
        <x:v>Stonepeak</x:v>
      </x:c>
      <x:c r="C258" s="102" t="str">
        <x:v>GeelongPort current portfolio: Stonepeak 70%, CareSuper 30%</x:v>
      </x:c>
      <x:c r="D258" s="102" t="str">
        <x:v>https://stonepeak.com/investments</x:v>
      </x:c>
      <x:c r="E258" s="102" t="str">
        <x:v>2026-09-07</x:v>
      </x:c>
      <x:c r="F258" s="102" t="str">
        <x:v>Official / primary</x:v>
      </x:c>
      <x:c r="G258" s="102"/>
      <x:c r="H258" s="102"/>
    </x:row>
    <x:row r="259">
      <x:c r="A259" s="102" t="str">
        <x:v>SRC_0258</x:v>
      </x:c>
      <x:c r="B259" s="102" t="str">
        <x:v>BlackRock</x:v>
      </x:c>
      <x:c r="C259" s="102" t="str">
        <x:v>Completion of BlackRock acquisition of Global Infrastructure Partners on 1 Oct 2024</x:v>
      </x:c>
      <x:c r="D259" s="102" t="str">
        <x:v>https://ir.blackrock.com/news-and-events/press-releases/press-releases-details/2024/BlackRock-Completes-Acquisition-of-Global-Infrastructure-Partners/default.aspx</x:v>
      </x:c>
      <x:c r="E259" s="102" t="str">
        <x:v>2026-09-07</x:v>
      </x:c>
      <x:c r="F259" s="102" t="str">
        <x:v>Official / primary</x:v>
      </x:c>
      <x:c r="G259" s="102"/>
      <x:c r="H259" s="102"/>
    </x:row>
    <x:row r="260">
      <x:c r="A260" s="102" t="str">
        <x:v>SRC_0259</x:v>
      </x:c>
      <x:c r="B260" s="102" t="str">
        <x:v>BlackRock</x:v>
      </x:c>
      <x:c r="C260" s="102" t="str">
        <x:v>GIP infrastructure profile identifying Peel Ports and Port of Melbourne among investments</x:v>
      </x:c>
      <x:c r="D260" s="102" t="str">
        <x:v>https://www.blackrock.com/corporate/newsroom/media/press-releases/blackrock-agrees-to-acquire-global-infrastructure-partners</x:v>
      </x:c>
      <x:c r="E260" s="102" t="str">
        <x:v>2026-09-07</x:v>
      </x:c>
      <x:c r="F260" s="102" t="str">
        <x:v>Official / primary</x:v>
      </x:c>
      <x:c r="G260" s="102"/>
      <x:c r="H260" s="102"/>
    </x:row>
    <x:row r="261">
      <x:c r="A261" s="102" t="str">
        <x:v>SRC_0260</x:v>
      </x:c>
      <x:c r="B261" s="102" t="str">
        <x:v>Macquarie Asset Management</x:v>
      </x:c>
      <x:c r="C261" s="102" t="str">
        <x:v>International Transportation Service comprises Long Beach and Tacoma container-terminal assets; capacity-expansion plan</x:v>
      </x:c>
      <x:c r="D261" s="102" t="str">
        <x:v>https://www.macquarie.com/au/en/about/company/macquarie-asset-management/financial-advisor/insights/2025/transforming-terminals-international-transportation-service.html</x:v>
      </x:c>
      <x:c r="E261" s="102" t="str">
        <x:v>2026-09-07</x:v>
      </x:c>
      <x:c r="F261" s="102" t="str">
        <x:v>Official / primary</x:v>
      </x:c>
      <x:c r="G261" s="102"/>
      <x:c r="H261" s="102"/>
    </x:row>
    <x:row r="262">
      <x:c r="A262" s="102" t="str">
        <x:v>SRC_0261</x:v>
      </x:c>
      <x:c r="B262" s="102" t="str">
        <x:v>Macquarie Asset Management</x:v>
      </x:c>
      <x:c r="C262" s="102" t="str">
        <x:v>Macquarie port-terminal portfolio context following sale of Ceres Terminals</x:v>
      </x:c>
      <x:c r="D262" s="102" t="str">
        <x:v>https://www.macquarie.com/uk/en/about/news/2023/macquarie-infrastructure-partners-iii-completes-sales-of-ceres-terminals.html</x:v>
      </x:c>
      <x:c r="E262" s="102" t="str">
        <x:v>2026-09-07</x:v>
      </x:c>
      <x:c r="F262" s="102" t="str">
        <x:v>Official / primary</x:v>
      </x:c>
      <x:c r="G262" s="102"/>
      <x:c r="H262" s="102"/>
    </x:row>
    <x:row r="263">
      <x:c r="A263" s="102" t="str">
        <x:v>SRC_0262</x:v>
      </x:c>
      <x:c r="B263" s="102" t="str">
        <x:v>IFM Investors</x:v>
      </x:c>
      <x:c r="C263" s="102" t="str">
        <x:v>Infrastructure portfolio includes nine ports across five countries as at 30 June 2026</x:v>
      </x:c>
      <x:c r="D263" s="102" t="str">
        <x:v>https://www.ifminvestors.com/capabilities/infrastructure/</x:v>
      </x:c>
      <x:c r="E263" s="102" t="str">
        <x:v>2026-09-07</x:v>
      </x:c>
      <x:c r="F263" s="102" t="str">
        <x:v>Official / primary</x:v>
      </x:c>
      <x:c r="G263" s="102"/>
      <x:c r="H263" s="102"/>
    </x:row>
    <x:row r="264">
      <x:c r="A264" s="102" t="str">
        <x:v>SRC_0263</x:v>
      </x:c>
      <x:c r="B264" s="102" t="str">
        <x:v>KKR</x:v>
      </x:c>
      <x:c r="C264" s="102" t="str">
        <x:v>KKR and Mirastar acquisition of four UK logistics assets for about GBP170m / 1.25m sq ft including Ellesmere Port</x:v>
      </x:c>
      <x:c r="D264" s="102" t="str">
        <x:v>https://media.kkr.com/news-details?news_id=4f6ff0d9-9b59-487c-abce-108f533fdd9b</x:v>
      </x:c>
      <x:c r="E264" s="102" t="str">
        <x:v>2026-09-07</x:v>
      </x:c>
      <x:c r="F264" s="102" t="str">
        <x:v>Official / primary</x:v>
      </x:c>
      <x:c r="G264" s="102"/>
      <x:c r="H264" s="102"/>
    </x:row>
    <x:row r="265">
      <x:c r="A265" s="102" t="str">
        <x:v>SRC_0264</x:v>
      </x:c>
      <x:c r="B265" s="102" t="str">
        <x:v>Blackstone</x:v>
      </x:c>
      <x:c r="C265" s="102" t="str">
        <x:v>Launch of Proxity pan-European logistics platform with roughly 500 properties and &gt;7m sqm</x:v>
      </x:c>
      <x:c r="D265" s="102" t="str">
        <x:v>https://www.blackstone.com/news/press/blackstone-launches-proxity-a-new-pan-european-logistics-platform/</x:v>
      </x:c>
      <x:c r="E265" s="102" t="str">
        <x:v>2026-09-07</x:v>
      </x:c>
      <x:c r="F265" s="102" t="str">
        <x:v>Official / primary</x:v>
      </x:c>
      <x:c r="G265" s="102"/>
      <x:c r="H265" s="102"/>
    </x:row>
    <x:row r="266">
      <x:c r="A266" s="102" t="str">
        <x:v>SRC_0265</x:v>
      </x:c>
      <x:c r="B266" s="102" t="str">
        <x:v>Blackstone</x:v>
      </x:c>
      <x:c r="C266" s="102" t="str">
        <x:v>2026 mid-year perspectives: logistics approximately 40% of Blackstone global real-estate exposure</x:v>
      </x:c>
      <x:c r="D266" s="102" t="str">
        <x:v>https://www.blackstone.com/insights/article/2026-mid-year-investment-perspectives/</x:v>
      </x:c>
      <x:c r="E266" s="102" t="str">
        <x:v>2026-09-07</x:v>
      </x:c>
      <x:c r="F266" s="102" t="str">
        <x:v>Official / primary</x:v>
      </x:c>
      <x:c r="G266" s="102"/>
      <x:c r="H266" s="102"/>
    </x:row>
    <x:row r="267">
      <x:c r="A267" s="102" t="str">
        <x:v>SRC_0266</x:v>
      </x:c>
      <x:c r="B267" s="102" t="str">
        <x:v>Prologis</x:v>
      </x:c>
      <x:c r="C267" s="102" t="str">
        <x:v>Q2 2026 supplemental: approximately 1.3bn sq ft across 20 countries</x:v>
      </x:c>
      <x:c r="D267" s="102" t="str">
        <x:v>https://ir.prologis.com/financials/sec-filings/content/0001193125-26-305416/pld-ex99_1.htm</x:v>
      </x:c>
      <x:c r="E267" s="102" t="str">
        <x:v>2026-09-07</x:v>
      </x:c>
      <x:c r="F267" s="102" t="str">
        <x:v>Official filing / primary</x:v>
      </x:c>
      <x:c r="G267" s="102"/>
      <x:c r="H267" s="102"/>
    </x:row>
    <x:row r="268">
      <x:c r="A268" s="102" t="str">
        <x:v>SRC_0267</x:v>
      </x:c>
      <x:c r="B268" s="102" t="str">
        <x:v>Prologis</x:v>
      </x:c>
      <x:c r="C268" s="102" t="str">
        <x:v>Prologis and GIC form $1.6bn U.S. build-to-suit logistics JV</x:v>
      </x:c>
      <x:c r="D268" s="102" t="str">
        <x:v>https://ir.prologis.com/news-events/press-releases/detail/1034/prologis-and-gic-form-1-6-billion-u-s-build-to-suit-logistics-joint-venture</x:v>
      </x:c>
      <x:c r="E268" s="102" t="str">
        <x:v>2026-09-07</x:v>
      </x:c>
      <x:c r="F268" s="102" t="str">
        <x:v>Official / primary</x:v>
      </x:c>
      <x:c r="G268" s="102"/>
      <x:c r="H268" s="102"/>
    </x:row>
    <x:row r="269">
      <x:c r="A269" s="102" t="str">
        <x:v>SRC_0268</x:v>
      </x:c>
      <x:c r="B269" s="102" t="str">
        <x:v>Prologis</x:v>
      </x:c>
      <x:c r="C269" s="102" t="str">
        <x:v>La Caisse and Prologis launch EUR1bn-seed pan-European logistics JV; 70/30 ownership</x:v>
      </x:c>
      <x:c r="D269" s="102" t="str">
        <x:v>https://ir.prologis.com/news-events/press-releases/detail/1035/la-caisse-and-prologis-launch-pan-european-logistics-joint-venture</x:v>
      </x:c>
      <x:c r="E269" s="102" t="str">
        <x:v>2026-09-07</x:v>
      </x:c>
      <x:c r="F269" s="102" t="str">
        <x:v>Official / primary</x:v>
      </x:c>
      <x:c r="G269" s="102"/>
      <x:c r="H269" s="102"/>
    </x:row>
    <x:row r="270">
      <x:c r="A270" s="102" t="str">
        <x:v>SRC_0269</x:v>
      </x:c>
      <x:c r="B270" s="102" t="str">
        <x:v>ESR</x:v>
      </x:c>
      <x:c r="C270" s="102" t="str">
        <x:v>FY2025 profile: APAC-focused logistics real estate / data-centre owner-manager with US$77.3bn total AUM</x:v>
      </x:c>
      <x:c r="D270" s="102" t="str">
        <x:v>https://www.esr.com/investor-relations/</x:v>
      </x:c>
      <x:c r="E270" s="102" t="str">
        <x:v>2026-09-07</x:v>
      </x:c>
      <x:c r="F270" s="102" t="str">
        <x:v>Official / primary</x:v>
      </x:c>
      <x:c r="G270" s="102"/>
      <x:c r="H270" s="102"/>
    </x:row>
    <x:row r="271">
      <x:c r="A271" s="102" t="str">
        <x:v>SRC_0270</x:v>
      </x:c>
      <x:c r="B271" s="102" t="str">
        <x:v>Logicor</x:v>
      </x:c>
      <x:c r="C271" s="102" t="str">
        <x:v>Current investor page states Logicor is majority owned by CIC</x:v>
      </x:c>
      <x:c r="D271" s="102" t="str">
        <x:v>https://www.logicor.eu/en/eu/investors</x:v>
      </x:c>
      <x:c r="E271" s="102" t="str">
        <x:v>2026-09-07</x:v>
      </x:c>
      <x:c r="F271" s="102" t="str">
        <x:v>Official / primary</x:v>
      </x:c>
      <x:c r="G271" s="102"/>
      <x:c r="H271" s="102"/>
    </x:row>
    <x:row r="272">
      <x:c r="A272" s="102" t="str">
        <x:v>SRC_0271</x:v>
      </x:c>
      <x:c r="B272" s="102" t="str">
        <x:v>CentrePort Canada</x:v>
      </x:c>
      <x:c r="C272" s="102" t="str">
        <x:v>20,000-acre trimodal inland port and FTZ; CPKC, CN, BNSF access and global gateways</x:v>
      </x:c>
      <x:c r="D272" s="102" t="str">
        <x:v>https://centreportcanada.ca/about-centreport/</x:v>
      </x:c>
      <x:c r="E272" s="102" t="str">
        <x:v>2026-09-07</x:v>
      </x:c>
      <x:c r="F272" s="102" t="str">
        <x:v>Official / primary</x:v>
      </x:c>
      <x:c r="G272" s="102"/>
      <x:c r="H272" s="102"/>
    </x:row>
    <x:row r="273">
      <x:c r="A273" s="102" t="str">
        <x:v>SRC_0272</x:v>
      </x:c>
      <x:c r="B273" s="102" t="str">
        <x:v>Etihad Rail</x:v>
      </x:c>
      <x:c r="C273" s="102" t="str">
        <x:v>Al Ghail Dry Port rail terminal links RAK/Fujairah quarries with ICAD and Dubai Industrial City</x:v>
      </x:c>
      <x:c r="D273" s="102" t="str">
        <x:v>https://corporate.etihadrail.ae/en/newsroom/press/etihad-rail-and-trojan-general-contracting-sign-haulage-services-agreement-for-transportation-of-aggregates</x:v>
      </x:c>
      <x:c r="E273" s="102" t="str">
        <x:v>2026-09-07</x:v>
      </x:c>
      <x:c r="F273" s="102" t="str">
        <x:v>Official / primary</x:v>
      </x:c>
      <x:c r="G273" s="102"/>
      <x:c r="H273" s="102"/>
    </x:row>
    <x:row r="274">
      <x:c r="A274" s="102" t="str">
        <x:v>SRC_0273</x:v>
      </x:c>
      <x:c r="B274" s="102" t="str">
        <x:v>Jebel Ali Free Zone</x:v>
      </x:c>
      <x:c r="C274" s="102" t="str">
        <x:v>JAFZA offerings: 57 sq km of industrial/logistics real estate including warehouses, plots and offices</x:v>
      </x:c>
      <x:c r="D274" s="102" t="str">
        <x:v>https://www.jafza.ae/offerings/</x:v>
      </x:c>
      <x:c r="E274" s="102" t="str">
        <x:v>2026-09-07</x:v>
      </x:c>
      <x:c r="F274" s="102" t="str">
        <x:v>Official / primary</x:v>
      </x:c>
      <x:c r="G274" s="102"/>
      <x:c r="H274" s="102"/>
    </x:row>
    <x:row r="275">
      <x:c r="A275" s="102" t="str">
        <x:v>SRC_0274</x:v>
      </x:c>
      <x:c r="B275" s="102" t="str">
        <x:v>Jebel Ali Free Zone</x:v>
      </x:c>
      <x:c r="C275" s="102" t="str">
        <x:v>JAFZA Logistics Park Phase 1 and Phase 2 warehousing development</x:v>
      </x:c>
      <x:c r="D275" s="102" t="str">
        <x:v>https://www.jafza.ae/resource-centre/media/news/jafza-completes-phase-1-of-new-logistics-park/</x:v>
      </x:c>
      <x:c r="E275" s="102" t="str">
        <x:v>2026-09-07</x:v>
      </x:c>
      <x:c r="F275" s="102" t="str">
        <x:v>Official / primary</x:v>
      </x:c>
      <x:c r="G275" s="102"/>
      <x:c r="H275" s="102"/>
    </x:row>
    <x:row r="276">
      <x:c r="A276" s="102" t="str">
        <x:v>SRC_0275</x:v>
      </x:c>
      <x:c r="B276" s="102" t="str">
        <x:v>KEZAD Group</x:v>
      </x:c>
      <x:c r="C276" s="102" t="str">
        <x:v>KEZAD Group official economic-zone and industrial real-estate platform</x:v>
      </x:c>
      <x:c r="D276" s="102" t="str">
        <x:v>https://www.kezadgroup.com/</x:v>
      </x:c>
      <x:c r="E276" s="102" t="str">
        <x:v>2026-09-07</x:v>
      </x:c>
      <x:c r="F276" s="102" t="str">
        <x:v>Official / primary</x:v>
      </x:c>
      <x:c r="G276" s="102"/>
      <x:c r="H276" s="102"/>
    </x:row>
    <x:row r="277">
      <x:c r="A277" s="102" t="str">
        <x:v>SRC_0276</x:v>
      </x:c>
      <x:c r="B277" s="102" t="str">
        <x:v>AD Ports Group</x:v>
      </x:c>
      <x:c r="C277" s="102" t="str">
        <x:v>2025 Capital Markets Day: KEZAD 12 economic cities, 550 km2, 100 km2 free zone, 625,000 sqm warehouses</x:v>
      </x:c>
      <x:c r="D277" s="102" t="str">
        <x:v>https://www.adportsgroup.com/-/media/sites/adports/investors/2025/downloads/adpg--2025-capital-market-day-consolidated.pdf?rev=-1</x:v>
      </x:c>
      <x:c r="E277" s="102" t="str">
        <x:v>2026-09-07</x:v>
      </x:c>
      <x:c r="F277" s="102" t="str">
        <x:v>Official filing / investor presentation</x:v>
      </x:c>
      <x:c r="G277" s="102"/>
      <x:c r="H277" s="102"/>
    </x:row>
    <x:row r="278">
      <x:c r="A278" s="102" t="str">
        <x:v>SRC_0277</x:v>
      </x:c>
      <x:c r="B278" s="102" t="str">
        <x:v>AD Ports Group</x:v>
      </x:c>
      <x:c r="C278" s="102" t="str">
        <x:v>AD Ports completed acquisition of 60% majority stake in Tbilisi Dry Port</x:v>
      </x:c>
      <x:c r="D278" s="102" t="str">
        <x:v>https://www.adportsgroup.com/en/news-and-media/2024/08/15/ad-ports-group-completes-tbilisi-dry-port-acquisition-to-become-majority-owner</x:v>
      </x:c>
      <x:c r="E278" s="102" t="str">
        <x:v>2026-09-07</x:v>
      </x:c>
      <x:c r="F278" s="102" t="str">
        <x:v>Official / primary</x:v>
      </x:c>
      <x:c r="G278" s="102"/>
      <x:c r="H278" s="102"/>
    </x:row>
    <x:row r="279">
      <x:c r="A279" s="102" t="str">
        <x:v>SRC_0278</x:v>
      </x:c>
      <x:c r="B279" s="102" t="str">
        <x:v>Tbilisi Dry Port</x:v>
      </x:c>
      <x:c r="C279" s="102" t="str">
        <x:v>Current infrastructure: four rail spurs, customs-bonded warehouses, container yards and up to 200,000 TEU</x:v>
      </x:c>
      <x:c r="D279" s="102" t="str">
        <x:v>https://www.tbilisidryport.com/infrastructure-facilities/</x:v>
      </x:c>
      <x:c r="E279" s="102" t="str">
        <x:v>2026-09-07</x:v>
      </x:c>
      <x:c r="F279" s="102" t="str">
        <x:v>Official / primary</x:v>
      </x:c>
      <x:c r="G279" s="102"/>
      <x:c r="H279" s="102"/>
    </x:row>
    <x:row r="280">
      <x:c r="A280" s="102" t="str">
        <x:v>SRC_0279</x:v>
      </x:c>
      <x:c r="B280" s="102" t="str">
        <x:v>AD Ports Group</x:v>
      </x:c>
      <x:c r="C280" s="102" t="str">
        <x:v>Tbilisi Intermodal Hub inauguration, first MSC-linked shipment, customs authorization and Middle Corridor role</x:v>
      </x:c>
      <x:c r="D280" s="102" t="str">
        <x:v>https://wpvip.adportsgroup.com/adportsgroup/news-and-media/2025/06/03/ad-ports-group-inaugurates-tbilisi-intermodal-hub-in-georgia/</x:v>
      </x:c>
      <x:c r="E280" s="102" t="str">
        <x:v>2026-09-07</x:v>
      </x:c>
      <x:c r="F280" s="102" t="str">
        <x:v>Official / primary</x:v>
      </x:c>
      <x:c r="G280" s="102"/>
      <x:c r="H280" s="102"/>
    </x:row>
    <x:row r="281">
      <x:c r="A281" s="102" t="str">
        <x:v>SRC_0280</x:v>
      </x:c>
      <x:c r="B281" s="102" t="str">
        <x:v>AD Ports Group</x:v>
      </x:c>
      <x:c r="C281" s="102" t="str">
        <x:v>Al Faya Dry Port assigned UN/LOCODE AEALF and integrated into bonded cargo flows</x:v>
      </x:c>
      <x:c r="D281" s="102" t="str">
        <x:v>https://www.adportsgroup.com/en/news-and-media/2026/06/18/ad-ports-group-enhances-al-faya-dry-ports-integration-with-the-global-trade-and-logistics-ecosystem</x:v>
      </x:c>
      <x:c r="E281" s="102" t="str">
        <x:v>2026-09-07</x:v>
      </x:c>
      <x:c r="F281" s="102" t="str">
        <x:v>Official / primary</x:v>
      </x:c>
      <x:c r="G281" s="102"/>
      <x:c r="H281" s="102"/>
    </x:row>
    <x:row r="282">
      <x:c r="A282" s="102" t="str">
        <x:v>SRC_0281</x:v>
      </x:c>
      <x:c r="B282" s="102" t="str">
        <x:v>AD Ports Group</x:v>
      </x:c>
      <x:c r="C282" s="102" t="str">
        <x:v>Q3 2025 presentation: KEZAD East Port Said 50-year usufruct, 20 km2 park, phase-1 $120m</x:v>
      </x:c>
      <x:c r="D282" s="102" t="str">
        <x:v>https://www.adportsgroup.com/-/media/sites/adports/investors/2025/downloads/adpg-earnings-presentation-q3-2025.pdf?rev=-1</x:v>
      </x:c>
      <x:c r="E282" s="102" t="str">
        <x:v>2026-09-07</x:v>
      </x:c>
      <x:c r="F282" s="102" t="str">
        <x:v>Official filing / investor presentation</x:v>
      </x:c>
      <x:c r="G282" s="102"/>
      <x:c r="H282" s="102"/>
    </x:row>
    <x:row r="283">
      <x:c r="A283" s="102" t="str">
        <x:v>SRC_0282</x:v>
      </x:c>
      <x:c r="B283" s="102" t="str">
        <x:v>Tbilisi Dry Port</x:v>
      </x:c>
      <x:c r="C283" s="102" t="str">
        <x:v>Tbilisi Dry Port company page identifies AD Ports Group, Wilhelmsen Port Services Georgia and Inveco LLC as JV partners</x:v>
      </x:c>
      <x:c r="D283" s="102" t="str">
        <x:v>https://www.tbilisidryport.com/company</x:v>
      </x:c>
      <x:c r="E283" s="102" t="str">
        <x:v>2026-09-07</x:v>
      </x:c>
      <x:c r="F283" s="102" t="str">
        <x:v>Official / primary</x:v>
      </x:c>
      <x:c r="G283" s="102"/>
      <x:c r="H283" s="102"/>
    </x:row>
    <x:row r="284">
      <x:c r="A284" s="102" t="str">
        <x:v>SRC_0283</x:v>
      </x:c>
      <x:c r="B284" s="102" t="str">
        <x:v>CK Hutchison</x:v>
      </x:c>
      <x:c r="C284" s="102" t="str">
        <x:v>March 2025 in-principle agreement with BlackRock/GIP/TiL consortium for 43-port perimeter plus Panama assets</x:v>
      </x:c>
      <x:c r="D284" s="102" t="str">
        <x:v>https://www.ckh.com.hk/en/media/press_each.php?id=3431&amp;print=Y</x:v>
      </x:c>
      <x:c r="E284" s="102" t="str">
        <x:v>2026-09-07</x:v>
      </x:c>
      <x:c r="F284" s="102" t="str">
        <x:v>Official / primary</x:v>
      </x:c>
      <x:c r="G284" s="102"/>
      <x:c r="H284" s="102"/>
    </x:row>
    <x:row r="285">
      <x:c r="A285" s="102" t="str">
        <x:v>SRC_0284</x:v>
      </x:c>
      <x:c r="B285" s="102" t="str">
        <x:v>Reuters</x:v>
      </x:c>
      <x:c r="C285" s="102" t="str">
        <x:v>MSC/BlackRock withdrew EU approval request for Barcelona terminal stake in August 2026</x:v>
      </x:c>
      <x:c r="D285" s="102" t="str">
        <x:v>https://www.reuters.com/business/msc-blackrock-withdraw-approval-request-purchase-stake-barcelona-port-2026-08-10/</x:v>
      </x:c>
      <x:c r="E285" s="102" t="str">
        <x:v>2026-09-07</x:v>
      </x:c>
      <x:c r="F285" s="102" t="str">
        <x:v>Major news / transaction status</x:v>
      </x:c>
      <x:c r="G285" s="102"/>
      <x:c r="H285" s="102"/>
    </x:row>
    <x:row r="286">
      <x:c r="A286" s="102" t="str">
        <x:v>SRC_0285</x:v>
      </x:c>
      <x:c r="B286" s="102" t="str">
        <x:v>Stonepeak</x:v>
      </x:c>
      <x:c r="C286" s="102" t="str">
        <x:v>August 2026 acquisition of 860,100 sq ft rail-served logistics asset in Fort Worth Alliance submarket</x:v>
      </x:c>
      <x:c r="D286" s="102" t="str">
        <x:v>https://stonepeak.com/news/stonepeak-acquires-rail-served-logistics-asset-in-fort-worth-texas</x:v>
      </x:c>
      <x:c r="E286" s="102" t="str">
        <x:v>2026-09-07</x:v>
      </x:c>
      <x:c r="F286" s="102" t="str">
        <x:v>Official / primary</x:v>
      </x:c>
      <x:c r="G286" s="102"/>
      <x:c r="H286" s="102"/>
    </x:row>
    <x:row r="287">
      <x:c r="A287" s="102" t="str">
        <x:v>SRC_0286</x:v>
      </x:c>
      <x:c r="B287" s="102" t="str">
        <x:v>Tbilisi Dry Port</x:v>
      </x:c>
      <x:c r="C287" s="102" t="str">
        <x:v>Tbilisi Dry Port current site description: multimodal inland terminal, Poti/Batumi extension, 196,000 m2 + 87,000 m2 land parcels</x:v>
      </x:c>
      <x:c r="D287" s="102" t="str">
        <x:v>https://www.tbilisidryport.com/tbilisi-dry-port/</x:v>
      </x:c>
      <x:c r="E287" s="102" t="str">
        <x:v>2026-09-07</x:v>
      </x:c>
      <x:c r="F287" s="102" t="str">
        <x:v>Official / primary</x:v>
      </x:c>
      <x:c r="G287" s="102"/>
      <x:c r="H287" s="102"/>
    </x:row>
    <x:row r="288">
      <x:c r="A288" s="102" t="str">
        <x:v>SRC_0287</x:v>
      </x:c>
      <x:c r="B288" s="102" t="str">
        <x:v>AD Ports Group</x:v>
      </x:c>
      <x:c r="C288" s="102" t="str">
        <x:v>Q2 2025 presentation: Al Faya Dry Port anchored by CMA CGM and links Khalifa Port to inland O&amp;D</x:v>
      </x:c>
      <x:c r="D288" s="102" t="str">
        <x:v>https://www.adportsgroup.com/-/media/sites/adports/investors/2025/downloads/adpg-earnings-presentation-q2-2025.pdf?rev=171f736cc8ea44f4a3c70650630e217e</x:v>
      </x:c>
      <x:c r="E288" s="102" t="str">
        <x:v>2026-09-07</x:v>
      </x:c>
      <x:c r="F288" s="102" t="str">
        <x:v>Official filing / investor presentation</x:v>
      </x:c>
      <x:c r="G288" s="102"/>
      <x:c r="H288" s="102"/>
    </x:row>
    <x:row r="289">
      <x:c r="A289" s="42" t="str">
        <x:v>SRC_0288</x:v>
      </x:c>
      <x:c r="B289" s="42" t="str">
        <x:v>DHL Group</x:v>
      </x:c>
      <x:c r="C289" s="42" t="str">
        <x:v>DHL AG parent structure effective 1 Sep 2026; five divisions as separate legal entities.</x:v>
      </x:c>
      <x:c r="D289" s="42" t="str">
        <x:v>https://group.dhl.com/en/media-relations/press-releases/2026/dhl-group-completes-corporate-reorganization.html</x:v>
      </x:c>
      <x:c r="E289" s="42" t="str">
        <x:v>2026-09-07</x:v>
      </x:c>
      <x:c r="F289" s="42" t="str">
        <x:v>Official / primary</x:v>
      </x:c>
    </x:row>
    <x:row r="290">
      <x:c r="A290" s="42" t="str">
        <x:v>SRC_0289</x:v>
      </x:c>
      <x:c r="B290" s="42" t="str">
        <x:v>DHL Group</x:v>
      </x:c>
      <x:c r="C290" s="42" t="str">
        <x:v>Current group profile, global reach and revenue/employment scale.</x:v>
      </x:c>
      <x:c r="D290" s="42" t="str">
        <x:v>https://group.dhl.com/en/about-us.html</x:v>
      </x:c>
      <x:c r="E290" s="42" t="str">
        <x:v>2026-09-07</x:v>
      </x:c>
      <x:c r="F290" s="42" t="str">
        <x:v>Official / primary</x:v>
      </x:c>
    </x:row>
    <x:row r="291">
      <x:c r="A291" s="42" t="str">
        <x:v>SRC_0290</x:v>
      </x:c>
      <x:c r="B291" s="42" t="str">
        <x:v>DHL Group</x:v>
      </x:c>
      <x:c r="C291" s="42" t="str">
        <x:v>2026 investor presentation: &gt;275 dedicated aircraft, 19 partner airlines, &gt;2,400 daily flights, 23 hubs, &gt;500 airports.</x:v>
      </x:c>
      <x:c r="D291" s="42" t="str">
        <x:v>https://group.dhl.com/content/dam/deutschepostdhl/en/investors/creditor-relations/presentations/DHL-Group-Credit-Investor-Presentation-April-2026.pdf</x:v>
      </x:c>
      <x:c r="E291" s="42" t="str">
        <x:v>2026-09-07</x:v>
      </x:c>
      <x:c r="F291" s="42" t="str">
        <x:v>Official investor presentation</x:v>
      </x:c>
    </x:row>
    <x:row r="292">
      <x:c r="A292" s="42" t="str">
        <x:v>SRC_0291</x:v>
      </x:c>
      <x:c r="B292" s="42" t="str">
        <x:v>DHL Group</x:v>
      </x:c>
      <x:c r="C292" s="42" t="str">
        <x:v>Global Forwarding current network: air, ocean, overland, multimodal, customs and &gt;200 terminals/storage facilities.</x:v>
      </x:c>
      <x:c r="D292" s="42" t="str">
        <x:v>https://group.dhl.com/en/about-us/corporate-divisions/global-forwarding-freight.html</x:v>
      </x:c>
      <x:c r="E292" s="42" t="str">
        <x:v>2026-09-07</x:v>
      </x:c>
      <x:c r="F292" s="42" t="str">
        <x:v>Official / primary</x:v>
      </x:c>
    </x:row>
    <x:row r="293">
      <x:c r="A293" s="42" t="str">
        <x:v>SRC_0292</x:v>
      </x:c>
      <x:c r="B293" s="42" t="str">
        <x:v>DHL Group</x:v>
      </x:c>
      <x:c r="C293" s="42" t="str">
        <x:v>Supply Chain current network: &gt;55 countries and ~17.5m sqm owned/leased warehousing and operational space.</x:v>
      </x:c>
      <x:c r="D293" s="42" t="str">
        <x:v>https://group.dhl.com/en/about-us/corporate-divisions/supply-chain.html</x:v>
      </x:c>
      <x:c r="E293" s="42" t="str">
        <x:v>2026-09-07</x:v>
      </x:c>
      <x:c r="F293" s="42" t="str">
        <x:v>Official / primary</x:v>
      </x:c>
    </x:row>
    <x:row r="294">
      <x:c r="A294" s="42" t="str">
        <x:v>SRC_0293</x:v>
      </x:c>
      <x:c r="B294" s="42" t="str">
        <x:v>DHL Group</x:v>
      </x:c>
      <x:c r="C294" s="42" t="str">
        <x:v>eCommerce network scale: parcel lockers, service points and parcel volumes.</x:v>
      </x:c>
      <x:c r="D294" s="42" t="str">
        <x:v>https://group.dhl.com/en/about-us/corporate-divisions/ecommerce-solutions.html</x:v>
      </x:c>
      <x:c r="E294" s="42" t="str">
        <x:v>2026-09-07</x:v>
      </x:c>
      <x:c r="F294" s="42" t="str">
        <x:v>Official / primary</x:v>
      </x:c>
    </x:row>
    <x:row r="295">
      <x:c r="A295" s="42" t="str">
        <x:v>SRC_0294</x:v>
      </x:c>
      <x:c r="B295" s="42" t="str">
        <x:v>DHL Group</x:v>
      </x:c>
      <x:c r="C295" s="42" t="str">
        <x:v>Leipzig global hub: largest of DHL's three global hubs; &gt;50 destinations and ~75 aircraft per workday.</x:v>
      </x:c>
      <x:c r="D295" s="42" t="str">
        <x:v>https://group.dhl.com/en/media-relations/press-releases/2024/dhl-extends-partnership-with-mitteldeutsche-flughafen-ag-until-2053.html</x:v>
      </x:c>
      <x:c r="E295" s="42" t="str">
        <x:v>2026-09-07</x:v>
      </x:c>
      <x:c r="F295" s="42" t="str">
        <x:v>Official / primary</x:v>
      </x:c>
    </x:row>
    <x:row r="296">
      <x:c r="A296" s="42" t="str">
        <x:v>SRC_0295</x:v>
      </x:c>
      <x:c r="B296" s="42" t="str">
        <x:v>DHL Group</x:v>
      </x:c>
      <x:c r="C296" s="42" t="str">
        <x:v>Hong Kong Central Asia Hub; one of three DHL global hubs; cumulative investment €562m.</x:v>
      </x:c>
      <x:c r="D296" s="42" t="str">
        <x:v>https://group.dhl.com/en/media-relations/press-releases/2023/dhl-express-opens-newly-expanded-global-hub-in-hong-kong.html</x:v>
      </x:c>
      <x:c r="E296" s="42" t="str">
        <x:v>2026-09-07</x:v>
      </x:c>
      <x:c r="F296" s="42" t="str">
        <x:v>Official / primary</x:v>
      </x:c>
    </x:row>
    <x:row r="297">
      <x:c r="A297" s="42" t="str">
        <x:v>SRC_0296</x:v>
      </x:c>
      <x:c r="B297" s="42" t="str">
        <x:v>DHL Group</x:v>
      </x:c>
      <x:c r="C297" s="42" t="str">
        <x:v>€130m SILZ Riyadh logistics hub: 78,000 sqm site / 53,000 sqm warehouse, 26-year lease, 8 km from KKIA.</x:v>
      </x:c>
      <x:c r="D297" s="42" t="str">
        <x:v>https://group.dhl.com/en/media-relations/press-releases/2025/dhl-supply-chain-to-invest-eur-130-million-in-new-warehouse-at-saudi-arabia.html</x:v>
      </x:c>
      <x:c r="E297" s="42" t="str">
        <x:v>2026-09-07</x:v>
      </x:c>
      <x:c r="F297" s="42" t="str">
        <x:v>Official / primary</x:v>
      </x:c>
    </x:row>
    <x:row r="298">
      <x:c r="A298" s="42" t="str">
        <x:v>SRC_0297</x:v>
      </x:c>
      <x:c r="B298" s="42" t="str">
        <x:v>FedEx Corp / SEC</x:v>
      </x:c>
      <x:c r="C298" s="42" t="str">
        <x:v>FY2026 10-K: 700 aircraft, &gt;180,000 motorized vehicles, ~84,000 drop-off locations, hub/facility and aircraft-type detail.</x:v>
      </x:c>
      <x:c r="D298" s="42" t="str">
        <x:v>https://www.sec.gov/Archives/edgar/data/1048911/000104891126000105/fdx-20260531.htm</x:v>
      </x:c>
      <x:c r="E298" s="42" t="str">
        <x:v>2026-09-07</x:v>
      </x:c>
      <x:c r="F298" s="42" t="str">
        <x:v>Official filing</x:v>
      </x:c>
    </x:row>
    <x:row r="299">
      <x:c r="A299" s="42" t="str">
        <x:v>SRC_0298</x:v>
      </x:c>
      <x:c r="B299" s="42" t="str">
        <x:v>FedEx</x:v>
      </x:c>
      <x:c r="C299" s="42" t="str">
        <x:v>FedEx Freight spin-off completed 1 Jun 2026; independent NYSE company; FedEx retained 19.9% temporarily.</x:v>
      </x:c>
      <x:c r="D299" s="42" t="str">
        <x:v>https://newsroom.fedex.com/newsroom/global-english/fedex-completes-spin-off-of-fedex-freight</x:v>
      </x:c>
      <x:c r="E299" s="42" t="str">
        <x:v>2026-09-07</x:v>
      </x:c>
      <x:c r="F299" s="42" t="str">
        <x:v>Official / primary</x:v>
      </x:c>
    </x:row>
    <x:row r="300">
      <x:c r="A300" s="42" t="str">
        <x:v>SRC_0299</x:v>
      </x:c>
      <x:c r="B300" s="42" t="str">
        <x:v>FedEx Freight / SEC</x:v>
      </x:c>
      <x:c r="C300" s="42" t="str">
        <x:v>FY2026 10-K: ~355 terminals, ~10 linehaul relay sites, nearly 30,000 motorized vehicles and ~17,000 tractors.</x:v>
      </x:c>
      <x:c r="D300" s="42" t="str">
        <x:v>https://www.sec.gov/Archives/edgar/data/2082247/000162828026053359/fdxf-20260531.htm</x:v>
      </x:c>
      <x:c r="E300" s="42" t="str">
        <x:v>2026-09-07</x:v>
      </x:c>
      <x:c r="F300" s="42" t="str">
        <x:v>Official filing</x:v>
      </x:c>
    </x:row>
    <x:row r="301">
      <x:c r="A301" s="42" t="str">
        <x:v>SRC_0300</x:v>
      </x:c>
      <x:c r="B301" s="42" t="str">
        <x:v>FedEx</x:v>
      </x:c>
      <x:c r="C301" s="42" t="str">
        <x:v>Aug 2026 plan: US$150m / 230,000 sq ft integrated air cargo hub at Delhi IGI Airport.</x:v>
      </x:c>
      <x:c r="D301" s="42" t="str">
        <x:v>https://newsroom.fedex.com/newsroom/global/fedex-announces-plans-to-develop-new-integrated-air-cargo-hub-at-gmr-cargo-city-delhi-airport</x:v>
      </x:c>
      <x:c r="E301" s="42" t="str">
        <x:v>2026-09-07</x:v>
      </x:c>
      <x:c r="F301" s="42" t="str">
        <x:v>Official / primary</x:v>
      </x:c>
    </x:row>
    <x:row r="302">
      <x:c r="A302" s="42" t="str">
        <x:v>SRC_0301</x:v>
      </x:c>
      <x:c r="B302" s="42" t="str">
        <x:v>FedEx / CMA CGM</x:v>
      </x:c>
      <x:c r="C302" s="42" t="str">
        <x:v>1 Jul 2026 agreement for CMA CGM to acquire FedEx Supply Chain for $1.4bn EV; expected close in 2026, still pending.</x:v>
      </x:c>
      <x:c r="D302" s="42" t="str">
        <x:v>https://investors.fedex.com/news-and-events/investor-news/investor-news-details/2026/CMA-CGM-Group-to-Acquire-FedEx-Supply-Chain-at-an-Enterprise-Value-of-1-4-billion-Strengthening-Its-Logistics-Presence-in-North-America/default.aspx</x:v>
      </x:c>
      <x:c r="E302" s="42" t="str">
        <x:v>2026-09-07</x:v>
      </x:c>
      <x:c r="F302" s="42" t="str">
        <x:v>Official / primary</x:v>
      </x:c>
    </x:row>
    <x:row r="303">
      <x:c r="A303" s="42" t="str">
        <x:v>SRC_0302</x:v>
      </x:c>
      <x:c r="B303" s="42" t="str">
        <x:v>Amazon</x:v>
      </x:c>
      <x:c r="C303" s="42" t="str">
        <x:v>Amazon Supply Chain Services launch: external businesses gain access to ocean, air, ground and rail network; 80,000+ trailers, 24,000+ intermodal containers, 100+ aircraft.</x:v>
      </x:c>
      <x:c r="D303" s="42" t="str">
        <x:v>https://press.aboutamazon.com/2026/5/amazon-launches-amazon-supply-chain-services-opening-its-logistics-network-to-all-businesses</x:v>
      </x:c>
      <x:c r="E303" s="42" t="str">
        <x:v>2026-09-07</x:v>
      </x:c>
      <x:c r="F303" s="42" t="str">
        <x:v>Official / primary</x:v>
      </x:c>
    </x:row>
    <x:row r="304">
      <x:c r="A304" s="42" t="str">
        <x:v>SRC_0303</x:v>
      </x:c>
      <x:c r="B304" s="42" t="str">
        <x:v>Amazon Freight</x:v>
      </x:c>
      <x:c r="C304" s="42" t="str">
        <x:v>Freight network: 80,000+ trailers, 24,000+ intermodal containers and 50,000+ vetted carriers.</x:v>
      </x:c>
      <x:c r="D304" s="42" t="str">
        <x:v>https://freight.amazon.com/</x:v>
      </x:c>
      <x:c r="E304" s="42" t="str">
        <x:v>2026-09-07</x:v>
      </x:c>
      <x:c r="F304" s="42" t="str">
        <x:v>Official / primary</x:v>
      </x:c>
    </x:row>
    <x:row r="305">
      <x:c r="A305" s="42" t="str">
        <x:v>SRC_0304</x:v>
      </x:c>
      <x:c r="B305" s="42" t="str">
        <x:v>Amazon Supply Chain</x:v>
      </x:c>
      <x:c r="C305" s="42" t="str">
        <x:v>Amazon Global Logistics ocean/air freight from China to the U.S., including origin pickup, customs and delivery to Amazon facilities.</x:v>
      </x:c>
      <x:c r="D305" s="42" t="str">
        <x:v>https://supplychain.amazon.com/ocean-freight</x:v>
      </x:c>
      <x:c r="E305" s="42" t="str">
        <x:v>2026-09-07</x:v>
      </x:c>
      <x:c r="F305" s="42" t="str">
        <x:v>Official / primary</x:v>
      </x:c>
    </x:row>
    <x:row r="306">
      <x:c r="A306" s="42" t="str">
        <x:v>SRC_0305</x:v>
      </x:c>
      <x:c r="B306" s="42" t="str">
        <x:v>Amazon</x:v>
      </x:c>
      <x:c r="C306" s="42" t="str">
        <x:v>Amazon Air CVG hub: 600 acres, &gt;4,000 jobs, &gt;1.5bn packages processed, &gt;3 dozen daily flights.</x:v>
      </x:c>
      <x:c r="D306" s="42" t="str">
        <x:v>https://press.aboutamazon.com/2026/8/amazon-celebrates-5-year-milestone-at-its-largest-field-operation</x:v>
      </x:c>
      <x:c r="E306" s="42" t="str">
        <x:v>2026-09-07</x:v>
      </x:c>
      <x:c r="F306" s="42" t="str">
        <x:v>Official / primary</x:v>
      </x:c>
    </x:row>
    <x:row r="307">
      <x:c r="A307" s="42" t="str">
        <x:v>SRC_0306</x:v>
      </x:c>
      <x:c r="B307" s="42" t="str">
        <x:v>Amazon</x:v>
      </x:c>
      <x:c r="C307" s="42" t="str">
        <x:v>Amazon Air CVG hub opening: 800,000 sq ft and $1.5bn investment.</x:v>
      </x:c>
      <x:c r="D307" s="42" t="str">
        <x:v>https://www.aboutamazon.com/news/operations/welcome-to-the-amazon-air-hub</x:v>
      </x:c>
      <x:c r="E307" s="42" t="str">
        <x:v>2026-09-07</x:v>
      </x:c>
      <x:c r="F307" s="42" t="str">
        <x:v>Official / primary</x:v>
      </x:c>
    </x:row>
    <x:row r="308">
      <x:c r="A308" s="42" t="str">
        <x:v>SRC_0307</x:v>
      </x:c>
      <x:c r="B308" s="42" t="str">
        <x:v>Allegiant / SEC</x:v>
      </x:c>
      <x:c r="C308" s="42" t="str">
        <x:v>Post-acquisition Sun Country disclosure: 22 B737-800 cargo aircraft subleased directly from Amazon and operated under ATSA.</x:v>
      </x:c>
      <x:c r="D308" s="42" t="str">
        <x:v>https://www.sec.gov/Archives/edgar/data/1362468/000136246826000051/algt-20260630.htm</x:v>
      </x:c>
      <x:c r="E308" s="42" t="str">
        <x:v>2026-09-07</x:v>
      </x:c>
      <x:c r="F308" s="42" t="str">
        <x:v>Official filing</x:v>
      </x:c>
    </x:row>
    <x:row r="309">
      <x:c r="A309" s="42" t="str">
        <x:v>SRC_0308</x:v>
      </x:c>
      <x:c r="B309" s="42" t="str">
        <x:v>ADQ</x:v>
      </x:c>
      <x:c r="C309" s="42" t="str">
        <x:v>ADQ completed majority acquisition of Aramex in July 2025; aggregate 63.16% including AD Ports stake; Q Logistics tender vehicle.</x:v>
      </x:c>
      <x:c r="D309" s="42" t="str">
        <x:v>https://ar.adq.ae/newsroom/adq-completes-acquisition-of-majority-stake-in-aramex</x:v>
      </x:c>
      <x:c r="E309" s="42" t="str">
        <x:v>2026-09-07</x:v>
      </x:c>
      <x:c r="F309" s="42" t="str">
        <x:v>Official / primary</x:v>
      </x:c>
    </x:row>
    <x:row r="310">
      <x:c r="A310" s="42" t="str">
        <x:v>SRC_0309</x:v>
      </x:c>
      <x:c r="B310" s="42" t="str">
        <x:v>Aramex</x:v>
      </x:c>
      <x:c r="C310" s="42" t="str">
        <x:v>Aramex confirms subsidiary of ADQ after acquisition; 63% held through Q Logistics and Abu Dhabi Ports.</x:v>
      </x:c>
      <x:c r="D310" s="42" t="str">
        <x:v>https://www.aramex.com/ae/en/media-details/news/news-details?contentid=479fc788-b3f2-659d-9310-ff0100e7fe0c&amp;module=stories</x:v>
      </x:c>
      <x:c r="E310" s="42" t="str">
        <x:v>2026-09-07</x:v>
      </x:c>
      <x:c r="F310" s="42" t="str">
        <x:v>Official / primary</x:v>
      </x:c>
    </x:row>
    <x:row r="311">
      <x:c r="A311" s="42" t="str">
        <x:v>SRC_0310</x:v>
      </x:c>
      <x:c r="B311" s="42" t="str">
        <x:v>Aramex</x:v>
      </x:c>
      <x:c r="C311" s="42" t="str">
        <x:v>Contract logistics network: 60+ warehouse facilities in 29 countries and 800,000 sqm managed warehouse space.</x:v>
      </x:c>
      <x:c r="D311" s="42" t="str">
        <x:v>https://www.aramex.com/ae/en/services-solutions/contract-logistics-warehousing</x:v>
      </x:c>
      <x:c r="E311" s="42" t="str">
        <x:v>2026-09-07</x:v>
      </x:c>
      <x:c r="F311" s="42" t="str">
        <x:v>Official / primary</x:v>
      </x:c>
    </x:row>
    <x:row r="312">
      <x:c r="A312" s="42" t="str">
        <x:v>SRC_0311</x:v>
      </x:c>
      <x:c r="B312" s="42" t="str">
        <x:v>Aramex</x:v>
      </x:c>
      <x:c r="C312" s="42" t="str">
        <x:v>Amadou Diallo appointed Group CEO effective 1 May 2026.</x:v>
      </x:c>
      <x:c r="D312" s="42" t="str">
        <x:v>https://www.aramex.com/ae/en/media-details/news/news-details?contentid=16c6c988-b3f2-659d-9310-ff0100e7fe0c&amp;module=stories</x:v>
      </x:c>
      <x:c r="E312" s="42" t="str">
        <x:v>2026-09-07</x:v>
      </x:c>
      <x:c r="F312" s="42" t="str">
        <x:v>Official / primary</x:v>
      </x:c>
    </x:row>
    <x:row r="313">
      <x:c r="A313" s="42" t="str">
        <x:v>SRC_0312</x:v>
      </x:c>
      <x:c r="B313" s="42" t="str">
        <x:v>DHL Group</x:v>
      </x:c>
      <x:c r="C313" s="42" t="str">
        <x:v>Current DHL AG Board of Management: Tobias Meyer CEO; division board responsibilities.</x:v>
      </x:c>
      <x:c r="D313" s="42" t="str">
        <x:v>https://group.dhl.com/en/about-us/corporate-governance/board-of-management.html</x:v>
      </x:c>
      <x:c r="E313" s="42" t="str">
        <x:v>2026-09-07</x:v>
      </x:c>
      <x:c r="F313" s="42" t="str">
        <x:v>Official / primary</x:v>
      </x:c>
    </x:row>
    <x:row r="314">
      <x:c r="A314" s="42" t="str">
        <x:v>SRC_0313</x:v>
      </x:c>
      <x:c r="B314" s="42" t="str">
        <x:v>Amazon Investor Relations</x:v>
      </x:c>
      <x:c r="C314" s="42" t="str">
        <x:v>Andy Jassy current President &amp; CEO.</x:v>
      </x:c>
      <x:c r="D314" s="42" t="str">
        <x:v>https://ir.aboutamazon.com/officers-and-directors/person-details/default.aspx?ItemId=be0a9875-4456-4f84-b4d9-ec2e4b97d1d8</x:v>
      </x:c>
      <x:c r="E314" s="42" t="str">
        <x:v>2026-09-07</x:v>
      </x:c>
      <x:c r="F314" s="42" t="str">
        <x:v>Official / primary</x:v>
      </x:c>
    </x:row>
    <x:row r="315">
      <x:c r="A315" s="42" t="str">
        <x:v>SRC_0314</x:v>
      </x:c>
      <x:c r="B315" s="42" t="str">
        <x:v>FedEx</x:v>
      </x:c>
      <x:c r="C315" s="42" t="str">
        <x:v>Raj Subramaniam current President &amp; CEO.</x:v>
      </x:c>
      <x:c r="D315" s="42" t="str">
        <x:v>https://www.fedex.com/en-us/about/leadership/raj-subramaniam.html</x:v>
      </x:c>
      <x:c r="E315" s="42" t="str">
        <x:v>2026-09-07</x:v>
      </x:c>
      <x:c r="F315" s="42" t="str">
        <x:v>Official / primary</x:v>
      </x:c>
    </x:row>
    <x:row r="316">
      <x:c r="A316" s="42" t="str">
        <x:v>SRC_0315</x:v>
      </x:c>
      <x:c r="B316" s="42" t="str">
        <x:v>Aramex</x:v>
      </x:c>
      <x:c r="C316" s="42" t="str">
        <x:v>Current Dubai Logistics City healthcare facility: ~5,500 sqm ambient + ~100 sqm cold-chain; 6,750 + 140 pallet positions.</x:v>
      </x:c>
      <x:c r="D316" s="42" t="str">
        <x:v>https://www.aramex.com/ae/en/best-in-class-logistic-solutions-for-multi-faceted-industries/sciences-and-pharmaceutical-distribution</x:v>
      </x:c>
      <x:c r="E316" s="42" t="str">
        <x:v>2026-09-07</x:v>
      </x:c>
      <x:c r="F316" s="42" t="str">
        <x:v>Official / primary</x:v>
      </x:c>
    </x:row>
    <x:row r="317">
      <x:c r="A317" s="42" t="str">
        <x:v>SRC_0316</x:v>
      </x:c>
      <x:c r="B317" s="42" t="str">
        <x:v>DHL Group</x:v>
      </x:c>
      <x:c r="C317" s="42" t="str">
        <x:v>Halle logistics center: 34,000 sqm warehouse and 55,000 pallet spaces near Leipzig/Halle Airport.</x:v>
      </x:c>
      <x:c r="D317" s="42" t="str">
        <x:v>https://group.dhl.com/en/media-relations/press-releases/2025/dhl-supply-chain-invests-in-climate-neutral-expansion-new-logistics-center-strengthens-leipzig-halle-as-europes-freight-hub.html</x:v>
      </x:c>
      <x:c r="E317" s="42" t="str">
        <x:v>2026-09-07</x:v>
      </x:c>
      <x:c r="F317" s="42" t="str">
        <x:v>Official / primary</x:v>
      </x:c>
    </x:row>
    <x:row r="318">
      <x:c r="A318" t="str">
        <x:v>SRC_0317</x:v>
      </x:c>
      <x:c r="B318" t="str">
        <x:v>APM Terminals</x:v>
      </x:c>
      <x:c r="C318" t="str">
        <x:v>Current network: 60 strategic locations; 2026 global charging framework states operations in 35 countries.</x:v>
      </x:c>
      <x:c r="D318" t="str">
        <x:v>https://www2.apmterminals.com/en/</x:v>
      </x:c>
      <x:c r="E318" t="str">
        <x:v>2026-09-08</x:v>
      </x:c>
      <x:c r="F318" t="str">
        <x:v>Official / primary</x:v>
      </x:c>
    </x:row>
    <x:row r="319">
      <x:c r="A319" t="str">
        <x:v>SRC_0318</x:v>
      </x:c>
      <x:c r="B319" t="str">
        <x:v>Terminal Link</x:v>
      </x:c>
      <x:c r="C319" t="str">
        <x:v>Current public location network: 21 terminals in 16 countries; Terminal Link ownership structure within CMA Terminals Holding.</x:v>
      </x:c>
      <x:c r="D319" t="str">
        <x:v>https://www.terminal-link.com/ports/location</x:v>
      </x:c>
      <x:c r="E319" t="str">
        <x:v>2026-09-08</x:v>
      </x:c>
      <x:c r="F319" t="str">
        <x:v>Official / primary</x:v>
      </x:c>
    </x:row>
  </x:sheetData>
  <x:pageMargins left="0.7" right="0.7" top="0.75" bottom="0.75" header="0.3" footer="0.3"/>
  <x:tableParts count="1">
    <x:tablePart xmlns:r="http://schemas.openxmlformats.org/officeDocument/2006/relationships" r:id="Ra1a48126e79c4b75"/>
  </x:tableParts>
</x:worksheet>
</file>

<file path=xl/worksheets/sheet20.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34" hidden="0" customWidth="1"/>
    <x:col min="6" max="6" width="18" hidden="0" customWidth="1"/>
  </x:cols>
  <x:sheetData>
    <x:row r="1">
      <x:c r="A1" s="190" t="str">
        <x:v>Research ID</x:v>
      </x:c>
      <x:c r="B1" s="190" t="str">
        <x:v>Dataset</x:v>
      </x:c>
      <x:c r="C1" s="190" t="str">
        <x:v>Subject</x:v>
      </x:c>
      <x:c r="D1" s="190" t="str">
        <x:v>Priority</x:v>
      </x:c>
      <x:c r="E1" s="190" t="str">
        <x:v>Task</x:v>
      </x:c>
      <x:c r="F1" s="190" t="str">
        <x:v>Status</x:v>
      </x:c>
      <x:c r="G1" s="165"/>
      <x:c r="H1" s="165"/>
      <x:c r="I1" s="165"/>
      <x:c r="J1" s="165"/>
      <x:c r="K1" s="165"/>
      <x:c r="L1" s="165"/>
      <x:c r="M1" s="165"/>
      <x:c r="N1" s="165"/>
      <x:c r="O1" s="165"/>
      <x:c r="P1" s="165"/>
      <x:c r="Q1" s="165"/>
      <x:c r="R1" s="165"/>
      <x:c r="S1" s="165"/>
      <x:c r="T1" s="165"/>
      <x:c r="U1" s="165"/>
      <x:c r="V1" s="165"/>
      <x:c r="W1" s="165"/>
      <x:c r="X1" s="165"/>
      <x:c r="Y1" s="165"/>
      <x:c r="Z1" s="165"/>
      <x:c r="AA1" s="165"/>
      <x:c r="AB1" s="165"/>
      <x:c r="AC1" s="165"/>
      <x:c r="AD1" s="165"/>
      <x:c r="AE1" s="165"/>
      <x:c r="AF1" s="165"/>
      <x:c r="AG1" s="165"/>
      <x:c r="AH1" s="165"/>
      <x:c r="AI1" s="165"/>
      <x:c r="AJ1" s="165"/>
      <x:c r="AK1" s="165"/>
      <x:c r="AL1" s="165"/>
      <x:c r="AM1" s="165"/>
      <x:c r="AN1" s="165"/>
      <x:c r="AO1" s="165"/>
      <x:c r="AP1" s="165"/>
      <x:c r="AQ1" s="165"/>
      <x:c r="AR1" s="165"/>
      <x:c r="AS1" s="165"/>
      <x:c r="AT1" s="165"/>
      <x:c r="AU1" s="165"/>
      <x:c r="AV1" s="165"/>
      <x:c r="AW1" s="165"/>
      <x:c r="AX1" s="165"/>
      <x:c r="AY1" s="165"/>
      <x:c r="AZ1" s="165"/>
    </x:row>
    <x:row r="2">
      <x:c r="A2" s="42" t="str">
        <x:v>RQ_0001</x:v>
      </x:c>
      <x:c r="B2" s="42" t="str">
        <x:v>Vessels</x:v>
      </x:c>
      <x:c r="C2" s="42" t="str">
        <x:v>CMA CGM Group</x:v>
      </x:c>
      <x:c r="D2" s="42" t="str">
        <x:v>High</x:v>
      </x:c>
      <x:c r="E2" s="42" t="str">
        <x:v>Build full owned/operated vessel register: vessel name, IMO, type, TEU, flag, year, owner, operator, shipyard, service.</x:v>
      </x:c>
      <x:c r="F2" s="42" t="str">
        <x:v>Not started</x:v>
      </x:c>
    </x:row>
    <x:row r="3">
      <x:c r="A3" s="42" t="str">
        <x:v>RQ_0002</x:v>
      </x:c>
      <x:c r="B3" s="42" t="str">
        <x:v>Vessels</x:v>
      </x:c>
      <x:c r="C3" s="42" t="str">
        <x:v>A.P. Moller - Maersk</x:v>
      </x:c>
      <x:c r="D3" s="42" t="str">
        <x:v>High</x:v>
      </x:c>
      <x:c r="E3" s="42" t="str">
        <x:v>Build full vessel register and separate owned vs chartered fleet; connect newbuild orderbook and shipyards.</x:v>
      </x:c>
      <x:c r="F3" s="42" t="str">
        <x:v>Not started</x:v>
      </x:c>
    </x:row>
    <x:row r="4">
      <x:c r="A4" s="42" t="str">
        <x:v>RQ_0003</x:v>
      </x:c>
      <x:c r="B4" s="42" t="str">
        <x:v>Vessels</x:v>
      </x:c>
      <x:c r="C4" s="42" t="str">
        <x:v>MSC</x:v>
      </x:c>
      <x:c r="D4" s="42" t="str">
        <x:v>High</x:v>
      </x:c>
      <x:c r="E4" s="42" t="str">
        <x:v>Build full cargo-vessel register and separate owned/chartered status where public data supports it.</x:v>
      </x:c>
      <x:c r="F4" s="42" t="str">
        <x:v>Not started</x:v>
      </x:c>
    </x:row>
    <x:row r="5">
      <x:c r="A5" s="42" t="str">
        <x:v>RQ_0004</x:v>
      </x:c>
      <x:c r="B5" s="42" t="str">
        <x:v>Vessels</x:v>
      </x:c>
      <x:c r="C5" s="42" t="str">
        <x:v>COSCO SHIPPING / OOCL</x:v>
      </x:c>
      <x:c r="D5" s="42" t="str">
        <x:v>High</x:v>
      </x:c>
      <x:c r="E5" s="42" t="str">
        <x:v>Build full container fleet and map group fleets by segment.</x:v>
      </x:c>
      <x:c r="F5" s="42" t="str">
        <x:v>Not started</x:v>
      </x:c>
    </x:row>
    <x:row r="6">
      <x:c r="A6" s="42" t="str">
        <x:v>RQ_0005</x:v>
      </x:c>
      <x:c r="B6" s="42" t="str">
        <x:v>Vessels</x:v>
      </x:c>
      <x:c r="C6" s="42" t="str">
        <x:v>Evergreen Marine</x:v>
      </x:c>
      <x:c r="D6" s="42" t="str">
        <x:v>High</x:v>
      </x:c>
      <x:c r="E6" s="42" t="str">
        <x:v>Refresh from latest official filings / fleet sources; existing 208-vessel figure is 2023 baseline only.</x:v>
      </x:c>
      <x:c r="F6" s="42" t="str">
        <x:v>Not started</x:v>
      </x:c>
    </x:row>
    <x:row r="7">
      <x:c r="A7" s="42" t="str">
        <x:v>RQ_0006</x:v>
      </x:c>
      <x:c r="B7" s="42" t="str">
        <x:v>Cruise</x:v>
      </x:c>
      <x:c r="C7" s="42" t="str">
        <x:v>MSC Cruises / Explora</x:v>
      </x:c>
      <x:c r="D7" s="42" t="str">
        <x:v>Medium</x:v>
      </x:c>
      <x:c r="E7" s="42" t="str">
        <x:v>Add cruise fleet, newbuilds, shipyards, homeports and terminal relationships.</x:v>
      </x:c>
      <x:c r="F7" s="42" t="str">
        <x:v>Not started</x:v>
      </x:c>
    </x:row>
    <x:row r="8">
      <x:c r="A8" s="42" t="str">
        <x:v>RQ_0007</x:v>
      </x:c>
      <x:c r="B8" s="42" t="str">
        <x:v>Air cargo</x:v>
      </x:c>
      <x:c r="C8" s="42" t="str">
        <x:v>Maersk Air Cargo</x:v>
      </x:c>
      <x:c r="D8" s="42" t="str">
        <x:v>High</x:v>
      </x:c>
      <x:c r="E8" s="42" t="str">
        <x:v>Build aircraft register, registrations, hubs, owned/leased status and route lanes.</x:v>
      </x:c>
      <x:c r="F8" s="42" t="str">
        <x:v>Not started</x:v>
      </x:c>
    </x:row>
    <x:row r="9">
      <x:c r="A9" s="42" t="str">
        <x:v>RQ_0008</x:v>
      </x:c>
      <x:c r="B9" s="42" t="str">
        <x:v>Air cargo</x:v>
      </x:c>
      <x:c r="C9" s="42" t="str">
        <x:v>CMA CGM AIR CARGO</x:v>
      </x:c>
      <x:c r="D9" s="42" t="str">
        <x:v>High</x:v>
      </x:c>
      <x:c r="E9" s="42" t="str">
        <x:v>Build aircraft-level register and future A350F deliveries.</x:v>
      </x:c>
      <x:c r="F9" s="42" t="str">
        <x:v>Not started</x:v>
      </x:c>
    </x:row>
    <x:row r="10">
      <x:c r="A10" s="42" t="str">
        <x:v>RQ_0009</x:v>
      </x:c>
      <x:c r="B10" s="42" t="str">
        <x:v>Ports</x:v>
      </x:c>
      <x:c r="C10" s="42" t="str">
        <x:v>Canada / US / Brazil / Singapore / Malaysia</x:v>
      </x:c>
      <x:c r="D10" s="42" t="str">
        <x:v>High</x:v>
      </x:c>
      <x:c r="E10" s="42" t="str">
        <x:v>Build landlord/authority/operator/equity/concession model and infrastructure works.</x:v>
      </x:c>
      <x:c r="F10" s="42" t="str">
        <x:v>Not started</x:v>
      </x:c>
    </x:row>
    <x:row r="11">
      <x:c r="A11" s="42" t="str">
        <x:v>RQ_0010</x:v>
      </x:c>
      <x:c r="B11" s="42" t="str">
        <x:v>Ports</x:v>
      </x:c>
      <x:c r="C11" s="42" t="str">
        <x:v>China</x:v>
      </x:c>
      <x:c r="D11" s="42" t="str">
        <x:v>High</x:v>
      </x:c>
      <x:c r="E11" s="42" t="str">
        <x:v>Dedicated port-ownership workstream: port groups, COSCO stakes, foreign/JV interests, terminals, rail/inland links.</x:v>
      </x:c>
      <x:c r="F11" s="42" t="str">
        <x:v>Not started</x:v>
      </x:c>
    </x:row>
    <x:row r="12">
      <x:c r="A12" s="42" t="str">
        <x:v>RQ_0011</x:v>
      </x:c>
      <x:c r="B12" s="42" t="str">
        <x:v>Infrastructure</x:v>
      </x:c>
      <x:c r="C12" s="42" t="str">
        <x:v>Global port operators</x:v>
      </x:c>
      <x:c r="D12" s="42" t="str">
        <x:v>High</x:v>
      </x:c>
      <x:c r="E12" s="42" t="str">
        <x:v>Mine press releases for dredging, berth deepening, cranes, rail links, warehouses, channel works and terminal capacity changes.</x:v>
      </x:c>
      <x:c r="F12" s="42" t="str">
        <x:v>Not started</x:v>
      </x:c>
    </x:row>
    <x:row r="13">
      <x:c r="A13" s="42" t="str">
        <x:v>RQ_0012</x:v>
      </x:c>
      <x:c r="B13" s="42" t="str">
        <x:v>Trade policy</x:v>
      </x:c>
      <x:c r="C13" s="42" t="str">
        <x:v>Global</x:v>
      </x:c>
      <x:c r="D13" s="42" t="str">
        <x:v>Medium</x:v>
      </x:c>
      <x:c r="E13" s="42" t="str">
        <x:v>Add FTAs/CEPAs, tariffs, export controls, sanctions, customs corridors and trade remedies.</x:v>
      </x:c>
      <x:c r="F13" s="42" t="str">
        <x:v>Not started</x:v>
      </x:c>
    </x:row>
    <x:row r="14">
      <x:c r="A14" s="102" t="str">
        <x:v>RQ_0013</x:v>
      </x:c>
      <x:c r="B14" s="102" t="str">
        <x:v>Vessels</x:v>
      </x:c>
      <x:c r="C14" s="102" t="str">
        <x:v>ADNOC L&amp;S / Navig8 / AW Shipping</x:v>
      </x:c>
      <x:c r="D14" s="102" t="str">
        <x:v>High</x:v>
      </x:c>
      <x:c r="E14" s="102" t="str">
        <x:v>Resolve IMO, flag, build year and current delivery status for the 93 seeded shipping-fleet records; identify the remaining vessels needed to reconcile the 112-vessel shipping-fleet total.</x:v>
      </x:c>
      <x:c r="F14" s="102" t="str">
        <x:v>Not started</x:v>
      </x:c>
    </x:row>
    <x:row r="15">
      <x:c r="A15" s="102" t="str">
        <x:v>RQ_0014</x:v>
      </x:c>
      <x:c r="B15" s="102" t="str">
        <x:v>Vessels</x:v>
      </x:c>
      <x:c r="C15" s="102" t="str">
        <x:v>Bahri</x:v>
      </x:c>
      <x:c r="D15" s="102" t="str">
        <x:v>High</x:v>
      </x:c>
      <x:c r="E15" s="102" t="str">
        <x:v>Build the full 107-owned-vessel register by name, IMO, class, ownership vehicle, charter status, age, shipyard and service; retain separate 109-operated total.</x:v>
      </x:c>
      <x:c r="F15" s="102" t="str">
        <x:v>Not started</x:v>
      </x:c>
    </x:row>
    <x:row r="16">
      <x:c r="A16" s="102" t="str">
        <x:v>RQ_0015</x:v>
      </x:c>
      <x:c r="B16" s="102" t="str">
        <x:v>Vessels</x:v>
      </x:c>
      <x:c r="C16" s="102" t="str">
        <x:v>Nakilat</x:v>
      </x:c>
      <x:c r="D16" s="102" t="str">
        <x:v>High</x:v>
      </x:c>
      <x:c r="E16" s="102" t="str">
        <x:v>Reconcile current live-fleet definitions against annual-report baselines; build individual existing LNG/LPG/FSRU fleet plus newbuilds.</x:v>
      </x:c>
      <x:c r="F16" s="102" t="str">
        <x:v>Not started</x:v>
      </x:c>
    </x:row>
    <x:row r="17">
      <x:c r="A17" s="102" t="str">
        <x:v>RQ_0016</x:v>
      </x:c>
      <x:c r="B17" s="102" t="str">
        <x:v>Vessels</x:v>
      </x:c>
      <x:c r="C17" s="102" t="str">
        <x:v>Milaha</x:v>
      </x:c>
      <x:c r="D17" s="102" t="str">
        <x:v>High</x:v>
      </x:c>
      <x:c r="E17" s="102" t="str">
        <x:v>Populate the two wholly owned LNG vessels and one FSO by name/IMO; add minority stakes in six LNG carriers as vessel relationships rather than ownership.</x:v>
      </x:c>
      <x:c r="F17" s="102" t="str">
        <x:v>Not started</x:v>
      </x:c>
    </x:row>
    <x:row r="18">
      <x:c r="A18" s="102" t="str">
        <x:v>RQ_0017</x:v>
      </x:c>
      <x:c r="B18" s="102" t="str">
        <x:v>Vessels</x:v>
      </x:c>
      <x:c r="C18" s="102" t="str">
        <x:v>QatarEnergy LNG fleet</x:v>
      </x:c>
      <x:c r="D18" s="102" t="str">
        <x:v>High</x:v>
      </x:c>
      <x:c r="E18" s="102" t="str">
        <x:v>Map the 69 existing LNG vessels and 128-vessel expansion program to actual shipowners, operators, long-term charterers, shipyards and delivery schedules.</x:v>
      </x:c>
      <x:c r="F18" s="102" t="str">
        <x:v>Not started</x:v>
      </x:c>
    </x:row>
    <x:row r="19">
      <x:c r="A19" s="102" t="str">
        <x:v>RQ_0018</x:v>
      </x:c>
      <x:c r="B19" s="102" t="str">
        <x:v>Vessels</x:v>
      </x:c>
      <x:c r="C19" s="102" t="str">
        <x:v>ZIM</x:v>
      </x:c>
      <x:c r="D19" s="102" t="str">
        <x:v>High</x:v>
      </x:c>
      <x:c r="E19" s="102" t="str">
        <x:v>Populate names, owners and charter counterparties for 115 containerships and 13 car carriers; link the 40-vessel future charter portfolio.</x:v>
      </x:c>
      <x:c r="F19" s="102" t="str">
        <x:v>Not started</x:v>
      </x:c>
    </x:row>
    <x:row r="20">
      <x:c r="A20" s="102" t="str">
        <x:v>RQ_0019</x:v>
      </x:c>
      <x:c r="B20" s="102" t="str">
        <x:v>Vessels</x:v>
      </x:c>
      <x:c r="C20" s="102" t="str">
        <x:v>SINOKOR</x:v>
      </x:c>
      <x:c r="D20" s="102" t="str">
        <x:v>High</x:v>
      </x:c>
      <x:c r="E20" s="102" t="str">
        <x:v>Reconcile 66 operating-fleet headline with named public vessel page; enrich missing IMO, flag, class and shipyard fields.</x:v>
      </x:c>
      <x:c r="F20" s="102" t="str">
        <x:v>Not started</x:v>
      </x:c>
    </x:row>
    <x:row r="21">
      <x:c r="A21" s="102" t="str">
        <x:v>RQ_0020</x:v>
      </x:c>
      <x:c r="B21" s="102" t="str">
        <x:v>Vessels</x:v>
      </x:c>
      <x:c r="C21" s="102" t="str">
        <x:v>bp Shipping</x:v>
      </x:c>
      <x:c r="D21" s="102" t="str">
        <x:v>High</x:v>
      </x:c>
      <x:c r="E21" s="102" t="str">
        <x:v>Replace end-2024 48-vessel baseline with current 2026 fleet; separate owned, bareboat, time-chartered and managed vessels.</x:v>
      </x:c>
      <x:c r="F21" s="102" t="str">
        <x:v>Not started</x:v>
      </x:c>
    </x:row>
    <x:row r="22">
      <x:c r="A22" s="102" t="str">
        <x:v>RQ_0021</x:v>
      </x:c>
      <x:c r="B22" s="102" t="str">
        <x:v>Vessels</x:v>
      </x:c>
      <x:c r="C22" s="102" t="str">
        <x:v>Chevron Shipping</x:v>
      </x:c>
      <x:c r="D22" s="102" t="str">
        <x:v>High</x:v>
      </x:c>
      <x:c r="E22" s="102" t="str">
        <x:v>Establish current fleet count and individual crude/LNG/product vessels; distinguish owned from bareboat-chartered capacity.</x:v>
      </x:c>
      <x:c r="F22" s="102" t="str">
        <x:v>Not started</x:v>
      </x:c>
    </x:row>
    <x:row r="23">
      <x:c r="A23" s="102" t="str">
        <x:v>RQ_0022</x:v>
      </x:c>
      <x:c r="B23" s="102" t="str">
        <x:v>Vessels</x:v>
      </x:c>
      <x:c r="C23" s="102" t="str">
        <x:v>ExxonMobil / SeaRiver / IMT</x:v>
      </x:c>
      <x:c r="D23" s="102" t="str">
        <x:v>High</x:v>
      </x:c>
      <x:c r="E23" s="102" t="str">
        <x:v>Build current marine-company and charter exposure from regulatory filings, shipping counterparties and cargo bookings; do not treat chartered capacity as Exxon-owned.</x:v>
      </x:c>
      <x:c r="F23" s="102" t="str">
        <x:v>Not started</x:v>
      </x:c>
    </x:row>
    <x:row r="24">
      <x:c r="A24" s="102" t="str">
        <x:v>RQ_0023</x:v>
      </x:c>
      <x:c r="B24" s="102" t="str">
        <x:v>Vehicle logistics</x:v>
      </x:c>
      <x:c r="C24" s="102" t="str">
        <x:v>BYD</x:v>
      </x:c>
      <x:c r="D24" s="102" t="str">
        <x:v>Medium</x:v>
      </x:c>
      <x:c r="E24" s="102" t="str">
        <x:v>Resolve technical/commercial managers, full ownership vehicles and the class-level yard allocation discrepancy; add service corridors and port calls.</x:v>
      </x:c>
      <x:c r="F24" s="102" t="str">
        <x:v>Not started</x:v>
      </x:c>
    </x:row>
    <x:row r="25">
      <x:c r="A25" s="102" t="str">
        <x:v>RQ_0024</x:v>
      </x:c>
      <x:c r="B25" s="102" t="str">
        <x:v>Vehicle logistics</x:v>
      </x:c>
      <x:c r="C25" s="102" t="str">
        <x:v>Global PCTC operators</x:v>
      </x:c>
      <x:c r="D25" s="102" t="str">
        <x:v>High</x:v>
      </x:c>
      <x:c r="E25" s="102" t="str">
        <x:v>Next pass: Höegh Autoliners, Wallenius Wilhelmsen, NYK, MOL, K Line, Hyundai Glovis, Grimaldi, SAIC/Anji and major automaker-controlled export fleets.</x:v>
      </x:c>
      <x:c r="F25" s="102" t="str">
        <x:v>Not started</x:v>
      </x:c>
    </x:row>
    <x:row r="26">
      <x:c r="A26" s="102" t="str">
        <x:v>RQ_0025</x:v>
      </x:c>
      <x:c r="B26" s="102" t="str">
        <x:v>Energy shipping</x:v>
      </x:c>
      <x:c r="C26" s="102" t="str">
        <x:v>Global energy majors</x:v>
      </x:c>
      <x:c r="D26" s="102" t="str">
        <x:v>High</x:v>
      </x:c>
      <x:c r="E26" s="102" t="str">
        <x:v>Next pass: Shell, TotalEnergies, Saudi Aramco / Bahri contract exposure, Kuwait Petroleum, OQ, Petrobras and trading houses with controlled/chartered fleets.</x:v>
      </x:c>
      <x:c r="F26" s="102" t="str">
        <x:v>Not started</x:v>
      </x:c>
    </x:row>
    <x:row r="27">
      <x:c r="A27" s="102" t="str">
        <x:v>RQ_0026</x:v>
      </x:c>
      <x:c r="B27" s="102" t="str">
        <x:v>Shipyards</x:v>
      </x:c>
      <x:c r="C27" s="102" t="str">
        <x:v>Current merchant orderbook</x:v>
      </x:c>
      <x:c r="D27" s="102" t="str">
        <x:v>High</x:v>
      </x:c>
      <x:c r="E27" s="102" t="str">
        <x:v>Expand builder layer across Chinese, Korean, Japanese and Gulf yards; connect each fleet order to yard ownership, capacity, delivery slots and industrial investment.</x:v>
      </x:c>
      <x:c r="F27" s="102" t="str">
        <x:v>Not started</x:v>
      </x:c>
    </x:row>
    <x:row r="28">
      <x:c r="A28" s="102" t="str">
        <x:v>RQ_0027</x:v>
      </x:c>
      <x:c r="B28" s="102" t="str">
        <x:v>Event entity resolution</x:v>
      </x:c>
      <x:c r="C28" s="102" t="str">
        <x:v>Fleet incidents</x:v>
      </x:c>
      <x:c r="D28" s="102" t="str">
        <x:v>High</x:v>
      </x:c>
      <x:c r="E28" s="102" t="str">
        <x:v>Use IMO/name matching plus manual review to link all piracy, conflict, port, weather and cyber observations to vessel/company/asset entities.</x:v>
      </x:c>
      <x:c r="F28" s="102" t="str">
        <x:v>Not started</x:v>
      </x:c>
    </x:row>
    <x:row r="29">
      <x:c r="A29" s="102" t="str">
        <x:v>RQ_0028</x:v>
      </x:c>
      <x:c r="B29" s="102" t="str">
        <x:v>IMO enrichment</x:v>
      </x:c>
      <x:c r="C29" s="102" t="str">
        <x:v>ADNOC L&amp;S / AW Shipping newbuilds</x:v>
      </x:c>
      <x:c r="D29" s="102" t="str">
        <x:v>High</x:v>
      </x:c>
      <x:c r="E29" s="102" t="str">
        <x:v>Resolve public IMOs for remaining Ruwais LNG hulls, VLAC/VLEC newbuilds and the unnamed molten-sulphur newbuild as identities become public.</x:v>
      </x:c>
      <x:c r="F29" s="102" t="str">
        <x:v>In progress</x:v>
      </x:c>
    </x:row>
    <x:row r="30">
      <x:c r="A30" s="102" t="str">
        <x:v>RQ_0029</x:v>
      </x:c>
      <x:c r="B30" s="102" t="str">
        <x:v>IMO enrichment</x:v>
      </x:c>
      <x:c r="C30" s="102" t="str">
        <x:v>Fleet-wide maintenance</x:v>
      </x:c>
      <x:c r="D30" s="102" t="str">
        <x:v>High</x:v>
      </x:c>
      <x:c r="E30" s="102" t="str">
        <x:v>Require IMO capture and checksum validation whenever a new individual merchant vessel is added to the canonical model.</x:v>
      </x:c>
      <x:c r="F30" s="102" t="str">
        <x:v>Ongoing</x:v>
      </x:c>
    </x:row>
    <x:row r="31">
      <x:c r="A31" s="102" t="str">
        <x:v>RQ_0030</x:v>
      </x:c>
      <x:c r="B31" s="102" t="str">
        <x:v>Ferry vessels</x:v>
      </x:c>
      <x:c r="C31" s="102" t="str">
        <x:v>BC Ferries</x:v>
      </x:c>
      <x:c r="D31" s="102" t="str">
        <x:v>High</x:v>
      </x:c>
      <x:c r="E31" s="102" t="str">
        <x:v>Populate all 39 ferries with IMO where applicable, Canadian Official Number, MMSI, class, capacity, build year/yard, propulsion, route assignment and current status.</x:v>
      </x:c>
      <x:c r="F31" s="102" t="str">
        <x:v>Not started</x:v>
      </x:c>
    </x:row>
    <x:row r="32">
      <x:c r="A32" s="102" t="str">
        <x:v>RQ_0031</x:v>
      </x:c>
      <x:c r="B32" s="102" t="str">
        <x:v>Ferry vessels</x:v>
      </x:c>
      <x:c r="C32" s="102" t="str">
        <x:v>Washington State Ferries</x:v>
      </x:c>
      <x:c r="D32" s="102" t="str">
        <x:v>High</x:v>
      </x:c>
      <x:c r="E32" s="102" t="str">
        <x:v>Populate all 21 ferries with USCG Official Number, IMO where assigned/applicable, MMSI, class, passenger/vehicle capacity, propulsion and route assignment.</x:v>
      </x:c>
      <x:c r="F32" s="102" t="str">
        <x:v>Not started</x:v>
      </x:c>
    </x:row>
    <x:row r="33">
      <x:c r="A33" s="102" t="str">
        <x:v>RQ_0032</x:v>
      </x:c>
      <x:c r="B33" s="102" t="str">
        <x:v>Ferry routes / terminals</x:v>
      </x:c>
      <x:c r="C33" s="102" t="str">
        <x:v>BC Ferries + WSF</x:v>
      </x:c>
      <x:c r="D33" s="102" t="str">
        <x:v>High</x:v>
      </x:c>
      <x:c r="E33" s="102" t="str">
        <x:v>Build complete terminal and route network with latitude/longitude, terminal ownership, vehicle staging, reservations, dangerous-goods and multimodal connections.</x:v>
      </x:c>
      <x:c r="F33" s="102" t="str">
        <x:v>Not started</x:v>
      </x:c>
    </x:row>
    <x:row r="34">
      <x:c r="A34" s="102" t="str">
        <x:v>RQ_0033</x:v>
      </x:c>
      <x:c r="B34" s="102" t="str">
        <x:v>Ferry operations</x:v>
      </x:c>
      <x:c r="C34" s="102" t="str">
        <x:v>BC Ferries + WSF</x:v>
      </x:c>
      <x:c r="D34" s="102" t="str">
        <x:v>High</x:v>
      </x:c>
      <x:c r="E34" s="102" t="str">
        <x:v>Ingest delay/cancellation/performance data using normalized cause taxonomy; preserve sailing-level observations separately from aggregate performance.</x:v>
      </x:c>
      <x:c r="F34" s="102" t="str">
        <x:v>Not started</x:v>
      </x:c>
    </x:row>
    <x:row r="35">
      <x:c r="A35" s="102" t="str">
        <x:v>RQ_0034</x:v>
      </x:c>
      <x:c r="B35" s="102" t="str">
        <x:v>Ferry vessels</x:v>
      </x:c>
      <x:c r="C35" s="102" t="str">
        <x:v>Alaska Marine Highway + Marine Atlantic</x:v>
      </x:c>
      <x:c r="D35" s="102" t="str">
        <x:v>High</x:v>
      </x:c>
      <x:c r="E35" s="102" t="str">
        <x:v>Resolve IMO/USCG/Canadian identifiers, capacities, fleet status and shipyards; connect maintenance/overhaul to yards and service reductions.</x:v>
      </x:c>
      <x:c r="F35" s="102" t="str">
        <x:v>Not started</x:v>
      </x:c>
    </x:row>
    <x:row r="36">
      <x:c r="A36" s="102" t="str">
        <x:v>RQ_0035</x:v>
      </x:c>
      <x:c r="B36" s="102" t="str">
        <x:v>Ferry Europe</x:v>
      </x:c>
      <x:c r="C36" s="102" t="str">
        <x:v>P&amp;O Ferries / DFDS / CalMac</x:v>
      </x:c>
      <x:c r="D36" s="102" t="str">
        <x:v>High</x:v>
      </x:c>
      <x:c r="E36" s="102" t="str">
        <x:v>Populate vessel fleets, IMO, Ro-Pax capacity, lane metres, routes, terminals, freight corridors, labour/weather/mechanical disruptions and parent-company relationships.</x:v>
      </x:c>
      <x:c r="F36" s="102" t="str">
        <x:v>Not started</x:v>
      </x:c>
    </x:row>
    <x:row r="37">
      <x:c r="A37" s="102" t="str">
        <x:v>RQ_0036</x:v>
      </x:c>
      <x:c r="B37" s="102" t="str">
        <x:v>Ferry Asia</x:v>
      </x:c>
      <x:c r="C37" s="102" t="str">
        <x:v>MOL Sunflower / 2GO / ASDP / Star Ferry</x:v>
      </x:c>
      <x:c r="D37" s="102" t="str">
        <x:v>High</x:v>
      </x:c>
      <x:c r="E37" s="102" t="str">
        <x:v>Populate individual fleets with IMO/national IDs, passenger/vehicle capacity, routes, ports, terminals, shipyards and service advisories.</x:v>
      </x:c>
      <x:c r="F37" s="102" t="str">
        <x:v>Not started</x:v>
      </x:c>
    </x:row>
    <x:row r="38">
      <x:c r="A38" s="102" t="str">
        <x:v>RQ_0037</x:v>
      </x:c>
      <x:c r="B38" s="102" t="str">
        <x:v>Ferry Middle East</x:v>
      </x:c>
      <x:c r="C38" s="102" t="str">
        <x:v>Arab Bridge Maritime / Red Sea</x:v>
      </x:c>
      <x:c r="D38" s="102" t="str">
        <x:v>High</x:v>
      </x:c>
      <x:c r="E38" s="102" t="str">
        <x:v>Populate seven-vessel AB Maritime fleet and Aqaba/Nuweiba/Taba terminals; link Aqaba and Safaga/NEOM passenger systems to AD Ports assets and corridor relationships.</x:v>
      </x:c>
      <x:c r="F38" s="102" t="str">
        <x:v>Not started</x:v>
      </x:c>
    </x:row>
    <x:row r="39">
      <x:c r="A39" s="102" t="str">
        <x:v>RQ_0038</x:v>
      </x:c>
      <x:c r="B39" s="102" t="str">
        <x:v>Ferry Oceania</x:v>
      </x:c>
      <x:c r="C39" s="102" t="str">
        <x:v>SeaLink / Fullers360</x:v>
      </x:c>
      <x:c r="D39" s="102" t="str">
        <x:v>Medium</x:v>
      </x:c>
      <x:c r="E39" s="102" t="str">
        <x:v>Populate ferry IMO/national IDs, terminals, timetable patterns, newbuilds and service alerts; capture road-to-terminal disruption propagation.</x:v>
      </x:c>
      <x:c r="F39" s="102" t="str">
        <x:v>Not started</x:v>
      </x:c>
    </x:row>
    <x:row r="40">
      <x:c r="A40" s="102" t="str">
        <x:v>RQ_0039</x:v>
      </x:c>
      <x:c r="B40" s="102" t="str">
        <x:v>Ferry global coverage</x:v>
      </x:c>
      <x:c r="C40" s="102" t="str">
        <x:v>Operator expansion</x:v>
      </x:c>
      <x:c r="D40" s="102" t="str">
        <x:v>High</x:v>
      </x:c>
      <x:c r="E40" s="102" t="str">
        <x:v>Next global systems: Stena Line, Brittany Ferries, Irish Ferries, Tallink Silja, Color Line, GNV/Grimaldi, Attica/Blue Star, Jadrolinija, Sydney Ferries, Transdev/Brisbane, major Indian/Bangladesh systems.</x:v>
      </x:c>
      <x:c r="F40" s="102" t="str">
        <x:v>Not started</x:v>
      </x:c>
    </x:row>
    <x:row r="41">
      <x:c r="A41" s="102" t="str">
        <x:v>RQ_0040</x:v>
      </x:c>
      <x:c r="B41" s="102" t="str">
        <x:v>Great Lakes vessels</x:v>
      </x:c>
      <x:c r="C41" s="102" t="str">
        <x:v>CSL Canada</x:v>
      </x:c>
      <x:c r="D41" s="102" t="str">
        <x:v>High</x:v>
      </x:c>
      <x:c r="E41" s="102" t="str">
        <x:v>Populate all 17 Great Lakes/St. Lawrence CSL vessels with IMO, Canadian official number, MMSI, year, yard, class, capacity, ownership and cargo/service history.</x:v>
      </x:c>
      <x:c r="F41" s="102" t="str">
        <x:v>Not started</x:v>
      </x:c>
    </x:row>
    <x:row r="42">
      <x:c r="A42" s="102" t="str">
        <x:v>RQ_0041</x:v>
      </x:c>
      <x:c r="B42" s="102" t="str">
        <x:v>Cross-regional company graph</x:v>
      </x:c>
      <x:c r="C42" s="102" t="str">
        <x:v>CSL Group</x:v>
      </x:c>
      <x:c r="D42" s="102" t="str">
        <x:v>High</x:v>
      </x:c>
      <x:c r="E42" s="102" t="str">
        <x:v>Populate CSL Australia/Asia 15-vessel fleet, CSL Americas and other divisions so Great Lakes company queries retain global corporate exposure.</x:v>
      </x:c>
      <x:c r="F42" s="102" t="str">
        <x:v>Not started</x:v>
      </x:c>
    </x:row>
    <x:row r="43">
      <x:c r="A43" s="102" t="str">
        <x:v>RQ_0042</x:v>
      </x:c>
      <x:c r="B43" s="102" t="str">
        <x:v>Great Lakes vessels</x:v>
      </x:c>
      <x:c r="C43" s="102" t="str">
        <x:v>Algoma</x:v>
      </x:c>
      <x:c r="D43" s="102" t="str">
        <x:v>High</x:v>
      </x:c>
      <x:c r="E43" s="102" t="str">
        <x:v>Populate Canadian dry-bulk, tanker and international/JV fleet; separate Great Lakes vessels, international self-unloaders and FureBear/newbuild programs.</x:v>
      </x:c>
      <x:c r="F43" s="102" t="str">
        <x:v>Not started</x:v>
      </x:c>
    </x:row>
    <x:row r="44">
      <x:c r="A44" s="102" t="str">
        <x:v>RQ_0043</x:v>
      </x:c>
      <x:c r="B44" s="102" t="str">
        <x:v>Great Lakes vessels</x:v>
      </x:c>
      <x:c r="C44" s="102" t="str">
        <x:v>Interlake / GLF / Mainstay group</x:v>
      </x:c>
      <x:c r="D44" s="102" t="str">
        <x:v>High</x:v>
      </x:c>
      <x:c r="E44" s="102" t="str">
        <x:v>Resolve all individual vessels, USCG official numbers/IMO where applicable, build yards, cargo classes and route dependencies.</x:v>
      </x:c>
      <x:c r="F44" s="102" t="str">
        <x:v>Not started</x:v>
      </x:c>
    </x:row>
    <x:row r="45">
      <x:c r="A45" s="102" t="str">
        <x:v>RQ_0044</x:v>
      </x:c>
      <x:c r="B45" s="102" t="str">
        <x:v>Great Lakes ports</x:v>
      </x:c>
      <x:c r="C45" s="102" t="str">
        <x:v>41 core ports</x:v>
      </x:c>
      <x:c r="D45" s="102" t="str">
        <x:v>High</x:v>
      </x:c>
      <x:c r="E45" s="102" t="str">
        <x:v>Populate port authority, terminal operators, ownership/concession, cargo volumes, rail links, cruise facilities, shipyards, dredging and coordinates.</x:v>
      </x:c>
      <x:c r="F45" s="102" t="str">
        <x:v>Not started</x:v>
      </x:c>
    </x:row>
    <x:row r="46">
      <x:c r="A46" s="102" t="str">
        <x:v>RQ_0045</x:v>
      </x:c>
      <x:c r="B46" s="102" t="str">
        <x:v>Great Lakes infrastructure</x:v>
      </x:c>
      <x:c r="C46" s="102" t="str">
        <x:v>Locks / canals / channels</x:v>
      </x:c>
      <x:c r="D46" s="102" t="str">
        <x:v>High</x:v>
      </x:c>
      <x:c r="E46" s="102" t="str">
        <x:v>Populate individual Soo/Welland/Seaway locks, bridges, channel restrictions, maintenance windows, notices and incident history.</x:v>
      </x:c>
      <x:c r="F46" s="102" t="str">
        <x:v>Not started</x:v>
      </x:c>
    </x:row>
    <x:row r="47">
      <x:c r="A47" s="102" t="str">
        <x:v>RQ_0046</x:v>
      </x:c>
      <x:c r="B47" s="102" t="str">
        <x:v>Great Lakes cargo</x:v>
      </x:c>
      <x:c r="C47" s="102" t="str">
        <x:v>Commodity flows</x:v>
      </x:c>
      <x:c r="D47" s="102" t="str">
        <x:v>High</x:v>
      </x:c>
      <x:c r="E47" s="102" t="str">
        <x:v>Build mine/elevator/quarry/steel-mill/refinery origin-destination graph and connect cargo corridors to ports, carriers, railways and critical lock dependencies.</x:v>
      </x:c>
      <x:c r="F47" s="102" t="str">
        <x:v>Not started</x:v>
      </x:c>
    </x:row>
    <x:row r="48">
      <x:c r="A48" s="102" t="str">
        <x:v>RQ_0047</x:v>
      </x:c>
      <x:c r="B48" s="102" t="str">
        <x:v>Great Lakes cruise</x:v>
      </x:c>
      <x:c r="C48" s="102" t="str">
        <x:v>Seven 2026 cruise lines / ten ships</x:v>
      </x:c>
      <x:c r="D48" s="102" t="str">
        <x:v>Medium</x:v>
      </x:c>
      <x:c r="E48" s="102" t="str">
        <x:v>Resolve IMO, ownership, operator, shipyard, capacity, itineraries, port calls, lock transits and incidents for 2026 cruise fleet.</x:v>
      </x:c>
      <x:c r="F48" s="102" t="str">
        <x:v>Not started</x:v>
      </x:c>
    </x:row>
    <x:row r="49">
      <x:c r="A49" s="102" t="str">
        <x:v>RQ_0048</x:v>
      </x:c>
      <x:c r="B49" s="102" t="str">
        <x:v>Great Lakes incidents</x:v>
      </x:c>
      <x:c r="C49" s="102" t="str">
        <x:v>Historical + current incident layer</x:v>
      </x:c>
      <x:c r="D49" s="102" t="str">
        <x:v>High</x:v>
      </x:c>
      <x:c r="E49" s="102" t="str">
        <x:v>Ingest groundings, allisions, collisions, lock/bridge outages, weather, ice, machinery, spills, labour and pilotage disruptions; deduplicate to canonical events.</x:v>
      </x:c>
      <x:c r="F49" s="102" t="str">
        <x:v>Not started</x:v>
      </x:c>
    </x:row>
    <x:row r="50">
      <x:c r="A50" s="102" t="str">
        <x:v>RQ_0049</x:v>
      </x:c>
      <x:c r="B50" s="102" t="str">
        <x:v>Great Lakes API design</x:v>
      </x:c>
      <x:c r="C50" s="102" t="str">
        <x:v>Pre-API schema validation</x:v>
      </x:c>
      <x:c r="D50" s="102" t="str">
        <x:v>High</x:v>
      </x:c>
      <x:c r="E50" s="102" t="str">
        <x:v>Validate source refresh cadence, identifiers, entity resolution and update strategy before automating APIs/scrapers.</x:v>
      </x:c>
      <x:c r="F50" s="102" t="str">
        <x:v>Not started</x:v>
      </x:c>
    </x:row>
    <x:row r="51">
      <x:c r="A51" s="102" t="str">
        <x:v>RQ_0050</x:v>
      </x:c>
      <x:c r="B51" s="102" t="str">
        <x:v>Vessels</x:v>
      </x:c>
      <x:c r="C51" s="102" t="str">
        <x:v>Global Feeder Shipping / GFS Ship Management</x:v>
      </x:c>
      <x:c r="D51" s="102" t="str">
        <x:v>High</x:v>
      </x:c>
      <x:c r="E51" s="102" t="str">
        <x:v>Reconcile 36-vessel commercial-carrier fleet against 30+ in-house/managed fleet; resolve legal owners, technical managers, commercial operators, charters, flags and current services vessel by vessel.</x:v>
      </x:c>
      <x:c r="F51" s="102" t="str">
        <x:v>In progress</x:v>
      </x:c>
    </x:row>
    <x:row r="52">
      <x:c r="A52" s="102" t="str">
        <x:v>RQ_0051</x:v>
      </x:c>
      <x:c r="B52" s="102" t="str">
        <x:v>Vessels</x:v>
      </x:c>
      <x:c r="C52" s="102" t="str">
        <x:v>CMA CGM Group</x:v>
      </x:c>
      <x:c r="D52" s="102" t="str">
        <x:v>High</x:v>
      </x:c>
      <x:c r="E52" s="102" t="str">
        <x:v>Harvest current commercially scheduled fleet (844 snapshot) with IMO, GT/DWT, TEU, flag, MMSI, year, legal owner, technical manager and commercial operator; explicitly separate 400-owned-vessel milestone from chartered/operated fleet.</x:v>
      </x:c>
      <x:c r="F52" s="102" t="str">
        <x:v>In progress</x:v>
      </x:c>
    </x:row>
    <x:row r="53">
      <x:c r="A53" s="102" t="str">
        <x:v>RQ_0052</x:v>
      </x:c>
      <x:c r="B53" s="102" t="str">
        <x:v>Vessels</x:v>
      </x:c>
      <x:c r="C53" s="102" t="str">
        <x:v>Tier-1 container / feeder operators</x:v>
      </x:c>
      <x:c r="D53" s="102" t="str">
        <x:v>High</x:v>
      </x:c>
      <x:c r="E53" s="102" t="str">
        <x:v>Populate Hapag-Lloyd, ONE, Yang Ming, HMM, PIL, Wan Hai, SeaLead, X-Press Feeders, Unifeeder and Emirates Shipping Line before expanding to lower-priority carriers.</x:v>
      </x:c>
      <x:c r="F53" s="102" t="str">
        <x:v>In progress</x:v>
      </x:c>
    </x:row>
    <x:row r="54">
      <x:c r="A54" s="102" t="str">
        <x:v>RQ_0053</x:v>
      </x:c>
      <x:c r="B54" s="102" t="str">
        <x:v>Ferries / RoRo</x:v>
      </x:c>
      <x:c r="C54" s="102" t="str">
        <x:v>Global ferry systems</x:v>
      </x:c>
      <x:c r="D54" s="102" t="str">
        <x:v>High</x:v>
      </x:c>
      <x:c r="E54" s="102" t="str">
        <x:v>Build fleets for P&amp;O Ferries, Stena, DFDS, Brittany Ferries, Tallink, Viking Line, BC Ferries, Washington State Ferries and Irish Ferries with IMO and route exposure.</x:v>
      </x:c>
      <x:c r="F54" s="102" t="str">
        <x:v>Not started</x:v>
      </x:c>
    </x:row>
    <x:row r="55">
      <x:c r="A55" s="102" t="str">
        <x:v>RQ_0054</x:v>
      </x:c>
      <x:c r="B55" s="102" t="str">
        <x:v>Cruise</x:v>
      </x:c>
      <x:c r="C55" s="102" t="str">
        <x:v>Global cruise groups</x:v>
      </x:c>
      <x:c r="D55" s="102" t="str">
        <x:v>Medium</x:v>
      </x:c>
      <x:c r="E55" s="102" t="str">
        <x:v>Build Carnival, Royal Caribbean, NCLH, MSC Cruises, Viking and Disney fleets; link ships to homeports, terminals, itineraries and port investments.</x:v>
      </x:c>
      <x:c r="F55" s="102" t="str">
        <x:v>Not started</x:v>
      </x:c>
    </x:row>
    <x:row r="56">
      <x:c r="A56" s="102" t="str">
        <x:v>RQ_0055</x:v>
      </x:c>
      <x:c r="B56" s="102" t="str">
        <x:v>Great Lakes</x:v>
      </x:c>
      <x:c r="C56" s="102" t="str">
        <x:v>Great Lakes fleets</x:v>
      </x:c>
      <x:c r="D56" s="102" t="str">
        <x:v>High</x:v>
      </x:c>
      <x:c r="E56" s="102" t="str">
        <x:v>Build CSL, Algoma, Interlake, American Steamship, Fednav and Lower Lakes fleets with IMO, lake class, cargo role, ports and incident exposure.</x:v>
      </x:c>
      <x:c r="F56" s="102" t="str">
        <x:v>Not started</x:v>
      </x:c>
    </x:row>
    <x:row r="57">
      <x:c r="A57" s="102" t="str">
        <x:v>RQ_0056</x:v>
      </x:c>
      <x:c r="B57" s="102" t="str">
        <x:v>Dry bulk</x:v>
      </x:c>
      <x:c r="C57" s="102" t="str">
        <x:v>Major global bulk operators</x:v>
      </x:c>
      <x:c r="D57" s="102" t="str">
        <x:v>Medium</x:v>
      </x:c>
      <x:c r="E57" s="102" t="str">
        <x:v>Build Oldendorff, Star Bulk, Berge Bulk, Pacific Basin, Golden Ocean and Genco fleets with ownership, charter and commodity-corridor exposure.</x:v>
      </x:c>
      <x:c r="F57" s="102" t="str">
        <x:v>Not started</x:v>
      </x:c>
    </x:row>
    <x:row r="58">
      <x:c r="A58" s="102" t="str">
        <x:v>RQ_0057</x:v>
      </x:c>
      <x:c r="B58" s="102" t="str">
        <x:v>Ownership enrichment</x:v>
      </x:c>
      <x:c r="C58" s="102" t="str">
        <x:v>Tier-1 deployment seed vessels</x:v>
      </x:c>
      <x:c r="D58" s="102" t="str">
        <x:v>High</x:v>
      </x:c>
      <x:c r="E58" s="102" t="str">
        <x:v>Resolve registered owner, beneficial owner, ship manager, ISM manager, charterer and actual operator for each schedule-seeded IMO.</x:v>
      </x:c>
      <x:c r="F58" s="102" t="str">
        <x:v>In progress</x:v>
      </x:c>
    </x:row>
    <x:row r="59">
      <x:c r="A59" s="102" t="str">
        <x:v>RQ_0058</x:v>
      </x:c>
      <x:c r="B59" s="102" t="str">
        <x:v>Technical enrichment</x:v>
      </x:c>
      <x:c r="C59" s="102" t="str">
        <x:v>Tier-1 deployment seed vessels</x:v>
      </x:c>
      <x:c r="D59" s="102" t="str">
        <x:v>High</x:v>
      </x:c>
      <x:c r="E59" s="102" t="str">
        <x:v>Populate GT, NT, DWT, TEU, LOA, beam, flag, MMSI, call sign, build year and shipyard for every canonical IMO.</x:v>
      </x:c>
      <x:c r="F59" s="102" t="str">
        <x:v>In progress</x:v>
      </x:c>
    </x:row>
    <x:row r="60">
      <x:c r="A60" s="102" t="str">
        <x:v>RQ_0059</x:v>
      </x:c>
      <x:c r="B60" s="102" t="str">
        <x:v>Service intelligence</x:v>
      </x:c>
      <x:c r="C60" s="102" t="str">
        <x:v>Carrier deployment seeds</x:v>
      </x:c>
      <x:c r="D60" s="102" t="str">
        <x:v>High</x:v>
      </x:c>
      <x:c r="E60" s="102" t="str">
        <x:v>Expand from one observed leg to service name, alliance/VSA, rotation, ports, chokepoints and corridor exposure.</x:v>
      </x:c>
      <x:c r="F60" s="102" t="str">
        <x:v>Not started</x:v>
      </x:c>
    </x:row>
    <x:row r="61">
      <x:c r="A61" s="102" t="str">
        <x:v>RQ_0060</x:v>
      </x:c>
      <x:c r="B61" s="102" t="str">
        <x:v>GFS / AD Ports</x:v>
      </x:c>
      <x:c r="C61" s="102" t="str">
        <x:v>GFS vessel universe</x:v>
      </x:c>
      <x:c r="D61" s="102" t="str">
        <x:v>High</x:v>
      </x:c>
      <x:c r="E61" s="102" t="str">
        <x:v>Reconcile commercial GFS fleet, GFS Ship Management fleet and GFS-named registry vessels; identify which vessels are beneficially exposed to AD Ports versus third-party managed or chartered capacity.</x:v>
      </x:c>
      <x:c r="F61" s="102" t="str">
        <x:v>In progress</x:v>
      </x:c>
    </x:row>
    <x:row r="62">
      <x:c r="A62" s="102" t="str">
        <x:v>RQ_0061</x:v>
      </x:c>
      <x:c r="B62" s="102" t="str">
        <x:v>Tanker / VLCC</x:v>
      </x:c>
      <x:c r="C62" s="102" t="str">
        <x:v>Global VLCC universe</x:v>
      </x:c>
      <x:c r="D62" s="102" t="str">
        <x:v>High</x:v>
      </x:c>
      <x:c r="E62" s="102" t="str">
        <x:v>Build complete global VLCC register by IMO and reconcile world fleet denominator, ownership/control methodology, sanctions/restrictions and tradeable status.</x:v>
      </x:c>
      <x:c r="F62" s="102" t="str">
        <x:v>In progress</x:v>
      </x:c>
    </x:row>
    <x:row r="63">
      <x:c r="A63" s="102" t="str">
        <x:v>RQ_0062</x:v>
      </x:c>
      <x:c r="B63" s="102" t="str">
        <x:v>Tanker / VLCC</x:v>
      </x:c>
      <x:c r="C63" s="102" t="str">
        <x:v>SINOKOR</x:v>
      </x:c>
      <x:c r="D63" s="102" t="str">
        <x:v>High</x:v>
      </x:c>
      <x:c r="E63" s="102" t="str">
        <x:v>Resolve the 93-VLCC benchmark vessel by vessel: registered owner, beneficial owner, commercial operator, manager, acquisition date, prior owner, flag and current tradeability.</x:v>
      </x:c>
      <x:c r="F63" s="102" t="str">
        <x:v>In progress</x:v>
      </x:c>
    </x:row>
    <x:row r="64">
      <x:c r="A64" s="102" t="str">
        <x:v>RQ_0063</x:v>
      </x:c>
      <x:c r="B64" s="102" t="str">
        <x:v>Tanker / VLCC</x:v>
      </x:c>
      <x:c r="C64" s="102" t="str">
        <x:v>China Merchants Energy + COSCO Shipping Energy</x:v>
      </x:c>
      <x:c r="D64" s="102" t="str">
        <x:v>High</x:v>
      </x:c>
      <x:c r="E64" s="102" t="str">
        <x:v>Build both Chinese VLCC fleets by IMO and map Middle East loading, STS transfer patterns, shipyards, orderbooks and state-group relationships.</x:v>
      </x:c>
      <x:c r="F64" s="102" t="str">
        <x:v>In progress</x:v>
      </x:c>
    </x:row>
    <x:row r="65">
      <x:c r="A65" s="102" t="str">
        <x:v>RQ_0064</x:v>
      </x:c>
      <x:c r="B65" s="102" t="str">
        <x:v>Tanker / VLCC</x:v>
      </x:c>
      <x:c r="C65" s="102" t="str">
        <x:v>Bahri / Frontline / DHT / Maran</x:v>
      </x:c>
      <x:c r="D65" s="102" t="str">
        <x:v>High</x:v>
      </x:c>
      <x:c r="E65" s="102" t="str">
        <x:v>Build complete IMO-level VLCC registers and capture fleet transactions so ranking changes can be reconstructed by date.</x:v>
      </x:c>
      <x:c r="F65" s="102" t="str">
        <x:v>In progress</x:v>
      </x:c>
    </x:row>
    <x:row r="66">
      <x:c r="A66" s="102" t="str">
        <x:v>RQ_0065</x:v>
      </x:c>
      <x:c r="B66" s="102" t="str">
        <x:v>Tanker / VLCC</x:v>
      </x:c>
      <x:c r="C66" s="102" t="str">
        <x:v>MOL / NYK / Asyad Shipping</x:v>
      </x:c>
      <x:c r="D66" s="102" t="str">
        <x:v>High</x:v>
      </x:c>
      <x:c r="E66" s="102" t="str">
        <x:v>Separate owned, operated and chartered VLCC fleets from broader tanker and diversified shipping portfolios.</x:v>
      </x:c>
      <x:c r="F66" s="102" t="str">
        <x:v>Not started</x:v>
      </x:c>
    </x:row>
    <x:row r="67">
      <x:c r="A67" s="102" t="str">
        <x:v>RQ_0066</x:v>
      </x:c>
      <x:c r="B67" s="102" t="str">
        <x:v>Sanctions / restrictions</x:v>
      </x:c>
      <x:c r="C67" s="102" t="str">
        <x:v>Global tanker fleet</x:v>
      </x:c>
      <x:c r="D67" s="102" t="str">
        <x:v>High</x:v>
      </x:c>
      <x:c r="E67" s="102" t="str">
        <x:v>Attach OFAC, EU, UK, UN, PGSA and other restriction records at IMO level; preserve effective dates and delisting dates.</x:v>
      </x:c>
      <x:c r="F67" s="102" t="str">
        <x:v>In progress</x:v>
      </x:c>
    </x:row>
    <x:row r="68">
      <x:c r="A68" s="102" t="str">
        <x:v>RQ_0067</x:v>
      </x:c>
      <x:c r="B68" s="102" t="str">
        <x:v>Tradeability</x:v>
      </x:c>
      <x:c r="C68" s="102" t="str">
        <x:v>Global VLCC fleet</x:v>
      </x:c>
      <x:c r="D68" s="102" t="str">
        <x:v>High</x:v>
      </x:c>
      <x:c r="E68" s="102" t="str">
        <x:v>Compute time-bounded tradeability assessments from sanctions, blacklist, flag, class and P&amp;I/insurance evidence; do not equate 'not sanctioned' with 'free to trade'.</x:v>
      </x:c>
      <x:c r="F68" s="102" t="str">
        <x:v>Not started</x:v>
      </x:c>
    </x:row>
    <x:row r="69">
      <x:c r="A69" s="102" t="str">
        <x:v>RQ_0068</x:v>
      </x:c>
      <x:c r="B69" s="102" t="str">
        <x:v>Vessel transactions</x:v>
      </x:c>
      <x:c r="C69" s="102" t="str">
        <x:v>Global tanker fleet</x:v>
      </x:c>
      <x:c r="D69" s="102" t="str">
        <x:v>High</x:v>
      </x:c>
      <x:c r="E69" s="102" t="str">
        <x:v>Capture 2025-26 second-hand purchases, sales, fleet acquisitions and sale-leasebacks by IMO, buyer, seller, price and delivery date.</x:v>
      </x:c>
      <x:c r="F69" s="102" t="str">
        <x:v>Not started</x:v>
      </x:c>
    </x:row>
    <x:row r="70">
      <x:c r="A70" s="102" t="str">
        <x:v>RQ_0069</x:v>
      </x:c>
      <x:c r="B70" s="102" t="str">
        <x:v>Corridor exposure</x:v>
      </x:c>
      <x:c r="C70" s="102" t="str">
        <x:v>VLCC fleets</x:v>
      </x:c>
      <x:c r="D70" s="102" t="str">
        <x:v>High</x:v>
      </x:c>
      <x:c r="E70" s="102" t="str">
        <x:v>Map company and vessel exposure to Hormuz, Gulf of Oman STS, Bab al-Mandeb, Suez, Cape routes, Chinese crude imports, Saudi CIF sales and Oman alternatives.</x:v>
      </x:c>
      <x:c r="F70" s="102" t="str">
        <x:v>In progress</x:v>
      </x:c>
    </x:row>
    <x:row r="71">
      <x:c r="A71" s="102" t="str">
        <x:v>RQ_0070</x:v>
      </x:c>
      <x:c r="B71" s="102" t="str">
        <x:v>Fleet rankings</x:v>
      </x:c>
      <x:c r="C71" s="102" t="str">
        <x:v>All vessel segments</x:v>
      </x:c>
      <x:c r="D71" s="102" t="str">
        <x:v>Medium</x:v>
      </x:c>
      <x:c r="E71" s="102" t="str">
        <x:v>Maintain methodology-aware ranking snapshots for VLCC, LNG, PCTC, container, dry bulk, ferry and cruise fleets rather than overwriting old rankings.</x:v>
      </x:c>
      <x:c r="F71" s="102" t="str">
        <x:v>Not started</x:v>
      </x:c>
    </x:row>
    <x:row r="72">
      <x:c r="A72" s="102" t="str">
        <x:v>RQ_0071</x:v>
      </x:c>
      <x:c r="B72" s="102" t="str">
        <x:v>Weather disruptions</x:v>
      </x:c>
      <x:c r="C72" s="102" t="str">
        <x:v>Global 2025-26 transport system</x:v>
      </x:c>
      <x:c r="D72" s="102" t="str">
        <x:v>High</x:v>
      </x:c>
      <x:c r="E72" s="102" t="str">
        <x:v>Expand first-pass weather dataset across typhoons/hurricanes, floods, drought/low water, storm surge, ice, fog, heat and severe wind where ports, shipping, aviation, rail or inland waterways were operationally affected.</x:v>
      </x:c>
      <x:c r="F72" s="102" t="str">
        <x:v>In progress</x:v>
      </x:c>
    </x:row>
    <x:row r="73">
      <x:c r="A73" s="102" t="str">
        <x:v>RQ_0072</x:v>
      </x:c>
      <x:c r="B73" s="102" t="str">
        <x:v>Labour / strikes</x:v>
      </x:c>
      <x:c r="C73" s="102" t="str">
        <x:v>Global transport and industrial systems</x:v>
      </x:c>
      <x:c r="D73" s="102" t="str">
        <x:v>High</x:v>
      </x:c>
      <x:c r="E73" s="102" t="str">
        <x:v>Expand port, pilotage, rail, trucking, aviation, ferry and industrial-action events; capture start/end dates, affected capacity, backlog duration and settlement/resumption.</x:v>
      </x:c>
      <x:c r="F73" s="102" t="str">
        <x:v>In progress</x:v>
      </x:c>
    </x:row>
    <x:row r="74">
      <x:c r="A74" s="102" t="str">
        <x:v>RQ_0073</x:v>
      </x:c>
      <x:c r="B74" s="102" t="str">
        <x:v>Protest / access disruption</x:v>
      </x:c>
      <x:c r="C74" s="102" t="str">
        <x:v>Ports, borders and logistics corridors</x:v>
      </x:c>
      <x:c r="D74" s="102" t="str">
        <x:v>Medium</x:v>
      </x:c>
      <x:c r="E74" s="102" t="str">
        <x:v>Capture demonstrations and blockades only when they materially affect port access, ferry traffic, border crossings, trucking, industrial sites or corridor movement; separate political context from operational impact.</x:v>
      </x:c>
      <x:c r="F74" s="102" t="str">
        <x:v>In progress</x:v>
      </x:c>
    </x:row>
    <x:row r="75">
      <x:c r="A75" s="102" t="str">
        <x:v>RQ_0074</x:v>
      </x:c>
      <x:c r="B75" s="102" t="str">
        <x:v>Infrastructure investors</x:v>
      </x:c>
      <x:c r="C75" s="102" t="str">
        <x:v>Brookfield / GIP / Stonepeak / Macquarie / IFM</x:v>
      </x:c>
      <x:c r="D75" s="102" t="str">
        <x:v>High</x:v>
      </x:c>
      <x:c r="E75" s="102" t="str">
        <x:v>Resolve asset-level port holdings, investment vehicles, consortium stakes, governance rights and historical entry/exit dates globally.</x:v>
      </x:c>
      <x:c r="F75" s="102" t="str">
        <x:v>In progress</x:v>
      </x:c>
    </x:row>
    <x:row r="76">
      <x:c r="A76" s="102" t="str">
        <x:v>RQ_0075</x:v>
      </x:c>
      <x:c r="B76" s="102" t="str">
        <x:v>Infrastructure investors</x:v>
      </x:c>
      <x:c r="C76" s="102" t="str">
        <x:v>KKR / Blackstone / logistics real estate</x:v>
      </x:c>
      <x:c r="D76" s="102" t="str">
        <x:v>High</x:v>
      </x:c>
      <x:c r="E76" s="102" t="str">
        <x:v>Build global logistics real-estate holdings around ports, free zones, rail terminals, inland hubs and strategic corridors; distinguish fund ownership from operating platform.</x:v>
      </x:c>
      <x:c r="F76" s="102" t="str">
        <x:v>In progress</x:v>
      </x:c>
    </x:row>
    <x:row r="77">
      <x:c r="A77" s="102" t="str">
        <x:v>RQ_0076</x:v>
      </x:c>
      <x:c r="B77" s="102" t="str">
        <x:v>Dry ports / inland hubs</x:v>
      </x:c>
      <x:c r="C77" s="102" t="str">
        <x:v>Global universe</x:v>
      </x:c>
      <x:c r="D77" s="102" t="str">
        <x:v>High</x:v>
      </x:c>
      <x:c r="E77" s="102" t="str">
        <x:v>Expand Tbilisi, Al Faya, Al Ghail, CentrePort and Al Dhaid into a global dry-port/inland-port register including Canada, Gulf, Central Asia, Europe, Africa, India and Southeast Asia.</x:v>
      </x:c>
      <x:c r="F77" s="102" t="str">
        <x:v>In progress</x:v>
      </x:c>
    </x:row>
    <x:row r="78">
      <x:c r="A78" s="102" t="str">
        <x:v>RQ_0077</x:v>
      </x:c>
      <x:c r="B78" s="102" t="str">
        <x:v>Economic zones / free zones</x:v>
      </x:c>
      <x:c r="C78" s="102" t="str">
        <x:v>Global port-linked zones</x:v>
      </x:c>
      <x:c r="D78" s="102" t="str">
        <x:v>High</x:v>
      </x:c>
      <x:c r="E78" s="102" t="str">
        <x:v>Populate JAFZA, KEZAD and comparable port/free-zone ecosystems with land, warehouse stock, operators, tenants, rail/road/port links and investment vehicles.</x:v>
      </x:c>
      <x:c r="F78" s="102" t="str">
        <x:v>In progress</x:v>
      </x:c>
    </x:row>
    <x:row r="79">
      <x:c r="A79" s="102" t="str">
        <x:v>RQ_0078</x:v>
      </x:c>
      <x:c r="B79" s="102" t="str">
        <x:v>Infrastructure deals</x:v>
      </x:c>
      <x:c r="C79" s="102" t="str">
        <x:v>Global ports and logistics</x:v>
      </x:c>
      <x:c r="D79" s="102" t="str">
        <x:v>High</x:v>
      </x:c>
      <x:c r="E79" s="102" t="str">
        <x:v>Track completed, pending, failed and restructured port/logistics transactions including regulatory/national-security review and consortium changes.</x:v>
      </x:c>
      <x:c r="F79" s="102" t="str">
        <x:v>In progress</x:v>
      </x:c>
    </x:row>
    <x:row r="80">
      <x:c r="A80" s="102" t="str">
        <x:v>RQ_0079</x:v>
      </x:c>
      <x:c r="B80" s="102" t="str">
        <x:v>Infrastructure ownership</x:v>
      </x:c>
      <x:c r="C80" s="102" t="str">
        <x:v>PD Ports / Peel Ports / Port of Melbourne / Macquarie terminals</x:v>
      </x:c>
      <x:c r="D80" s="102" t="str">
        <x:v>High</x:v>
      </x:c>
      <x:c r="E80" s="102" t="str">
        <x:v>Resolve exact current shareholder percentages, fund/vehicle names, governance and operating-control rights rather than relying on parent-manager descriptions.</x:v>
      </x:c>
      <x:c r="F80" s="102" t="str">
        <x:v>Not started</x:v>
      </x:c>
    </x:row>
    <x:row r="81">
      <x:c r="A81" s="102" t="str">
        <x:v>RQ_0080</x:v>
      </x:c>
      <x:c r="B81" s="102" t="str">
        <x:v>Logistics real estate</x:v>
      </x:c>
      <x:c r="C81" s="102" t="str">
        <x:v>Port-adjacent and intermodal portfolios</x:v>
      </x:c>
      <x:c r="D81" s="102" t="str">
        <x:v>High</x:v>
      </x:c>
      <x:c r="E81" s="102" t="str">
        <x:v>Populate individual logistics parks/warehouses in strategic gateway clusters; add area, tenants, rail/port adjacency, acquisition price and current investor.</x:v>
      </x:c>
      <x:c r="F81" s="102" t="str">
        <x:v>Not started</x:v>
      </x:c>
    </x:row>
    <x:row r="82">
      <x:c r="A82" s="102" t="str">
        <x:v>RQ_0081</x:v>
      </x:c>
      <x:c r="B82" s="102" t="str">
        <x:v>AD Ports inland / zone system</x:v>
      </x:c>
      <x:c r="C82" s="102" t="str">
        <x:v>Tbilisi / Al Faya / KEZAD / Middle Corridor</x:v>
      </x:c>
      <x:c r="D82" s="102" t="str">
        <x:v>High</x:v>
      </x:c>
      <x:c r="E82" s="102" t="str">
        <x:v>Link AD Ports dry ports and economic zones to ports, rail, vessel/services, warehousing, customs and corridor exposure; update Tbilisi phase status from current operating data.</x:v>
      </x:c>
      <x:c r="F82" s="102" t="str">
        <x:v>In progress</x:v>
      </x:c>
    </x:row>
    <x:row r="83">
      <x:c r="A83" s="42" t="str">
        <x:v>RQ_0082</x:v>
      </x:c>
      <x:c r="B83" s="42" t="str">
        <x:v>Integrated logistics</x:v>
      </x:c>
      <x:c r="C83" s="42" t="str">
        <x:v>DHL Aviation / airline entities</x:v>
      </x:c>
      <x:c r="D83" s="42" t="str">
        <x:v>High</x:v>
      </x:c>
      <x:c r="E83" s="42" t="str">
        <x:v>Resolve all DHL-controlled/partner airline entities, aircraft registrations, ownership/lease status, route/hub assignment and legal operator relationships.</x:v>
      </x:c>
      <x:c r="F83" s="42" t="str">
        <x:v>Not started</x:v>
      </x:c>
    </x:row>
    <x:row r="84">
      <x:c r="A84" s="42" t="str">
        <x:v>RQ_0083</x:v>
      </x:c>
      <x:c r="B84" s="42" t="str">
        <x:v>Integrated logistics</x:v>
      </x:c>
      <x:c r="C84" s="42" t="str">
        <x:v>FedEx aircraft / hubs</x:v>
      </x:c>
      <x:c r="D84" s="42" t="str">
        <x:v>High</x:v>
      </x:c>
      <x:c r="E84" s="42" t="str">
        <x:v>Promote tail-level aircraft and airport facilities from type/network totals; resolve owned vs leased aircraft and regional hub dependencies.</x:v>
      </x:c>
      <x:c r="F84" s="42" t="str">
        <x:v>Not started</x:v>
      </x:c>
    </x:row>
    <x:row r="85">
      <x:c r="A85" s="42" t="str">
        <x:v>RQ_0084</x:v>
      </x:c>
      <x:c r="B85" s="42" t="str">
        <x:v>Integrated logistics</x:v>
      </x:c>
      <x:c r="C85" s="42" t="str">
        <x:v>Amazon Air / contracted airlines</x:v>
      </x:c>
      <x:c r="D85" s="42" t="str">
        <x:v>High</x:v>
      </x:c>
      <x:c r="E85" s="42" t="str">
        <x:v>Map Amazon Air contracted operators, aircraft ownership/sublease relationships, hub network and aircraft registrations without treating Amazon as operator where it is cargo principal.</x:v>
      </x:c>
      <x:c r="F85" s="42" t="str">
        <x:v>Not started</x:v>
      </x:c>
    </x:row>
    <x:row r="86">
      <x:c r="A86" s="42" t="str">
        <x:v>RQ_0085</x:v>
      </x:c>
      <x:c r="B86" s="42" t="str">
        <x:v>Integrated logistics</x:v>
      </x:c>
      <x:c r="C86" s="42" t="str">
        <x:v>Amazon Global Logistics ocean exposure</x:v>
      </x:c>
      <x:c r="D86" s="42" t="str">
        <x:v>High</x:v>
      </x:c>
      <x:c r="E86" s="42" t="str">
        <x:v>Resolve ocean carriers, origin ports, U.S. gateways and customs/fulfilment dependencies used by Amazon Global Logistics.</x:v>
      </x:c>
      <x:c r="F86" s="42" t="str">
        <x:v>Not started</x:v>
      </x:c>
    </x:row>
    <x:row r="87">
      <x:c r="A87" s="42" t="str">
        <x:v>RQ_0086</x:v>
      </x:c>
      <x:c r="B87" s="42" t="str">
        <x:v>Integrated logistics</x:v>
      </x:c>
      <x:c r="C87" s="42" t="str">
        <x:v>Aramex global network</x:v>
      </x:c>
      <x:c r="D87" s="42" t="str">
        <x:v>High</x:v>
      </x:c>
      <x:c r="E87" s="42" t="str">
        <x:v>Populate major hubs, warehouses, air/ocean freight gateways, free-zone facilities and current country/region operating structure.</x:v>
      </x:c>
      <x:c r="F87" s="42" t="str">
        <x:v>Not started</x:v>
      </x:c>
    </x:row>
    <x:row r="88">
      <x:c r="A88" s="42" t="str">
        <x:v>RQ_0087</x:v>
      </x:c>
      <x:c r="B88" s="42" t="str">
        <x:v>Ownership / capital</x:v>
      </x:c>
      <x:c r="C88" s="42" t="str">
        <x:v>ADQ transport &amp; logistics platform</x:v>
      </x:c>
      <x:c r="D88" s="42" t="str">
        <x:v>High</x:v>
      </x:c>
      <x:c r="E88" s="42" t="str">
        <x:v>Connect Aramex, AD Ports, Q Logistics and other ADQ transport/logistics holdings to physical assets, capital strategy and corridor exposure.</x:v>
      </x:c>
      <x:c r="F88" s="42" t="str">
        <x:v>In progress</x:v>
      </x:c>
    </x:row>
  </x:sheetData>
  <x:pageMargins left="0.7" right="0.7" top="0.75" bottom="0.75" header="0.3" footer="0.3"/>
  <x:tableParts count="1">
    <x:tablePart xmlns:r="http://schemas.openxmlformats.org/officeDocument/2006/relationships" r:id="R9d172223839d429d"/>
  </x:tableParts>
</x:worksheet>
</file>

<file path=xl/worksheets/sheet21.xml><?xml version="1.0" encoding="utf-8"?>
<x:worksheet xmlns:x="http://schemas.openxmlformats.org/spreadsheetml/2006/main">
  <x:sheetFormatPr defaultRowHeight="15"/>
  <x:cols>
    <x:col min="1" max="1" width="18" hidden="0" customWidth="1"/>
    <x:col min="2" max="2" width="34" hidden="0" customWidth="1"/>
    <x:col min="3" max="3" width="18" hidden="0" customWidth="1"/>
    <x:col min="4" max="4" width="34" hidden="0" customWidth="1"/>
  </x:cols>
  <x:sheetData>
    <x:row r="1">
      <x:c r="A1" s="36" t="str">
        <x:v>Page / Module</x:v>
      </x:c>
      <x:c r="B1" s="36" t="str">
        <x:v>Purpose</x:v>
      </x:c>
      <x:c r="C1" s="36" t="str">
        <x:v>Tables</x:v>
      </x:c>
      <x:c r="D1" s="36" t="str">
        <x:v>Presentation</x:v>
      </x:c>
    </x:row>
    <x:row r="2">
      <x:c r="A2" s="42" t="str">
        <x:v>Operating Picture</x:v>
      </x:c>
      <x:c r="B2" s="42" t="str">
        <x:v>Cross-domain overview</x:v>
      </x:c>
      <x:c r="C2" s="42" t="str">
        <x:v>registry, events, corridors, ports, vessels, assets</x:v>
      </x:c>
      <x:c r="D2" s="42" t="str">
        <x:v>Maps + trends + latest events</x:v>
      </x:c>
    </x:row>
    <x:row r="3">
      <x:c r="A3" s="42" t="str">
        <x:v>Companies</x:v>
      </x:c>
      <x:c r="B3" s="42" t="str">
        <x:v>Corporate ecosystems</x:v>
      </x:c>
      <x:c r="C3" s="42" t="str">
        <x:v>companies, leadership_roles, relationships, assets, fleet_portfolios</x:v>
      </x:c>
      <x:c r="D3" s="42" t="str">
        <x:v>Profile page with tabs</x:v>
      </x:c>
    </x:row>
    <x:row r="4">
      <x:c r="A4" s="42" t="str">
        <x:v>Leadership</x:v>
      </x:c>
      <x:c r="B4" s="42" t="str">
        <x:v>People intelligence</x:v>
      </x:c>
      <x:c r="C4" s="42" t="str">
        <x:v>people, leadership_roles</x:v>
      </x:c>
      <x:c r="D4" s="42" t="str">
        <x:v>Current/former role timeline</x:v>
      </x:c>
    </x:row>
    <x:row r="5">
      <x:c r="A5" s="42" t="str">
        <x:v>Ports &amp; Terminals</x:v>
      </x:c>
      <x:c r="B5" s="42" t="str">
        <x:v>Ownership and infrastructure</x:v>
      </x:c>
      <x:c r="C5" s="42" t="str">
        <x:v>ports, assets, investments, infrastructure_works, relationships</x:v>
      </x:c>
      <x:c r="D5" s="42" t="str">
        <x:v>Map + ownership stack + projects</x:v>
      </x:c>
    </x:row>
    <x:row r="6">
      <x:c r="A6" s="42" t="str">
        <x:v>Vessels</x:v>
      </x:c>
      <x:c r="B6" s="42" t="str">
        <x:v>Fleet intelligence</x:v>
      </x:c>
      <x:c r="C6" s="42" t="str">
        <x:v>vessels, fleet_portfolios, fleet_orders, shipyards</x:v>
      </x:c>
      <x:c r="D6" s="42" t="str">
        <x:v>Search by IMO/name/company/type</x:v>
      </x:c>
    </x:row>
    <x:row r="7">
      <x:c r="A7" s="42" t="str">
        <x:v>Air Cargo</x:v>
      </x:c>
      <x:c r="B7" s="42" t="str">
        <x:v>Air system</x:v>
      </x:c>
      <x:c r="C7" s="42" t="str">
        <x:v>aircraft, companies, assets, fleet_orders</x:v>
      </x:c>
      <x:c r="D7" s="42" t="str">
        <x:v>Airline / hub / aircraft view</x:v>
      </x:c>
    </x:row>
    <x:row r="8">
      <x:c r="A8" s="42" t="str">
        <x:v>Shipyards &amp; Orders</x:v>
      </x:c>
      <x:c r="B8" s="42" t="str">
        <x:v>Industrial capacity</x:v>
      </x:c>
      <x:c r="C8" s="42" t="str">
        <x:v>shipyards, fleet_orders, defence contracts</x:v>
      </x:c>
      <x:c r="D8" s="42" t="str">
        <x:v>Orderbook + delivery timeline</x:v>
      </x:c>
    </x:row>
    <x:row r="9">
      <x:c r="A9" s="42" t="str">
        <x:v>Corridors</x:v>
      </x:c>
      <x:c r="B9" s="42" t="str">
        <x:v>Trade routes / chokepoints</x:v>
      </x:c>
      <x:c r="C9" s="42" t="str">
        <x:v>corridors, events, ports, relationships</x:v>
      </x:c>
      <x:c r="D9" s="42" t="str">
        <x:v>Timeline + exposed companies/assets</x:v>
      </x:c>
    </x:row>
    <x:row r="10">
      <x:c r="A10" s="42" t="str">
        <x:v>Strategic Events</x:v>
      </x:c>
      <x:c r="B10" s="42" t="str">
        <x:v>System history and disruption</x:v>
      </x:c>
      <x:c r="C10" s="42" t="str">
        <x:v>events, relationships</x:v>
      </x:c>
      <x:c r="D10" s="42" t="str">
        <x:v>Cyber, strikes, closures, acquisitions</x:v>
      </x:c>
    </x:row>
    <x:row r="11">
      <x:c r="A11" s="42" t="str">
        <x:v>Ask P&amp;C</x:v>
      </x:c>
      <x:c r="B11" s="42" t="str">
        <x:v>Graph + evidence query</x:v>
      </x:c>
      <x:c r="C11" s="42" t="str">
        <x:v>all normalized tables</x:v>
      </x:c>
      <x:c r="D11" s="42" t="str">
        <x:v>Entity lookup, cross-dataset joins, evidence-bound analysis</x:v>
      </x:c>
    </x:row>
    <x:row r="12">
      <x:c r="A12" t="str">
        <x:v>Fleet &amp; Ownership</x:v>
      </x:c>
      <x:c r="B12" t="str">
        <x:v>Individual vessels plus commercial control</x:v>
      </x:c>
      <x:c r="C12" t="str">
        <x:v>vessels, vessel_relationships, fleet_portfolios, fleet_coverage</x:v>
      </x:c>
      <x:c r="D12" t="str">
        <x:v>Owner/operator/charterer/cargo-principal tabs + completeness indicator</x:v>
      </x:c>
    </x:row>
    <x:row r="13">
      <x:c r="A13" t="str">
        <x:v>Vehicle Logistics</x:v>
      </x:c>
      <x:c r="B13" t="str">
        <x:v>Automotive export shipping</x:v>
      </x:c>
      <x:c r="C13" t="str">
        <x:v>companies, vessels, vessel_build_records, fleet_orders, ports, corridors</x:v>
      </x:c>
      <x:c r="D13" t="str">
        <x:v>PCTC fleet map + shipyard/orderbook + automaker control</x:v>
      </x:c>
    </x:row>
    <x:row r="14">
      <x:c r="A14" t="str">
        <x:v>Energy Shipping</x:v>
      </x:c>
      <x:c r="B14" t="str">
        <x:v>LNG/LPG/VLCC/product tanker system</x:v>
      </x:c>
      <x:c r="C14" t="str">
        <x:v>companies, vessels, vessel_relationships, vessel_contracts, fleet_orders, events</x:v>
      </x:c>
      <x:c r="D14" t="str">
        <x:v>Energy-major profile + cargo-principal/charter exposure + incidents</x:v>
      </x:c>
    </x:row>
    <x:row r="15">
      <x:c r="A15" t="str">
        <x:v>Event Entity Graph</x:v>
      </x:c>
      <x:c r="B15" t="str">
        <x:v>Incident-to-asset linkage</x:v>
      </x:c>
      <x:c r="C15" t="str">
        <x:v>event_observations, event_entity_links, vessels, companies, ports</x:v>
      </x:c>
      <x:c r="D15" t="str">
        <x:v>One event → supporting observations → affected entities → operating impact</x:v>
      </x:c>
    </x:row>
    <x:row r="16">
      <x:c r="A16" s="42" t="str">
        <x:v>Integrated Logistics</x:v>
      </x:c>
      <x:c r="B16" s="42" t="str">
        <x:v>Shows how logistics groups connect air, ocean, road, rail, warehousing, free zones and customer-facing platforms</x:v>
      </x:c>
      <x:c r="C16" s="42" t="str">
        <x:v>integrated_logistics_networks, companies, relationships, assets, fleet_portfolios, aircraft, investments, strategic_events, logistics_real_estate, infrastructure_connections</x:v>
      </x:c>
      <x:c r="D16" s="42" t="str">
        <x:v>Parent group → platform/division → mode → hub/asset → fleet/capacity → investment/event</x:v>
      </x:c>
    </x:row>
  </x:sheetData>
  <x:pageMargins left="0.7" right="0.7" top="0.75" bottom="0.75" header="0.3" footer="0.3"/>
  <x:tableParts count="1">
    <x:tablePart xmlns:r="http://schemas.openxmlformats.org/officeDocument/2006/relationships" r:id="R70bb582e485c41c3"/>
  </x:tableParts>
</x:worksheet>
</file>

<file path=xl/worksheets/sheet22.xml><?xml version="1.0" encoding="utf-8"?>
<x:worksheet xmlns:x="http://schemas.openxmlformats.org/spreadsheetml/2006/main">
  <x:sheetFormatPr defaultRowHeight="15"/>
  <x:cols>
    <x:col min="1" max="1" width="24" hidden="0" customWidth="1"/>
    <x:col min="2" max="2" width="34" hidden="0" customWidth="1"/>
    <x:col min="3" max="3" width="17" hidden="0" customWidth="1"/>
    <x:col min="4" max="4" width="17" hidden="0" customWidth="1"/>
  </x:cols>
  <x:sheetData>
    <x:row r="1">
      <x:c r="A1" s="50" t="str">
        <x:v>Event Family</x:v>
      </x:c>
      <x:c r="B1" s="50" t="str">
        <x:v>Definition</x:v>
      </x:c>
      <x:c r="C1" s="50" t="str">
        <x:v>Modes</x:v>
      </x:c>
      <x:c r="D1" s="50" t="str">
        <x:v>Example</x:v>
      </x:c>
    </x:row>
    <x:row r="2">
      <x:c r="A2" s="42" t="str">
        <x:v>Conflict / Security</x:v>
      </x:c>
      <x:c r="B2" s="42" t="str">
        <x:v>War, strikes, drone/missile attacks, military coercion</x:v>
      </x:c>
      <x:c r="C2" s="42" t="str">
        <x:v>Maritime; ports; airports; energy; land</x:v>
      </x:c>
      <x:c r="D2" s="42" t="str">
        <x:v>Maritime attacks, Black Sea port attack</x:v>
      </x:c>
    </x:row>
    <x:row r="3">
      <x:c r="A3" s="42" t="str">
        <x:v>Maritime Crime</x:v>
      </x:c>
      <x:c r="B3" s="42" t="str">
        <x:v>Piracy, armed robbery, hijacking, suspicious approach</x:v>
      </x:c>
      <x:c r="C3" s="42" t="str">
        <x:v>Maritime</x:v>
      </x:c>
      <x:c r="D3" s="42" t="str">
        <x:v>ReCAAP / piracy</x:v>
      </x:c>
    </x:row>
    <x:row r="4">
      <x:c r="A4" s="42" t="str">
        <x:v>Military / Enforcement</x:v>
      </x:c>
      <x:c r="B4" s="42" t="str">
        <x:v>Boarding, seizure, blockade enforcement, disabling strike</x:v>
      </x:c>
      <x:c r="C4" s="42" t="str">
        <x:v>Maritime</x:v>
      </x:c>
      <x:c r="D4" s="42" t="str">
        <x:v>CENTCOM vessel action</x:v>
      </x:c>
    </x:row>
    <x:row r="5">
      <x:c r="A5" s="42" t="str">
        <x:v>Maritime Security Warning</x:v>
      </x:c>
      <x:c r="B5" s="42" t="str">
        <x:v>Official warning or advisory without necessarily constituting a confirmed event</x:v>
      </x:c>
      <x:c r="C5" s="42" t="str">
        <x:v>Maritime</x:v>
      </x:c>
      <x:c r="D5" s="42" t="str">
        <x:v>UKMTO</x:v>
      </x:c>
    </x:row>
    <x:row r="6">
      <x:c r="A6" s="42" t="str">
        <x:v>Port / Infrastructure Incident</x:v>
      </x:c>
      <x:c r="B6" s="42" t="str">
        <x:v>Fire, explosion, grounding, equipment failure, container loss, pollution</x:v>
      </x:c>
      <x:c r="C6" s="42" t="str">
        <x:v>Port / Terminal</x:v>
      </x:c>
      <x:c r="D6" s="42" t="str">
        <x:v>Port incident</x:v>
      </x:c>
    </x:row>
    <x:row r="7">
      <x:c r="A7" s="42" t="str">
        <x:v>Weather</x:v>
      </x:c>
      <x:c r="B7" s="42" t="str">
        <x:v>Typhoon, hurricane, extreme wind, flood, storm surge, extreme heat/cold</x:v>
      </x:c>
      <x:c r="C7" s="42" t="str">
        <x:v>Multimodal</x:v>
      </x:c>
      <x:c r="D7" s="42" t="str">
        <x:v>Typhoon Dolphin</x:v>
      </x:c>
    </x:row>
    <x:row r="8">
      <x:c r="A8" s="42" t="str">
        <x:v>Natural Hazard</x:v>
      </x:c>
      <x:c r="B8" s="42" t="str">
        <x:v>Earthquake, volcanic eruption, tsunami, landslide, glacial event</x:v>
      </x:c>
      <x:c r="C8" s="42" t="str">
        <x:v>Multimodal</x:v>
      </x:c>
      <x:c r="D8" s="42" t="str">
        <x:v>Anak Krakatau; Venezuela earthquakes</x:v>
      </x:c>
    </x:row>
    <x:row r="9">
      <x:c r="A9" s="42" t="str">
        <x:v>Labour / Industrial Action</x:v>
      </x:c>
      <x:c r="B9" s="42" t="str">
        <x:v>Strike, walkout, work-to-rule, blockade by workers</x:v>
      </x:c>
      <x:c r="C9" s="42" t="str">
        <x:v>Port; airport; rail; trucking; industrial</x:v>
      </x:c>
      <x:c r="D9" s="42" t="str">
        <x:v>Northern Europe port strikes</x:v>
      </x:c>
    </x:row>
    <x:row r="10">
      <x:c r="A10" s="42" t="str">
        <x:v>Protest / Labour</x:v>
      </x:c>
      <x:c r="B10" s="42" t="str">
        <x:v>Demonstration or protest with operational or corridor effect</x:v>
      </x:c>
      <x:c r="C10" s="42" t="str">
        <x:v>Land; industrial; urban logistics</x:v>
      </x:c>
      <x:c r="D10" s="42" t="str">
        <x:v>Haiti worker protest</x:v>
      </x:c>
    </x:row>
    <x:row r="11">
      <x:c r="A11" s="42" t="str">
        <x:v>Civil Unrest / Insecurity</x:v>
      </x:c>
      <x:c r="B11" s="42" t="str">
        <x:v>Gang violence, riots, political unrest, road blocks, violent protest</x:v>
      </x:c>
      <x:c r="C11" s="42" t="str">
        <x:v>Multimodal</x:v>
      </x:c>
      <x:c r="D11" s="42" t="str">
        <x:v>Haiti port / aviation disruption</x:v>
      </x:c>
    </x:row>
    <x:row r="12">
      <x:c r="A12" s="42" t="str">
        <x:v>Cyber</x:v>
      </x:c>
      <x:c r="B12" s="42" t="str">
        <x:v>Cyberattack, ransomware, system outage</x:v>
      </x:c>
      <x:c r="C12" s="42" t="str">
        <x:v>Multimodal / Corporate</x:v>
      </x:c>
      <x:c r="D12" s="42" t="str">
        <x:v>Maersk NotPetya</x:v>
      </x:c>
    </x:row>
    <x:row r="13">
      <x:c r="A13" s="42" t="str">
        <x:v>Transport Accident</x:v>
      </x:c>
      <x:c r="B13" s="42" t="str">
        <x:v>Aircraft, vessel, rail, truck accident disrupting trade movement</x:v>
      </x:c>
      <x:c r="C13" s="42" t="str">
        <x:v>Multimodal</x:v>
      </x:c>
      <x:c r="D13" s="42" t="str">
        <x:v>Miami cargo aircraft crash</x:v>
      </x:c>
    </x:row>
    <x:row r="14">
      <x:c r="A14" s="42" t="str">
        <x:v>Infrastructure Failure</x:v>
      </x:c>
      <x:c r="B14" s="42" t="str">
        <x:v>Bridge, crane, power, channel, runway, rail or terminal system failure</x:v>
      </x:c>
      <x:c r="C14" s="42" t="str">
        <x:v>Multimodal</x:v>
      </x:c>
      <x:c r="D14" s="42" t="str">
        <x:v>Future</x:v>
      </x:c>
    </x:row>
    <x:row r="15">
      <x:c r="A15" s="42" t="str">
        <x:v>Regulatory / Policy</x:v>
      </x:c>
      <x:c r="B15" s="42" t="str">
        <x:v>Flight ban, customs restriction, embargo, emergency closure</x:v>
      </x:c>
      <x:c r="C15" s="42" t="str">
        <x:v>Multimodal</x:v>
      </x:c>
      <x:c r="D15" s="42" t="str">
        <x:v>FAA Haiti restriction</x:v>
      </x:c>
    </x:row>
    <x:row r="16">
      <x:c r="A16" s="42" t="str">
        <x:v>Supply Constraint</x:v>
      </x:c>
      <x:c r="B16" s="42" t="str">
        <x:v>Fuel, power, container, equipment or critical input shortage</x:v>
      </x:c>
      <x:c r="C16" s="42" t="str">
        <x:v>Multimodal</x:v>
      </x:c>
      <x:c r="D16" s="42" t="str">
        <x:v>Future bunker-fuel / capacity shock</x:v>
      </x:c>
    </x:row>
  </x:sheetData>
  <x:pageMargins left="0.7" right="0.7" top="0.75" bottom="0.75" header="0.3" footer="0.3"/>
  <x:tableParts count="1">
    <x:tablePart xmlns:r="http://schemas.openxmlformats.org/officeDocument/2006/relationships" r:id="R6fc81858fa7f4408"/>
  </x:tableParts>
</x:worksheet>
</file>

<file path=xl/worksheets/sheet23.xml><?xml version="1.0" encoding="utf-8"?>
<x:worksheet xmlns:x="http://schemas.openxmlformats.org/spreadsheetml/2006/main">
  <x:sheetFormatPr defaultRowHeight="15"/>
  <x:cols>
    <x:col min="1" max="1" width="17" hidden="0" customWidth="1"/>
    <x:col min="2" max="2" width="17" hidden="0" customWidth="1"/>
    <x:col min="3" max="3" width="38" hidden="0" customWidth="1"/>
    <x:col min="4" max="4" width="38" hidden="0" customWidth="1"/>
    <x:col min="5" max="5" width="17" hidden="0" customWidth="1"/>
    <x:col min="6" max="6" width="24" hidden="0" customWidth="1"/>
    <x:col min="7" max="7" width="24" hidden="0" customWidth="1"/>
    <x:col min="8" max="8" width="17" hidden="0" customWidth="1"/>
    <x:col min="9" max="9" width="17" hidden="0" customWidth="1"/>
    <x:col min="10" max="10" width="17" hidden="0" customWidth="1"/>
    <x:col min="11" max="11" width="17" hidden="0" customWidth="1"/>
    <x:col min="12" max="12" width="24" hidden="0" customWidth="1"/>
    <x:col min="13" max="13" width="17" hidden="0" customWidth="1"/>
    <x:col min="14" max="14" width="17" hidden="0" customWidth="1"/>
    <x:col min="15" max="15" width="24" hidden="0" customWidth="1"/>
    <x:col min="16" max="16" width="24" hidden="0" customWidth="1"/>
    <x:col min="17" max="17" width="24" hidden="0" customWidth="1"/>
    <x:col min="18" max="18" width="17" hidden="0" customWidth="1"/>
    <x:col min="19" max="19" width="34" hidden="0" customWidth="1"/>
    <x:col min="20" max="20" width="17" hidden="0" customWidth="1"/>
    <x:col min="21" max="21" width="17" hidden="0" customWidth="1"/>
    <x:col min="22" max="22" width="17" hidden="0" customWidth="1"/>
    <x:col min="23" max="23" width="34" hidden="0" customWidth="1"/>
    <x:col min="24" max="24" width="34" hidden="0" customWidth="1"/>
    <x:col min="25" max="25" width="17" hidden="0" customWidth="1"/>
    <x:col min="26" max="26" width="17" hidden="0" customWidth="1"/>
    <x:col min="27" max="27" width="38" hidden="0" customWidth="1"/>
    <x:col min="28" max="28" width="17" hidden="0" customWidth="1"/>
    <x:col min="29" max="29" width="34" hidden="0" customWidth="1"/>
  </x:cols>
  <x:sheetData>
    <x:row r="1">
      <x:c r="A1" s="50" t="str">
        <x:v>Observation ID</x:v>
      </x:c>
      <x:c r="B1" s="50" t="str">
        <x:v>Canonical Event ID</x:v>
      </x:c>
      <x:c r="C1" s="50" t="str">
        <x:v>Source Dataset</x:v>
      </x:c>
      <x:c r="D1" s="50" t="str">
        <x:v>Source Record ID</x:v>
      </x:c>
      <x:c r="E1" s="50" t="str">
        <x:v>Date</x:v>
      </x:c>
      <x:c r="F1" s="50" t="str">
        <x:v>Event Family</x:v>
      </x:c>
      <x:c r="G1" s="50" t="str">
        <x:v>Event Type</x:v>
      </x:c>
      <x:c r="H1" s="50" t="str">
        <x:v>Subtype</x:v>
      </x:c>
      <x:c r="I1" s="50" t="str">
        <x:v>Mode</x:v>
      </x:c>
      <x:c r="J1" s="50" t="str">
        <x:v>Region / Theatre</x:v>
      </x:c>
      <x:c r="K1" s="50" t="str">
        <x:v>Country</x:v>
      </x:c>
      <x:c r="L1" s="50" t="str">
        <x:v>Location</x:v>
      </x:c>
      <x:c r="M1" s="50" t="str">
        <x:v>Latitude</x:v>
      </x:c>
      <x:c r="N1" s="50" t="str">
        <x:v>Longitude</x:v>
      </x:c>
      <x:c r="O1" s="50" t="str">
        <x:v>Subject Name</x:v>
      </x:c>
      <x:c r="P1" s="50" t="str">
        <x:v>Subject Identifier</x:v>
      </x:c>
      <x:c r="Q1" s="50" t="str">
        <x:v>Asset Type</x:v>
      </x:c>
      <x:c r="R1" s="50" t="str">
        <x:v>Actor / Attribution</x:v>
      </x:c>
      <x:c r="S1" s="50" t="str">
        <x:v>Description</x:v>
      </x:c>
      <x:c r="T1" s="50" t="str">
        <x:v>Outcome / Damage</x:v>
      </x:c>
      <x:c r="U1" s="50" t="str">
        <x:v>Fatalities</x:v>
      </x:c>
      <x:c r="V1" s="50" t="str">
        <x:v>Injuries</x:v>
      </x:c>
      <x:c r="W1" s="50" t="str">
        <x:v>Operational Impact</x:v>
      </x:c>
      <x:c r="X1" s="50" t="str">
        <x:v>Trade Impact</x:v>
      </x:c>
      <x:c r="Y1" s="50" t="str">
        <x:v>Severity</x:v>
      </x:c>
      <x:c r="Z1" s="50" t="str">
        <x:v>Confidence</x:v>
      </x:c>
      <x:c r="AA1" s="50" t="str">
        <x:v>Source Reference</x:v>
      </x:c>
      <x:c r="AB1" s="50" t="str">
        <x:v>Resolution Status</x:v>
      </x:c>
      <x:c r="AC1" s="50" t="str">
        <x:v>Notes</x:v>
      </x:c>
    </x:row>
    <x:row r="2">
      <x:c r="A2" s="42" t="str">
        <x:v>OBS_000001</x:v>
      </x:c>
      <x:c r="B2" s="42" t="str"/>
      <x:c r="C2" s="42" t="str">
        <x:v>maritime_attacks_2026</x:v>
      </x:c>
      <x:c r="D2" s="42" t="str">
        <x:v>1</x:v>
      </x:c>
      <x:c r="E2" s="42" t="str">
        <x:v>2026-02-28</x:v>
      </x:c>
      <x:c r="F2" s="42" t="str">
        <x:v>Conflict / Security</x:v>
      </x:c>
      <x:c r="G2" s="42" t="str">
        <x:v>Conflict attack</x:v>
      </x:c>
      <x:c r="H2" s="42" t="str">
        <x:v>Unspecified</x:v>
      </x:c>
      <x:c r="I2" s="42" t="str">
        <x:v>Maritime</x:v>
      </x:c>
      <x:c r="J2" s="42" t="str">
        <x:v>Persian Gulf / Strait of Hormuz / Gulf of Oman</x:v>
      </x:c>
      <x:c r="K2" s="42" t="str"/>
      <x:c r="L2" s="42" t="str">
        <x:v>North of Khasab, Oman</x:v>
      </x:c>
      <x:c r="M2" s="42" t="str"/>
      <x:c r="N2" s="42" t="str"/>
      <x:c r="O2" s="42" t="str">
        <x:v>SKYLIGHT</x:v>
      </x:c>
      <x:c r="P2" s="42" t="str">
        <x:v>9330020</x:v>
      </x:c>
      <x:c r="Q2" s="42" t="str">
        <x:v>Chemical tanker</x:v>
      </x:c>
      <x:c r="R2" s="42" t="str"/>
      <x:c r="S2" s="42" t="str">
        <x:v>4 crew injured; vessel sank</x:v>
      </x:c>
      <x:c r="T2" s="42" t="str">
        <x:v>Hit</x:v>
      </x:c>
      <x:c r="U2" s="42" t="str">
        <x:v>0</x:v>
      </x:c>
      <x:c r="V2" s="42" t="str">
        <x:v>4</x:v>
      </x:c>
      <x:c r="W2" s="42" t="str">
        <x:v>4 crew injured; vessel sank</x:v>
      </x:c>
      <x:c r="X2" s="42" t="str"/>
      <x:c r="Y2" s="42" t="str"/>
      <x:c r="Z2" s="42" t="str"/>
      <x:c r="AA2" s="42" t="str">
        <x:v>German Navy Shipping Centre brief, pp. 8-10</x:v>
      </x:c>
      <x:c r="AB2" s="42" t="str">
        <x:v>Needs canonical event resolution</x:v>
      </x:c>
      <x:c r="AC2" s="42" t="str"/>
    </x:row>
    <x:row r="3">
      <x:c r="A3" s="42" t="str">
        <x:v>OBS_000002</x:v>
      </x:c>
      <x:c r="B3" s="42" t="str"/>
      <x:c r="C3" s="42" t="str">
        <x:v>maritime_attacks_2026</x:v>
      </x:c>
      <x:c r="D3" s="42" t="str">
        <x:v>2</x:v>
      </x:c>
      <x:c r="E3" s="42" t="str">
        <x:v>2026-03-01</x:v>
      </x:c>
      <x:c r="F3" s="42" t="str">
        <x:v>Conflict / Security</x:v>
      </x:c>
      <x:c r="G3" s="42" t="str">
        <x:v>Conflict attack</x:v>
      </x:c>
      <x:c r="H3" s="42" t="str">
        <x:v>Unspecified</x:v>
      </x:c>
      <x:c r="I3" s="42" t="str">
        <x:v>Maritime</x:v>
      </x:c>
      <x:c r="J3" s="42" t="str">
        <x:v>Persian Gulf / Strait of Hormuz / Gulf of Oman</x:v>
      </x:c>
      <x:c r="K3" s="42" t="str"/>
      <x:c r="L3" s="42" t="str">
        <x:v>Gulf of Oman</x:v>
      </x:c>
      <x:c r="M3" s="42" t="str"/>
      <x:c r="N3" s="42" t="str"/>
      <x:c r="O3" s="42" t="str">
        <x:v>MKD VYOM</x:v>
      </x:c>
      <x:c r="P3" s="42" t="str">
        <x:v>9284386</x:v>
      </x:c>
      <x:c r="Q3" s="42" t="str">
        <x:v>Crude oil tanker</x:v>
      </x:c>
      <x:c r="R3" s="42" t="str"/>
      <x:c r="S3" s="42" t="str">
        <x:v>Severely disabled; drifting; heavy hull damage and engine-room fire; evacuated</x:v>
      </x:c>
      <x:c r="T3" s="42" t="str">
        <x:v>Hit</x:v>
      </x:c>
      <x:c r="U3" s="42" t="str">
        <x:v>1</x:v>
      </x:c>
      <x:c r="V3" s="42" t="str">
        <x:v>0</x:v>
      </x:c>
      <x:c r="W3" s="42" t="str">
        <x:v>Severely disabled; drifting; heavy hull damage and engine-room fire; evacuated</x:v>
      </x:c>
      <x:c r="X3" s="42" t="str"/>
      <x:c r="Y3" s="42" t="str"/>
      <x:c r="Z3" s="42" t="str"/>
      <x:c r="AA3" s="42" t="str">
        <x:v>German Navy Shipping Centre brief, pp. 8-10</x:v>
      </x:c>
      <x:c r="AB3" s="42" t="str">
        <x:v>Needs canonical event resolution</x:v>
      </x:c>
      <x:c r="AC3" s="42" t="str"/>
    </x:row>
    <x:row r="4">
      <x:c r="A4" s="42" t="str">
        <x:v>OBS_000003</x:v>
      </x:c>
      <x:c r="B4" s="42" t="str"/>
      <x:c r="C4" s="42" t="str">
        <x:v>maritime_attacks_2026</x:v>
      </x:c>
      <x:c r="D4" s="42" t="str">
        <x:v>3</x:v>
      </x:c>
      <x:c r="E4" s="42" t="str">
        <x:v>2026-03-01</x:v>
      </x:c>
      <x:c r="F4" s="42" t="str">
        <x:v>Conflict / Security</x:v>
      </x:c>
      <x:c r="G4" s="42" t="str">
        <x:v>Conflict attack</x:v>
      </x:c>
      <x:c r="H4" s="42" t="str">
        <x:v>Unspecified</x:v>
      </x:c>
      <x:c r="I4" s="42" t="str">
        <x:v>Maritime</x:v>
      </x:c>
      <x:c r="J4" s="42" t="str">
        <x:v>Persian Gulf / Strait of Hormuz / Gulf of Oman</x:v>
      </x:c>
      <x:c r="K4" s="42" t="str"/>
      <x:c r="L4" s="42" t="str">
        <x:v>20 nm northwest of Dubai</x:v>
      </x:c>
      <x:c r="M4" s="42" t="str"/>
      <x:c r="N4" s="42" t="str"/>
      <x:c r="O4" s="42" t="str">
        <x:v>HERCULES STAR</x:v>
      </x:c>
      <x:c r="P4" s="42" t="str">
        <x:v>9916135</x:v>
      </x:c>
      <x:c r="Q4" s="42" t="str">
        <x:v>Product tanker</x:v>
      </x:c>
      <x:c r="R4" s="42" t="str"/>
      <x:c r="S4" s="42" t="str">
        <x:v>Fire extinguished</x:v>
      </x:c>
      <x:c r="T4" s="42" t="str">
        <x:v>Hit</x:v>
      </x:c>
      <x:c r="U4" s="42" t="str">
        <x:v>0</x:v>
      </x:c>
      <x:c r="V4" s="42" t="str">
        <x:v>0</x:v>
      </x:c>
      <x:c r="W4" s="42" t="str">
        <x:v>Fire extinguished</x:v>
      </x:c>
      <x:c r="X4" s="42" t="str"/>
      <x:c r="Y4" s="42" t="str"/>
      <x:c r="Z4" s="42" t="str"/>
      <x:c r="AA4" s="42" t="str">
        <x:v>German Navy Shipping Centre brief, pp. 8-10</x:v>
      </x:c>
      <x:c r="AB4" s="42" t="str">
        <x:v>Needs canonical event resolution</x:v>
      </x:c>
      <x:c r="AC4" s="42" t="str"/>
    </x:row>
    <x:row r="5">
      <x:c r="A5" s="42" t="str">
        <x:v>OBS_000004</x:v>
      </x:c>
      <x:c r="B5" s="42" t="str"/>
      <x:c r="C5" s="42" t="str">
        <x:v>maritime_attacks_2026</x:v>
      </x:c>
      <x:c r="D5" s="42" t="str">
        <x:v>4</x:v>
      </x:c>
      <x:c r="E5" s="42" t="str">
        <x:v>2026-03-01</x:v>
      </x:c>
      <x:c r="F5" s="42" t="str">
        <x:v>Conflict / Security</x:v>
      </x:c>
      <x:c r="G5" s="42" t="str">
        <x:v>Conflict attack</x:v>
      </x:c>
      <x:c r="H5" s="42" t="str">
        <x:v>Drone or missile</x:v>
      </x:c>
      <x:c r="I5" s="42" t="str">
        <x:v>Maritime</x:v>
      </x:c>
      <x:c r="J5" s="42" t="str">
        <x:v>Persian Gulf / Strait of Hormuz / Gulf of Oman</x:v>
      </x:c>
      <x:c r="K5" s="42" t="str"/>
      <x:c r="L5" s="42" t="str"/>
      <x:c r="M5" s="42" t="str"/>
      <x:c r="N5" s="42" t="str"/>
      <x:c r="O5" s="42" t="str">
        <x:v>OCEAN ELECTRA</x:v>
      </x:c>
      <x:c r="P5" s="42" t="str">
        <x:v>9402782</x:v>
      </x:c>
      <x:c r="Q5" s="42" t="str">
        <x:v>Product tanker</x:v>
      </x:c>
      <x:c r="R5" s="42" t="str"/>
      <x:c r="S5" s="42" t="str">
        <x:v>No major damage</x:v>
      </x:c>
      <x:c r="T5" s="42" t="str">
        <x:v>Hit</x:v>
      </x:c>
      <x:c r="U5" s="42" t="str">
        <x:v>0</x:v>
      </x:c>
      <x:c r="V5" s="42" t="str">
        <x:v>0</x:v>
      </x:c>
      <x:c r="W5" s="42" t="str">
        <x:v>No major damage</x:v>
      </x:c>
      <x:c r="X5" s="42" t="str"/>
      <x:c r="Y5" s="42" t="str"/>
      <x:c r="Z5" s="42" t="str"/>
      <x:c r="AA5" s="42" t="str">
        <x:v>German Navy Shipping Centre brief, pp. 8-10</x:v>
      </x:c>
      <x:c r="AB5" s="42" t="str">
        <x:v>Needs canonical event resolution</x:v>
      </x:c>
      <x:c r="AC5" s="42" t="str"/>
    </x:row>
    <x:row r="6">
      <x:c r="A6" s="42" t="str">
        <x:v>OBS_000005</x:v>
      </x:c>
      <x:c r="B6" s="42" t="str"/>
      <x:c r="C6" s="42" t="str">
        <x:v>maritime_attacks_2026</x:v>
      </x:c>
      <x:c r="D6" s="42" t="str">
        <x:v>5</x:v>
      </x:c>
      <x:c r="E6" s="42" t="str">
        <x:v>2026-03-02</x:v>
      </x:c>
      <x:c r="F6" s="42" t="str">
        <x:v>Conflict / Security</x:v>
      </x:c>
      <x:c r="G6" s="42" t="str">
        <x:v>Conflict attack</x:v>
      </x:c>
      <x:c r="H6" s="42" t="str">
        <x:v>Unspecified</x:v>
      </x:c>
      <x:c r="I6" s="42" t="str">
        <x:v>Maritime</x:v>
      </x:c>
      <x:c r="J6" s="42" t="str">
        <x:v>Persian Gulf / Strait of Hormuz / Gulf of Oman</x:v>
      </x:c>
      <x:c r="K6" s="42" t="str"/>
      <x:c r="L6" s="42" t="str">
        <x:v>Port of Muharraq, Bahrain</x:v>
      </x:c>
      <x:c r="M6" s="42" t="str"/>
      <x:c r="N6" s="42" t="str"/>
      <x:c r="O6" s="42" t="str">
        <x:v>STENA IMPERATIVE</x:v>
      </x:c>
      <x:c r="P6" s="42" t="str">
        <x:v>9666077</x:v>
      </x:c>
      <x:c r="Q6" s="42" t="str">
        <x:v>Oil/chemical tanker</x:v>
      </x:c>
      <x:c r="R6" s="42" t="str"/>
      <x:c r="S6" s="42" t="str">
        <x:v>Fire extinguished; crew evacuated</x:v>
      </x:c>
      <x:c r="T6" s="42" t="str">
        <x:v>Hit</x:v>
      </x:c>
      <x:c r="U6" s="42" t="str">
        <x:v>0</x:v>
      </x:c>
      <x:c r="V6" s="42" t="str">
        <x:v>0</x:v>
      </x:c>
      <x:c r="W6" s="42" t="str">
        <x:v>Fire extinguished; crew evacuated</x:v>
      </x:c>
      <x:c r="X6" s="42" t="str"/>
      <x:c r="Y6" s="42" t="str"/>
      <x:c r="Z6" s="42" t="str"/>
      <x:c r="AA6" s="42" t="str">
        <x:v>German Navy Shipping Centre brief, pp. 8-10</x:v>
      </x:c>
      <x:c r="AB6" s="42" t="str">
        <x:v>Needs canonical event resolution</x:v>
      </x:c>
      <x:c r="AC6" s="42" t="str"/>
    </x:row>
    <x:row r="7">
      <x:c r="A7" s="42" t="str">
        <x:v>OBS_000006</x:v>
      </x:c>
      <x:c r="B7" s="42" t="str"/>
      <x:c r="C7" s="42" t="str">
        <x:v>maritime_attacks_2026</x:v>
      </x:c>
      <x:c r="D7" s="42" t="str">
        <x:v>6</x:v>
      </x:c>
      <x:c r="E7" s="42" t="str">
        <x:v>2026-03-03</x:v>
      </x:c>
      <x:c r="F7" s="42" t="str">
        <x:v>Conflict / Security</x:v>
      </x:c>
      <x:c r="G7" s="42" t="str">
        <x:v>Conflict attack</x:v>
      </x:c>
      <x:c r="H7" s="42" t="str">
        <x:v>Unspecified</x:v>
      </x:c>
      <x:c r="I7" s="42" t="str">
        <x:v>Maritime</x:v>
      </x:c>
      <x:c r="J7" s="42" t="str">
        <x:v>Persian Gulf / Strait of Hormuz / Gulf of Oman</x:v>
      </x:c>
      <x:c r="K7" s="42" t="str"/>
      <x:c r="L7" s="42" t="str">
        <x:v>At anchor, Fujairah, UAE</x:v>
      </x:c>
      <x:c r="M7" s="42" t="str"/>
      <x:c r="N7" s="42" t="str"/>
      <x:c r="O7" s="42" t="str">
        <x:v>GOLD OAK</x:v>
      </x:c>
      <x:c r="P7" s="42" t="str">
        <x:v>9806342</x:v>
      </x:c>
      <x:c r="Q7" s="42" t="str">
        <x:v>Bulk carrier</x:v>
      </x:c>
      <x:c r="R7" s="42" t="str"/>
      <x:c r="S7" s="42" t="str">
        <x:v>Lateral hit</x:v>
      </x:c>
      <x:c r="T7" s="42" t="str">
        <x:v>Hit</x:v>
      </x:c>
      <x:c r="U7" s="42" t="str">
        <x:v>0</x:v>
      </x:c>
      <x:c r="V7" s="42" t="str">
        <x:v>0</x:v>
      </x:c>
      <x:c r="W7" s="42" t="str">
        <x:v>Lateral hit</x:v>
      </x:c>
      <x:c r="X7" s="42" t="str"/>
      <x:c r="Y7" s="42" t="str"/>
      <x:c r="Z7" s="42" t="str"/>
      <x:c r="AA7" s="42" t="str">
        <x:v>German Navy Shipping Centre brief, pp. 8-10</x:v>
      </x:c>
      <x:c r="AB7" s="42" t="str">
        <x:v>Needs canonical event resolution</x:v>
      </x:c>
      <x:c r="AC7" s="42" t="str"/>
    </x:row>
    <x:row r="8">
      <x:c r="A8" s="42" t="str">
        <x:v>OBS_000007</x:v>
      </x:c>
      <x:c r="B8" s="42" t="str"/>
      <x:c r="C8" s="42" t="str">
        <x:v>maritime_attacks_2026</x:v>
      </x:c>
      <x:c r="D8" s="42" t="str">
        <x:v>7</x:v>
      </x:c>
      <x:c r="E8" s="42" t="str">
        <x:v>2026-03-03</x:v>
      </x:c>
      <x:c r="F8" s="42" t="str">
        <x:v>Conflict / Security</x:v>
      </x:c>
      <x:c r="G8" s="42" t="str">
        <x:v>Conflict attack</x:v>
      </x:c>
      <x:c r="H8" s="42" t="str">
        <x:v>Unspecified</x:v>
      </x:c>
      <x:c r="I8" s="42" t="str">
        <x:v>Maritime</x:v>
      </x:c>
      <x:c r="J8" s="42" t="str">
        <x:v>Persian Gulf / Strait of Hormuz / Gulf of Oman</x:v>
      </x:c>
      <x:c r="K8" s="42" t="str"/>
      <x:c r="L8" s="42" t="str"/>
      <x:c r="M8" s="42" t="str"/>
      <x:c r="N8" s="42" t="str"/>
      <x:c r="O8" s="42" t="str">
        <x:v>PELAGIA</x:v>
      </x:c>
      <x:c r="P8" s="42" t="str">
        <x:v>9433626</x:v>
      </x:c>
      <x:c r="Q8" s="42" t="str">
        <x:v>Bulk carrier</x:v>
      </x:c>
      <x:c r="R8" s="42" t="str"/>
      <x:c r="S8" s="42" t="str">
        <x:v>Loud explosion and smoke observed near vessel</x:v>
      </x:c>
      <x:c r="T8" s="42" t="str">
        <x:v>Nearby explosion</x:v>
      </x:c>
      <x:c r="U8" s="42" t="str">
        <x:v>0</x:v>
      </x:c>
      <x:c r="V8" s="42" t="str">
        <x:v>0</x:v>
      </x:c>
      <x:c r="W8" s="42" t="str">
        <x:v>Loud explosion and smoke observed near vessel</x:v>
      </x:c>
      <x:c r="X8" s="42" t="str"/>
      <x:c r="Y8" s="42" t="str"/>
      <x:c r="Z8" s="42" t="str"/>
      <x:c r="AA8" s="42" t="str">
        <x:v>German Navy Shipping Centre brief, pp. 8-10</x:v>
      </x:c>
      <x:c r="AB8" s="42" t="str">
        <x:v>Needs canonical event resolution</x:v>
      </x:c>
      <x:c r="AC8" s="42" t="str"/>
    </x:row>
    <x:row r="9">
      <x:c r="A9" s="42" t="str">
        <x:v>OBS_000008</x:v>
      </x:c>
      <x:c r="B9" s="42" t="str"/>
      <x:c r="C9" s="42" t="str">
        <x:v>maritime_attacks_2026</x:v>
      </x:c>
      <x:c r="D9" s="42" t="str">
        <x:v>8</x:v>
      </x:c>
      <x:c r="E9" s="42" t="str">
        <x:v>2026-03-03</x:v>
      </x:c>
      <x:c r="F9" s="42" t="str">
        <x:v>Conflict / Security</x:v>
      </x:c>
      <x:c r="G9" s="42" t="str">
        <x:v>Conflict attack</x:v>
      </x:c>
      <x:c r="H9" s="42" t="str">
        <x:v>Unknown projectile</x:v>
      </x:c>
      <x:c r="I9" s="42" t="str">
        <x:v>Maritime</x:v>
      </x:c>
      <x:c r="J9" s="42" t="str">
        <x:v>Persian Gulf / Strait of Hormuz / Gulf of Oman</x:v>
      </x:c>
      <x:c r="K9" s="42" t="str"/>
      <x:c r="L9" s="42" t="str"/>
      <x:c r="M9" s="42" t="str"/>
      <x:c r="N9" s="42" t="str"/>
      <x:c r="O9" s="42" t="str">
        <x:v>LIBRA TRADER</x:v>
      </x:c>
      <x:c r="P9" s="42" t="str">
        <x:v>9562673</x:v>
      </x:c>
      <x:c r="Q9" s="42" t="str">
        <x:v>Tanker</x:v>
      </x:c>
      <x:c r="R9" s="42" t="str"/>
      <x:c r="S9" s="42" t="str">
        <x:v>Minor damage</x:v>
      </x:c>
      <x:c r="T9" s="42" t="str">
        <x:v>Hit</x:v>
      </x:c>
      <x:c r="U9" s="42" t="str">
        <x:v>0</x:v>
      </x:c>
      <x:c r="V9" s="42" t="str">
        <x:v>0</x:v>
      </x:c>
      <x:c r="W9" s="42" t="str">
        <x:v>Minor damage</x:v>
      </x:c>
      <x:c r="X9" s="42" t="str"/>
      <x:c r="Y9" s="42" t="str"/>
      <x:c r="Z9" s="42" t="str"/>
      <x:c r="AA9" s="42" t="str">
        <x:v>German Navy Shipping Centre brief, pp. 8-10</x:v>
      </x:c>
      <x:c r="AB9" s="42" t="str">
        <x:v>Needs canonical event resolution</x:v>
      </x:c>
      <x:c r="AC9" s="42" t="str"/>
    </x:row>
    <x:row r="10">
      <x:c r="A10" s="42" t="str">
        <x:v>OBS_000009</x:v>
      </x:c>
      <x:c r="B10" s="42" t="str"/>
      <x:c r="C10" s="42" t="str">
        <x:v>maritime_attacks_2026</x:v>
      </x:c>
      <x:c r="D10" s="42" t="str">
        <x:v>9</x:v>
      </x:c>
      <x:c r="E10" s="42" t="str">
        <x:v>2026-03-04</x:v>
      </x:c>
      <x:c r="F10" s="42" t="str">
        <x:v>Conflict / Security</x:v>
      </x:c>
      <x:c r="G10" s="42" t="str">
        <x:v>Conflict attack</x:v>
      </x:c>
      <x:c r="H10" s="42" t="str">
        <x:v>Projectile</x:v>
      </x:c>
      <x:c r="I10" s="42" t="str">
        <x:v>Maritime</x:v>
      </x:c>
      <x:c r="J10" s="42" t="str">
        <x:v>Persian Gulf / Strait of Hormuz / Gulf of Oman</x:v>
      </x:c>
      <x:c r="K10" s="42" t="str"/>
      <x:c r="L10" s="42" t="str"/>
      <x:c r="M10" s="42" t="str"/>
      <x:c r="N10" s="42" t="str"/>
      <x:c r="O10" s="42" t="str">
        <x:v>SAFEEN PRESTIGE</x:v>
      </x:c>
      <x:c r="P10" s="42" t="str">
        <x:v>9593517</x:v>
      </x:c>
      <x:c r="Q10" s="42" t="str">
        <x:v>Container ship</x:v>
      </x:c>
      <x:c r="R10" s="42" t="str"/>
      <x:c r="S10" s="42" t="str">
        <x:v>Projectile passed through vessel; fire; crew abandoned. Further attack 18 Mar while unmanned</x:v>
      </x:c>
      <x:c r="T10" s="42" t="str">
        <x:v>Hit</x:v>
      </x:c>
      <x:c r="U10" s="42" t="str">
        <x:v>0</x:v>
      </x:c>
      <x:c r="V10" s="42" t="str">
        <x:v>0</x:v>
      </x:c>
      <x:c r="W10" s="42" t="str">
        <x:v>Projectile passed through vessel; fire; crew abandoned. Further attack 18 Mar while unmanned</x:v>
      </x:c>
      <x:c r="X10" s="42" t="str"/>
      <x:c r="Y10" s="42" t="str"/>
      <x:c r="Z10" s="42" t="str"/>
      <x:c r="AA10" s="42" t="str">
        <x:v>German Navy Shipping Centre brief, pp. 8-10</x:v>
      </x:c>
      <x:c r="AB10" s="42" t="str">
        <x:v>Needs canonical event resolution</x:v>
      </x:c>
      <x:c r="AC10" s="42" t="str"/>
    </x:row>
    <x:row r="11">
      <x:c r="A11" s="42" t="str">
        <x:v>OBS_000010</x:v>
      </x:c>
      <x:c r="B11" s="42" t="str"/>
      <x:c r="C11" s="42" t="str">
        <x:v>maritime_attacks_2026</x:v>
      </x:c>
      <x:c r="D11" s="42" t="str">
        <x:v>10</x:v>
      </x:c>
      <x:c r="E11" s="42" t="str">
        <x:v>2026-03-04</x:v>
      </x:c>
      <x:c r="F11" s="42" t="str">
        <x:v>Conflict / Security</x:v>
      </x:c>
      <x:c r="G11" s="42" t="str">
        <x:v>Conflict attack</x:v>
      </x:c>
      <x:c r="H11" s="42" t="str">
        <x:v>Unspecified</x:v>
      </x:c>
      <x:c r="I11" s="42" t="str">
        <x:v>Maritime</x:v>
      </x:c>
      <x:c r="J11" s="42" t="str">
        <x:v>Persian Gulf / Strait of Hormuz / Gulf of Oman</x:v>
      </x:c>
      <x:c r="K11" s="42" t="str"/>
      <x:c r="L11" s="42" t="str">
        <x:v>At anchor, Iraqi waters</x:v>
      </x:c>
      <x:c r="M11" s="42" t="str"/>
      <x:c r="N11" s="42" t="str"/>
      <x:c r="O11" s="42" t="str">
        <x:v>SONANGOL NAMIBE</x:v>
      </x:c>
      <x:c r="P11" s="42" t="str">
        <x:v>9325049</x:v>
      </x:c>
      <x:c r="Q11" s="42" t="str">
        <x:v>Crude oil tanker</x:v>
      </x:c>
      <x:c r="R11" s="42" t="str"/>
      <x:c r="S11" s="42" t="str">
        <x:v>Water ingress and ballast-water leakage</x:v>
      </x:c>
      <x:c r="T11" s="42" t="str">
        <x:v>Hit</x:v>
      </x:c>
      <x:c r="U11" s="42" t="str">
        <x:v>0</x:v>
      </x:c>
      <x:c r="V11" s="42" t="str">
        <x:v>0</x:v>
      </x:c>
      <x:c r="W11" s="42" t="str">
        <x:v>Water ingress and ballast-water leakage</x:v>
      </x:c>
      <x:c r="X11" s="42" t="str"/>
      <x:c r="Y11" s="42" t="str"/>
      <x:c r="Z11" s="42" t="str"/>
      <x:c r="AA11" s="42" t="str">
        <x:v>German Navy Shipping Centre brief, pp. 8-10</x:v>
      </x:c>
      <x:c r="AB11" s="42" t="str">
        <x:v>Needs canonical event resolution</x:v>
      </x:c>
      <x:c r="AC11" s="42" t="str"/>
    </x:row>
    <x:row r="12">
      <x:c r="A12" s="42" t="str">
        <x:v>OBS_000011</x:v>
      </x:c>
      <x:c r="B12" s="42" t="str"/>
      <x:c r="C12" s="42" t="str">
        <x:v>maritime_attacks_2026</x:v>
      </x:c>
      <x:c r="D12" s="42" t="str">
        <x:v>11</x:v>
      </x:c>
      <x:c r="E12" s="42" t="str">
        <x:v>2026-03-06</x:v>
      </x:c>
      <x:c r="F12" s="42" t="str">
        <x:v>Conflict / Security</x:v>
      </x:c>
      <x:c r="G12" s="42" t="str">
        <x:v>Conflict attack</x:v>
      </x:c>
      <x:c r="H12" s="42" t="str">
        <x:v>Two missiles</x:v>
      </x:c>
      <x:c r="I12" s="42" t="str">
        <x:v>Maritime</x:v>
      </x:c>
      <x:c r="J12" s="42" t="str">
        <x:v>Persian Gulf / Strait of Hormuz / Gulf of Oman</x:v>
      </x:c>
      <x:c r="K12" s="42" t="str"/>
      <x:c r="L12" s="42" t="str">
        <x:v>En route to salvage SAFEEN PRESTIGE</x:v>
      </x:c>
      <x:c r="M12" s="42" t="str"/>
      <x:c r="N12" s="42" t="str"/>
      <x:c r="O12" s="42" t="str">
        <x:v>MUSSAFAH 2</x:v>
      </x:c>
      <x:c r="P12" s="42" t="str">
        <x:v>9522051</x:v>
      </x:c>
      <x:c r="Q12" s="42" t="str">
        <x:v>Tug</x:v>
      </x:c>
      <x:c r="R12" s="42" t="str"/>
      <x:c r="S12" s="42" t="str">
        <x:v>4 dead, 3 injured</x:v>
      </x:c>
      <x:c r="T12" s="42" t="str">
        <x:v>Hit</x:v>
      </x:c>
      <x:c r="U12" s="42" t="str">
        <x:v>4</x:v>
      </x:c>
      <x:c r="V12" s="42" t="str">
        <x:v>3</x:v>
      </x:c>
      <x:c r="W12" s="42" t="str">
        <x:v>4 dead, 3 injured</x:v>
      </x:c>
      <x:c r="X12" s="42" t="str"/>
      <x:c r="Y12" s="42" t="str"/>
      <x:c r="Z12" s="42" t="str"/>
      <x:c r="AA12" s="42" t="str">
        <x:v>German Navy Shipping Centre brief, pp. 8-10</x:v>
      </x:c>
      <x:c r="AB12" s="42" t="str">
        <x:v>Needs canonical event resolution</x:v>
      </x:c>
      <x:c r="AC12" s="42" t="str"/>
    </x:row>
    <x:row r="13">
      <x:c r="A13" s="42" t="str">
        <x:v>OBS_000012</x:v>
      </x:c>
      <x:c r="B13" s="42" t="str"/>
      <x:c r="C13" s="42" t="str">
        <x:v>maritime_attacks_2026</x:v>
      </x:c>
      <x:c r="D13" s="42" t="str">
        <x:v>12</x:v>
      </x:c>
      <x:c r="E13" s="42" t="str">
        <x:v>2026-03-07</x:v>
      </x:c>
      <x:c r="F13" s="42" t="str">
        <x:v>Conflict / Security</x:v>
      </x:c>
      <x:c r="G13" s="42" t="str">
        <x:v>Conflict attack</x:v>
      </x:c>
      <x:c r="H13" s="42" t="str">
        <x:v>Unspecified</x:v>
      </x:c>
      <x:c r="I13" s="42" t="str">
        <x:v>Maritime</x:v>
      </x:c>
      <x:c r="J13" s="42" t="str">
        <x:v>Persian Gulf / Strait of Hormuz / Gulf of Oman</x:v>
      </x:c>
      <x:c r="K13" s="42" t="str"/>
      <x:c r="L13" s="42" t="str"/>
      <x:c r="M13" s="42" t="str"/>
      <x:c r="N13" s="42" t="str"/>
      <x:c r="O13" s="42" t="str">
        <x:v>ARABIA III</x:v>
      </x:c>
      <x:c r="P13" s="42" t="str">
        <x:v>8771332</x:v>
      </x:c>
      <x:c r="Q13" s="42" t="str">
        <x:v>Drilling rig</x:v>
      </x:c>
      <x:c r="R13" s="42" t="str"/>
      <x:c r="S13" s="42" t="str">
        <x:v>Fire under control; one injured; crew reduced to minimum</x:v>
      </x:c>
      <x:c r="T13" s="42" t="str">
        <x:v>Hit</x:v>
      </x:c>
      <x:c r="U13" s="42" t="str">
        <x:v>0</x:v>
      </x:c>
      <x:c r="V13" s="42" t="str">
        <x:v>1</x:v>
      </x:c>
      <x:c r="W13" s="42" t="str">
        <x:v>Fire under control; one injured; crew reduced to minimum</x:v>
      </x:c>
      <x:c r="X13" s="42" t="str"/>
      <x:c r="Y13" s="42" t="str"/>
      <x:c r="Z13" s="42" t="str"/>
      <x:c r="AA13" s="42" t="str">
        <x:v>German Navy Shipping Centre brief, pp. 8-10</x:v>
      </x:c>
      <x:c r="AB13" s="42" t="str">
        <x:v>Needs canonical event resolution</x:v>
      </x:c>
      <x:c r="AC13" s="42" t="str"/>
    </x:row>
    <x:row r="14">
      <x:c r="A14" s="42" t="str">
        <x:v>OBS_000013</x:v>
      </x:c>
      <x:c r="B14" s="42" t="str"/>
      <x:c r="C14" s="42" t="str">
        <x:v>maritime_attacks_2026</x:v>
      </x:c>
      <x:c r="D14" s="42" t="str">
        <x:v>13</x:v>
      </x:c>
      <x:c r="E14" s="42" t="str">
        <x:v>2026-03-11</x:v>
      </x:c>
      <x:c r="F14" s="42" t="str">
        <x:v>Conflict / Security</x:v>
      </x:c>
      <x:c r="G14" s="42" t="str">
        <x:v>Conflict attack</x:v>
      </x:c>
      <x:c r="H14" s="42" t="str">
        <x:v>Unspecified</x:v>
      </x:c>
      <x:c r="I14" s="42" t="str">
        <x:v>Maritime</x:v>
      </x:c>
      <x:c r="J14" s="42" t="str">
        <x:v>Persian Gulf / Strait of Hormuz / Gulf of Oman</x:v>
      </x:c>
      <x:c r="K14" s="42" t="str"/>
      <x:c r="L14" s="42" t="str"/>
      <x:c r="M14" s="42" t="str"/>
      <x:c r="N14" s="42" t="str"/>
      <x:c r="O14" s="42" t="str">
        <x:v>MAYUREE NAREE</x:v>
      </x:c>
      <x:c r="P14" s="42" t="str">
        <x:v>9323649</x:v>
      </x:c>
      <x:c r="Q14" s="42" t="str">
        <x:v>Bulk carrier</x:v>
      </x:c>
      <x:c r="R14" s="42" t="str"/>
      <x:c r="S14" s="42" t="str">
        <x:v>Fire under control; 3 missing</x:v>
      </x:c>
      <x:c r="T14" s="42" t="str">
        <x:v>Hit</x:v>
      </x:c>
      <x:c r="U14" s="42" t="str">
        <x:v>0</x:v>
      </x:c>
      <x:c r="V14" s="42" t="str">
        <x:v>0</x:v>
      </x:c>
      <x:c r="W14" s="42" t="str">
        <x:v>Fire under control; 3 missing</x:v>
      </x:c>
      <x:c r="X14" s="42" t="str"/>
      <x:c r="Y14" s="42" t="str"/>
      <x:c r="Z14" s="42" t="str"/>
      <x:c r="AA14" s="42" t="str">
        <x:v>German Navy Shipping Centre brief, pp. 8-10</x:v>
      </x:c>
      <x:c r="AB14" s="42" t="str">
        <x:v>Needs canonical event resolution</x:v>
      </x:c>
      <x:c r="AC14" s="42" t="str"/>
    </x:row>
    <x:row r="15">
      <x:c r="A15" s="42" t="str">
        <x:v>OBS_000014</x:v>
      </x:c>
      <x:c r="B15" s="42" t="str"/>
      <x:c r="C15" s="42" t="str">
        <x:v>maritime_attacks_2026</x:v>
      </x:c>
      <x:c r="D15" s="42" t="str">
        <x:v>14</x:v>
      </x:c>
      <x:c r="E15" s="42" t="str">
        <x:v>2026-03-11</x:v>
      </x:c>
      <x:c r="F15" s="42" t="str">
        <x:v>Conflict / Security</x:v>
      </x:c>
      <x:c r="G15" s="42" t="str">
        <x:v>Conflict attack</x:v>
      </x:c>
      <x:c r="H15" s="42" t="str">
        <x:v>Unspecified</x:v>
      </x:c>
      <x:c r="I15" s="42" t="str">
        <x:v>Maritime</x:v>
      </x:c>
      <x:c r="J15" s="42" t="str">
        <x:v>Persian Gulf / Strait of Hormuz / Gulf of Oman</x:v>
      </x:c>
      <x:c r="K15" s="42" t="str"/>
      <x:c r="L15" s="42" t="str"/>
      <x:c r="M15" s="42" t="str"/>
      <x:c r="N15" s="42" t="str"/>
      <x:c r="O15" s="42" t="str">
        <x:v>ONE MAJESTY</x:v>
      </x:c>
      <x:c r="P15" s="42" t="str">
        <x:v>9424912</x:v>
      </x:c>
      <x:c r="Q15" s="42" t="str">
        <x:v>Container ship</x:v>
      </x:c>
      <x:c r="R15" s="42" t="str"/>
      <x:c r="S15" s="42" t="str">
        <x:v>Damage to stern above waterline</x:v>
      </x:c>
      <x:c r="T15" s="42" t="str">
        <x:v>Hit</x:v>
      </x:c>
      <x:c r="U15" s="42" t="str">
        <x:v>0</x:v>
      </x:c>
      <x:c r="V15" s="42" t="str">
        <x:v>0</x:v>
      </x:c>
      <x:c r="W15" s="42" t="str">
        <x:v>Damage to stern above waterline</x:v>
      </x:c>
      <x:c r="X15" s="42" t="str"/>
      <x:c r="Y15" s="42" t="str"/>
      <x:c r="Z15" s="42" t="str"/>
      <x:c r="AA15" s="42" t="str">
        <x:v>German Navy Shipping Centre brief, pp. 8-10</x:v>
      </x:c>
      <x:c r="AB15" s="42" t="str">
        <x:v>Needs canonical event resolution</x:v>
      </x:c>
      <x:c r="AC15" s="42" t="str"/>
    </x:row>
    <x:row r="16">
      <x:c r="A16" s="42" t="str">
        <x:v>OBS_000015</x:v>
      </x:c>
      <x:c r="B16" s="42" t="str"/>
      <x:c r="C16" s="42" t="str">
        <x:v>maritime_attacks_2026</x:v>
      </x:c>
      <x:c r="D16" s="42" t="str">
        <x:v>15</x:v>
      </x:c>
      <x:c r="E16" s="42" t="str">
        <x:v>2026-03-11</x:v>
      </x:c>
      <x:c r="F16" s="42" t="str">
        <x:v>Conflict / Security</x:v>
      </x:c>
      <x:c r="G16" s="42" t="str">
        <x:v>Conflict attack</x:v>
      </x:c>
      <x:c r="H16" s="42" t="str">
        <x:v>Unspecified</x:v>
      </x:c>
      <x:c r="I16" s="42" t="str">
        <x:v>Maritime</x:v>
      </x:c>
      <x:c r="J16" s="42" t="str">
        <x:v>Persian Gulf / Strait of Hormuz / Gulf of Oman</x:v>
      </x:c>
      <x:c r="K16" s="42" t="str"/>
      <x:c r="L16" s="42" t="str"/>
      <x:c r="M16" s="42" t="str"/>
      <x:c r="N16" s="42" t="str"/>
      <x:c r="O16" s="42" t="str">
        <x:v>STAR GWYNETH</x:v>
      </x:c>
      <x:c r="P16" s="42" t="str">
        <x:v>9301031</x:v>
      </x:c>
      <x:c r="Q16" s="42" t="str">
        <x:v>Bulk carrier</x:v>
      </x:c>
      <x:c r="R16" s="42" t="str"/>
      <x:c r="S16" s="42" t="str">
        <x:v>Punctures in cargo hold and ballast tank; vessel listing</x:v>
      </x:c>
      <x:c r="T16" s="42" t="str">
        <x:v>Hit</x:v>
      </x:c>
      <x:c r="U16" s="42" t="str">
        <x:v>0</x:v>
      </x:c>
      <x:c r="V16" s="42" t="str">
        <x:v>0</x:v>
      </x:c>
      <x:c r="W16" s="42" t="str">
        <x:v>Punctures in cargo hold and ballast tank; vessel listing</x:v>
      </x:c>
      <x:c r="X16" s="42" t="str"/>
      <x:c r="Y16" s="42" t="str"/>
      <x:c r="Z16" s="42" t="str"/>
      <x:c r="AA16" s="42" t="str">
        <x:v>German Navy Shipping Centre brief, pp. 8-10</x:v>
      </x:c>
      <x:c r="AB16" s="42" t="str">
        <x:v>Needs canonical event resolution</x:v>
      </x:c>
      <x:c r="AC16" s="42" t="str"/>
    </x:row>
    <x:row r="17">
      <x:c r="A17" s="42" t="str">
        <x:v>OBS_000016</x:v>
      </x:c>
      <x:c r="B17" s="42" t="str"/>
      <x:c r="C17" s="42" t="str">
        <x:v>maritime_attacks_2026</x:v>
      </x:c>
      <x:c r="D17" s="42" t="str">
        <x:v>16</x:v>
      </x:c>
      <x:c r="E17" s="42" t="str">
        <x:v>2026-03-11</x:v>
      </x:c>
      <x:c r="F17" s="42" t="str">
        <x:v>Conflict / Security</x:v>
      </x:c>
      <x:c r="G17" s="42" t="str">
        <x:v>Conflict attack</x:v>
      </x:c>
      <x:c r="H17" s="42" t="str">
        <x:v>Unspecified</x:v>
      </x:c>
      <x:c r="I17" s="42" t="str">
        <x:v>Maritime</x:v>
      </x:c>
      <x:c r="J17" s="42" t="str">
        <x:v>Persian Gulf / Strait of Hormuz / Gulf of Oman</x:v>
      </x:c>
      <x:c r="K17" s="42" t="str"/>
      <x:c r="L17" s="42" t="str">
        <x:v>During STS with SAFESA VISHNU</x:v>
      </x:c>
      <x:c r="M17" s="42" t="str"/>
      <x:c r="N17" s="42" t="str"/>
      <x:c r="O17" s="42" t="str">
        <x:v>ZEFYROS</x:v>
      </x:c>
      <x:c r="P17" s="42" t="str">
        <x:v>9515917</x:v>
      </x:c>
      <x:c r="Q17" s="42" t="str">
        <x:v>Oil/chemical tanker</x:v>
      </x:c>
      <x:c r="R17" s="42" t="str"/>
      <x:c r="S17" s="42" t="str">
        <x:v>Fire; one fatality</x:v>
      </x:c>
      <x:c r="T17" s="42" t="str">
        <x:v>Hit</x:v>
      </x:c>
      <x:c r="U17" s="42" t="str">
        <x:v>1</x:v>
      </x:c>
      <x:c r="V17" s="42" t="str">
        <x:v>0</x:v>
      </x:c>
      <x:c r="W17" s="42" t="str">
        <x:v>Fire; one fatality</x:v>
      </x:c>
      <x:c r="X17" s="42" t="str"/>
      <x:c r="Y17" s="42" t="str"/>
      <x:c r="Z17" s="42" t="str"/>
      <x:c r="AA17" s="42" t="str">
        <x:v>German Navy Shipping Centre brief, pp. 8-10</x:v>
      </x:c>
      <x:c r="AB17" s="42" t="str">
        <x:v>Needs canonical event resolution</x:v>
      </x:c>
      <x:c r="AC17" s="42" t="str"/>
    </x:row>
    <x:row r="18">
      <x:c r="A18" s="42" t="str">
        <x:v>OBS_000017</x:v>
      </x:c>
      <x:c r="B18" s="42" t="str"/>
      <x:c r="C18" s="42" t="str">
        <x:v>maritime_attacks_2026</x:v>
      </x:c>
      <x:c r="D18" s="42" t="str">
        <x:v>17</x:v>
      </x:c>
      <x:c r="E18" s="42" t="str">
        <x:v>2026-03-11</x:v>
      </x:c>
      <x:c r="F18" s="42" t="str">
        <x:v>Conflict / Security</x:v>
      </x:c>
      <x:c r="G18" s="42" t="str">
        <x:v>Conflict attack</x:v>
      </x:c>
      <x:c r="H18" s="42" t="str">
        <x:v>Unspecified</x:v>
      </x:c>
      <x:c r="I18" s="42" t="str">
        <x:v>Maritime</x:v>
      </x:c>
      <x:c r="J18" s="42" t="str">
        <x:v>Persian Gulf / Strait of Hormuz / Gulf of Oman</x:v>
      </x:c>
      <x:c r="K18" s="42" t="str"/>
      <x:c r="L18" s="42" t="str">
        <x:v>During STS with ZEFYROS</x:v>
      </x:c>
      <x:c r="M18" s="42" t="str"/>
      <x:c r="N18" s="42" t="str"/>
      <x:c r="O18" s="42" t="str">
        <x:v>SAFESA VISHNU</x:v>
      </x:c>
      <x:c r="P18" s="42" t="str">
        <x:v>9327009</x:v>
      </x:c>
      <x:c r="Q18" s="42" t="str">
        <x:v>Crude oil tanker</x:v>
      </x:c>
      <x:c r="R18" s="42" t="str"/>
      <x:c r="S18" s="42" t="str">
        <x:v>Fire</x:v>
      </x:c>
      <x:c r="T18" s="42" t="str">
        <x:v>Hit</x:v>
      </x:c>
      <x:c r="U18" s="42" t="str">
        <x:v>0</x:v>
      </x:c>
      <x:c r="V18" s="42" t="str">
        <x:v>0</x:v>
      </x:c>
      <x:c r="W18" s="42" t="str">
        <x:v>Fire</x:v>
      </x:c>
      <x:c r="X18" s="42" t="str"/>
      <x:c r="Y18" s="42" t="str"/>
      <x:c r="Z18" s="42" t="str"/>
      <x:c r="AA18" s="42" t="str">
        <x:v>German Navy Shipping Centre brief, pp. 8-10</x:v>
      </x:c>
      <x:c r="AB18" s="42" t="str">
        <x:v>Needs canonical event resolution</x:v>
      </x:c>
      <x:c r="AC18" s="42" t="str"/>
    </x:row>
    <x:row r="19">
      <x:c r="A19" s="42" t="str">
        <x:v>OBS_000018</x:v>
      </x:c>
      <x:c r="B19" s="42" t="str"/>
      <x:c r="C19" s="42" t="str">
        <x:v>maritime_attacks_2026</x:v>
      </x:c>
      <x:c r="D19" s="42" t="str">
        <x:v>18</x:v>
      </x:c>
      <x:c r="E19" s="42" t="str">
        <x:v>2026-03-12</x:v>
      </x:c>
      <x:c r="F19" s="42" t="str">
        <x:v>Conflict / Security</x:v>
      </x:c>
      <x:c r="G19" s="42" t="str">
        <x:v>Conflict attack</x:v>
      </x:c>
      <x:c r="H19" s="42" t="str">
        <x:v>Unspecified</x:v>
      </x:c>
      <x:c r="I19" s="42" t="str">
        <x:v>Maritime</x:v>
      </x:c>
      <x:c r="J19" s="42" t="str">
        <x:v>Persian Gulf / Strait of Hormuz / Gulf of Oman</x:v>
      </x:c>
      <x:c r="K19" s="42" t="str"/>
      <x:c r="L19" s="42" t="str"/>
      <x:c r="M19" s="42" t="str"/>
      <x:c r="N19" s="42" t="str"/>
      <x:c r="O19" s="42" t="str">
        <x:v>SOURCE BLESSING</x:v>
      </x:c>
      <x:c r="P19" s="42" t="str">
        <x:v>9243198</x:v>
      </x:c>
      <x:c r="Q19" s="42" t="str">
        <x:v>Container ship</x:v>
      </x:c>
      <x:c r="R19" s="42" t="str"/>
      <x:c r="S19" s="42" t="str">
        <x:v>Fire extinguished; German link</x:v>
      </x:c>
      <x:c r="T19" s="42" t="str">
        <x:v>Hit</x:v>
      </x:c>
      <x:c r="U19" s="42" t="str">
        <x:v>0</x:v>
      </x:c>
      <x:c r="V19" s="42" t="str">
        <x:v>0</x:v>
      </x:c>
      <x:c r="W19" s="42" t="str">
        <x:v>Fire extinguished; German link</x:v>
      </x:c>
      <x:c r="X19" s="42" t="str"/>
      <x:c r="Y19" s="42" t="str"/>
      <x:c r="Z19" s="42" t="str"/>
      <x:c r="AA19" s="42" t="str">
        <x:v>German Navy Shipping Centre brief, pp. 8-10</x:v>
      </x:c>
      <x:c r="AB19" s="42" t="str">
        <x:v>Needs canonical event resolution</x:v>
      </x:c>
      <x:c r="AC19" s="42" t="str"/>
    </x:row>
    <x:row r="20">
      <x:c r="A20" s="42" t="str">
        <x:v>OBS_000019</x:v>
      </x:c>
      <x:c r="B20" s="42" t="str"/>
      <x:c r="C20" s="42" t="str">
        <x:v>maritime_attacks_2026</x:v>
      </x:c>
      <x:c r="D20" s="42" t="str">
        <x:v>19</x:v>
      </x:c>
      <x:c r="E20" s="42" t="str">
        <x:v>2026-03-30</x:v>
      </x:c>
      <x:c r="F20" s="42" t="str">
        <x:v>Conflict / Security</x:v>
      </x:c>
      <x:c r="G20" s="42" t="str">
        <x:v>Conflict attack</x:v>
      </x:c>
      <x:c r="H20" s="42" t="str">
        <x:v>Drone</x:v>
      </x:c>
      <x:c r="I20" s="42" t="str">
        <x:v>Maritime</x:v>
      </x:c>
      <x:c r="J20" s="42" t="str">
        <x:v>Persian Gulf / Strait of Hormuz / Gulf of Oman</x:v>
      </x:c>
      <x:c r="K20" s="42" t="str"/>
      <x:c r="L20" s="42" t="str"/>
      <x:c r="M20" s="42" t="str"/>
      <x:c r="N20" s="42" t="str"/>
      <x:c r="O20" s="42" t="str">
        <x:v>AL SALMI</x:v>
      </x:c>
      <x:c r="P20" s="42" t="str">
        <x:v>9534793</x:v>
      </x:c>
      <x:c r="Q20" s="42" t="str">
        <x:v>Tanker</x:v>
      </x:c>
      <x:c r="R20" s="42" t="str"/>
      <x:c r="S20" s="42" t="str">
        <x:v>Drone impact on starboard side; fire</x:v>
      </x:c>
      <x:c r="T20" s="42" t="str">
        <x:v>Hit</x:v>
      </x:c>
      <x:c r="U20" s="42" t="str">
        <x:v>0</x:v>
      </x:c>
      <x:c r="V20" s="42" t="str">
        <x:v>0</x:v>
      </x:c>
      <x:c r="W20" s="42" t="str">
        <x:v>Drone impact on starboard side; fire</x:v>
      </x:c>
      <x:c r="X20" s="42" t="str"/>
      <x:c r="Y20" s="42" t="str"/>
      <x:c r="Z20" s="42" t="str"/>
      <x:c r="AA20" s="42" t="str">
        <x:v>German Navy Shipping Centre brief, pp. 8-10</x:v>
      </x:c>
      <x:c r="AB20" s="42" t="str">
        <x:v>Needs canonical event resolution</x:v>
      </x:c>
      <x:c r="AC20" s="42" t="str"/>
    </x:row>
    <x:row r="21">
      <x:c r="A21" s="42" t="str">
        <x:v>OBS_000020</x:v>
      </x:c>
      <x:c r="B21" s="42" t="str"/>
      <x:c r="C21" s="42" t="str">
        <x:v>maritime_attacks_2026</x:v>
      </x:c>
      <x:c r="D21" s="42" t="str">
        <x:v>20</x:v>
      </x:c>
      <x:c r="E21" s="42" t="str">
        <x:v>2026-03-31</x:v>
      </x:c>
      <x:c r="F21" s="42" t="str">
        <x:v>Conflict / Security</x:v>
      </x:c>
      <x:c r="G21" s="42" t="str">
        <x:v>Conflict attack</x:v>
      </x:c>
      <x:c r="H21" s="42" t="str">
        <x:v>Explosive / unexploded charge</x:v>
      </x:c>
      <x:c r="I21" s="42" t="str">
        <x:v>Maritime</x:v>
      </x:c>
      <x:c r="J21" s="42" t="str">
        <x:v>Persian Gulf / Strait of Hormuz / Gulf of Oman</x:v>
      </x:c>
      <x:c r="K21" s="42" t="str"/>
      <x:c r="L21" s="42" t="str"/>
      <x:c r="M21" s="42" t="str"/>
      <x:c r="N21" s="42" t="str"/>
      <x:c r="O21" s="42" t="str">
        <x:v>AQUA 1</x:v>
      </x:c>
      <x:c r="P21" s="42" t="str">
        <x:v>9573660</x:v>
      </x:c>
      <x:c r="Q21" s="42" t="str">
        <x:v>Tanker</x:v>
      </x:c>
      <x:c r="R21" s="42" t="str"/>
      <x:c r="S21" s="42" t="str">
        <x:v>Two hits; one explosion and one unexploded charge in engine room</x:v>
      </x:c>
      <x:c r="T21" s="42" t="str">
        <x:v>Hit</x:v>
      </x:c>
      <x:c r="U21" s="42" t="str">
        <x:v>0</x:v>
      </x:c>
      <x:c r="V21" s="42" t="str">
        <x:v>0</x:v>
      </x:c>
      <x:c r="W21" s="42" t="str">
        <x:v>Two hits; one explosion and one unexploded charge in engine room</x:v>
      </x:c>
      <x:c r="X21" s="42" t="str"/>
      <x:c r="Y21" s="42" t="str"/>
      <x:c r="Z21" s="42" t="str"/>
      <x:c r="AA21" s="42" t="str">
        <x:v>German Navy Shipping Centre brief, pp. 8-10</x:v>
      </x:c>
      <x:c r="AB21" s="42" t="str">
        <x:v>Needs canonical event resolution</x:v>
      </x:c>
      <x:c r="AC21" s="42" t="str"/>
    </x:row>
    <x:row r="22">
      <x:c r="A22" s="42" t="str">
        <x:v>OBS_000021</x:v>
      </x:c>
      <x:c r="B22" s="42" t="str"/>
      <x:c r="C22" s="42" t="str">
        <x:v>maritime_attacks_2026</x:v>
      </x:c>
      <x:c r="D22" s="42" t="str">
        <x:v>21</x:v>
      </x:c>
      <x:c r="E22" s="42" t="str">
        <x:v>2026-04-07</x:v>
      </x:c>
      <x:c r="F22" s="42" t="str">
        <x:v>Conflict / Security</x:v>
      </x:c>
      <x:c r="G22" s="42" t="str">
        <x:v>Conflict attack</x:v>
      </x:c>
      <x:c r="H22" s="42" t="str">
        <x:v>Unknown projectile</x:v>
      </x:c>
      <x:c r="I22" s="42" t="str">
        <x:v>Maritime</x:v>
      </x:c>
      <x:c r="J22" s="42" t="str">
        <x:v>Persian Gulf / Strait of Hormuz / Gulf of Oman</x:v>
      </x:c>
      <x:c r="K22" s="42" t="str"/>
      <x:c r="L22" s="42" t="str"/>
      <x:c r="M22" s="42" t="str"/>
      <x:c r="N22" s="42" t="str"/>
      <x:c r="O22" s="42" t="str">
        <x:v>QINGDAO STAR</x:v>
      </x:c>
      <x:c r="P22" s="42" t="str">
        <x:v>9318163</x:v>
      </x:c>
      <x:c r="Q22" s="42" t="str">
        <x:v>Container ship</x:v>
      </x:c>
      <x:c r="R22" s="42" t="str"/>
      <x:c r="S22" s="42" t="str">
        <x:v>Damage above waterline</x:v>
      </x:c>
      <x:c r="T22" s="42" t="str">
        <x:v>Hit</x:v>
      </x:c>
      <x:c r="U22" s="42" t="str">
        <x:v>0</x:v>
      </x:c>
      <x:c r="V22" s="42" t="str">
        <x:v>0</x:v>
      </x:c>
      <x:c r="W22" s="42" t="str">
        <x:v>Damage above waterline</x:v>
      </x:c>
      <x:c r="X22" s="42" t="str"/>
      <x:c r="Y22" s="42" t="str"/>
      <x:c r="Z22" s="42" t="str"/>
      <x:c r="AA22" s="42" t="str">
        <x:v>German Navy Shipping Centre brief, pp. 8-10</x:v>
      </x:c>
      <x:c r="AB22" s="42" t="str">
        <x:v>Needs canonical event resolution</x:v>
      </x:c>
      <x:c r="AC22" s="42" t="str"/>
    </x:row>
    <x:row r="23">
      <x:c r="A23" s="42" t="str">
        <x:v>OBS_000022</x:v>
      </x:c>
      <x:c r="B23" s="42" t="str"/>
      <x:c r="C23" s="42" t="str">
        <x:v>maritime_attacks_2026</x:v>
      </x:c>
      <x:c r="D23" s="42" t="str">
        <x:v>22</x:v>
      </x:c>
      <x:c r="E23" s="42" t="str">
        <x:v>2026-04-07</x:v>
      </x:c>
      <x:c r="F23" s="42" t="str">
        <x:v>Conflict / Security</x:v>
      </x:c>
      <x:c r="G23" s="42" t="str">
        <x:v>Conflict attack</x:v>
      </x:c>
      <x:c r="H23" s="42" t="str">
        <x:v>Up to two missiles/drones</x:v>
      </x:c>
      <x:c r="I23" s="42" t="str">
        <x:v>Maritime</x:v>
      </x:c>
      <x:c r="J23" s="42" t="str">
        <x:v>Persian Gulf / Strait of Hormuz / Gulf of Oman</x:v>
      </x:c>
      <x:c r="K23" s="42" t="str"/>
      <x:c r="L23" s="42" t="str">
        <x:v>200 nm south of Pakistan</x:v>
      </x:c>
      <x:c r="M23" s="42" t="str"/>
      <x:c r="N23" s="42" t="str"/>
      <x:c r="O23" s="42" t="str">
        <x:v>GOLD AUTUMN</x:v>
      </x:c>
      <x:c r="P23" s="42" t="str">
        <x:v>9220483</x:v>
      </x:c>
      <x:c r="Q23" s="42" t="str">
        <x:v>Bulk carrier</x:v>
      </x:c>
      <x:c r="R23" s="42" t="str"/>
      <x:c r="S23" s="42" t="str">
        <x:v>Fire; crew rescued by Pakistan</x:v>
      </x:c>
      <x:c r="T23" s="42" t="str">
        <x:v>Hit</x:v>
      </x:c>
      <x:c r="U23" s="42" t="str">
        <x:v>0</x:v>
      </x:c>
      <x:c r="V23" s="42" t="str">
        <x:v>0</x:v>
      </x:c>
      <x:c r="W23" s="42" t="str">
        <x:v>Fire; crew rescued by Pakistan</x:v>
      </x:c>
      <x:c r="X23" s="42" t="str"/>
      <x:c r="Y23" s="42" t="str"/>
      <x:c r="Z23" s="42" t="str"/>
      <x:c r="AA23" s="42" t="str">
        <x:v>German Navy Shipping Centre brief, pp. 8-10</x:v>
      </x:c>
      <x:c r="AB23" s="42" t="str">
        <x:v>Needs canonical event resolution</x:v>
      </x:c>
      <x:c r="AC23" s="42" t="str"/>
    </x:row>
    <x:row r="24">
      <x:c r="A24" s="42" t="str">
        <x:v>OBS_000023</x:v>
      </x:c>
      <x:c r="B24" s="42" t="str"/>
      <x:c r="C24" s="42" t="str">
        <x:v>maritime_attacks_2026</x:v>
      </x:c>
      <x:c r="D24" s="42" t="str">
        <x:v>23</x:v>
      </x:c>
      <x:c r="E24" s="42" t="str">
        <x:v>2026-04-18</x:v>
      </x:c>
      <x:c r="F24" s="42" t="str">
        <x:v>Conflict / Security</x:v>
      </x:c>
      <x:c r="G24" s="42" t="str">
        <x:v>State-linked maritime attack</x:v>
      </x:c>
      <x:c r="H24" s="42" t="str">
        <x:v>IRGC boats / small arms</x:v>
      </x:c>
      <x:c r="I24" s="42" t="str">
        <x:v>Maritime</x:v>
      </x:c>
      <x:c r="J24" s="42" t="str">
        <x:v>Persian Gulf / Strait of Hormuz / Gulf of Oman</x:v>
      </x:c>
      <x:c r="K24" s="42" t="str"/>
      <x:c r="L24" s="42" t="str"/>
      <x:c r="M24" s="42" t="str"/>
      <x:c r="N24" s="42" t="str"/>
      <x:c r="O24" s="42" t="str">
        <x:v>SANMAR HERALD</x:v>
      </x:c>
      <x:c r="P24" s="42" t="str">
        <x:v>9330563</x:v>
      </x:c>
      <x:c r="Q24" s="42" t="str">
        <x:v>Tanker</x:v>
      </x:c>
      <x:c r="R24" s="42" t="str"/>
      <x:c r="S24" s="42" t="str">
        <x:v>Damage to bridge windows</x:v>
      </x:c>
      <x:c r="T24" s="42" t="str">
        <x:v>Fired upon</x:v>
      </x:c>
      <x:c r="U24" s="42" t="str">
        <x:v>0</x:v>
      </x:c>
      <x:c r="V24" s="42" t="str">
        <x:v>0</x:v>
      </x:c>
      <x:c r="W24" s="42" t="str">
        <x:v>Damage to bridge windows</x:v>
      </x:c>
      <x:c r="X24" s="42" t="str"/>
      <x:c r="Y24" s="42" t="str"/>
      <x:c r="Z24" s="42" t="str"/>
      <x:c r="AA24" s="42" t="str">
        <x:v>German Navy Shipping Centre brief, pp. 8-10</x:v>
      </x:c>
      <x:c r="AB24" s="42" t="str">
        <x:v>Needs canonical event resolution</x:v>
      </x:c>
      <x:c r="AC24" s="42" t="str"/>
    </x:row>
    <x:row r="25">
      <x:c r="A25" s="42" t="str">
        <x:v>OBS_000024</x:v>
      </x:c>
      <x:c r="B25" s="42" t="str"/>
      <x:c r="C25" s="42" t="str">
        <x:v>maritime_attacks_2026</x:v>
      </x:c>
      <x:c r="D25" s="42" t="str">
        <x:v>24</x:v>
      </x:c>
      <x:c r="E25" s="42" t="str">
        <x:v>2026-04-18</x:v>
      </x:c>
      <x:c r="F25" s="42" t="str">
        <x:v>Conflict / Security</x:v>
      </x:c>
      <x:c r="G25" s="42" t="str">
        <x:v>Conflict attack</x:v>
      </x:c>
      <x:c r="H25" s="42" t="str">
        <x:v>Drone</x:v>
      </x:c>
      <x:c r="I25" s="42" t="str">
        <x:v>Maritime</x:v>
      </x:c>
      <x:c r="J25" s="42" t="str">
        <x:v>Persian Gulf / Strait of Hormuz / Gulf of Oman</x:v>
      </x:c>
      <x:c r="K25" s="42" t="str"/>
      <x:c r="L25" s="42" t="str"/>
      <x:c r="M25" s="42" t="str"/>
      <x:c r="N25" s="42" t="str"/>
      <x:c r="O25" s="42" t="str">
        <x:v>CMA CGM EVERGLADE</x:v>
      </x:c>
      <x:c r="P25" s="42" t="str">
        <x:v>9894985</x:v>
      </x:c>
      <x:c r="Q25" s="42" t="str">
        <x:v>Container ship</x:v>
      </x:c>
      <x:c r="R25" s="42" t="str"/>
      <x:c r="S25" s="42" t="str">
        <x:v>Damage to containers</x:v>
      </x:c>
      <x:c r="T25" s="42" t="str">
        <x:v>Hit</x:v>
      </x:c>
      <x:c r="U25" s="42" t="str">
        <x:v>0</x:v>
      </x:c>
      <x:c r="V25" s="42" t="str">
        <x:v>0</x:v>
      </x:c>
      <x:c r="W25" s="42" t="str">
        <x:v>Damage to containers</x:v>
      </x:c>
      <x:c r="X25" s="42" t="str"/>
      <x:c r="Y25" s="42" t="str"/>
      <x:c r="Z25" s="42" t="str"/>
      <x:c r="AA25" s="42" t="str">
        <x:v>German Navy Shipping Centre brief, pp. 8-10</x:v>
      </x:c>
      <x:c r="AB25" s="42" t="str">
        <x:v>Needs canonical event resolution</x:v>
      </x:c>
      <x:c r="AC25" s="42" t="str"/>
    </x:row>
    <x:row r="26">
      <x:c r="A26" s="42" t="str">
        <x:v>OBS_000025</x:v>
      </x:c>
      <x:c r="B26" s="42" t="str"/>
      <x:c r="C26" s="42" t="str">
        <x:v>maritime_attacks_2026</x:v>
      </x:c>
      <x:c r="D26" s="42" t="str">
        <x:v>25</x:v>
      </x:c>
      <x:c r="E26" s="42" t="str">
        <x:v>2026-04-18</x:v>
      </x:c>
      <x:c r="F26" s="42" t="str">
        <x:v>Conflict / Security</x:v>
      </x:c>
      <x:c r="G26" s="42" t="str">
        <x:v>Conflict-related incident</x:v>
      </x:c>
      <x:c r="H26" s="42" t="str">
        <x:v>Unspecified</x:v>
      </x:c>
      <x:c r="I26" s="42" t="str">
        <x:v>Maritime</x:v>
      </x:c>
      <x:c r="J26" s="42" t="str">
        <x:v>Persian Gulf / Strait of Hormuz / Gulf of Oman</x:v>
      </x:c>
      <x:c r="K26" s="42" t="str"/>
      <x:c r="L26" s="42" t="str"/>
      <x:c r="M26" s="42" t="str"/>
      <x:c r="N26" s="42" t="str"/>
      <x:c r="O26" s="42" t="str">
        <x:v>MEIN SCHIFF 4</x:v>
      </x:c>
      <x:c r="P26" s="42" t="str">
        <x:v>9678408</x:v>
      </x:c>
      <x:c r="Q26" s="42" t="str">
        <x:v>Cruise ship</x:v>
      </x:c>
      <x:c r="R26" s="42" t="str"/>
      <x:c r="S26" s="42" t="str">
        <x:v>Impact observed in water 150 m away; VHF hailing; German connection</x:v>
      </x:c>
      <x:c r="T26" s="42" t="str">
        <x:v>Near impact / hailing</x:v>
      </x:c>
      <x:c r="U26" s="42" t="str">
        <x:v>0</x:v>
      </x:c>
      <x:c r="V26" s="42" t="str">
        <x:v>0</x:v>
      </x:c>
      <x:c r="W26" s="42" t="str">
        <x:v>Impact observed in water 150 m away; VHF hailing; German connection</x:v>
      </x:c>
      <x:c r="X26" s="42" t="str"/>
      <x:c r="Y26" s="42" t="str"/>
      <x:c r="Z26" s="42" t="str"/>
      <x:c r="AA26" s="42" t="str">
        <x:v>German Navy Shipping Centre brief, pp. 8-10</x:v>
      </x:c>
      <x:c r="AB26" s="42" t="str">
        <x:v>Needs canonical event resolution</x:v>
      </x:c>
      <x:c r="AC26" s="42" t="str"/>
    </x:row>
    <x:row r="27">
      <x:c r="A27" s="42" t="str">
        <x:v>OBS_000026</x:v>
      </x:c>
      <x:c r="B27" s="42" t="str"/>
      <x:c r="C27" s="42" t="str">
        <x:v>maritime_attacks_2026</x:v>
      </x:c>
      <x:c r="D27" s="42" t="str">
        <x:v>26</x:v>
      </x:c>
      <x:c r="E27" s="42" t="str">
        <x:v>2026-04-22</x:v>
      </x:c>
      <x:c r="F27" s="42" t="str">
        <x:v>Conflict / Security</x:v>
      </x:c>
      <x:c r="G27" s="42" t="str">
        <x:v>Conflict attack</x:v>
      </x:c>
      <x:c r="H27" s="42" t="str">
        <x:v>RPGs and small arms</x:v>
      </x:c>
      <x:c r="I27" s="42" t="str">
        <x:v>Maritime</x:v>
      </x:c>
      <x:c r="J27" s="42" t="str">
        <x:v>Persian Gulf / Strait of Hormuz / Gulf of Oman</x:v>
      </x:c>
      <x:c r="K27" s="42" t="str"/>
      <x:c r="L27" s="42" t="str"/>
      <x:c r="M27" s="42" t="str"/>
      <x:c r="N27" s="42" t="str"/>
      <x:c r="O27" s="42" t="str">
        <x:v>EPAMINONDAS</x:v>
      </x:c>
      <x:c r="P27" s="42" t="str">
        <x:v>9153862</x:v>
      </x:c>
      <x:c r="Q27" s="42" t="str">
        <x:v>Container ship</x:v>
      </x:c>
      <x:c r="R27" s="42" t="str"/>
      <x:c r="S27" s="42" t="str">
        <x:v>Bridge heavily damaged</x:v>
      </x:c>
      <x:c r="T27" s="42" t="str">
        <x:v>Fired upon</x:v>
      </x:c>
      <x:c r="U27" s="42" t="str">
        <x:v>0</x:v>
      </x:c>
      <x:c r="V27" s="42" t="str">
        <x:v>0</x:v>
      </x:c>
      <x:c r="W27" s="42" t="str">
        <x:v>Bridge heavily damaged</x:v>
      </x:c>
      <x:c r="X27" s="42" t="str"/>
      <x:c r="Y27" s="42" t="str"/>
      <x:c r="Z27" s="42" t="str"/>
      <x:c r="AA27" s="42" t="str">
        <x:v>German Navy Shipping Centre brief, pp. 8-10</x:v>
      </x:c>
      <x:c r="AB27" s="42" t="str">
        <x:v>Needs canonical event resolution</x:v>
      </x:c>
      <x:c r="AC27" s="42" t="str"/>
    </x:row>
    <x:row r="28">
      <x:c r="A28" s="42" t="str">
        <x:v>OBS_000027</x:v>
      </x:c>
      <x:c r="B28" s="42" t="str"/>
      <x:c r="C28" s="42" t="str">
        <x:v>maritime_attacks_2026</x:v>
      </x:c>
      <x:c r="D28" s="42" t="str">
        <x:v>27</x:v>
      </x:c>
      <x:c r="E28" s="42" t="str">
        <x:v>2026-04-22</x:v>
      </x:c>
      <x:c r="F28" s="42" t="str">
        <x:v>Conflict / Security</x:v>
      </x:c>
      <x:c r="G28" s="42" t="str">
        <x:v>State seizure / attack</x:v>
      </x:c>
      <x:c r="H28" s="42" t="str">
        <x:v>IRGC / small arms</x:v>
      </x:c>
      <x:c r="I28" s="42" t="str">
        <x:v>Maritime</x:v>
      </x:c>
      <x:c r="J28" s="42" t="str">
        <x:v>Persian Gulf / Strait of Hormuz / Gulf of Oman</x:v>
      </x:c>
      <x:c r="K28" s="42" t="str"/>
      <x:c r="L28" s="42" t="str"/>
      <x:c r="M28" s="42" t="str"/>
      <x:c r="N28" s="42" t="str"/>
      <x:c r="O28" s="42" t="str">
        <x:v>MSC FRANCESCA</x:v>
      </x:c>
      <x:c r="P28" s="42" t="str">
        <x:v>9401116</x:v>
      </x:c>
      <x:c r="Q28" s="42" t="str">
        <x:v>Container ship</x:v>
      </x:c>
      <x:c r="R28" s="42" t="str"/>
      <x:c r="S28" s="42" t="str">
        <x:v>Hull/accommodation damage; ordered to anchor; seized by Iran</x:v>
      </x:c>
      <x:c r="T28" s="42" t="str">
        <x:v>Fired upon and seized</x:v>
      </x:c>
      <x:c r="U28" s="42" t="str">
        <x:v>0</x:v>
      </x:c>
      <x:c r="V28" s="42" t="str">
        <x:v>0</x:v>
      </x:c>
      <x:c r="W28" s="42" t="str">
        <x:v>Hull/accommodation damage; ordered to anchor; seized by Iran</x:v>
      </x:c>
      <x:c r="X28" s="42" t="str"/>
      <x:c r="Y28" s="42" t="str"/>
      <x:c r="Z28" s="42" t="str"/>
      <x:c r="AA28" s="42" t="str">
        <x:v>German Navy Shipping Centre brief, pp. 8-10</x:v>
      </x:c>
      <x:c r="AB28" s="42" t="str">
        <x:v>Needs canonical event resolution</x:v>
      </x:c>
      <x:c r="AC28" s="42" t="str"/>
    </x:row>
    <x:row r="29">
      <x:c r="A29" s="42" t="str">
        <x:v>OBS_000028</x:v>
      </x:c>
      <x:c r="B29" s="42" t="str"/>
      <x:c r="C29" s="42" t="str">
        <x:v>maritime_attacks_2026</x:v>
      </x:c>
      <x:c r="D29" s="42" t="str">
        <x:v>28</x:v>
      </x:c>
      <x:c r="E29" s="42" t="str">
        <x:v>2026-04-22</x:v>
      </x:c>
      <x:c r="F29" s="42" t="str">
        <x:v>Conflict / Security</x:v>
      </x:c>
      <x:c r="G29" s="42" t="str">
        <x:v>State-linked maritime attack</x:v>
      </x:c>
      <x:c r="H29" s="42" t="str">
        <x:v>IRGC / small arms</x:v>
      </x:c>
      <x:c r="I29" s="42" t="str">
        <x:v>Maritime</x:v>
      </x:c>
      <x:c r="J29" s="42" t="str">
        <x:v>Persian Gulf / Strait of Hormuz / Gulf of Oman</x:v>
      </x:c>
      <x:c r="K29" s="42" t="str"/>
      <x:c r="L29" s="42" t="str"/>
      <x:c r="M29" s="42" t="str"/>
      <x:c r="N29" s="42" t="str"/>
      <x:c r="O29" s="42" t="str">
        <x:v>EUPHORIA</x:v>
      </x:c>
      <x:c r="P29" s="42" t="str">
        <x:v>9235828</x:v>
      </x:c>
      <x:c r="Q29" s="42" t="str">
        <x:v>Container ship</x:v>
      </x:c>
      <x:c r="R29" s="42" t="str"/>
      <x:c r="S29" s="42" t="str">
        <x:v>Crew retreated to citadel; escaped seizure</x:v>
      </x:c>
      <x:c r="T29" s="42" t="str">
        <x:v>Fired upon</x:v>
      </x:c>
      <x:c r="U29" s="42" t="str">
        <x:v>0</x:v>
      </x:c>
      <x:c r="V29" s="42" t="str">
        <x:v>0</x:v>
      </x:c>
      <x:c r="W29" s="42" t="str">
        <x:v>Crew retreated to citadel; escaped seizure</x:v>
      </x:c>
      <x:c r="X29" s="42" t="str"/>
      <x:c r="Y29" s="42" t="str"/>
      <x:c r="Z29" s="42" t="str"/>
      <x:c r="AA29" s="42" t="str">
        <x:v>German Navy Shipping Centre brief, pp. 8-10</x:v>
      </x:c>
      <x:c r="AB29" s="42" t="str">
        <x:v>Needs canonical event resolution</x:v>
      </x:c>
      <x:c r="AC29" s="42" t="str"/>
    </x:row>
    <x:row r="30">
      <x:c r="A30" s="42" t="str">
        <x:v>OBS_000029</x:v>
      </x:c>
      <x:c r="B30" s="42" t="str"/>
      <x:c r="C30" s="42" t="str">
        <x:v>maritime_attacks_2026</x:v>
      </x:c>
      <x:c r="D30" s="42" t="str">
        <x:v>29</x:v>
      </x:c>
      <x:c r="E30" s="42" t="str">
        <x:v>2026-05-03</x:v>
      </x:c>
      <x:c r="F30" s="42" t="str">
        <x:v>Conflict / Security</x:v>
      </x:c>
      <x:c r="G30" s="42" t="str">
        <x:v>Conflict attack</x:v>
      </x:c>
      <x:c r="H30" s="42" t="str">
        <x:v>Unknown projectile, likely drones</x:v>
      </x:c>
      <x:c r="I30" s="42" t="str">
        <x:v>Maritime</x:v>
      </x:c>
      <x:c r="J30" s="42" t="str">
        <x:v>Persian Gulf / Strait of Hormuz / Gulf of Oman</x:v>
      </x:c>
      <x:c r="K30" s="42" t="str"/>
      <x:c r="L30" s="42" t="str"/>
      <x:c r="M30" s="42" t="str"/>
      <x:c r="N30" s="42" t="str"/>
      <x:c r="O30" s="42" t="str">
        <x:v>BARAKAH</x:v>
      </x:c>
      <x:c r="P30" s="42" t="str">
        <x:v>9902615</x:v>
      </x:c>
      <x:c r="Q30" s="42" t="str">
        <x:v>Tanker</x:v>
      </x:c>
      <x:c r="R30" s="42" t="str"/>
      <x:c r="S30" s="42" t="str">
        <x:v>Engine room and cargo hold hit; crew abandoned ship</x:v>
      </x:c>
      <x:c r="T30" s="42" t="str">
        <x:v>Hit</x:v>
      </x:c>
      <x:c r="U30" s="42" t="str">
        <x:v>0</x:v>
      </x:c>
      <x:c r="V30" s="42" t="str">
        <x:v>0</x:v>
      </x:c>
      <x:c r="W30" s="42" t="str">
        <x:v>Engine room and cargo hold hit; crew abandoned ship</x:v>
      </x:c>
      <x:c r="X30" s="42" t="str"/>
      <x:c r="Y30" s="42" t="str"/>
      <x:c r="Z30" s="42" t="str"/>
      <x:c r="AA30" s="42" t="str">
        <x:v>German Navy Shipping Centre brief, pp. 8-10</x:v>
      </x:c>
      <x:c r="AB30" s="42" t="str">
        <x:v>Needs canonical event resolution</x:v>
      </x:c>
      <x:c r="AC30" s="42" t="str"/>
    </x:row>
    <x:row r="31">
      <x:c r="A31" s="42" t="str">
        <x:v>OBS_000030</x:v>
      </x:c>
      <x:c r="B31" s="42" t="str"/>
      <x:c r="C31" s="42" t="str">
        <x:v>maritime_attacks_2026</x:v>
      </x:c>
      <x:c r="D31" s="42" t="str">
        <x:v>30</x:v>
      </x:c>
      <x:c r="E31" s="42" t="str">
        <x:v>2026-05-03</x:v>
      </x:c>
      <x:c r="F31" s="42" t="str">
        <x:v>Conflict / Security</x:v>
      </x:c>
      <x:c r="G31" s="42" t="str">
        <x:v>Maritime armed attack</x:v>
      </x:c>
      <x:c r="H31" s="42" t="str">
        <x:v>Several small boats / small arms</x:v>
      </x:c>
      <x:c r="I31" s="42" t="str">
        <x:v>Maritime</x:v>
      </x:c>
      <x:c r="J31" s="42" t="str">
        <x:v>Persian Gulf / Strait of Hormuz / Gulf of Oman</x:v>
      </x:c>
      <x:c r="K31" s="42" t="str"/>
      <x:c r="L31" s="42" t="str"/>
      <x:c r="M31" s="42" t="str"/>
      <x:c r="N31" s="42" t="str"/>
      <x:c r="O31" s="42" t="str">
        <x:v>MINOAN FALCON</x:v>
      </x:c>
      <x:c r="P31" s="42" t="str">
        <x:v>9605841</x:v>
      </x:c>
      <x:c r="Q31" s="42" t="str">
        <x:v>Bulk carrier</x:v>
      </x:c>
      <x:c r="R31" s="42" t="str"/>
      <x:c r="S31" s="42" t="str">
        <x:v>Damage to bridge and superstructure</x:v>
      </x:c>
      <x:c r="T31" s="42" t="str">
        <x:v>Fired upon</x:v>
      </x:c>
      <x:c r="U31" s="42" t="str">
        <x:v>0</x:v>
      </x:c>
      <x:c r="V31" s="42" t="str">
        <x:v>0</x:v>
      </x:c>
      <x:c r="W31" s="42" t="str">
        <x:v>Damage to bridge and superstructure</x:v>
      </x:c>
      <x:c r="X31" s="42" t="str"/>
      <x:c r="Y31" s="42" t="str"/>
      <x:c r="Z31" s="42" t="str"/>
      <x:c r="AA31" s="42" t="str">
        <x:v>German Navy Shipping Centre brief, pp. 8-10</x:v>
      </x:c>
      <x:c r="AB31" s="42" t="str">
        <x:v>Needs canonical event resolution</x:v>
      </x:c>
      <x:c r="AC31" s="42" t="str"/>
    </x:row>
    <x:row r="32">
      <x:c r="A32" s="42" t="str">
        <x:v>OBS_000031</x:v>
      </x:c>
      <x:c r="B32" s="42" t="str"/>
      <x:c r="C32" s="42" t="str">
        <x:v>maritime_attacks_2026</x:v>
      </x:c>
      <x:c r="D32" s="42" t="str">
        <x:v>31</x:v>
      </x:c>
      <x:c r="E32" s="42" t="str">
        <x:v>2026-05-04</x:v>
      </x:c>
      <x:c r="F32" s="42" t="str">
        <x:v>Conflict / Security</x:v>
      </x:c>
      <x:c r="G32" s="42" t="str">
        <x:v>Conflict attack</x:v>
      </x:c>
      <x:c r="H32" s="42" t="str">
        <x:v>Unknown projectile</x:v>
      </x:c>
      <x:c r="I32" s="42" t="str">
        <x:v>Maritime</x:v>
      </x:c>
      <x:c r="J32" s="42" t="str">
        <x:v>Persian Gulf / Strait of Hormuz / Gulf of Oman</x:v>
      </x:c>
      <x:c r="K32" s="42" t="str"/>
      <x:c r="L32" s="42" t="str"/>
      <x:c r="M32" s="42" t="str"/>
      <x:c r="N32" s="42" t="str"/>
      <x:c r="O32" s="42" t="str">
        <x:v>JV INNOVATION</x:v>
      </x:c>
      <x:c r="P32" s="42" t="str">
        <x:v>9276688</x:v>
      </x:c>
      <x:c r="Q32" s="42" t="str">
        <x:v>Tanker</x:v>
      </x:c>
      <x:c r="R32" s="42" t="str"/>
      <x:c r="S32" s="42" t="str">
        <x:v>Heavy hull damage; third-party reporting</x:v>
      </x:c>
      <x:c r="T32" s="42" t="str">
        <x:v>Hit</x:v>
      </x:c>
      <x:c r="U32" s="42" t="str">
        <x:v>0</x:v>
      </x:c>
      <x:c r="V32" s="42" t="str">
        <x:v>0</x:v>
      </x:c>
      <x:c r="W32" s="42" t="str">
        <x:v>Heavy hull damage; third-party reporting</x:v>
      </x:c>
      <x:c r="X32" s="42" t="str"/>
      <x:c r="Y32" s="42" t="str"/>
      <x:c r="Z32" s="42" t="str"/>
      <x:c r="AA32" s="42" t="str">
        <x:v>German Navy Shipping Centre brief, pp. 8-10</x:v>
      </x:c>
      <x:c r="AB32" s="42" t="str">
        <x:v>Needs canonical event resolution</x:v>
      </x:c>
      <x:c r="AC32" s="42" t="str"/>
    </x:row>
    <x:row r="33">
      <x:c r="A33" s="42" t="str">
        <x:v>OBS_000032</x:v>
      </x:c>
      <x:c r="B33" s="42" t="str"/>
      <x:c r="C33" s="42" t="str">
        <x:v>maritime_attacks_2026</x:v>
      </x:c>
      <x:c r="D33" s="42" t="str">
        <x:v>32</x:v>
      </x:c>
      <x:c r="E33" s="42" t="str">
        <x:v>2026-05-05</x:v>
      </x:c>
      <x:c r="F33" s="42" t="str">
        <x:v>Conflict / Security</x:v>
      </x:c>
      <x:c r="G33" s="42" t="str">
        <x:v>Conflict attack</x:v>
      </x:c>
      <x:c r="H33" s="42" t="str">
        <x:v>Unknown projectile</x:v>
      </x:c>
      <x:c r="I33" s="42" t="str">
        <x:v>Maritime</x:v>
      </x:c>
      <x:c r="J33" s="42" t="str">
        <x:v>Persian Gulf / Strait of Hormuz / Gulf of Oman</x:v>
      </x:c>
      <x:c r="K33" s="42" t="str"/>
      <x:c r="L33" s="42" t="str"/>
      <x:c r="M33" s="42" t="str"/>
      <x:c r="N33" s="42" t="str"/>
      <x:c r="O33" s="42" t="str">
        <x:v>CMA CGM SAN ANTONIO</x:v>
      </x:c>
      <x:c r="P33" s="42" t="str">
        <x:v>9294173</x:v>
      </x:c>
      <x:c r="Q33" s="42" t="str">
        <x:v>Container ship</x:v>
      </x:c>
      <x:c r="R33" s="42" t="str"/>
      <x:c r="S33" s="42" t="str">
        <x:v>Several injuries, some serious; evacuated ashore; German connection</x:v>
      </x:c>
      <x:c r="T33" s="42" t="str">
        <x:v>Hit</x:v>
      </x:c>
      <x:c r="U33" s="42" t="str">
        <x:v>0</x:v>
      </x:c>
      <x:c r="V33" s="42" t="str">
        <x:v>0</x:v>
      </x:c>
      <x:c r="W33" s="42" t="str">
        <x:v>Several injuries, some serious; evacuated ashore; German connection</x:v>
      </x:c>
      <x:c r="X33" s="42" t="str"/>
      <x:c r="Y33" s="42" t="str"/>
      <x:c r="Z33" s="42" t="str"/>
      <x:c r="AA33" s="42" t="str">
        <x:v>German Navy Shipping Centre brief, pp. 8-10</x:v>
      </x:c>
      <x:c r="AB33" s="42" t="str">
        <x:v>Needs canonical event resolution</x:v>
      </x:c>
      <x:c r="AC33" s="42" t="str"/>
    </x:row>
    <x:row r="34">
      <x:c r="A34" s="42" t="str">
        <x:v>OBS_000033</x:v>
      </x:c>
      <x:c r="B34" s="42" t="str"/>
      <x:c r="C34" s="42" t="str">
        <x:v>maritime_attacks_2026</x:v>
      </x:c>
      <x:c r="D34" s="42" t="str">
        <x:v>33</x:v>
      </x:c>
      <x:c r="E34" s="42" t="str">
        <x:v>2026-05-10</x:v>
      </x:c>
      <x:c r="F34" s="42" t="str">
        <x:v>Conflict / Security</x:v>
      </x:c>
      <x:c r="G34" s="42" t="str">
        <x:v>Conflict attack</x:v>
      </x:c>
      <x:c r="H34" s="42" t="str">
        <x:v>Drone</x:v>
      </x:c>
      <x:c r="I34" s="42" t="str">
        <x:v>Maritime</x:v>
      </x:c>
      <x:c r="J34" s="42" t="str">
        <x:v>Persian Gulf / Strait of Hormuz / Gulf of Oman</x:v>
      </x:c>
      <x:c r="K34" s="42" t="str"/>
      <x:c r="L34" s="42" t="str"/>
      <x:c r="M34" s="42" t="str"/>
      <x:c r="N34" s="42" t="str"/>
      <x:c r="O34" s="42" t="str">
        <x:v>SAFESEA NEHA</x:v>
      </x:c>
      <x:c r="P34" s="42" t="str">
        <x:v>9563392</x:v>
      </x:c>
      <x:c r="Q34" s="42" t="str">
        <x:v>Bulk carrier</x:v>
      </x:c>
      <x:c r="R34" s="42" t="str"/>
      <x:c r="S34" s="42" t="str">
        <x:v>Fire extinguished; light quarterdeck damage</x:v>
      </x:c>
      <x:c r="T34" s="42" t="str">
        <x:v>Hit</x:v>
      </x:c>
      <x:c r="U34" s="42" t="str">
        <x:v>0</x:v>
      </x:c>
      <x:c r="V34" s="42" t="str">
        <x:v>0</x:v>
      </x:c>
      <x:c r="W34" s="42" t="str">
        <x:v>Fire extinguished; light quarterdeck damage</x:v>
      </x:c>
      <x:c r="X34" s="42" t="str"/>
      <x:c r="Y34" s="42" t="str"/>
      <x:c r="Z34" s="42" t="str"/>
      <x:c r="AA34" s="42" t="str">
        <x:v>German Navy Shipping Centre brief, pp. 8-10</x:v>
      </x:c>
      <x:c r="AB34" s="42" t="str">
        <x:v>Needs canonical event resolution</x:v>
      </x:c>
      <x:c r="AC34" s="42" t="str"/>
    </x:row>
    <x:row r="35">
      <x:c r="A35" s="42" t="str">
        <x:v>OBS_000034</x:v>
      </x:c>
      <x:c r="B35" s="42" t="str"/>
      <x:c r="C35" s="42" t="str">
        <x:v>maritime_attacks_2026</x:v>
      </x:c>
      <x:c r="D35" s="42" t="str">
        <x:v>34</x:v>
      </x:c>
      <x:c r="E35" s="42" t="str">
        <x:v>2026-06-01</x:v>
      </x:c>
      <x:c r="F35" s="42" t="str">
        <x:v>Conflict / Security</x:v>
      </x:c>
      <x:c r="G35" s="42" t="str">
        <x:v>Conflict attack</x:v>
      </x:c>
      <x:c r="H35" s="42" t="str">
        <x:v>Unspecified</x:v>
      </x:c>
      <x:c r="I35" s="42" t="str">
        <x:v>Maritime</x:v>
      </x:c>
      <x:c r="J35" s="42" t="str">
        <x:v>Persian Gulf / Strait of Hormuz / Gulf of Oman</x:v>
      </x:c>
      <x:c r="K35" s="42" t="str"/>
      <x:c r="L35" s="42" t="str"/>
      <x:c r="M35" s="42" t="str"/>
      <x:c r="N35" s="42" t="str"/>
      <x:c r="O35" s="42" t="str">
        <x:v>MSC SARISKA V</x:v>
      </x:c>
      <x:c r="P35" s="42" t="str">
        <x:v>8715857</x:v>
      </x:c>
      <x:c r="Q35" s="42" t="str">
        <x:v>Container ship</x:v>
      </x:c>
      <x:c r="R35" s="42" t="str"/>
      <x:c r="S35" s="42" t="str">
        <x:v>Starboard-side damage at waterline; fire extinguished</x:v>
      </x:c>
      <x:c r="T35" s="42" t="str">
        <x:v>Hit</x:v>
      </x:c>
      <x:c r="U35" s="42" t="str">
        <x:v>0</x:v>
      </x:c>
      <x:c r="V35" s="42" t="str">
        <x:v>0</x:v>
      </x:c>
      <x:c r="W35" s="42" t="str">
        <x:v>Starboard-side damage at waterline; fire extinguished</x:v>
      </x:c>
      <x:c r="X35" s="42" t="str"/>
      <x:c r="Y35" s="42" t="str"/>
      <x:c r="Z35" s="42" t="str"/>
      <x:c r="AA35" s="42" t="str">
        <x:v>German Navy Shipping Centre brief, pp. 8-10</x:v>
      </x:c>
      <x:c r="AB35" s="42" t="str">
        <x:v>Needs canonical event resolution</x:v>
      </x:c>
      <x:c r="AC35" s="42" t="str"/>
    </x:row>
    <x:row r="36">
      <x:c r="A36" s="42" t="str">
        <x:v>OBS_000035</x:v>
      </x:c>
      <x:c r="B36" s="42" t="str"/>
      <x:c r="C36" s="42" t="str">
        <x:v>maritime_attacks_2026</x:v>
      </x:c>
      <x:c r="D36" s="42" t="str">
        <x:v>35</x:v>
      </x:c>
      <x:c r="E36" s="42" t="str">
        <x:v>2026-06-14</x:v>
      </x:c>
      <x:c r="F36" s="42" t="str">
        <x:v>Conflict / Security</x:v>
      </x:c>
      <x:c r="G36" s="42" t="str">
        <x:v>Conflict attack</x:v>
      </x:c>
      <x:c r="H36" s="42" t="str">
        <x:v>Cruise missile</x:v>
      </x:c>
      <x:c r="I36" s="42" t="str">
        <x:v>Maritime</x:v>
      </x:c>
      <x:c r="J36" s="42" t="str">
        <x:v>Persian Gulf / Strait of Hormuz / Gulf of Oman</x:v>
      </x:c>
      <x:c r="K36" s="42" t="str"/>
      <x:c r="L36" s="42" t="str"/>
      <x:c r="M36" s="42" t="str"/>
      <x:c r="N36" s="42" t="str"/>
      <x:c r="O36" s="42" t="str">
        <x:v>BOCHEM MARENGO</x:v>
      </x:c>
      <x:c r="P36" s="42" t="str">
        <x:v>9749025</x:v>
      </x:c>
      <x:c r="Q36" s="42" t="str">
        <x:v>Oil/chemical tanker</x:v>
      </x:c>
      <x:c r="R36" s="42" t="str"/>
      <x:c r="S36" s="42" t="str">
        <x:v>Damage to ballast tank and cargo hold</x:v>
      </x:c>
      <x:c r="T36" s="42" t="str">
        <x:v>Hit</x:v>
      </x:c>
      <x:c r="U36" s="42" t="str">
        <x:v>0</x:v>
      </x:c>
      <x:c r="V36" s="42" t="str">
        <x:v>0</x:v>
      </x:c>
      <x:c r="W36" s="42" t="str">
        <x:v>Damage to ballast tank and cargo hold</x:v>
      </x:c>
      <x:c r="X36" s="42" t="str"/>
      <x:c r="Y36" s="42" t="str"/>
      <x:c r="Z36" s="42" t="str"/>
      <x:c r="AA36" s="42" t="str">
        <x:v>German Navy Shipping Centre brief, pp. 8-10</x:v>
      </x:c>
      <x:c r="AB36" s="42" t="str">
        <x:v>Needs canonical event resolution</x:v>
      </x:c>
      <x:c r="AC36" s="42" t="str"/>
    </x:row>
    <x:row r="37">
      <x:c r="A37" s="42" t="str">
        <x:v>OBS_000036</x:v>
      </x:c>
      <x:c r="B37" s="42" t="str"/>
      <x:c r="C37" s="42" t="str">
        <x:v>maritime_attacks_2026</x:v>
      </x:c>
      <x:c r="D37" s="42" t="str">
        <x:v>36</x:v>
      </x:c>
      <x:c r="E37" s="42" t="str">
        <x:v>2026-06-25</x:v>
      </x:c>
      <x:c r="F37" s="42" t="str">
        <x:v>Conflict / Security</x:v>
      </x:c>
      <x:c r="G37" s="42" t="str">
        <x:v>Conflict attack</x:v>
      </x:c>
      <x:c r="H37" s="42" t="str">
        <x:v>Projectile</x:v>
      </x:c>
      <x:c r="I37" s="42" t="str">
        <x:v>Maritime</x:v>
      </x:c>
      <x:c r="J37" s="42" t="str">
        <x:v>Persian Gulf / Strait of Hormuz / Gulf of Oman</x:v>
      </x:c>
      <x:c r="K37" s="42" t="str"/>
      <x:c r="L37" s="42" t="str"/>
      <x:c r="M37" s="42" t="str"/>
      <x:c r="N37" s="42" t="str"/>
      <x:c r="O37" s="42" t="str">
        <x:v>EVER LOVELY</x:v>
      </x:c>
      <x:c r="P37" s="42" t="str">
        <x:v>9629110</x:v>
      </x:c>
      <x:c r="Q37" s="42" t="str">
        <x:v>Container ship</x:v>
      </x:c>
      <x:c r="R37" s="42" t="str"/>
      <x:c r="S37" s="42" t="str">
        <x:v>Minor bridge damage</x:v>
      </x:c>
      <x:c r="T37" s="42" t="str">
        <x:v>Hit</x:v>
      </x:c>
      <x:c r="U37" s="42" t="str">
        <x:v>0</x:v>
      </x:c>
      <x:c r="V37" s="42" t="str">
        <x:v>0</x:v>
      </x:c>
      <x:c r="W37" s="42" t="str">
        <x:v>Minor bridge damage</x:v>
      </x:c>
      <x:c r="X37" s="42" t="str"/>
      <x:c r="Y37" s="42" t="str"/>
      <x:c r="Z37" s="42" t="str"/>
      <x:c r="AA37" s="42" t="str">
        <x:v>German Navy Shipping Centre brief, pp. 8-10</x:v>
      </x:c>
      <x:c r="AB37" s="42" t="str">
        <x:v>Needs canonical event resolution</x:v>
      </x:c>
      <x:c r="AC37" s="42" t="str"/>
    </x:row>
    <x:row r="38">
      <x:c r="A38" s="42" t="str">
        <x:v>OBS_000037</x:v>
      </x:c>
      <x:c r="B38" s="42" t="str"/>
      <x:c r="C38" s="42" t="str">
        <x:v>maritime_attacks_2026</x:v>
      </x:c>
      <x:c r="D38" s="42" t="str">
        <x:v>37</x:v>
      </x:c>
      <x:c r="E38" s="42" t="str">
        <x:v>2026-06-27</x:v>
      </x:c>
      <x:c r="F38" s="42" t="str">
        <x:v>Conflict / Security</x:v>
      </x:c>
      <x:c r="G38" s="42" t="str">
        <x:v>Conflict attack</x:v>
      </x:c>
      <x:c r="H38" s="42" t="str">
        <x:v>Projectile</x:v>
      </x:c>
      <x:c r="I38" s="42" t="str">
        <x:v>Maritime</x:v>
      </x:c>
      <x:c r="J38" s="42" t="str">
        <x:v>Persian Gulf / Strait of Hormuz / Gulf of Oman</x:v>
      </x:c>
      <x:c r="K38" s="42" t="str"/>
      <x:c r="L38" s="42" t="str"/>
      <x:c r="M38" s="42" t="str"/>
      <x:c r="N38" s="42" t="str"/>
      <x:c r="O38" s="42" t="str">
        <x:v>KIKU</x:v>
      </x:c>
      <x:c r="P38" s="42" t="str">
        <x:v>9329796</x:v>
      </x:c>
      <x:c r="Q38" s="42" t="str">
        <x:v>Crude oil tanker</x:v>
      </x:c>
      <x:c r="R38" s="42" t="str"/>
      <x:c r="S38" s="42" t="str">
        <x:v>No major damage</x:v>
      </x:c>
      <x:c r="T38" s="42" t="str">
        <x:v>Hit</x:v>
      </x:c>
      <x:c r="U38" s="42" t="str">
        <x:v>0</x:v>
      </x:c>
      <x:c r="V38" s="42" t="str">
        <x:v>0</x:v>
      </x:c>
      <x:c r="W38" s="42" t="str">
        <x:v>No major damage</x:v>
      </x:c>
      <x:c r="X38" s="42" t="str"/>
      <x:c r="Y38" s="42" t="str"/>
      <x:c r="Z38" s="42" t="str"/>
      <x:c r="AA38" s="42" t="str">
        <x:v>German Navy Shipping Centre brief, pp. 8-10</x:v>
      </x:c>
      <x:c r="AB38" s="42" t="str">
        <x:v>Needs canonical event resolution</x:v>
      </x:c>
      <x:c r="AC38" s="42" t="str"/>
    </x:row>
    <x:row r="39">
      <x:c r="A39" s="42" t="str">
        <x:v>OBS_000038</x:v>
      </x:c>
      <x:c r="B39" s="42" t="str"/>
      <x:c r="C39" s="42" t="str">
        <x:v>maritime_attacks_2026</x:v>
      </x:c>
      <x:c r="D39" s="42" t="str">
        <x:v>38</x:v>
      </x:c>
      <x:c r="E39" s="42" t="str">
        <x:v>2026-07-07</x:v>
      </x:c>
      <x:c r="F39" s="42" t="str">
        <x:v>Conflict / Security</x:v>
      </x:c>
      <x:c r="G39" s="42" t="str">
        <x:v>Conflict attack</x:v>
      </x:c>
      <x:c r="H39" s="42" t="str">
        <x:v>Unspecified</x:v>
      </x:c>
      <x:c r="I39" s="42" t="str">
        <x:v>Maritime</x:v>
      </x:c>
      <x:c r="J39" s="42" t="str">
        <x:v>Persian Gulf / Strait of Hormuz / Gulf of Oman</x:v>
      </x:c>
      <x:c r="K39" s="42" t="str"/>
      <x:c r="L39" s="42" t="str"/>
      <x:c r="M39" s="42" t="str"/>
      <x:c r="N39" s="42" t="str"/>
      <x:c r="O39" s="42" t="str">
        <x:v>AL REKAYYAT</x:v>
      </x:c>
      <x:c r="P39" s="42" t="str">
        <x:v>9397339</x:v>
      </x:c>
      <x:c r="Q39" s="42" t="str">
        <x:v>LNG tanker</x:v>
      </x:c>
      <x:c r="R39" s="42" t="str"/>
      <x:c r="S39" s="42" t="str">
        <x:v>Engine-room fire extinguished; crew abandoned; vessel under tow</x:v>
      </x:c>
      <x:c r="T39" s="42" t="str">
        <x:v>Hit</x:v>
      </x:c>
      <x:c r="U39" s="42" t="str">
        <x:v>0</x:v>
      </x:c>
      <x:c r="V39" s="42" t="str">
        <x:v>0</x:v>
      </x:c>
      <x:c r="W39" s="42" t="str">
        <x:v>Engine-room fire extinguished; crew abandoned; vessel under tow</x:v>
      </x:c>
      <x:c r="X39" s="42" t="str"/>
      <x:c r="Y39" s="42" t="str"/>
      <x:c r="Z39" s="42" t="str"/>
      <x:c r="AA39" s="42" t="str">
        <x:v>German Navy Shipping Centre brief, pp. 8-10</x:v>
      </x:c>
      <x:c r="AB39" s="42" t="str">
        <x:v>Needs canonical event resolution</x:v>
      </x:c>
      <x:c r="AC39" s="42" t="str"/>
    </x:row>
    <x:row r="40">
      <x:c r="A40" s="42" t="str">
        <x:v>OBS_000039</x:v>
      </x:c>
      <x:c r="B40" s="42" t="str"/>
      <x:c r="C40" s="42" t="str">
        <x:v>maritime_attacks_2026</x:v>
      </x:c>
      <x:c r="D40" s="42" t="str">
        <x:v>39</x:v>
      </x:c>
      <x:c r="E40" s="42" t="str">
        <x:v>2026-07-07</x:v>
      </x:c>
      <x:c r="F40" s="42" t="str">
        <x:v>Conflict / Security</x:v>
      </x:c>
      <x:c r="G40" s="42" t="str">
        <x:v>Conflict attack</x:v>
      </x:c>
      <x:c r="H40" s="42" t="str">
        <x:v>Unspecified</x:v>
      </x:c>
      <x:c r="I40" s="42" t="str">
        <x:v>Maritime</x:v>
      </x:c>
      <x:c r="J40" s="42" t="str">
        <x:v>Persian Gulf / Strait of Hormuz / Gulf of Oman</x:v>
      </x:c>
      <x:c r="K40" s="42" t="str"/>
      <x:c r="L40" s="42" t="str"/>
      <x:c r="M40" s="42" t="str"/>
      <x:c r="N40" s="42" t="str"/>
      <x:c r="O40" s="42" t="str">
        <x:v>WEDYAN</x:v>
      </x:c>
      <x:c r="P40" s="42" t="str">
        <x:v>9524970</x:v>
      </x:c>
      <x:c r="Q40" s="42" t="str">
        <x:v>Crude oil tanker</x:v>
      </x:c>
      <x:c r="R40" s="42" t="str"/>
      <x:c r="S40" s="42" t="str">
        <x:v>Minor structural damage</x:v>
      </x:c>
      <x:c r="T40" s="42" t="str">
        <x:v>Hit</x:v>
      </x:c>
      <x:c r="U40" s="42" t="str">
        <x:v>0</x:v>
      </x:c>
      <x:c r="V40" s="42" t="str">
        <x:v>0</x:v>
      </x:c>
      <x:c r="W40" s="42" t="str">
        <x:v>Minor structural damage</x:v>
      </x:c>
      <x:c r="X40" s="42" t="str"/>
      <x:c r="Y40" s="42" t="str"/>
      <x:c r="Z40" s="42" t="str"/>
      <x:c r="AA40" s="42" t="str">
        <x:v>German Navy Shipping Centre brief, pp. 8-10</x:v>
      </x:c>
      <x:c r="AB40" s="42" t="str">
        <x:v>Needs canonical event resolution</x:v>
      </x:c>
      <x:c r="AC40" s="42" t="str"/>
    </x:row>
    <x:row r="41">
      <x:c r="A41" s="42" t="str">
        <x:v>OBS_000040</x:v>
      </x:c>
      <x:c r="B41" s="42" t="str"/>
      <x:c r="C41" s="42" t="str">
        <x:v>maritime_attacks_2026</x:v>
      </x:c>
      <x:c r="D41" s="42" t="str">
        <x:v>40</x:v>
      </x:c>
      <x:c r="E41" s="42" t="str">
        <x:v>2026-07-07</x:v>
      </x:c>
      <x:c r="F41" s="42" t="str">
        <x:v>Conflict / Security</x:v>
      </x:c>
      <x:c r="G41" s="42" t="str">
        <x:v>Conflict attack</x:v>
      </x:c>
      <x:c r="H41" s="42" t="str">
        <x:v>Unspecified</x:v>
      </x:c>
      <x:c r="I41" s="42" t="str">
        <x:v>Maritime</x:v>
      </x:c>
      <x:c r="J41" s="42" t="str">
        <x:v>Persian Gulf / Strait of Hormuz / Gulf of Oman</x:v>
      </x:c>
      <x:c r="K41" s="42" t="str"/>
      <x:c r="L41" s="42" t="str"/>
      <x:c r="M41" s="42" t="str"/>
      <x:c r="N41" s="42" t="str"/>
      <x:c r="O41" s="42" t="str">
        <x:v>CYPRUS PROSPERITY</x:v>
      </x:c>
      <x:c r="P41" s="42" t="str">
        <x:v>9595216</x:v>
      </x:c>
      <x:c r="Q41" s="42" t="str">
        <x:v>Crude oil tanker</x:v>
      </x:c>
      <x:c r="R41" s="42" t="str"/>
      <x:c r="S41" s="42" t="str">
        <x:v>Minor structural damage</x:v>
      </x:c>
      <x:c r="T41" s="42" t="str">
        <x:v>Hit</x:v>
      </x:c>
      <x:c r="U41" s="42" t="str">
        <x:v>0</x:v>
      </x:c>
      <x:c r="V41" s="42" t="str">
        <x:v>0</x:v>
      </x:c>
      <x:c r="W41" s="42" t="str">
        <x:v>Minor structural damage</x:v>
      </x:c>
      <x:c r="X41" s="42" t="str"/>
      <x:c r="Y41" s="42" t="str"/>
      <x:c r="Z41" s="42" t="str"/>
      <x:c r="AA41" s="42" t="str">
        <x:v>German Navy Shipping Centre brief, pp. 8-10</x:v>
      </x:c>
      <x:c r="AB41" s="42" t="str">
        <x:v>Needs canonical event resolution</x:v>
      </x:c>
      <x:c r="AC41" s="42" t="str"/>
    </x:row>
    <x:row r="42">
      <x:c r="A42" s="42" t="str">
        <x:v>OBS_000041</x:v>
      </x:c>
      <x:c r="B42" s="42" t="str"/>
      <x:c r="C42" s="42" t="str">
        <x:v>maritime_attacks_2026</x:v>
      </x:c>
      <x:c r="D42" s="42" t="str">
        <x:v>41</x:v>
      </x:c>
      <x:c r="E42" s="42" t="str">
        <x:v>2026-07-11</x:v>
      </x:c>
      <x:c r="F42" s="42" t="str">
        <x:v>Conflict / Security</x:v>
      </x:c>
      <x:c r="G42" s="42" t="str">
        <x:v>Conflict attack</x:v>
      </x:c>
      <x:c r="H42" s="42" t="str">
        <x:v>Unspecified</x:v>
      </x:c>
      <x:c r="I42" s="42" t="str">
        <x:v>Maritime</x:v>
      </x:c>
      <x:c r="J42" s="42" t="str">
        <x:v>Persian Gulf / Strait of Hormuz / Gulf of Oman</x:v>
      </x:c>
      <x:c r="K42" s="42" t="str"/>
      <x:c r="L42" s="42" t="str"/>
      <x:c r="M42" s="42" t="str"/>
      <x:c r="N42" s="42" t="str"/>
      <x:c r="O42" s="42" t="str">
        <x:v>GFS GALAXY</x:v>
      </x:c>
      <x:c r="P42" s="42" t="str">
        <x:v>9401271</x:v>
      </x:c>
      <x:c r="Q42" s="42" t="str">
        <x:v>Container vessel</x:v>
      </x:c>
      <x:c r="R42" s="42" t="str"/>
      <x:c r="S42" s="42" t="str">
        <x:v>Fire; crew abandoned; one missing; towed to Khor Fakkan</x:v>
      </x:c>
      <x:c r="T42" s="42" t="str">
        <x:v>Hit</x:v>
      </x:c>
      <x:c r="U42" s="42" t="str">
        <x:v>0</x:v>
      </x:c>
      <x:c r="V42" s="42" t="str">
        <x:v>0</x:v>
      </x:c>
      <x:c r="W42" s="42" t="str">
        <x:v>Fire; crew abandoned; one missing; towed to Khor Fakkan</x:v>
      </x:c>
      <x:c r="X42" s="42" t="str"/>
      <x:c r="Y42" s="42" t="str"/>
      <x:c r="Z42" s="42" t="str"/>
      <x:c r="AA42" s="42" t="str">
        <x:v>German Navy Shipping Centre brief, pp. 8-10</x:v>
      </x:c>
      <x:c r="AB42" s="42" t="str">
        <x:v>Needs canonical event resolution</x:v>
      </x:c>
      <x:c r="AC42" s="42" t="str"/>
    </x:row>
    <x:row r="43">
      <x:c r="A43" s="42" t="str">
        <x:v>OBS_000042</x:v>
      </x:c>
      <x:c r="B43" s="42" t="str"/>
      <x:c r="C43" s="42" t="str">
        <x:v>maritime_attacks_2026</x:v>
      </x:c>
      <x:c r="D43" s="42" t="str">
        <x:v>42</x:v>
      </x:c>
      <x:c r="E43" s="42" t="str">
        <x:v>2026-07-13</x:v>
      </x:c>
      <x:c r="F43" s="42" t="str">
        <x:v>Conflict / Security</x:v>
      </x:c>
      <x:c r="G43" s="42" t="str">
        <x:v>Conflict attack</x:v>
      </x:c>
      <x:c r="H43" s="42" t="str">
        <x:v>Unspecified</x:v>
      </x:c>
      <x:c r="I43" s="42" t="str">
        <x:v>Maritime</x:v>
      </x:c>
      <x:c r="J43" s="42" t="str">
        <x:v>Persian Gulf / Strait of Hormuz / Gulf of Oman</x:v>
      </x:c>
      <x:c r="K43" s="42" t="str"/>
      <x:c r="L43" s="42" t="str"/>
      <x:c r="M43" s="42" t="str"/>
      <x:c r="N43" s="42" t="str"/>
      <x:c r="O43" s="42" t="str">
        <x:v>STOLT MAGNESIUM</x:v>
      </x:c>
      <x:c r="P43" s="42" t="str">
        <x:v>9739317</x:v>
      </x:c>
      <x:c r="Q43" s="42" t="str">
        <x:v>Tanker</x:v>
      </x:c>
      <x:c r="R43" s="42" t="str"/>
      <x:c r="S43" s="42" t="str">
        <x:v>Fire; complete evacuation; all rescued</x:v>
      </x:c>
      <x:c r="T43" s="42" t="str">
        <x:v>Hit</x:v>
      </x:c>
      <x:c r="U43" s="42" t="str">
        <x:v>0</x:v>
      </x:c>
      <x:c r="V43" s="42" t="str">
        <x:v>0</x:v>
      </x:c>
      <x:c r="W43" s="42" t="str">
        <x:v>Fire; complete evacuation; all rescued</x:v>
      </x:c>
      <x:c r="X43" s="42" t="str"/>
      <x:c r="Y43" s="42" t="str"/>
      <x:c r="Z43" s="42" t="str"/>
      <x:c r="AA43" s="42" t="str">
        <x:v>German Navy Shipping Centre brief, pp. 8-10</x:v>
      </x:c>
      <x:c r="AB43" s="42" t="str">
        <x:v>Needs canonical event resolution</x:v>
      </x:c>
      <x:c r="AC43" s="42" t="str"/>
    </x:row>
    <x:row r="44">
      <x:c r="A44" s="42" t="str">
        <x:v>OBS_000043</x:v>
      </x:c>
      <x:c r="B44" s="42" t="str"/>
      <x:c r="C44" s="42" t="str">
        <x:v>maritime_attacks_2026</x:v>
      </x:c>
      <x:c r="D44" s="42" t="str">
        <x:v>43</x:v>
      </x:c>
      <x:c r="E44" s="42" t="str">
        <x:v>2026-07-13</x:v>
      </x:c>
      <x:c r="F44" s="42" t="str">
        <x:v>Conflict / Security</x:v>
      </x:c>
      <x:c r="G44" s="42" t="str">
        <x:v>Conflict attack</x:v>
      </x:c>
      <x:c r="H44" s="42" t="str">
        <x:v>Unspecified</x:v>
      </x:c>
      <x:c r="I44" s="42" t="str">
        <x:v>Maritime</x:v>
      </x:c>
      <x:c r="J44" s="42" t="str">
        <x:v>Persian Gulf / Strait of Hormuz / Gulf of Oman</x:v>
      </x:c>
      <x:c r="K44" s="42" t="str"/>
      <x:c r="L44" s="42" t="str"/>
      <x:c r="M44" s="42" t="str"/>
      <x:c r="N44" s="42" t="str"/>
      <x:c r="O44" s="42" t="str">
        <x:v>MOMBASA B</x:v>
      </x:c>
      <x:c r="P44" s="42" t="str">
        <x:v>9739501</x:v>
      </x:c>
      <x:c r="Q44" s="42" t="str">
        <x:v>Tanker</x:v>
      </x:c>
      <x:c r="R44" s="42" t="str"/>
      <x:c r="S44" s="42" t="str">
        <x:v>Fire; one killed; several injured</x:v>
      </x:c>
      <x:c r="T44" s="42" t="str">
        <x:v>Hit</x:v>
      </x:c>
      <x:c r="U44" s="42" t="str">
        <x:v>1</x:v>
      </x:c>
      <x:c r="V44" s="42" t="str">
        <x:v>0</x:v>
      </x:c>
      <x:c r="W44" s="42" t="str">
        <x:v>Fire; one killed; several injured</x:v>
      </x:c>
      <x:c r="X44" s="42" t="str"/>
      <x:c r="Y44" s="42" t="str"/>
      <x:c r="Z44" s="42" t="str"/>
      <x:c r="AA44" s="42" t="str">
        <x:v>German Navy Shipping Centre brief, pp. 8-10</x:v>
      </x:c>
      <x:c r="AB44" s="42" t="str">
        <x:v>Needs canonical event resolution</x:v>
      </x:c>
      <x:c r="AC44" s="42" t="str"/>
    </x:row>
    <x:row r="45">
      <x:c r="A45" s="42" t="str">
        <x:v>OBS_000044</x:v>
      </x:c>
      <x:c r="B45" s="42" t="str"/>
      <x:c r="C45" s="42" t="str">
        <x:v>maritime_attacks_2026</x:v>
      </x:c>
      <x:c r="D45" s="42" t="str">
        <x:v>44</x:v>
      </x:c>
      <x:c r="E45" s="42" t="str">
        <x:v>2026-07-13</x:v>
      </x:c>
      <x:c r="F45" s="42" t="str">
        <x:v>Conflict / Security</x:v>
      </x:c>
      <x:c r="G45" s="42" t="str">
        <x:v>Conflict attack</x:v>
      </x:c>
      <x:c r="H45" s="42" t="str">
        <x:v>Unspecified</x:v>
      </x:c>
      <x:c r="I45" s="42" t="str">
        <x:v>Maritime</x:v>
      </x:c>
      <x:c r="J45" s="42" t="str">
        <x:v>Persian Gulf / Strait of Hormuz / Gulf of Oman</x:v>
      </x:c>
      <x:c r="K45" s="42" t="str"/>
      <x:c r="L45" s="42" t="str"/>
      <x:c r="M45" s="42" t="str"/>
      <x:c r="N45" s="42" t="str"/>
      <x:c r="O45" s="42" t="str">
        <x:v>AL BAHYAH</x:v>
      </x:c>
      <x:c r="P45" s="42" t="str">
        <x:v>9937799</x:v>
      </x:c>
      <x:c r="Q45" s="42" t="str">
        <x:v>Tanker</x:v>
      </x:c>
      <x:c r="R45" s="42" t="str"/>
      <x:c r="S45" s="42" t="str">
        <x:v>Fire; 8 injured, 4 seriously</x:v>
      </x:c>
      <x:c r="T45" s="42" t="str">
        <x:v>Hit</x:v>
      </x:c>
      <x:c r="U45" s="42" t="str">
        <x:v>0</x:v>
      </x:c>
      <x:c r="V45" s="42" t="str">
        <x:v>8</x:v>
      </x:c>
      <x:c r="W45" s="42" t="str">
        <x:v>Fire; 8 injured, 4 seriously</x:v>
      </x:c>
      <x:c r="X45" s="42" t="str"/>
      <x:c r="Y45" s="42" t="str"/>
      <x:c r="Z45" s="42" t="str"/>
      <x:c r="AA45" s="42" t="str">
        <x:v>German Navy Shipping Centre brief, pp. 8-10</x:v>
      </x:c>
      <x:c r="AB45" s="42" t="str">
        <x:v>Needs canonical event resolution</x:v>
      </x:c>
      <x:c r="AC45" s="42" t="str"/>
    </x:row>
    <x:row r="46">
      <x:c r="A46" s="42" t="str">
        <x:v>OBS_000045</x:v>
      </x:c>
      <x:c r="B46" s="42" t="str"/>
      <x:c r="C46" s="42" t="str">
        <x:v>maritime_attacks_2026</x:v>
      </x:c>
      <x:c r="D46" s="42" t="str">
        <x:v>45</x:v>
      </x:c>
      <x:c r="E46" s="42" t="str">
        <x:v>2026-07-17</x:v>
      </x:c>
      <x:c r="F46" s="42" t="str">
        <x:v>Conflict / Security</x:v>
      </x:c>
      <x:c r="G46" s="42" t="str">
        <x:v>Conflict attack</x:v>
      </x:c>
      <x:c r="H46" s="42" t="str">
        <x:v>Unspecified</x:v>
      </x:c>
      <x:c r="I46" s="42" t="str">
        <x:v>Maritime</x:v>
      </x:c>
      <x:c r="J46" s="42" t="str">
        <x:v>Persian Gulf / Strait of Hormuz / Gulf of Oman</x:v>
      </x:c>
      <x:c r="K46" s="42" t="str"/>
      <x:c r="L46" s="42" t="str"/>
      <x:c r="M46" s="42" t="str"/>
      <x:c r="N46" s="42" t="str"/>
      <x:c r="O46" s="42" t="str">
        <x:v>IDI</x:v>
      </x:c>
      <x:c r="P46" s="42" t="str">
        <x:v>9307982</x:v>
      </x:c>
      <x:c r="Q46" s="42" t="str">
        <x:v>Tanker</x:v>
      </x:c>
      <x:c r="R46" s="42" t="str"/>
      <x:c r="S46" s="42" t="str">
        <x:v>Port-side hit; proceeded under own power to anchorage</x:v>
      </x:c>
      <x:c r="T46" s="42" t="str">
        <x:v>Hit</x:v>
      </x:c>
      <x:c r="U46" s="42" t="str">
        <x:v>0</x:v>
      </x:c>
      <x:c r="V46" s="42" t="str">
        <x:v>0</x:v>
      </x:c>
      <x:c r="W46" s="42" t="str">
        <x:v>Port-side hit; proceeded under own power to anchorage</x:v>
      </x:c>
      <x:c r="X46" s="42" t="str"/>
      <x:c r="Y46" s="42" t="str"/>
      <x:c r="Z46" s="42" t="str"/>
      <x:c r="AA46" s="42" t="str">
        <x:v>German Navy Shipping Centre brief, pp. 8-10</x:v>
      </x:c>
      <x:c r="AB46" s="42" t="str">
        <x:v>Needs canonical event resolution</x:v>
      </x:c>
      <x:c r="AC46" s="42" t="str"/>
    </x:row>
    <x:row r="47">
      <x:c r="A47" s="42" t="str">
        <x:v>OBS_000046</x:v>
      </x:c>
      <x:c r="B47" s="42" t="str"/>
      <x:c r="C47" s="42" t="str">
        <x:v>maritime_attacks_2026</x:v>
      </x:c>
      <x:c r="D47" s="42" t="str">
        <x:v>46</x:v>
      </x:c>
      <x:c r="E47" s="42" t="str">
        <x:v>2026-07-19</x:v>
      </x:c>
      <x:c r="F47" s="42" t="str">
        <x:v>Conflict / Security</x:v>
      </x:c>
      <x:c r="G47" s="42" t="str">
        <x:v>Conflict attack</x:v>
      </x:c>
      <x:c r="H47" s="42" t="str">
        <x:v>Unspecified</x:v>
      </x:c>
      <x:c r="I47" s="42" t="str">
        <x:v>Maritime</x:v>
      </x:c>
      <x:c r="J47" s="42" t="str">
        <x:v>Persian Gulf / Strait of Hormuz / Gulf of Oman</x:v>
      </x:c>
      <x:c r="K47" s="42" t="str"/>
      <x:c r="L47" s="42" t="str"/>
      <x:c r="M47" s="42" t="str"/>
      <x:c r="N47" s="42" t="str"/>
      <x:c r="O47" s="42" t="str">
        <x:v>KAVOMALEAS</x:v>
      </x:c>
      <x:c r="P47" s="42" t="str">
        <x:v>1042823</x:v>
      </x:c>
      <x:c r="Q47" s="42" t="str">
        <x:v>Tanker</x:v>
      </x:c>
      <x:c r="R47" s="42" t="str"/>
      <x:c r="S47" s="42" t="str">
        <x:v>Fire; crew abandoned; rescued by Omani Coast Guard</x:v>
      </x:c>
      <x:c r="T47" s="42" t="str">
        <x:v>Hit</x:v>
      </x:c>
      <x:c r="U47" s="42" t="str">
        <x:v>0</x:v>
      </x:c>
      <x:c r="V47" s="42" t="str">
        <x:v>0</x:v>
      </x:c>
      <x:c r="W47" s="42" t="str">
        <x:v>Fire; crew abandoned; rescued by Omani Coast Guard</x:v>
      </x:c>
      <x:c r="X47" s="42" t="str"/>
      <x:c r="Y47" s="42" t="str"/>
      <x:c r="Z47" s="42" t="str"/>
      <x:c r="AA47" s="42" t="str">
        <x:v>German Navy Shipping Centre brief, pp. 8-10</x:v>
      </x:c>
      <x:c r="AB47" s="42" t="str">
        <x:v>Needs canonical event resolution</x:v>
      </x:c>
      <x:c r="AC47" s="42" t="str"/>
    </x:row>
    <x:row r="48">
      <x:c r="A48" s="42" t="str">
        <x:v>OBS_000047</x:v>
      </x:c>
      <x:c r="B48" s="42" t="str"/>
      <x:c r="C48" s="42" t="str">
        <x:v>maritime_attacks_2026</x:v>
      </x:c>
      <x:c r="D48" s="42" t="str">
        <x:v>47</x:v>
      </x:c>
      <x:c r="E48" s="42" t="str">
        <x:v>2026-07-19</x:v>
      </x:c>
      <x:c r="F48" s="42" t="str">
        <x:v>Conflict / Security</x:v>
      </x:c>
      <x:c r="G48" s="42" t="str">
        <x:v>Conflict attack</x:v>
      </x:c>
      <x:c r="H48" s="42" t="str">
        <x:v>Unspecified</x:v>
      </x:c>
      <x:c r="I48" s="42" t="str">
        <x:v>Maritime</x:v>
      </x:c>
      <x:c r="J48" s="42" t="str">
        <x:v>Persian Gulf / Strait of Hormuz / Gulf of Oman</x:v>
      </x:c>
      <x:c r="K48" s="42" t="str"/>
      <x:c r="L48" s="42" t="str"/>
      <x:c r="M48" s="42" t="str"/>
      <x:c r="N48" s="42" t="str"/>
      <x:c r="O48" s="42" t="str">
        <x:v>ACHELOS</x:v>
      </x:c>
      <x:c r="P48" s="42" t="str">
        <x:v>1087524</x:v>
      </x:c>
      <x:c r="Q48" s="42" t="str">
        <x:v>Tanker</x:v>
      </x:c>
      <x:c r="R48" s="42" t="str"/>
      <x:c r="S48" s="42" t="str">
        <x:v>Steering-gear-room hit; proceeded under own power</x:v>
      </x:c>
      <x:c r="T48" s="42" t="str">
        <x:v>Hit</x:v>
      </x:c>
      <x:c r="U48" s="42" t="str">
        <x:v>0</x:v>
      </x:c>
      <x:c r="V48" s="42" t="str">
        <x:v>0</x:v>
      </x:c>
      <x:c r="W48" s="42" t="str">
        <x:v>Steering-gear-room hit; proceeded under own power</x:v>
      </x:c>
      <x:c r="X48" s="42" t="str"/>
      <x:c r="Y48" s="42" t="str"/>
      <x:c r="Z48" s="42" t="str"/>
      <x:c r="AA48" s="42" t="str">
        <x:v>German Navy Shipping Centre brief, pp. 8-10</x:v>
      </x:c>
      <x:c r="AB48" s="42" t="str">
        <x:v>Needs canonical event resolution</x:v>
      </x:c>
      <x:c r="AC48" s="42" t="str"/>
    </x:row>
    <x:row r="49">
      <x:c r="A49" s="42" t="str">
        <x:v>OBS_000048</x:v>
      </x:c>
      <x:c r="B49" s="42" t="str"/>
      <x:c r="C49" s="42" t="str">
        <x:v>maritime_attacks_2026</x:v>
      </x:c>
      <x:c r="D49" s="42" t="str">
        <x:v>48</x:v>
      </x:c>
      <x:c r="E49" s="42" t="str">
        <x:v>2026-07-20</x:v>
      </x:c>
      <x:c r="F49" s="42" t="str">
        <x:v>Conflict / Security</x:v>
      </x:c>
      <x:c r="G49" s="42" t="str">
        <x:v>Conflict attack</x:v>
      </x:c>
      <x:c r="H49" s="42" t="str">
        <x:v>Unspecified</x:v>
      </x:c>
      <x:c r="I49" s="42" t="str">
        <x:v>Maritime</x:v>
      </x:c>
      <x:c r="J49" s="42" t="str">
        <x:v>Persian Gulf / Strait of Hormuz / Gulf of Oman</x:v>
      </x:c>
      <x:c r="K49" s="42" t="str"/>
      <x:c r="L49" s="42" t="str"/>
      <x:c r="M49" s="42" t="str"/>
      <x:c r="N49" s="42" t="str"/>
      <x:c r="O49" s="42" t="str">
        <x:v>KAIFAN</x:v>
      </x:c>
      <x:c r="P49" s="42" t="str">
        <x:v>9656046</x:v>
      </x:c>
      <x:c r="Q49" s="42" t="str">
        <x:v>Tanker</x:v>
      </x:c>
      <x:c r="R49" s="42" t="str"/>
      <x:c r="S49" s="42" t="str">
        <x:v>Fire; crew abandoned; 2 lightly injured; rescued by Omani Coast Guard</x:v>
      </x:c>
      <x:c r="T49" s="42" t="str">
        <x:v>Hit</x:v>
      </x:c>
      <x:c r="U49" s="42" t="str">
        <x:v>0</x:v>
      </x:c>
      <x:c r="V49" s="42" t="str">
        <x:v>2</x:v>
      </x:c>
      <x:c r="W49" s="42" t="str">
        <x:v>Fire; crew abandoned; 2 lightly injured; rescued by Omani Coast Guard</x:v>
      </x:c>
      <x:c r="X49" s="42" t="str"/>
      <x:c r="Y49" s="42" t="str"/>
      <x:c r="Z49" s="42" t="str"/>
      <x:c r="AA49" s="42" t="str">
        <x:v>German Navy Shipping Centre brief, pp. 8-10</x:v>
      </x:c>
      <x:c r="AB49" s="42" t="str">
        <x:v>Needs canonical event resolution</x:v>
      </x:c>
      <x:c r="AC49" s="42" t="str"/>
    </x:row>
    <x:row r="50">
      <x:c r="A50" s="42" t="str">
        <x:v>OBS_000049</x:v>
      </x:c>
      <x:c r="B50" s="42" t="str"/>
      <x:c r="C50" s="42" t="str">
        <x:v>maritime_attacks_2026</x:v>
      </x:c>
      <x:c r="D50" s="42" t="str">
        <x:v>49</x:v>
      </x:c>
      <x:c r="E50" s="42" t="str">
        <x:v>2026-07-31</x:v>
      </x:c>
      <x:c r="F50" s="42" t="str">
        <x:v>Conflict / Security</x:v>
      </x:c>
      <x:c r="G50" s="42" t="str">
        <x:v>Conflict attack</x:v>
      </x:c>
      <x:c r="H50" s="42" t="str">
        <x:v>Unspecified</x:v>
      </x:c>
      <x:c r="I50" s="42" t="str">
        <x:v>Maritime</x:v>
      </x:c>
      <x:c r="J50" s="42" t="str">
        <x:v>Persian Gulf / Strait of Hormuz / Gulf of Oman</x:v>
      </x:c>
      <x:c r="K50" s="42" t="str"/>
      <x:c r="L50" s="42" t="str"/>
      <x:c r="M50" s="42" t="str"/>
      <x:c r="N50" s="42" t="str"/>
      <x:c r="O50" s="42" t="str">
        <x:v>GASLOG SHANGHAI</x:v>
      </x:c>
      <x:c r="P50" s="42" t="str">
        <x:v>9600528</x:v>
      </x:c>
      <x:c r="Q50" s="42" t="str">
        <x:v>LNG tanker</x:v>
      </x:c>
      <x:c r="R50" s="42" t="str"/>
      <x:c r="S50" s="42" t="str">
        <x:v>Port-side engine-room hit; fire, blackout and loss of propulsion</x:v>
      </x:c>
      <x:c r="T50" s="42" t="str">
        <x:v>Hit</x:v>
      </x:c>
      <x:c r="U50" s="42" t="str">
        <x:v>0</x:v>
      </x:c>
      <x:c r="V50" s="42" t="str">
        <x:v>0</x:v>
      </x:c>
      <x:c r="W50" s="42" t="str">
        <x:v>Port-side engine-room hit; fire, blackout and loss of propulsion</x:v>
      </x:c>
      <x:c r="X50" s="42" t="str"/>
      <x:c r="Y50" s="42" t="str"/>
      <x:c r="Z50" s="42" t="str"/>
      <x:c r="AA50" s="42" t="str">
        <x:v>German Navy Shipping Centre brief, pp. 8-10</x:v>
      </x:c>
      <x:c r="AB50" s="42" t="str">
        <x:v>Needs canonical event resolution</x:v>
      </x:c>
      <x:c r="AC50" s="42" t="str"/>
    </x:row>
    <x:row r="51">
      <x:c r="A51" s="42" t="str">
        <x:v>OBS_000050</x:v>
      </x:c>
      <x:c r="B51" s="42" t="str"/>
      <x:c r="C51" s="42" t="str">
        <x:v>maritime_attacks_2026</x:v>
      </x:c>
      <x:c r="D51" s="42" t="str">
        <x:v>50</x:v>
      </x:c>
      <x:c r="E51" s="42" t="str">
        <x:v>2026-08-03</x:v>
      </x:c>
      <x:c r="F51" s="42" t="str">
        <x:v>Conflict / Security</x:v>
      </x:c>
      <x:c r="G51" s="42" t="str">
        <x:v>Conflict attack</x:v>
      </x:c>
      <x:c r="H51" s="42" t="str">
        <x:v>Unspecified</x:v>
      </x:c>
      <x:c r="I51" s="42" t="str">
        <x:v>Maritime</x:v>
      </x:c>
      <x:c r="J51" s="42" t="str">
        <x:v>Persian Gulf / Strait of Hormuz / Gulf of Oman</x:v>
      </x:c>
      <x:c r="K51" s="42" t="str"/>
      <x:c r="L51" s="42" t="str"/>
      <x:c r="M51" s="42" t="str"/>
      <x:c r="N51" s="42" t="str"/>
      <x:c r="O51" s="42" t="str">
        <x:v>MINOAN PIONEER</x:v>
      </x:c>
      <x:c r="P51" s="42" t="str">
        <x:v>9471630</x:v>
      </x:c>
      <x:c r="Q51" s="42" t="str">
        <x:v>Bulk carrier</x:v>
      </x:c>
      <x:c r="R51" s="42" t="str"/>
      <x:c r="S51" s="42" t="str">
        <x:v>Engine-room fire; 22 crew evacuated; 1 missing; vessel at anchor</x:v>
      </x:c>
      <x:c r="T51" s="42" t="str">
        <x:v>Hit</x:v>
      </x:c>
      <x:c r="U51" s="42" t="str">
        <x:v>0</x:v>
      </x:c>
      <x:c r="V51" s="42" t="str">
        <x:v>0</x:v>
      </x:c>
      <x:c r="W51" s="42" t="str">
        <x:v>Engine-room fire; 22 crew evacuated; 1 missing; vessel at anchor</x:v>
      </x:c>
      <x:c r="X51" s="42" t="str"/>
      <x:c r="Y51" s="42" t="str"/>
      <x:c r="Z51" s="42" t="str"/>
      <x:c r="AA51" s="42" t="str">
        <x:v>German Navy Shipping Centre brief, pp. 8-10</x:v>
      </x:c>
      <x:c r="AB51" s="42" t="str">
        <x:v>Needs canonical event resolution</x:v>
      </x:c>
      <x:c r="AC51" s="42" t="str"/>
    </x:row>
    <x:row r="52">
      <x:c r="A52" s="42" t="str">
        <x:v>OBS_000051</x:v>
      </x:c>
      <x:c r="B52" s="42" t="str"/>
      <x:c r="C52" s="42" t="str">
        <x:v>maritime_attacks_2026</x:v>
      </x:c>
      <x:c r="D52" s="42" t="str">
        <x:v>51</x:v>
      </x:c>
      <x:c r="E52" s="42" t="str">
        <x:v>2026-08-08</x:v>
      </x:c>
      <x:c r="F52" s="42" t="str">
        <x:v>Conflict / Security</x:v>
      </x:c>
      <x:c r="G52" s="42" t="str">
        <x:v>Conflict attack</x:v>
      </x:c>
      <x:c r="H52" s="42" t="str">
        <x:v>Unspecified</x:v>
      </x:c>
      <x:c r="I52" s="42" t="str">
        <x:v>Maritime</x:v>
      </x:c>
      <x:c r="J52" s="42" t="str">
        <x:v>Persian Gulf / Strait of Hormuz / Gulf of Oman</x:v>
      </x:c>
      <x:c r="K52" s="42" t="str"/>
      <x:c r="L52" s="42" t="str"/>
      <x:c r="M52" s="42" t="str"/>
      <x:c r="N52" s="42" t="str"/>
      <x:c r="O52" s="42" t="str">
        <x:v>UNKNOWN</x:v>
      </x:c>
      <x:c r="P52" s="42" t="str"/>
      <x:c r="Q52" s="42" t="str">
        <x:v>Tanker</x:v>
      </x:c>
      <x:c r="R52" s="42" t="str"/>
      <x:c r="S52" s="42" t="str">
        <x:v>Reported fire brought under control</x:v>
      </x:c>
      <x:c r="T52" s="42" t="str">
        <x:v>Hit</x:v>
      </x:c>
      <x:c r="U52" s="42" t="str">
        <x:v>0</x:v>
      </x:c>
      <x:c r="V52" s="42" t="str">
        <x:v>0</x:v>
      </x:c>
      <x:c r="W52" s="42" t="str">
        <x:v>Reported fire brought under control</x:v>
      </x:c>
      <x:c r="X52" s="42" t="str"/>
      <x:c r="Y52" s="42" t="str"/>
      <x:c r="Z52" s="42" t="str"/>
      <x:c r="AA52" s="42" t="str">
        <x:v>German Navy Shipping Centre brief, pp. 8-10</x:v>
      </x:c>
      <x:c r="AB52" s="42" t="str">
        <x:v>Needs canonical event resolution</x:v>
      </x:c>
      <x:c r="AC52" s="42" t="str"/>
    </x:row>
    <x:row r="53">
      <x:c r="A53" s="42" t="str">
        <x:v>OBS_000052</x:v>
      </x:c>
      <x:c r="B53" s="42" t="str"/>
      <x:c r="C53" s="42" t="str">
        <x:v>maritime_attacks_2026</x:v>
      </x:c>
      <x:c r="D53" s="42" t="str">
        <x:v>52</x:v>
      </x:c>
      <x:c r="E53" s="42" t="str">
        <x:v>2026-08-13</x:v>
      </x:c>
      <x:c r="F53" s="42" t="str">
        <x:v>Conflict / Security</x:v>
      </x:c>
      <x:c r="G53" s="42" t="str">
        <x:v>Conflict attack</x:v>
      </x:c>
      <x:c r="H53" s="42" t="str">
        <x:v>UAVs</x:v>
      </x:c>
      <x:c r="I53" s="42" t="str">
        <x:v>Maritime</x:v>
      </x:c>
      <x:c r="J53" s="42" t="str">
        <x:v>Persian Gulf / Strait of Hormuz / Gulf of Oman</x:v>
      </x:c>
      <x:c r="K53" s="42" t="str"/>
      <x:c r="L53" s="42" t="str"/>
      <x:c r="M53" s="42" t="str"/>
      <x:c r="N53" s="42" t="str"/>
      <x:c r="O53" s="42" t="str">
        <x:v>NAVIG8MESSI</x:v>
      </x:c>
      <x:c r="P53" s="42" t="str">
        <x:v>9482859</x:v>
      </x:c>
      <x:c r="Q53" s="42" t="str">
        <x:v>Tanker</x:v>
      </x:c>
      <x:c r="R53" s="42" t="str"/>
      <x:c r="S53" s="42" t="str">
        <x:v>Minor damage; continued under own power</x:v>
      </x:c>
      <x:c r="T53" s="42" t="str">
        <x:v>Hit</x:v>
      </x:c>
      <x:c r="U53" s="42" t="str">
        <x:v>0</x:v>
      </x:c>
      <x:c r="V53" s="42" t="str">
        <x:v>0</x:v>
      </x:c>
      <x:c r="W53" s="42" t="str">
        <x:v>Minor damage; continued under own power</x:v>
      </x:c>
      <x:c r="X53" s="42" t="str"/>
      <x:c r="Y53" s="42" t="str"/>
      <x:c r="Z53" s="42" t="str"/>
      <x:c r="AA53" s="42" t="str">
        <x:v>German Navy Shipping Centre brief, pp. 8-10</x:v>
      </x:c>
      <x:c r="AB53" s="42" t="str">
        <x:v>Needs canonical event resolution</x:v>
      </x:c>
      <x:c r="AC53" s="42" t="str"/>
    </x:row>
    <x:row r="54">
      <x:c r="A54" s="42" t="str">
        <x:v>OBS_000053</x:v>
      </x:c>
      <x:c r="B54" s="42" t="str"/>
      <x:c r="C54" s="42" t="str">
        <x:v>maritime_attacks_2026</x:v>
      </x:c>
      <x:c r="D54" s="42" t="str">
        <x:v>53</x:v>
      </x:c>
      <x:c r="E54" s="42" t="str">
        <x:v>2026-08-13</x:v>
      </x:c>
      <x:c r="F54" s="42" t="str">
        <x:v>Conflict / Security</x:v>
      </x:c>
      <x:c r="G54" s="42" t="str">
        <x:v>Conflict attack</x:v>
      </x:c>
      <x:c r="H54" s="42" t="str">
        <x:v>UAVs</x:v>
      </x:c>
      <x:c r="I54" s="42" t="str">
        <x:v>Maritime</x:v>
      </x:c>
      <x:c r="J54" s="42" t="str">
        <x:v>Persian Gulf / Strait of Hormuz / Gulf of Oman</x:v>
      </x:c>
      <x:c r="K54" s="42" t="str"/>
      <x:c r="L54" s="42" t="str"/>
      <x:c r="M54" s="42" t="str"/>
      <x:c r="N54" s="42" t="str"/>
      <x:c r="O54" s="42" t="str">
        <x:v>TARIF</x:v>
      </x:c>
      <x:c r="P54" s="42" t="str">
        <x:v>9828390</x:v>
      </x:c>
      <x:c r="Q54" s="42" t="str">
        <x:v>Tanker</x:v>
      </x:c>
      <x:c r="R54" s="42" t="str"/>
      <x:c r="S54" s="42" t="str">
        <x:v>Minor damage; continued under own power</x:v>
      </x:c>
      <x:c r="T54" s="42" t="str">
        <x:v>Hit</x:v>
      </x:c>
      <x:c r="U54" s="42" t="str">
        <x:v>0</x:v>
      </x:c>
      <x:c r="V54" s="42" t="str">
        <x:v>0</x:v>
      </x:c>
      <x:c r="W54" s="42" t="str">
        <x:v>Minor damage; continued under own power</x:v>
      </x:c>
      <x:c r="X54" s="42" t="str"/>
      <x:c r="Y54" s="42" t="str"/>
      <x:c r="Z54" s="42" t="str"/>
      <x:c r="AA54" s="42" t="str">
        <x:v>German Navy Shipping Centre brief, pp. 8-10</x:v>
      </x:c>
      <x:c r="AB54" s="42" t="str">
        <x:v>Needs canonical event resolution</x:v>
      </x:c>
      <x:c r="AC54" s="42" t="str"/>
    </x:row>
    <x:row r="55">
      <x:c r="A55" s="42" t="str">
        <x:v>OBS_000054</x:v>
      </x:c>
      <x:c r="B55" s="42" t="str"/>
      <x:c r="C55" s="42" t="str">
        <x:v>maritime_attacks_2026</x:v>
      </x:c>
      <x:c r="D55" s="42" t="str">
        <x:v>54</x:v>
      </x:c>
      <x:c r="E55" s="42" t="str">
        <x:v>2026-08-14</x:v>
      </x:c>
      <x:c r="F55" s="42" t="str">
        <x:v>Conflict / Security</x:v>
      </x:c>
      <x:c r="G55" s="42" t="str">
        <x:v>Conflict attack</x:v>
      </x:c>
      <x:c r="H55" s="42" t="str">
        <x:v>Projectile</x:v>
      </x:c>
      <x:c r="I55" s="42" t="str">
        <x:v>Maritime</x:v>
      </x:c>
      <x:c r="J55" s="42" t="str">
        <x:v>Persian Gulf / Strait of Hormuz / Gulf of Oman</x:v>
      </x:c>
      <x:c r="K55" s="42" t="str"/>
      <x:c r="L55" s="42" t="str"/>
      <x:c r="M55" s="42" t="str"/>
      <x:c r="N55" s="42" t="str"/>
      <x:c r="O55" s="42" t="str">
        <x:v>AL WATAN</x:v>
      </x:c>
      <x:c r="P55" s="42" t="str">
        <x:v>9615030</x:v>
      </x:c>
      <x:c r="Q55" s="42" t="str">
        <x:v>Bulk carrier</x:v>
      </x:c>
      <x:c r="R55" s="42" t="str"/>
      <x:c r="S55" s="42" t="str">
        <x:v>Starboard-side hit; fire extinguished; no casualties</x:v>
      </x:c>
      <x:c r="T55" s="42" t="str">
        <x:v>Hit</x:v>
      </x:c>
      <x:c r="U55" s="42" t="str">
        <x:v>0</x:v>
      </x:c>
      <x:c r="V55" s="42" t="str">
        <x:v>0</x:v>
      </x:c>
      <x:c r="W55" s="42" t="str">
        <x:v>Starboard-side hit; fire extinguished; no casualties</x:v>
      </x:c>
      <x:c r="X55" s="42" t="str"/>
      <x:c r="Y55" s="42" t="str"/>
      <x:c r="Z55" s="42" t="str"/>
      <x:c r="AA55" s="42" t="str">
        <x:v>German Navy Shipping Centre brief, pp. 8-10</x:v>
      </x:c>
      <x:c r="AB55" s="42" t="str">
        <x:v>Needs canonical event resolution</x:v>
      </x:c>
      <x:c r="AC55" s="42" t="str"/>
    </x:row>
    <x:row r="56">
      <x:c r="A56" s="42" t="str">
        <x:v>OBS_000055</x:v>
      </x:c>
      <x:c r="B56" s="42" t="str"/>
      <x:c r="C56" s="42" t="str">
        <x:v>maritime_attacks_2026</x:v>
      </x:c>
      <x:c r="D56" s="42" t="str">
        <x:v>55</x:v>
      </x:c>
      <x:c r="E56" s="42" t="str">
        <x:v>2026-08-15</x:v>
      </x:c>
      <x:c r="F56" s="42" t="str">
        <x:v>Conflict / Security</x:v>
      </x:c>
      <x:c r="G56" s="42" t="str">
        <x:v>Conflict attack</x:v>
      </x:c>
      <x:c r="H56" s="42" t="str">
        <x:v>Unspecified</x:v>
      </x:c>
      <x:c r="I56" s="42" t="str">
        <x:v>Maritime</x:v>
      </x:c>
      <x:c r="J56" s="42" t="str">
        <x:v>Persian Gulf / Strait of Hormuz / Gulf of Oman</x:v>
      </x:c>
      <x:c r="K56" s="42" t="str"/>
      <x:c r="L56" s="42" t="str"/>
      <x:c r="M56" s="42" t="str"/>
      <x:c r="N56" s="42" t="str"/>
      <x:c r="O56" s="42" t="str">
        <x:v>RIYAN STAR</x:v>
      </x:c>
      <x:c r="P56" s="42" t="str">
        <x:v>9156761</x:v>
      </x:c>
      <x:c r="Q56" s="42" t="str">
        <x:v>Bulk carrier</x:v>
      </x:c>
      <x:c r="R56" s="42" t="str"/>
      <x:c r="S56" s="42" t="str">
        <x:v>Starboard-side hit below gangway; one fatality</x:v>
      </x:c>
      <x:c r="T56" s="42" t="str">
        <x:v>Hit</x:v>
      </x:c>
      <x:c r="U56" s="42" t="str">
        <x:v>1</x:v>
      </x:c>
      <x:c r="V56" s="42" t="str">
        <x:v>0</x:v>
      </x:c>
      <x:c r="W56" s="42" t="str">
        <x:v>Starboard-side hit below gangway; one fatality</x:v>
      </x:c>
      <x:c r="X56" s="42" t="str"/>
      <x:c r="Y56" s="42" t="str"/>
      <x:c r="Z56" s="42" t="str"/>
      <x:c r="AA56" s="42" t="str">
        <x:v>German Navy Shipping Centre brief, pp. 8-10</x:v>
      </x:c>
      <x:c r="AB56" s="42" t="str">
        <x:v>Needs canonical event resolution</x:v>
      </x:c>
      <x:c r="AC56" s="42" t="str"/>
    </x:row>
    <x:row r="57">
      <x:c r="A57" s="42" t="str">
        <x:v>OBS_000056</x:v>
      </x:c>
      <x:c r="B57" s="42" t="str"/>
      <x:c r="C57" s="42" t="str">
        <x:v>maritime_attacks_2026</x:v>
      </x:c>
      <x:c r="D57" s="42" t="str">
        <x:v>56</x:v>
      </x:c>
      <x:c r="E57" s="42" t="str">
        <x:v>2026-08-17</x:v>
      </x:c>
      <x:c r="F57" s="42" t="str">
        <x:v>Conflict / Security</x:v>
      </x:c>
      <x:c r="G57" s="42" t="str">
        <x:v>Conflict attack</x:v>
      </x:c>
      <x:c r="H57" s="42" t="str">
        <x:v>Unidentified projectile</x:v>
      </x:c>
      <x:c r="I57" s="42" t="str">
        <x:v>Maritime</x:v>
      </x:c>
      <x:c r="J57" s="42" t="str">
        <x:v>Persian Gulf / Strait of Hormuz / Gulf of Oman</x:v>
      </x:c>
      <x:c r="K57" s="42" t="str"/>
      <x:c r="L57" s="42" t="str"/>
      <x:c r="M57" s="42" t="str"/>
      <x:c r="N57" s="42" t="str"/>
      <x:c r="O57" s="42" t="str">
        <x:v>MINOAN DIGNITY</x:v>
      </x:c>
      <x:c r="P57" s="42" t="str">
        <x:v>9294484</x:v>
      </x:c>
      <x:c r="Q57" s="42" t="str">
        <x:v>Container ship</x:v>
      </x:c>
      <x:c r="R57" s="42" t="str"/>
      <x:c r="S57" s="42" t="str">
        <x:v>Engine-room hit; one fatality</x:v>
      </x:c>
      <x:c r="T57" s="42" t="str">
        <x:v>Hit</x:v>
      </x:c>
      <x:c r="U57" s="42" t="str">
        <x:v>1</x:v>
      </x:c>
      <x:c r="V57" s="42" t="str">
        <x:v>0</x:v>
      </x:c>
      <x:c r="W57" s="42" t="str">
        <x:v>Engine-room hit; one fatality</x:v>
      </x:c>
      <x:c r="X57" s="42" t="str"/>
      <x:c r="Y57" s="42" t="str"/>
      <x:c r="Z57" s="42" t="str"/>
      <x:c r="AA57" s="42" t="str">
        <x:v>German Navy Shipping Centre brief, pp. 8-10</x:v>
      </x:c>
      <x:c r="AB57" s="42" t="str">
        <x:v>Needs canonical event resolution</x:v>
      </x:c>
      <x:c r="AC57" s="42" t="str"/>
    </x:row>
    <x:row r="58">
      <x:c r="A58" s="42" t="str">
        <x:v>OBS_000057</x:v>
      </x:c>
      <x:c r="B58" s="42" t="str"/>
      <x:c r="C58" s="42" t="str">
        <x:v>maritime_attacks_2026</x:v>
      </x:c>
      <x:c r="D58" s="42" t="str">
        <x:v>57</x:v>
      </x:c>
      <x:c r="E58" s="42" t="str">
        <x:v>2026-07-22</x:v>
      </x:c>
      <x:c r="F58" s="42" t="str">
        <x:v>Conflict / Security</x:v>
      </x:c>
      <x:c r="G58" s="42" t="str">
        <x:v>Houthi / Red Sea attack</x:v>
      </x:c>
      <x:c r="H58" s="42" t="str">
        <x:v>Unspecified</x:v>
      </x:c>
      <x:c r="I58" s="42" t="str">
        <x:v>Maritime</x:v>
      </x:c>
      <x:c r="J58" s="42" t="str">
        <x:v>Southern Red Sea / Bab el-Mandeb</x:v>
      </x:c>
      <x:c r="K58" s="42" t="str"/>
      <x:c r="L58" s="42" t="str"/>
      <x:c r="M58" s="42" t="str"/>
      <x:c r="N58" s="42" t="str"/>
      <x:c r="O58" s="42" t="str">
        <x:v>ENCELIA</x:v>
      </x:c>
      <x:c r="P58" s="42" t="str">
        <x:v>9240172</x:v>
      </x:c>
      <x:c r="Q58" s="42" t="str">
        <x:v>Tanker</x:v>
      </x:c>
      <x:c r="R58" s="42" t="str"/>
      <x:c r="S58" s="42" t="str">
        <x:v>Starboard-side hit; fire extinguished with naval assistance</x:v>
      </x:c>
      <x:c r="T58" s="42" t="str">
        <x:v>Hit</x:v>
      </x:c>
      <x:c r="U58" s="42" t="str">
        <x:v>0</x:v>
      </x:c>
      <x:c r="V58" s="42" t="str">
        <x:v>0</x:v>
      </x:c>
      <x:c r="W58" s="42" t="str">
        <x:v>Starboard-side hit; fire extinguished with naval assistance</x:v>
      </x:c>
      <x:c r="X58" s="42" t="str"/>
      <x:c r="Y58" s="42" t="str"/>
      <x:c r="Z58" s="42" t="str"/>
      <x:c r="AA58" s="42" t="str">
        <x:v>German Navy Shipping Centre brief, p. 11</x:v>
      </x:c>
      <x:c r="AB58" s="42" t="str">
        <x:v>Needs canonical event resolution</x:v>
      </x:c>
      <x:c r="AC58" s="42" t="str"/>
    </x:row>
    <x:row r="59">
      <x:c r="A59" s="42" t="str">
        <x:v>OBS_000058</x:v>
      </x:c>
      <x:c r="B59" s="42" t="str"/>
      <x:c r="C59" s="42" t="str">
        <x:v>maritime_attacks_2026</x:v>
      </x:c>
      <x:c r="D59" s="42" t="str">
        <x:v>58</x:v>
      </x:c>
      <x:c r="E59" s="42" t="str">
        <x:v>2026-07-24</x:v>
      </x:c>
      <x:c r="F59" s="42" t="str">
        <x:v>Conflict / Security</x:v>
      </x:c>
      <x:c r="G59" s="42" t="str">
        <x:v>Houthi / Red Sea attack</x:v>
      </x:c>
      <x:c r="H59" s="42" t="str">
        <x:v>Unspecified</x:v>
      </x:c>
      <x:c r="I59" s="42" t="str">
        <x:v>Maritime</x:v>
      </x:c>
      <x:c r="J59" s="42" t="str">
        <x:v>Southern Red Sea / Bab el-Mandeb</x:v>
      </x:c>
      <x:c r="K59" s="42" t="str"/>
      <x:c r="L59" s="42" t="str"/>
      <x:c r="M59" s="42" t="str"/>
      <x:c r="N59" s="42" t="str"/>
      <x:c r="O59" s="42" t="str">
        <x:v>NCC MASA</x:v>
      </x:c>
      <x:c r="P59" s="42" t="str">
        <x:v>9688336</x:v>
      </x:c>
      <x:c r="Q59" s="42" t="str">
        <x:v>Tanker</x:v>
      </x:c>
      <x:c r="R59" s="42" t="str"/>
      <x:c r="S59" s="42" t="str">
        <x:v>Minor damage; continued voyage</x:v>
      </x:c>
      <x:c r="T59" s="42" t="str">
        <x:v>Hit</x:v>
      </x:c>
      <x:c r="U59" s="42" t="str">
        <x:v>0</x:v>
      </x:c>
      <x:c r="V59" s="42" t="str">
        <x:v>0</x:v>
      </x:c>
      <x:c r="W59" s="42" t="str">
        <x:v>Minor damage; continued voyage</x:v>
      </x:c>
      <x:c r="X59" s="42" t="str"/>
      <x:c r="Y59" s="42" t="str"/>
      <x:c r="Z59" s="42" t="str"/>
      <x:c r="AA59" s="42" t="str">
        <x:v>German Navy Shipping Centre brief, p. 11</x:v>
      </x:c>
      <x:c r="AB59" s="42" t="str">
        <x:v>Needs canonical event resolution</x:v>
      </x:c>
      <x:c r="AC59" s="42" t="str"/>
    </x:row>
    <x:row r="60">
      <x:c r="A60" s="42" t="str">
        <x:v>OBS_000059</x:v>
      </x:c>
      <x:c r="B60" s="42" t="str"/>
      <x:c r="C60" s="42" t="str">
        <x:v>maritime_attacks_2026</x:v>
      </x:c>
      <x:c r="D60" s="42" t="str">
        <x:v>59</x:v>
      </x:c>
      <x:c r="E60" s="42" t="str">
        <x:v>2026-08-04</x:v>
      </x:c>
      <x:c r="F60" s="42" t="str">
        <x:v>Conflict / Security</x:v>
      </x:c>
      <x:c r="G60" s="42" t="str">
        <x:v>Houthi / Red Sea attack</x:v>
      </x:c>
      <x:c r="H60" s="42" t="str">
        <x:v>Unspecified</x:v>
      </x:c>
      <x:c r="I60" s="42" t="str">
        <x:v>Maritime</x:v>
      </x:c>
      <x:c r="J60" s="42" t="str">
        <x:v>Southern Red Sea / Bab el-Mandeb</x:v>
      </x:c>
      <x:c r="K60" s="42" t="str"/>
      <x:c r="L60" s="42" t="str"/>
      <x:c r="M60" s="42" t="str"/>
      <x:c r="N60" s="42" t="str"/>
      <x:c r="O60" s="42" t="str">
        <x:v>MSV FAIZE NOORE</x:v>
      </x:c>
      <x:c r="P60" s="42" t="str"/>
      <x:c r="Q60" s="42" t="str">
        <x:v>Merchant vessel</x:v>
      </x:c>
      <x:c r="R60" s="42" t="str"/>
      <x:c r="S60" s="42" t="str">
        <x:v>Fire; crew rescued; vessel subsequently sank</x:v>
      </x:c>
      <x:c r="T60" s="42" t="str">
        <x:v>Hit</x:v>
      </x:c>
      <x:c r="U60" s="42" t="str">
        <x:v>0</x:v>
      </x:c>
      <x:c r="V60" s="42" t="str">
        <x:v>0</x:v>
      </x:c>
      <x:c r="W60" s="42" t="str">
        <x:v>Fire; crew rescued; vessel subsequently sank</x:v>
      </x:c>
      <x:c r="X60" s="42" t="str"/>
      <x:c r="Y60" s="42" t="str"/>
      <x:c r="Z60" s="42" t="str"/>
      <x:c r="AA60" s="42" t="str">
        <x:v>German Navy Shipping Centre brief, p. 11</x:v>
      </x:c>
      <x:c r="AB60" s="42" t="str">
        <x:v>Needs canonical event resolution</x:v>
      </x:c>
      <x:c r="AC60" s="42" t="str"/>
    </x:row>
    <x:row r="61">
      <x:c r="A61" s="42" t="str">
        <x:v>OBS_000060</x:v>
      </x:c>
      <x:c r="B61" s="42" t="str"/>
      <x:c r="C61" s="42" t="str">
        <x:v>maritime_attacks_2026</x:v>
      </x:c>
      <x:c r="D61" s="42" t="str">
        <x:v>60</x:v>
      </x:c>
      <x:c r="E61" s="42" t="str">
        <x:v>2026-08-11</x:v>
      </x:c>
      <x:c r="F61" s="42" t="str">
        <x:v>Conflict / Security</x:v>
      </x:c>
      <x:c r="G61" s="42" t="str">
        <x:v>Houthi / Red Sea attack</x:v>
      </x:c>
      <x:c r="H61" s="42" t="str">
        <x:v>Unspecified</x:v>
      </x:c>
      <x:c r="I61" s="42" t="str">
        <x:v>Maritime</x:v>
      </x:c>
      <x:c r="J61" s="42" t="str">
        <x:v>Southern Red Sea / Bab el-Mandeb</x:v>
      </x:c>
      <x:c r="K61" s="42" t="str"/>
      <x:c r="L61" s="42" t="str"/>
      <x:c r="M61" s="42" t="str"/>
      <x:c r="N61" s="42" t="str"/>
      <x:c r="O61" s="42" t="str">
        <x:v>TIHAMAH</x:v>
      </x:c>
      <x:c r="P61" s="42" t="str">
        <x:v>1031329</x:v>
      </x:c>
      <x:c r="Q61" s="42" t="str">
        <x:v>General cargo vessel</x:v>
      </x:c>
      <x:c r="R61" s="42" t="str"/>
      <x:c r="S61" s="42" t="str">
        <x:v>Fire; 2 fatalities, 4 injured; brief notes 2 additional Yemeni Coast Guard killed</x:v>
      </x:c>
      <x:c r="T61" s="42" t="str">
        <x:v>Hit</x:v>
      </x:c>
      <x:c r="U61" s="42" t="str">
        <x:v>2</x:v>
      </x:c>
      <x:c r="V61" s="42" t="str">
        <x:v>4</x:v>
      </x:c>
      <x:c r="W61" s="42" t="str">
        <x:v>Fire; 2 fatalities, 4 injured; brief notes 2 additional Yemeni Coast Guard killed</x:v>
      </x:c>
      <x:c r="X61" s="42" t="str"/>
      <x:c r="Y61" s="42" t="str"/>
      <x:c r="Z61" s="42" t="str"/>
      <x:c r="AA61" s="42" t="str">
        <x:v>German Navy Shipping Centre brief, p. 11</x:v>
      </x:c>
      <x:c r="AB61" s="42" t="str">
        <x:v>Needs canonical event resolution</x:v>
      </x:c>
      <x:c r="AC61" s="42" t="str"/>
    </x:row>
    <x:row r="62">
      <x:c r="A62" s="42" t="str">
        <x:v>OBS_000061</x:v>
      </x:c>
      <x:c r="B62" s="42" t="str"/>
      <x:c r="C62" s="42" t="str">
        <x:v>maritime_attacks_2026</x:v>
      </x:c>
      <x:c r="D62" s="42" t="str">
        <x:v>61</x:v>
      </x:c>
      <x:c r="E62" s="42" t="str">
        <x:v>2026-08-17</x:v>
      </x:c>
      <x:c r="F62" s="42" t="str">
        <x:v>Conflict / Security</x:v>
      </x:c>
      <x:c r="G62" s="42" t="str">
        <x:v>Houthi / Red Sea attack</x:v>
      </x:c>
      <x:c r="H62" s="42" t="str">
        <x:v>Multiple hits</x:v>
      </x:c>
      <x:c r="I62" s="42" t="str">
        <x:v>Maritime</x:v>
      </x:c>
      <x:c r="J62" s="42" t="str">
        <x:v>Southern Red Sea / Bab el-Mandeb</x:v>
      </x:c>
      <x:c r="K62" s="42" t="str"/>
      <x:c r="L62" s="42" t="str"/>
      <x:c r="M62" s="42" t="str"/>
      <x:c r="N62" s="42" t="str"/>
      <x:c r="O62" s="42" t="str">
        <x:v>AMIR KHAN 1468</x:v>
      </x:c>
      <x:c r="P62" s="42" t="str">
        <x:v>1088504</x:v>
      </x:c>
      <x:c r="Q62" s="42" t="str">
        <x:v>Deck cargo vessel</x:v>
      </x:c>
      <x:c r="R62" s="42" t="str"/>
      <x:c r="S62" s="42" t="str">
        <x:v>Multiple hull hits; complete destruction of vessel structure</x:v>
      </x:c>
      <x:c r="T62" s="42" t="str">
        <x:v>Hit</x:v>
      </x:c>
      <x:c r="U62" s="42" t="str">
        <x:v>0</x:v>
      </x:c>
      <x:c r="V62" s="42" t="str">
        <x:v>0</x:v>
      </x:c>
      <x:c r="W62" s="42" t="str">
        <x:v>Multiple hull hits; complete destruction of vessel structure</x:v>
      </x:c>
      <x:c r="X62" s="42" t="str"/>
      <x:c r="Y62" s="42" t="str"/>
      <x:c r="Z62" s="42" t="str"/>
      <x:c r="AA62" s="42" t="str">
        <x:v>German Navy Shipping Centre brief, p. 11</x:v>
      </x:c>
      <x:c r="AB62" s="42" t="str">
        <x:v>Needs canonical event resolution</x:v>
      </x:c>
      <x:c r="AC62" s="42" t="str"/>
    </x:row>
    <x:row r="63">
      <x:c r="A63" s="42" t="str">
        <x:v>OBS_000062</x:v>
      </x:c>
      <x:c r="B63" s="42" t="str"/>
      <x:c r="C63" s="42" t="str">
        <x:v>maritime_attacks_2026</x:v>
      </x:c>
      <x:c r="D63" s="42" t="str">
        <x:v>62</x:v>
      </x:c>
      <x:c r="E63" s="42" t="str">
        <x:v>2026-04-21</x:v>
      </x:c>
      <x:c r="F63" s="42" t="str">
        <x:v>Conflict / Security</x:v>
      </x:c>
      <x:c r="G63" s="42" t="str">
        <x:v>Piracy</x:v>
      </x:c>
      <x:c r="H63" s="42" t="str">
        <x:v>Armed boarding</x:v>
      </x:c>
      <x:c r="I63" s="42" t="str">
        <x:v>Maritime</x:v>
      </x:c>
      <x:c r="J63" s="42" t="str">
        <x:v>Somalia / Gulf of Aden</x:v>
      </x:c>
      <x:c r="K63" s="42" t="str"/>
      <x:c r="L63" s="42" t="str">
        <x:v>Near Xaafuun / Mareeyo, Puntland</x:v>
      </x:c>
      <x:c r="M63" s="42" t="str"/>
      <x:c r="N63" s="42" t="str"/>
      <x:c r="O63" s="42" t="str">
        <x:v>HONOUR 25</x:v>
      </x:c>
      <x:c r="P63" s="42" t="str">
        <x:v>1099735</x:v>
      </x:c>
      <x:c r="Q63" s="42" t="str">
        <x:v>Product tanker</x:v>
      </x:c>
      <x:c r="R63" s="42" t="str"/>
      <x:c r="S63" s="42" t="str">
        <x:v>Held by pirates as of 20 Aug</x:v>
      </x:c>
      <x:c r="T63" s="42" t="str">
        <x:v>Hijacked</x:v>
      </x:c>
      <x:c r="U63" s="42" t="str"/>
      <x:c r="V63" s="42" t="str"/>
      <x:c r="W63" s="42" t="str">
        <x:v>Held by pirates as of 20 Aug</x:v>
      </x:c>
      <x:c r="X63" s="42" t="str"/>
      <x:c r="Y63" s="42" t="str"/>
      <x:c r="Z63" s="42" t="str"/>
      <x:c r="AA63" s="42" t="str">
        <x:v>German Navy Shipping Centre brief, p. 2; identifiers from prior cross-checking</x:v>
      </x:c>
      <x:c r="AB63" s="42" t="str">
        <x:v>Needs canonical event resolution</x:v>
      </x:c>
      <x:c r="AC63" s="42" t="str"/>
    </x:row>
    <x:row r="64">
      <x:c r="A64" s="42" t="str">
        <x:v>OBS_000063</x:v>
      </x:c>
      <x:c r="B64" s="42" t="str"/>
      <x:c r="C64" s="42" t="str">
        <x:v>maritime_attacks_2026</x:v>
      </x:c>
      <x:c r="D64" s="42" t="str">
        <x:v>63</x:v>
      </x:c>
      <x:c r="E64" s="42" t="str">
        <x:v>2026-04-26</x:v>
      </x:c>
      <x:c r="F64" s="42" t="str">
        <x:v>Conflict / Security</x:v>
      </x:c>
      <x:c r="G64" s="42" t="str">
        <x:v>Piracy</x:v>
      </x:c>
      <x:c r="H64" s="42" t="str">
        <x:v>Armed boarding</x:v>
      </x:c>
      <x:c r="I64" s="42" t="str">
        <x:v>Maritime</x:v>
      </x:c>
      <x:c r="J64" s="42" t="str">
        <x:v>Somalia / Gulf of Aden</x:v>
      </x:c>
      <x:c r="K64" s="42" t="str"/>
      <x:c r="L64" s="42" t="str">
        <x:v>Near Garacad, Puntland</x:v>
      </x:c>
      <x:c r="M64" s="42" t="str"/>
      <x:c r="N64" s="42" t="str"/>
      <x:c r="O64" s="42" t="str">
        <x:v>SWARD</x:v>
      </x:c>
      <x:c r="P64" s="42" t="str">
        <x:v>9174244</x:v>
      </x:c>
      <x:c r="Q64" s="42" t="str">
        <x:v>General cargo / cement carrier</x:v>
      </x:c>
      <x:c r="R64" s="42" t="str"/>
      <x:c r="S64" s="42" t="str">
        <x:v>Held by pirates; externally reported possible mothership</x:v>
      </x:c>
      <x:c r="T64" s="42" t="str">
        <x:v>Hijacked</x:v>
      </x:c>
      <x:c r="U64" s="42" t="str"/>
      <x:c r="V64" s="42" t="str"/>
      <x:c r="W64" s="42" t="str">
        <x:v>Held by pirates; externally reported possible mothership</x:v>
      </x:c>
      <x:c r="X64" s="42" t="str"/>
      <x:c r="Y64" s="42" t="str"/>
      <x:c r="Z64" s="42" t="str"/>
      <x:c r="AA64" s="42" t="str">
        <x:v>German Navy Shipping Centre brief, p. 2; external mothership reporting</x:v>
      </x:c>
      <x:c r="AB64" s="42" t="str">
        <x:v>Needs canonical event resolution</x:v>
      </x:c>
      <x:c r="AC64" s="42" t="str"/>
    </x:row>
    <x:row r="65">
      <x:c r="A65" s="42" t="str">
        <x:v>OBS_000064</x:v>
      </x:c>
      <x:c r="B65" s="42" t="str"/>
      <x:c r="C65" s="42" t="str">
        <x:v>maritime_attacks_2026</x:v>
      </x:c>
      <x:c r="D65" s="42" t="str">
        <x:v>64</x:v>
      </x:c>
      <x:c r="E65" s="42" t="str">
        <x:v>2026-05-04</x:v>
      </x:c>
      <x:c r="F65" s="42" t="str">
        <x:v>Conflict / Security</x:v>
      </x:c>
      <x:c r="G65" s="42" t="str">
        <x:v>Piracy</x:v>
      </x:c>
      <x:c r="H65" s="42" t="str">
        <x:v>Armed boarding</x:v>
      </x:c>
      <x:c r="I65" s="42" t="str">
        <x:v>Maritime</x:v>
      </x:c>
      <x:c r="J65" s="42" t="str">
        <x:v>Somalia / Gulf of Aden</x:v>
      </x:c>
      <x:c r="K65" s="42" t="str"/>
      <x:c r="L65" s="42" t="str">
        <x:v>Yemen-Somalia corridor</x:v>
      </x:c>
      <x:c r="M65" s="42" t="str"/>
      <x:c r="N65" s="42" t="str"/>
      <x:c r="O65" s="42" t="str">
        <x:v>EUREKA</x:v>
      </x:c>
      <x:c r="P65" s="42" t="str"/>
      <x:c r="Q65" s="42" t="str">
        <x:v>Oil/products tanker</x:v>
      </x:c>
      <x:c r="R65" s="42" t="str"/>
      <x:c r="S65" s="42" t="str">
        <x:v>Held by pirates as of 20 Aug</x:v>
      </x:c>
      <x:c r="T65" s="42" t="str">
        <x:v>Hijacked</x:v>
      </x:c>
      <x:c r="U65" s="42" t="str"/>
      <x:c r="V65" s="42" t="str"/>
      <x:c r="W65" s="42" t="str">
        <x:v>Held by pirates as of 20 Aug</x:v>
      </x:c>
      <x:c r="X65" s="42" t="str"/>
      <x:c r="Y65" s="42" t="str"/>
      <x:c r="Z65" s="42" t="str"/>
      <x:c r="AA65" s="42" t="str">
        <x:v>German Navy Shipping Centre brief, p. 2</x:v>
      </x:c>
      <x:c r="AB65" s="42" t="str">
        <x:v>Needs canonical event resolution</x:v>
      </x:c>
      <x:c r="AC65" s="42" t="str"/>
    </x:row>
    <x:row r="66">
      <x:c r="A66" s="42" t="str">
        <x:v>OBS_000065</x:v>
      </x:c>
      <x:c r="B66" s="42" t="str"/>
      <x:c r="C66" s="42" t="str">
        <x:v>maritime_attacks_2026</x:v>
      </x:c>
      <x:c r="D66" s="42" t="str">
        <x:v>65</x:v>
      </x:c>
      <x:c r="E66" s="42" t="str">
        <x:v>2026-07-17</x:v>
      </x:c>
      <x:c r="F66" s="42" t="str">
        <x:v>Conflict / Security</x:v>
      </x:c>
      <x:c r="G66" s="42" t="str">
        <x:v>Piracy</x:v>
      </x:c>
      <x:c r="H66" s="42" t="str">
        <x:v>Armed boarding</x:v>
      </x:c>
      <x:c r="I66" s="42" t="str">
        <x:v>Maritime</x:v>
      </x:c>
      <x:c r="J66" s="42" t="str">
        <x:v>Somalia / Gulf of Aden</x:v>
      </x:c>
      <x:c r="K66" s="42" t="str"/>
      <x:c r="L66" s="42" t="str">
        <x:v>South of Al Mukalla</x:v>
      </x:c>
      <x:c r="M66" s="42" t="str"/>
      <x:c r="N66" s="42" t="str"/>
      <x:c r="O66" s="42" t="str">
        <x:v>ASANA</x:v>
      </x:c>
      <x:c r="P66" s="42" t="str"/>
      <x:c r="Q66" s="42" t="str">
        <x:v>Product/chemical tanker</x:v>
      </x:c>
      <x:c r="R66" s="42" t="str"/>
      <x:c r="S66" s="42" t="str">
        <x:v>Held by pirates as of 20 Aug</x:v>
      </x:c>
      <x:c r="T66" s="42" t="str">
        <x:v>Hijacked</x:v>
      </x:c>
      <x:c r="U66" s="42" t="str"/>
      <x:c r="V66" s="42" t="str"/>
      <x:c r="W66" s="42" t="str">
        <x:v>Held by pirates as of 20 Aug</x:v>
      </x:c>
      <x:c r="X66" s="42" t="str"/>
      <x:c r="Y66" s="42" t="str"/>
      <x:c r="Z66" s="42" t="str"/>
      <x:c r="AA66" s="42" t="str">
        <x:v>German Navy Shipping Centre brief, p. 2</x:v>
      </x:c>
      <x:c r="AB66" s="42" t="str">
        <x:v>Needs canonical event resolution</x:v>
      </x:c>
      <x:c r="AC66" s="42" t="str"/>
    </x:row>
    <x:row r="67">
      <x:c r="A67" s="42" t="str">
        <x:v>OBS_000066</x:v>
      </x:c>
      <x:c r="B67" s="42" t="str"/>
      <x:c r="C67" s="42" t="str">
        <x:v>maritime_attacks_2026</x:v>
      </x:c>
      <x:c r="D67" s="42" t="str">
        <x:v>66</x:v>
      </x:c>
      <x:c r="E67" s="42" t="str">
        <x:v>2026-08-17</x:v>
      </x:c>
      <x:c r="F67" s="42" t="str">
        <x:v>Conflict / Security</x:v>
      </x:c>
      <x:c r="G67" s="42" t="str">
        <x:v>Piracy</x:v>
      </x:c>
      <x:c r="H67" s="42" t="str">
        <x:v>Armed boarding</x:v>
      </x:c>
      <x:c r="I67" s="42" t="str">
        <x:v>Maritime</x:v>
      </x:c>
      <x:c r="J67" s="42" t="str">
        <x:v>Somalia / Gulf of Aden</x:v>
      </x:c>
      <x:c r="K67" s="42" t="str"/>
      <x:c r="L67" s="42" t="str">
        <x:v>Approx. 4 nm south of Maraya</x:v>
      </x:c>
      <x:c r="M67" s="42" t="str"/>
      <x:c r="N67" s="42" t="str"/>
      <x:c r="O67" s="42" t="str">
        <x:v>LUTUF</x:v>
      </x:c>
      <x:c r="P67" s="42" t="str"/>
      <x:c r="Q67" s="42" t="str">
        <x:v>General cargo vessel</x:v>
      </x:c>
      <x:c r="R67" s="42" t="str"/>
      <x:c r="S67" s="42" t="str">
        <x:v>Had routed close to coast due to adverse weather</x:v>
      </x:c>
      <x:c r="T67" s="42" t="str">
        <x:v>Hijacked</x:v>
      </x:c>
      <x:c r="U67" s="42" t="str"/>
      <x:c r="V67" s="42" t="str"/>
      <x:c r="W67" s="42" t="str">
        <x:v>Had routed close to coast due to adverse weather</x:v>
      </x:c>
      <x:c r="X67" s="42" t="str"/>
      <x:c r="Y67" s="42" t="str"/>
      <x:c r="Z67" s="42" t="str"/>
      <x:c r="AA67" s="42" t="str">
        <x:v>German Navy Shipping Centre brief, p. 2</x:v>
      </x:c>
      <x:c r="AB67" s="42" t="str">
        <x:v>Needs canonical event resolution</x:v>
      </x:c>
      <x:c r="AC67" s="42" t="str"/>
    </x:row>
    <x:row r="68">
      <x:c r="A68" s="42" t="str">
        <x:v>OBS_000067</x:v>
      </x:c>
      <x:c r="B68" s="42" t="str"/>
      <x:c r="C68" s="42" t="str">
        <x:v>maritime_attacks_2026</x:v>
      </x:c>
      <x:c r="D68" s="42" t="str">
        <x:v>67</x:v>
      </x:c>
      <x:c r="E68" s="42" t="str">
        <x:v>2026-08-20</x:v>
      </x:c>
      <x:c r="F68" s="42" t="str">
        <x:v>Conflict / Security</x:v>
      </x:c>
      <x:c r="G68" s="42" t="str">
        <x:v>Piracy</x:v>
      </x:c>
      <x:c r="H68" s="42" t="str">
        <x:v>Six armed individuals</x:v>
      </x:c>
      <x:c r="I68" s="42" t="str">
        <x:v>Maritime</x:v>
      </x:c>
      <x:c r="J68" s="42" t="str">
        <x:v>Somalia / Gulf of Aden</x:v>
      </x:c>
      <x:c r="K68" s="42" t="str"/>
      <x:c r="L68" s="42" t="str">
        <x:v>Gulf of Aden</x:v>
      </x:c>
      <x:c r="M68" s="42" t="str"/>
      <x:c r="N68" s="42" t="str"/>
      <x:c r="O68" s="42" t="str">
        <x:v>SEAMULL (SIBU 1)</x:v>
      </x:c>
      <x:c r="P68" s="42" t="str">
        <x:v>9204776</x:v>
      </x:c>
      <x:c r="Q68" s="42" t="str">
        <x:v>Tanker</x:v>
      </x:c>
      <x:c r="R68" s="42" t="str"/>
      <x:c r="S68" s="42" t="str">
        <x:v>Six armed individuals took control; intended diversion to Somalia</x:v>
      </x:c>
      <x:c r="T68" s="42" t="str">
        <x:v>Hijacked</x:v>
      </x:c>
      <x:c r="U68" s="42" t="str"/>
      <x:c r="V68" s="42" t="str"/>
      <x:c r="W68" s="42" t="str">
        <x:v>Six armed individuals took control; intended diversion to Somalia</x:v>
      </x:c>
      <x:c r="X68" s="42" t="str"/>
      <x:c r="Y68" s="42" t="str"/>
      <x:c r="Z68" s="42" t="str"/>
      <x:c r="AA68" s="42" t="str">
        <x:v>German Navy Shipping Centre brief, p. 2; IMO from prior cross-checking</x:v>
      </x:c>
      <x:c r="AB68" s="42" t="str">
        <x:v>Needs canonical event resolution</x:v>
      </x:c>
      <x:c r="AC68" s="42" t="str"/>
    </x:row>
    <x:row r="69">
      <x:c r="A69" s="42" t="str">
        <x:v>OBS_000068</x:v>
      </x:c>
      <x:c r="B69" s="42" t="str"/>
      <x:c r="C69" s="42" t="str">
        <x:v>piracy_2026</x:v>
      </x:c>
      <x:c r="D69" s="42" t="str">
        <x:v>62</x:v>
      </x:c>
      <x:c r="E69" s="42" t="str">
        <x:v>2026-04-21</x:v>
      </x:c>
      <x:c r="F69" s="42" t="str">
        <x:v>Maritime Crime</x:v>
      </x:c>
      <x:c r="G69" s="42" t="str">
        <x:v>Piracy</x:v>
      </x:c>
      <x:c r="H69" s="42" t="str">
        <x:v>Armed boarding</x:v>
      </x:c>
      <x:c r="I69" s="42" t="str">
        <x:v>Maritime</x:v>
      </x:c>
      <x:c r="J69" s="42" t="str">
        <x:v>Somalia / Gulf of Aden</x:v>
      </x:c>
      <x:c r="K69" s="42" t="str"/>
      <x:c r="L69" s="42" t="str">
        <x:v>Near Xaafuun / Mareeyo, Puntland</x:v>
      </x:c>
      <x:c r="M69" s="42" t="str"/>
      <x:c r="N69" s="42" t="str"/>
      <x:c r="O69" s="42" t="str">
        <x:v>HONOUR 25</x:v>
      </x:c>
      <x:c r="P69" s="42" t="str">
        <x:v>1099735</x:v>
      </x:c>
      <x:c r="Q69" s="42" t="str">
        <x:v>Product tanker</x:v>
      </x:c>
      <x:c r="R69" s="42" t="str"/>
      <x:c r="S69" s="42" t="str">
        <x:v>Held by pirates as of 20 Aug</x:v>
      </x:c>
      <x:c r="T69" s="42" t="str">
        <x:v>Hijacked</x:v>
      </x:c>
      <x:c r="U69" s="42" t="str"/>
      <x:c r="V69" s="42" t="str"/>
      <x:c r="W69" s="42" t="str">
        <x:v>Hostage/ransom platform; other role unknown</x:v>
      </x:c>
      <x:c r="X69" s="42" t="str"/>
      <x:c r="Y69" s="42" t="str"/>
      <x:c r="Z69" s="42" t="str">
        <x:v>German brief confirms held status</x:v>
      </x:c>
      <x:c r="AA69" s="42" t="str">
        <x:v>German Navy Shipping Centre brief, p. 2; identifiers from prior cross-checkin...</x:v>
      </x:c>
      <x:c r="AB69" s="42" t="str">
        <x:v>Needs canonical event resolution</x:v>
      </x:c>
      <x:c r="AC69" s="42" t="str"/>
    </x:row>
    <x:row r="70">
      <x:c r="A70" s="42" t="str">
        <x:v>OBS_000069</x:v>
      </x:c>
      <x:c r="B70" s="42" t="str"/>
      <x:c r="C70" s="42" t="str">
        <x:v>piracy_2026</x:v>
      </x:c>
      <x:c r="D70" s="42" t="str">
        <x:v>63</x:v>
      </x:c>
      <x:c r="E70" s="42" t="str">
        <x:v>2026-04-26</x:v>
      </x:c>
      <x:c r="F70" s="42" t="str">
        <x:v>Maritime Crime</x:v>
      </x:c>
      <x:c r="G70" s="42" t="str">
        <x:v>Piracy</x:v>
      </x:c>
      <x:c r="H70" s="42" t="str">
        <x:v>Armed boarding</x:v>
      </x:c>
      <x:c r="I70" s="42" t="str">
        <x:v>Maritime</x:v>
      </x:c>
      <x:c r="J70" s="42" t="str">
        <x:v>Somalia / Gulf of Aden</x:v>
      </x:c>
      <x:c r="K70" s="42" t="str"/>
      <x:c r="L70" s="42" t="str">
        <x:v>Near Garacad, Puntland</x:v>
      </x:c>
      <x:c r="M70" s="42" t="str"/>
      <x:c r="N70" s="42" t="str"/>
      <x:c r="O70" s="42" t="str">
        <x:v>SWARD</x:v>
      </x:c>
      <x:c r="P70" s="42" t="str">
        <x:v>9174244</x:v>
      </x:c>
      <x:c r="Q70" s="42" t="str">
        <x:v>General cargo / cement carrier</x:v>
      </x:c>
      <x:c r="R70" s="42" t="str"/>
      <x:c r="S70" s="42" t="str">
        <x:v>Held by pirates; externally reported possible mothership</x:v>
      </x:c>
      <x:c r="T70" s="42" t="str">
        <x:v>Hijacked</x:v>
      </x:c>
      <x:c r="U70" s="42" t="str"/>
      <x:c r="V70" s="42" t="str"/>
      <x:c r="W70" s="42" t="str">
        <x:v>Reported possible mothership + hostage/ransom platform</x:v>
      </x:c>
      <x:c r="X70" s="42" t="str"/>
      <x:c r="Y70" s="42" t="str"/>
      <x:c r="Z70" s="42" t="str">
        <x:v>Mothership role externally reported; German brief confirms held status only</x:v>
      </x:c>
      <x:c r="AA70" s="42" t="str">
        <x:v>German Navy Shipping Centre brief, p. 2; external mothership reporting; UKMTO...</x:v>
      </x:c>
      <x:c r="AB70" s="42" t="str">
        <x:v>Needs canonical event resolution</x:v>
      </x:c>
      <x:c r="AC70" s="42" t="str"/>
    </x:row>
    <x:row r="71">
      <x:c r="A71" s="42" t="str">
        <x:v>OBS_000070</x:v>
      </x:c>
      <x:c r="B71" s="42" t="str"/>
      <x:c r="C71" s="42" t="str">
        <x:v>piracy_2026</x:v>
      </x:c>
      <x:c r="D71" s="42" t="str">
        <x:v>64</x:v>
      </x:c>
      <x:c r="E71" s="42" t="str">
        <x:v>2026-05-04</x:v>
      </x:c>
      <x:c r="F71" s="42" t="str">
        <x:v>Maritime Crime</x:v>
      </x:c>
      <x:c r="G71" s="42" t="str">
        <x:v>Piracy</x:v>
      </x:c>
      <x:c r="H71" s="42" t="str">
        <x:v>Armed boarding</x:v>
      </x:c>
      <x:c r="I71" s="42" t="str">
        <x:v>Maritime</x:v>
      </x:c>
      <x:c r="J71" s="42" t="str">
        <x:v>Somalia / Gulf of Aden</x:v>
      </x:c>
      <x:c r="K71" s="42" t="str"/>
      <x:c r="L71" s="42" t="str">
        <x:v>Yemen-Somalia corridor</x:v>
      </x:c>
      <x:c r="M71" s="42" t="str"/>
      <x:c r="N71" s="42" t="str"/>
      <x:c r="O71" s="42" t="str">
        <x:v>EUREKA</x:v>
      </x:c>
      <x:c r="P71" s="42" t="str"/>
      <x:c r="Q71" s="42" t="str">
        <x:v>Oil/products tanker</x:v>
      </x:c>
      <x:c r="R71" s="42" t="str"/>
      <x:c r="S71" s="42" t="str">
        <x:v>Held by pirates as of 20 Aug</x:v>
      </x:c>
      <x:c r="T71" s="42" t="str">
        <x:v>Hijacked</x:v>
      </x:c>
      <x:c r="U71" s="42" t="str"/>
      <x:c r="V71" s="42" t="str"/>
      <x:c r="W71" s="42" t="str">
        <x:v>Hostage/ransom platform; other role unknown</x:v>
      </x:c>
      <x:c r="X71" s="42" t="str"/>
      <x:c r="Y71" s="42" t="str"/>
      <x:c r="Z71" s="42" t="str">
        <x:v>German brief confirms held status</x:v>
      </x:c>
      <x:c r="AA71" s="42" t="str">
        <x:v>German Navy Shipping Centre brief, p. 2</x:v>
      </x:c>
      <x:c r="AB71" s="42" t="str">
        <x:v>Needs canonical event resolution</x:v>
      </x:c>
      <x:c r="AC71" s="42" t="str"/>
    </x:row>
    <x:row r="72">
      <x:c r="A72" s="42" t="str">
        <x:v>OBS_000071</x:v>
      </x:c>
      <x:c r="B72" s="42" t="str"/>
      <x:c r="C72" s="42" t="str">
        <x:v>piracy_2026</x:v>
      </x:c>
      <x:c r="D72" s="42" t="str">
        <x:v>65</x:v>
      </x:c>
      <x:c r="E72" s="42" t="str">
        <x:v>2026-07-17</x:v>
      </x:c>
      <x:c r="F72" s="42" t="str">
        <x:v>Maritime Crime</x:v>
      </x:c>
      <x:c r="G72" s="42" t="str">
        <x:v>Piracy</x:v>
      </x:c>
      <x:c r="H72" s="42" t="str">
        <x:v>Armed boarding</x:v>
      </x:c>
      <x:c r="I72" s="42" t="str">
        <x:v>Maritime</x:v>
      </x:c>
      <x:c r="J72" s="42" t="str">
        <x:v>Somalia / Gulf of Aden</x:v>
      </x:c>
      <x:c r="K72" s="42" t="str"/>
      <x:c r="L72" s="42" t="str">
        <x:v>South of Al Mukalla</x:v>
      </x:c>
      <x:c r="M72" s="42" t="str"/>
      <x:c r="N72" s="42" t="str"/>
      <x:c r="O72" s="42" t="str">
        <x:v>ASANA</x:v>
      </x:c>
      <x:c r="P72" s="42" t="str"/>
      <x:c r="Q72" s="42" t="str">
        <x:v>Product/chemical tanker</x:v>
      </x:c>
      <x:c r="R72" s="42" t="str"/>
      <x:c r="S72" s="42" t="str">
        <x:v>Held by pirates as of 20 Aug</x:v>
      </x:c>
      <x:c r="T72" s="42" t="str">
        <x:v>Hijacked</x:v>
      </x:c>
      <x:c r="U72" s="42" t="str"/>
      <x:c r="V72" s="42" t="str"/>
      <x:c r="W72" s="42" t="str">
        <x:v>Hostage/ransom platform; other role unknown</x:v>
      </x:c>
      <x:c r="X72" s="42" t="str"/>
      <x:c r="Y72" s="42" t="str"/>
      <x:c r="Z72" s="42" t="str">
        <x:v>German brief confirms held status</x:v>
      </x:c>
      <x:c r="AA72" s="42" t="str">
        <x:v>German Navy Shipping Centre brief, p. 2; UKMTO Warning 090-26 (uploaded PDF: ...</x:v>
      </x:c>
      <x:c r="AB72" s="42" t="str">
        <x:v>Needs canonical event resolution</x:v>
      </x:c>
      <x:c r="AC72" s="42" t="str"/>
    </x:row>
    <x:row r="73">
      <x:c r="A73" s="42" t="str">
        <x:v>OBS_000072</x:v>
      </x:c>
      <x:c r="B73" s="42" t="str"/>
      <x:c r="C73" s="42" t="str">
        <x:v>piracy_2026</x:v>
      </x:c>
      <x:c r="D73" s="42" t="str">
        <x:v>66</x:v>
      </x:c>
      <x:c r="E73" s="42" t="str">
        <x:v>2026-08-17</x:v>
      </x:c>
      <x:c r="F73" s="42" t="str">
        <x:v>Maritime Crime</x:v>
      </x:c>
      <x:c r="G73" s="42" t="str">
        <x:v>Piracy</x:v>
      </x:c>
      <x:c r="H73" s="42" t="str">
        <x:v>Armed boarding</x:v>
      </x:c>
      <x:c r="I73" s="42" t="str">
        <x:v>Maritime</x:v>
      </x:c>
      <x:c r="J73" s="42" t="str">
        <x:v>Somalia / Gulf of Aden</x:v>
      </x:c>
      <x:c r="K73" s="42" t="str"/>
      <x:c r="L73" s="42" t="str">
        <x:v>Approx. 4 nm south of Maraya</x:v>
      </x:c>
      <x:c r="M73" s="42" t="str"/>
      <x:c r="N73" s="42" t="str"/>
      <x:c r="O73" s="42" t="str">
        <x:v>LUTUF</x:v>
      </x:c>
      <x:c r="P73" s="42" t="str"/>
      <x:c r="Q73" s="42" t="str">
        <x:v>General cargo vessel</x:v>
      </x:c>
      <x:c r="R73" s="42" t="str"/>
      <x:c r="S73" s="42" t="str">
        <x:v>Had routed close to coast due to adverse weather</x:v>
      </x:c>
      <x:c r="T73" s="42" t="str">
        <x:v>Hijacked</x:v>
      </x:c>
      <x:c r="U73" s="42" t="str"/>
      <x:c r="V73" s="42" t="str"/>
      <x:c r="W73" s="42" t="str">
        <x:v>Hostage/ransom platform; other role unknown</x:v>
      </x:c>
      <x:c r="X73" s="42" t="str"/>
      <x:c r="Y73" s="42" t="str"/>
      <x:c r="Z73" s="42" t="str">
        <x:v>German brief confirms held status</x:v>
      </x:c>
      <x:c r="AA73" s="42" t="str">
        <x:v>German Navy Shipping Centre brief, p. 2; UKMTO Warning 114-26 (uploaded PDF: ...</x:v>
      </x:c>
      <x:c r="AB73" s="42" t="str">
        <x:v>Needs canonical event resolution</x:v>
      </x:c>
      <x:c r="AC73" s="42" t="str"/>
    </x:row>
    <x:row r="74">
      <x:c r="A74" s="42" t="str">
        <x:v>OBS_000073</x:v>
      </x:c>
      <x:c r="B74" s="42" t="str"/>
      <x:c r="C74" s="42" t="str">
        <x:v>piracy_2026</x:v>
      </x:c>
      <x:c r="D74" s="42" t="str">
        <x:v>67</x:v>
      </x:c>
      <x:c r="E74" s="42" t="str">
        <x:v>2026-08-20</x:v>
      </x:c>
      <x:c r="F74" s="42" t="str">
        <x:v>Maritime Crime</x:v>
      </x:c>
      <x:c r="G74" s="42" t="str">
        <x:v>Piracy</x:v>
      </x:c>
      <x:c r="H74" s="42" t="str">
        <x:v>Six armed individuals</x:v>
      </x:c>
      <x:c r="I74" s="42" t="str">
        <x:v>Maritime</x:v>
      </x:c>
      <x:c r="J74" s="42" t="str">
        <x:v>Somalia / Gulf of Aden</x:v>
      </x:c>
      <x:c r="K74" s="42" t="str"/>
      <x:c r="L74" s="42" t="str">
        <x:v>Gulf of Aden</x:v>
      </x:c>
      <x:c r="M74" s="42" t="str"/>
      <x:c r="N74" s="42" t="str"/>
      <x:c r="O74" s="42" t="str">
        <x:v>SEAMULL (SIBU 1)</x:v>
      </x:c>
      <x:c r="P74" s="42" t="str">
        <x:v>9204776</x:v>
      </x:c>
      <x:c r="Q74" s="42" t="str">
        <x:v>Tanker</x:v>
      </x:c>
      <x:c r="R74" s="42" t="str"/>
      <x:c r="S74" s="42" t="str">
        <x:v>Six armed individuals took control; intended diversion to Somalia</x:v>
      </x:c>
      <x:c r="T74" s="42" t="str">
        <x:v>Hijacked</x:v>
      </x:c>
      <x:c r="U74" s="42" t="str"/>
      <x:c r="V74" s="42" t="str"/>
      <x:c r="W74" s="42" t="str">
        <x:v>Hostage/ransom platform; other role unknown</x:v>
      </x:c>
      <x:c r="X74" s="42" t="str"/>
      <x:c r="Y74" s="42" t="str"/>
      <x:c r="Z74" s="42" t="str">
        <x:v>German brief confirms held status</x:v>
      </x:c>
      <x:c r="AA74" s="42" t="str">
        <x:v>German Navy Shipping Centre brief, p. 2; IMO from prior cross-checking; UKMTO...</x:v>
      </x:c>
      <x:c r="AB74" s="42" t="str">
        <x:v>Needs canonical event resolution</x:v>
      </x:c>
      <x:c r="AC74" s="42" t="str"/>
    </x:row>
    <x:row r="75">
      <x:c r="A75" s="42" t="str">
        <x:v>OBS_000074</x:v>
      </x:c>
      <x:c r="B75" s="42" t="str"/>
      <x:c r="C75" s="42" t="str">
        <x:v>piracy_2026</x:v>
      </x:c>
      <x:c r="D75" s="42" t="str">
        <x:v>68</x:v>
      </x:c>
      <x:c r="E75" s="42" t="str">
        <x:v>2026-02-17</x:v>
      </x:c>
      <x:c r="F75" s="42" t="str">
        <x:v>Maritime Crime</x:v>
      </x:c>
      <x:c r="G75" s="42" t="str">
        <x:v>Piracy / armed robbery</x:v>
      </x:c>
      <x:c r="H75" s="42" t="str">
        <x:v>Small arms</x:v>
      </x:c>
      <x:c r="I75" s="42" t="str">
        <x:v>Maritime</x:v>
      </x:c>
      <x:c r="J75" s="42" t="str">
        <x:v>Gulf of Aden / Arabian Sea</x:v>
      </x:c>
      <x:c r="K75" s="42" t="str"/>
      <x:c r="L75" s="42" t="str">
        <x:v>70NM southwest of Aden, Yemen</x:v>
      </x:c>
      <x:c r="M75" s="42" t="str"/>
      <x:c r="N75" s="42" t="str"/>
      <x:c r="O75" s="42" t="str">
        <x:v>Unnamed vessel (UKMTO 002-26)</x:v>
      </x:c>
      <x:c r="P75" s="42" t="str"/>
      <x:c r="Q75" s="42" t="str">
        <x:v>Merchant vessel</x:v>
      </x:c>
      <x:c r="R75" s="42" t="str"/>
      <x:c r="S75" s="42" t="str">
        <x:v>UKMTO received a report of an incident 70NM southwest of Aden, Yemen. A vesse...</x:v>
      </x:c>
      <x:c r="T75" s="42" t="str">
        <x:v>Armed attack / vessel escaped</x:v>
      </x:c>
      <x:c r="U75" s="42" t="str"/>
      <x:c r="V75" s="42" t="str"/>
      <x:c r="W75" s="42" t="str"/>
      <x:c r="X75" s="42" t="str"/>
      <x:c r="Y75" s="42" t="str"/>
      <x:c r="Z75" s="42" t="str">
        <x:v>High</x:v>
      </x:c>
      <x:c r="AA75" s="42" t="str">
        <x:v>UKMTO Warning 002-26 (uploaded PDF: 20260217-UKMTO_WARNING_002 Update 001 1.pdf)</x:v>
      </x:c>
      <x:c r="AB75" s="42" t="str">
        <x:v>Needs canonical event resolution</x:v>
      </x:c>
      <x:c r="AC75" s="42" t="str"/>
    </x:row>
    <x:row r="76">
      <x:c r="A76" s="42" t="str">
        <x:v>OBS_000075</x:v>
      </x:c>
      <x:c r="B76" s="42" t="str"/>
      <x:c r="C76" s="42" t="str">
        <x:v>piracy_2026</x:v>
      </x:c>
      <x:c r="D76" s="42" t="str">
        <x:v>69</x:v>
      </x:c>
      <x:c r="E76" s="42" t="str">
        <x:v>2026-04-12</x:v>
      </x:c>
      <x:c r="F76" s="42" t="str">
        <x:v>Maritime Crime</x:v>
      </x:c>
      <x:c r="G76" s="42" t="str">
        <x:v>Piracy / armed robbery</x:v>
      </x:c>
      <x:c r="H76" s="42" t="str">
        <x:v>Automatic weapons; Armed skiff/small craft</x:v>
      </x:c>
      <x:c r="I76" s="42" t="str">
        <x:v>Maritime</x:v>
      </x:c>
      <x:c r="J76" s="42" t="str">
        <x:v>Southern Red Sea / Yemen</x:v>
      </x:c>
      <x:c r="K76" s="42" t="str"/>
      <x:c r="L76" s="42" t="str">
        <x:v>54NM southwest of Al Hudaydah, Yemen</x:v>
      </x:c>
      <x:c r="M76" s="42" t="str"/>
      <x:c r="N76" s="42" t="str"/>
      <x:c r="O76" s="42" t="str">
        <x:v>Unnamed vessel (UKMTO 034-26)</x:v>
      </x:c>
      <x:c r="P76" s="42" t="str"/>
      <x:c r="Q76" s="42" t="str">
        <x:v>Sailing vessel</x:v>
      </x:c>
      <x:c r="R76" s="42" t="str"/>
      <x:c r="S76" s="42" t="str">
        <x:v>UKMTO has received a report of an incident 54NM southwest of Al Hudaydah, Yem...</x:v>
      </x:c>
      <x:c r="T76" s="42" t="str">
        <x:v>Suspicious armed approach</x:v>
      </x:c>
      <x:c r="U76" s="42" t="str"/>
      <x:c r="V76" s="42" t="str"/>
      <x:c r="W76" s="42" t="str"/>
      <x:c r="X76" s="42" t="str"/>
      <x:c r="Y76" s="42" t="str"/>
      <x:c r="Z76" s="42" t="str">
        <x:v>Medium</x:v>
      </x:c>
      <x:c r="AA76" s="42" t="str">
        <x:v>UKMTO Warning 034-26 (uploaded PDF: 20260412_UKMTO_WARNING_034-26.pdf)</x:v>
      </x:c>
      <x:c r="AB76" s="42" t="str">
        <x:v>Needs canonical event resolution</x:v>
      </x:c>
      <x:c r="AC76" s="42" t="str"/>
    </x:row>
    <x:row r="77">
      <x:c r="A77" s="42" t="str">
        <x:v>OBS_000076</x:v>
      </x:c>
      <x:c r="B77" s="42" t="str"/>
      <x:c r="C77" s="42" t="str">
        <x:v>piracy_2026</x:v>
      </x:c>
      <x:c r="D77" s="42" t="str">
        <x:v>70</x:v>
      </x:c>
      <x:c r="E77" s="42" t="str">
        <x:v>2026-04-23</x:v>
      </x:c>
      <x:c r="F77" s="42" t="str">
        <x:v>Maritime Crime</x:v>
      </x:c>
      <x:c r="G77" s="42" t="str">
        <x:v>Piracy / armed robbery</x:v>
      </x:c>
      <x:c r="H77" s="42" t="str">
        <x:v>Armed skiff/small craft</x:v>
      </x:c>
      <x:c r="I77" s="42" t="str">
        <x:v>Maritime</x:v>
      </x:c>
      <x:c r="J77" s="42" t="str">
        <x:v>Somalia / Western Indian Ocean</x:v>
      </x:c>
      <x:c r="K77" s="42" t="str"/>
      <x:c r="L77" s="42" t="str">
        <x:v>83NM southeast of Eyl, Somalia</x:v>
      </x:c>
      <x:c r="M77" s="42" t="str"/>
      <x:c r="N77" s="42" t="str"/>
      <x:c r="O77" s="42" t="str">
        <x:v>Unnamed vessel (UKMTO 044-26)</x:v>
      </x:c>
      <x:c r="P77" s="42" t="str"/>
      <x:c r="Q77" s="42" t="str">
        <x:v>Cargo vessel</x:v>
      </x:c>
      <x:c r="R77" s="42" t="str"/>
      <x:c r="S77" s="42" t="str">
        <x:v>UKMTO has received a report of an incident 83NM southeast of Eyl, Somalia. Th...</x:v>
      </x:c>
      <x:c r="T77" s="42" t="str">
        <x:v>Suspicious approach / repelled</x:v>
      </x:c>
      <x:c r="U77" s="42" t="str"/>
      <x:c r="V77" s="42" t="str"/>
      <x:c r="W77" s="42" t="str"/>
      <x:c r="X77" s="42" t="str"/>
      <x:c r="Y77" s="42" t="str"/>
      <x:c r="Z77" s="42" t="str">
        <x:v>High</x:v>
      </x:c>
      <x:c r="AA77" s="42" t="str">
        <x:v>UKMTO Warning 044-26 (uploaded PDF: 20260423-UKMTO_WARNING-044-26.pdf)</x:v>
      </x:c>
      <x:c r="AB77" s="42" t="str">
        <x:v>Needs canonical event resolution</x:v>
      </x:c>
      <x:c r="AC77" s="42" t="str"/>
    </x:row>
    <x:row r="78">
      <x:c r="A78" s="42" t="str">
        <x:v>OBS_000077</x:v>
      </x:c>
      <x:c r="B78" s="42" t="str"/>
      <x:c r="C78" s="42" t="str">
        <x:v>piracy_2026</x:v>
      </x:c>
      <x:c r="D78" s="42" t="str">
        <x:v>71</x:v>
      </x:c>
      <x:c r="E78" s="42" t="str">
        <x:v>2026-04-28</x:v>
      </x:c>
      <x:c r="F78" s="42" t="str">
        <x:v>Maritime Crime</x:v>
      </x:c>
      <x:c r="G78" s="42" t="str">
        <x:v>Piracy / armed robbery</x:v>
      </x:c>
      <x:c r="H78" s="42" t="str">
        <x:v>Armed skiff/small craft</x:v>
      </x:c>
      <x:c r="I78" s="42" t="str">
        <x:v>Maritime</x:v>
      </x:c>
      <x:c r="J78" s="42" t="str">
        <x:v>Somalia / Western Indian Ocean</x:v>
      </x:c>
      <x:c r="K78" s="42" t="str"/>
      <x:c r="L78" s="42" t="str">
        <x:v>500NM east of Mogadishu, Somalia</x:v>
      </x:c>
      <x:c r="M78" s="42" t="str"/>
      <x:c r="N78" s="42" t="str"/>
      <x:c r="O78" s="42" t="str">
        <x:v>Unnamed vessel (UKMTO 047-26)</x:v>
      </x:c>
      <x:c r="P78" s="42" t="str"/>
      <x:c r="Q78" s="42" t="str">
        <x:v>Tanker</x:v>
      </x:c>
      <x:c r="R78" s="42" t="str"/>
      <x:c r="S78" s="42" t="str">
        <x:v>UKMTO has received a report of an incident 500NM east of Mogadishu, Somalia. ...</x:v>
      </x:c>
      <x:c r="T78" s="42" t="str">
        <x:v>Suspicious armed approach</x:v>
      </x:c>
      <x:c r="U78" s="42" t="str"/>
      <x:c r="V78" s="42" t="str"/>
      <x:c r="W78" s="42" t="str"/>
      <x:c r="X78" s="42" t="str"/>
      <x:c r="Y78" s="42" t="str"/>
      <x:c r="Z78" s="42" t="str">
        <x:v>High</x:v>
      </x:c>
      <x:c r="AA78" s="42" t="str">
        <x:v>UKMTO Warning 047-26 (uploaded PDF: 20260428-UKMTO_WARNING_SUSPICIOUS ACTIVIT...</x:v>
      </x:c>
      <x:c r="AB78" s="42" t="str">
        <x:v>Needs canonical event resolution</x:v>
      </x:c>
      <x:c r="AC78" s="42" t="str"/>
    </x:row>
    <x:row r="79">
      <x:c r="A79" s="42" t="str">
        <x:v>OBS_000078</x:v>
      </x:c>
      <x:c r="B79" s="42" t="str"/>
      <x:c r="C79" s="42" t="str">
        <x:v>piracy_2026</x:v>
      </x:c>
      <x:c r="D79" s="42" t="str">
        <x:v>72</x:v>
      </x:c>
      <x:c r="E79" s="42" t="str">
        <x:v>2026-05-01</x:v>
      </x:c>
      <x:c r="F79" s="42" t="str">
        <x:v>Maritime Crime</x:v>
      </x:c>
      <x:c r="G79" s="42" t="str">
        <x:v>Piracy / armed robbery</x:v>
      </x:c>
      <x:c r="H79" s="42" t="str">
        <x:v>Armed skiff/small craft</x:v>
      </x:c>
      <x:c r="I79" s="42" t="str">
        <x:v>Maritime</x:v>
      </x:c>
      <x:c r="J79" s="42" t="str">
        <x:v>Gulf of Aden / Arabian Sea</x:v>
      </x:c>
      <x:c r="K79" s="42" t="str"/>
      <x:c r="L79" s="42" t="str">
        <x:v>within the IRTC, 92NM southwest of Al Mukalla, Yemen</x:v>
      </x:c>
      <x:c r="M79" s="42" t="str"/>
      <x:c r="N79" s="42" t="str"/>
      <x:c r="O79" s="42" t="str">
        <x:v>Unnamed vessel (UKMTO 048-26)</x:v>
      </x:c>
      <x:c r="P79" s="42" t="str"/>
      <x:c r="Q79" s="42" t="str">
        <x:v>Bulk carrier</x:v>
      </x:c>
      <x:c r="R79" s="42" t="str"/>
      <x:c r="S79" s="42" t="str">
        <x:v>UKMTO has received a report of an incident within the IRTC, 92NM southwest of...</x:v>
      </x:c>
      <x:c r="T79" s="42" t="str">
        <x:v>Suspicious armed approach</x:v>
      </x:c>
      <x:c r="U79" s="42" t="str"/>
      <x:c r="V79" s="42" t="str"/>
      <x:c r="W79" s="42" t="str"/>
      <x:c r="X79" s="42" t="str"/>
      <x:c r="Y79" s="42" t="str"/>
      <x:c r="Z79" s="42" t="str">
        <x:v>High</x:v>
      </x:c>
      <x:c r="AA79" s="42" t="str">
        <x:v>UKMTO Warning 048-26 (uploaded PDF: 20260501-UKMTO_WARNING_SUSPICIOUS_ACTIVIT...</x:v>
      </x:c>
      <x:c r="AB79" s="42" t="str">
        <x:v>Needs canonical event resolution</x:v>
      </x:c>
      <x:c r="AC79" s="42" t="str"/>
    </x:row>
    <x:row r="80">
      <x:c r="A80" s="42" t="str">
        <x:v>OBS_000079</x:v>
      </x:c>
      <x:c r="B80" s="42" t="str"/>
      <x:c r="C80" s="42" t="str">
        <x:v>piracy_2026</x:v>
      </x:c>
      <x:c r="D80" s="42" t="str">
        <x:v>73</x:v>
      </x:c>
      <x:c r="E80" s="42" t="str">
        <x:v>2026-05-02</x:v>
      </x:c>
      <x:c r="F80" s="42" t="str">
        <x:v>Maritime Crime</x:v>
      </x:c>
      <x:c r="G80" s="42" t="str">
        <x:v>Piracy / armed robbery</x:v>
      </x:c>
      <x:c r="H80" s="42" t="str">
        <x:v>Small craft / armed approach</x:v>
      </x:c>
      <x:c r="I80" s="42" t="str">
        <x:v>Maritime</x:v>
      </x:c>
      <x:c r="J80" s="42" t="str">
        <x:v>Gulf of Aden / Arabian Sea</x:v>
      </x:c>
      <x:c r="K80" s="42" t="str"/>
      <x:c r="L80" s="42" t="str"/>
      <x:c r="M80" s="42" t="str"/>
      <x:c r="N80" s="42" t="str"/>
      <x:c r="O80" s="42" t="str">
        <x:v>Unnamed vessel (UKMTO 049-26)</x:v>
      </x:c>
      <x:c r="P80" s="42" t="str"/>
      <x:c r="Q80" s="42" t="str">
        <x:v>Bulk carrier</x:v>
      </x:c>
      <x:c r="R80" s="42" t="str"/>
      <x:c r="S80" s="42" t="str">
        <x:v>UKMTO has received a report of a suspicious approach 84NM southwest of Al Muk...</x:v>
      </x:c>
      <x:c r="T80" s="42" t="str">
        <x:v>Suspicious armed approach</x:v>
      </x:c>
      <x:c r="U80" s="42" t="str"/>
      <x:c r="V80" s="42" t="str"/>
      <x:c r="W80" s="42" t="str"/>
      <x:c r="X80" s="42" t="str"/>
      <x:c r="Y80" s="42" t="str"/>
      <x:c r="Z80" s="42" t="str">
        <x:v>High</x:v>
      </x:c>
      <x:c r="AA80" s="42" t="str">
        <x:v>UKMTO Warning 049-26 (uploaded PDF: 20260502-UKMTO_WARNING_049-26_SUSPICIOUS_...</x:v>
      </x:c>
      <x:c r="AB80" s="42" t="str">
        <x:v>Needs canonical event resolution</x:v>
      </x:c>
      <x:c r="AC80" s="42" t="str"/>
    </x:row>
    <x:row r="81">
      <x:c r="A81" s="42" t="str">
        <x:v>OBS_000080</x:v>
      </x:c>
      <x:c r="B81" s="42" t="str"/>
      <x:c r="C81" s="42" t="str">
        <x:v>piracy_2026</x:v>
      </x:c>
      <x:c r="D81" s="42" t="str">
        <x:v>74</x:v>
      </x:c>
      <x:c r="E81" s="42" t="str">
        <x:v>2026-05-22</x:v>
      </x:c>
      <x:c r="F81" s="42" t="str">
        <x:v>Maritime Crime</x:v>
      </x:c>
      <x:c r="G81" s="42" t="str">
        <x:v>Piracy / armed robbery</x:v>
      </x:c>
      <x:c r="H81" s="42" t="str">
        <x:v>Armed skiff/small craft</x:v>
      </x:c>
      <x:c r="I81" s="42" t="str">
        <x:v>Maritime</x:v>
      </x:c>
      <x:c r="J81" s="42" t="str">
        <x:v>Gulf of Aden / Arabian Sea</x:v>
      </x:c>
      <x:c r="K81" s="42" t="str"/>
      <x:c r="L81" s="42" t="str">
        <x:v>98NM north of Socotra</x:v>
      </x:c>
      <x:c r="M81" s="42" t="str"/>
      <x:c r="N81" s="42" t="str"/>
      <x:c r="O81" s="42" t="str">
        <x:v>Unnamed vessel (UKMTO 059-26)</x:v>
      </x:c>
      <x:c r="P81" s="42" t="str"/>
      <x:c r="Q81" s="42" t="str">
        <x:v>Tanker</x:v>
      </x:c>
      <x:c r="R81" s="42" t="str"/>
      <x:c r="S81" s="42" t="str">
        <x:v>UKMTO has received a report of an incident 98NM north of Socotra. The CSO of ...</x:v>
      </x:c>
      <x:c r="T81" s="42" t="str">
        <x:v>Suspicious approach / repelled</x:v>
      </x:c>
      <x:c r="U81" s="42" t="str"/>
      <x:c r="V81" s="42" t="str"/>
      <x:c r="W81" s="42" t="str"/>
      <x:c r="X81" s="42" t="str"/>
      <x:c r="Y81" s="42" t="str"/>
      <x:c r="Z81" s="42" t="str">
        <x:v>High</x:v>
      </x:c>
      <x:c r="AA81" s="42" t="str">
        <x:v>UKMTO Warning 059-26 (uploaded PDF: 20260522-UKMTO-WARNING_059.pdf)</x:v>
      </x:c>
      <x:c r="AB81" s="42" t="str">
        <x:v>Needs canonical event resolution</x:v>
      </x:c>
      <x:c r="AC81" s="42" t="str"/>
    </x:row>
    <x:row r="82">
      <x:c r="A82" s="42" t="str">
        <x:v>OBS_000081</x:v>
      </x:c>
      <x:c r="B82" s="42" t="str"/>
      <x:c r="C82" s="42" t="str">
        <x:v>piracy_2026</x:v>
      </x:c>
      <x:c r="D82" s="42" t="str">
        <x:v>75</x:v>
      </x:c>
      <x:c r="E82" s="42" t="str">
        <x:v>2026-05-23</x:v>
      </x:c>
      <x:c r="F82" s="42" t="str">
        <x:v>Maritime Crime</x:v>
      </x:c>
      <x:c r="G82" s="42" t="str">
        <x:v>Piracy / armed robbery</x:v>
      </x:c>
      <x:c r="H82" s="42" t="str">
        <x:v>Armed skiff/small craft</x:v>
      </x:c>
      <x:c r="I82" s="42" t="str">
        <x:v>Maritime</x:v>
      </x:c>
      <x:c r="J82" s="42" t="str">
        <x:v>Gulf of Aden / Arabian Sea</x:v>
      </x:c>
      <x:c r="K82" s="42" t="str"/>
      <x:c r="L82" s="42" t="str">
        <x:v>within the IRTC 200NM west of Socotra</x:v>
      </x:c>
      <x:c r="M82" s="42" t="str"/>
      <x:c r="N82" s="42" t="str"/>
      <x:c r="O82" s="42" t="str">
        <x:v>Unnamed vessel (UKMTO 060-26)</x:v>
      </x:c>
      <x:c r="P82" s="42" t="str"/>
      <x:c r="Q82" s="42" t="str">
        <x:v>Product tanker</x:v>
      </x:c>
      <x:c r="R82" s="42" t="str"/>
      <x:c r="S82" s="42" t="str">
        <x:v>UKMTO has received a report of an incident within the IRTC 200NM west of Soco...</x:v>
      </x:c>
      <x:c r="T82" s="42" t="str">
        <x:v>Suspicious armed approach</x:v>
      </x:c>
      <x:c r="U82" s="42" t="str"/>
      <x:c r="V82" s="42" t="str"/>
      <x:c r="W82" s="42" t="str"/>
      <x:c r="X82" s="42" t="str"/>
      <x:c r="Y82" s="42" t="str"/>
      <x:c r="Z82" s="42" t="str">
        <x:v>High</x:v>
      </x:c>
      <x:c r="AA82" s="42" t="str">
        <x:v>UKMTO Warning 060-26 (uploaded PDF: 20260523-UKMTO-WARNING_060.pdf)</x:v>
      </x:c>
      <x:c r="AB82" s="42" t="str">
        <x:v>Needs canonical event resolution</x:v>
      </x:c>
      <x:c r="AC82" s="42" t="str"/>
    </x:row>
    <x:row r="83">
      <x:c r="A83" s="42" t="str">
        <x:v>OBS_000082</x:v>
      </x:c>
      <x:c r="B83" s="42" t="str"/>
      <x:c r="C83" s="42" t="str">
        <x:v>piracy_2026</x:v>
      </x:c>
      <x:c r="D83" s="42" t="str">
        <x:v>76</x:v>
      </x:c>
      <x:c r="E83" s="42" t="str">
        <x:v>2026-06-15</x:v>
      </x:c>
      <x:c r="F83" s="42" t="str">
        <x:v>Maritime Crime</x:v>
      </x:c>
      <x:c r="G83" s="42" t="str">
        <x:v>Piracy / armed robbery</x:v>
      </x:c>
      <x:c r="H83" s="42" t="str">
        <x:v>Small arms</x:v>
      </x:c>
      <x:c r="I83" s="42" t="str">
        <x:v>Maritime</x:v>
      </x:c>
      <x:c r="J83" s="42" t="str">
        <x:v>Arabian Sea / Gulf of Aden</x:v>
      </x:c>
      <x:c r="K83" s="42" t="str"/>
      <x:c r="L83" s="42" t="str">
        <x:v>14NM south off the coast of Yemen</x:v>
      </x:c>
      <x:c r="M83" s="42" t="str"/>
      <x:c r="N83" s="42" t="str"/>
      <x:c r="O83" s="42" t="str">
        <x:v>Unnamed vessel (UKMTO 069-26)</x:v>
      </x:c>
      <x:c r="P83" s="42" t="str"/>
      <x:c r="Q83" s="42" t="str">
        <x:v>Container ship</x:v>
      </x:c>
      <x:c r="R83" s="42" t="str"/>
      <x:c r="S83" s="42" t="str">
        <x:v>UKMTO has received a report of an incident 14NM south off the coast of Yemen....</x:v>
      </x:c>
      <x:c r="T83" s="42" t="str">
        <x:v>Attempted boarding / repelled</x:v>
      </x:c>
      <x:c r="U83" s="42" t="str"/>
      <x:c r="V83" s="42" t="str"/>
      <x:c r="W83" s="42" t="str"/>
      <x:c r="X83" s="42" t="str"/>
      <x:c r="Y83" s="42" t="str"/>
      <x:c r="Z83" s="42" t="str">
        <x:v>Medium</x:v>
      </x:c>
      <x:c r="AA83" s="42" t="str">
        <x:v>UKMTO Warning 069-26 (uploaded PDF: 20260615-UKMTO_WARNING_ATTACK-069-26.pdf)</x:v>
      </x:c>
      <x:c r="AB83" s="42" t="str">
        <x:v>Needs canonical event resolution</x:v>
      </x:c>
      <x:c r="AC83" s="42" t="str"/>
    </x:row>
    <x:row r="84">
      <x:c r="A84" s="42" t="str">
        <x:v>OBS_000083</x:v>
      </x:c>
      <x:c r="B84" s="42" t="str"/>
      <x:c r="C84" s="42" t="str">
        <x:v>piracy_2026</x:v>
      </x:c>
      <x:c r="D84" s="42" t="str">
        <x:v>77</x:v>
      </x:c>
      <x:c r="E84" s="42" t="str">
        <x:v>2026-06-15</x:v>
      </x:c>
      <x:c r="F84" s="42" t="str">
        <x:v>Maritime Crime</x:v>
      </x:c>
      <x:c r="G84" s="42" t="str">
        <x:v>Piracy / armed robbery</x:v>
      </x:c>
      <x:c r="H84" s="42" t="str">
        <x:v>RPG; Small arms; Armed skiff/small craft</x:v>
      </x:c>
      <x:c r="I84" s="42" t="str">
        <x:v>Maritime</x:v>
      </x:c>
      <x:c r="J84" s="42" t="str">
        <x:v>Gulf of Aden / Arabian Sea</x:v>
      </x:c>
      <x:c r="K84" s="42" t="str"/>
      <x:c r="L84" s="42" t="str">
        <x:v>111NM southeast of Aden, Yemen</x:v>
      </x:c>
      <x:c r="M84" s="42" t="str"/>
      <x:c r="N84" s="42" t="str"/>
      <x:c r="O84" s="42" t="str">
        <x:v>Unnamed vessel (UKMTO 070-26)</x:v>
      </x:c>
      <x:c r="P84" s="42" t="str"/>
      <x:c r="Q84" s="42" t="str">
        <x:v>Tanker</x:v>
      </x:c>
      <x:c r="R84" s="42" t="str"/>
      <x:c r="S84" s="42" t="str">
        <x:v>UKMTO has received a report of an incident 111NM southeast of Aden, Yemen. A ...</x:v>
      </x:c>
      <x:c r="T84" s="42" t="str">
        <x:v>Armed attack / vessel escaped</x:v>
      </x:c>
      <x:c r="U84" s="42" t="str"/>
      <x:c r="V84" s="42" t="str"/>
      <x:c r="W84" s="42" t="str"/>
      <x:c r="X84" s="42" t="str"/>
      <x:c r="Y84" s="42" t="str"/>
      <x:c r="Z84" s="42" t="str">
        <x:v>High</x:v>
      </x:c>
      <x:c r="AA84" s="42" t="str">
        <x:v>UKMTO Warning 070-26 (uploaded PDF: 20260615-UKMTO_WARNING_ATTACK-070-26.pdf)</x:v>
      </x:c>
      <x:c r="AB84" s="42" t="str">
        <x:v>Needs canonical event resolution</x:v>
      </x:c>
      <x:c r="AC84" s="42" t="str"/>
    </x:row>
    <x:row r="85">
      <x:c r="A85" s="42" t="str">
        <x:v>OBS_000084</x:v>
      </x:c>
      <x:c r="B85" s="42" t="str"/>
      <x:c r="C85" s="42" t="str">
        <x:v>piracy_2026</x:v>
      </x:c>
      <x:c r="D85" s="42" t="str">
        <x:v>78</x:v>
      </x:c>
      <x:c r="E85" s="42" t="str">
        <x:v>2026-06-17</x:v>
      </x:c>
      <x:c r="F85" s="42" t="str">
        <x:v>Maritime Crime</x:v>
      </x:c>
      <x:c r="G85" s="42" t="str">
        <x:v>Piracy / armed robbery</x:v>
      </x:c>
      <x:c r="H85" s="42" t="str">
        <x:v>Armed skiff/small craft</x:v>
      </x:c>
      <x:c r="I85" s="42" t="str">
        <x:v>Maritime</x:v>
      </x:c>
      <x:c r="J85" s="42" t="str">
        <x:v>Gulf of Aden / Arabian Sea</x:v>
      </x:c>
      <x:c r="K85" s="42" t="str"/>
      <x:c r="L85" s="42" t="str">
        <x:v>105NM northeast of Aden, Yemen</x:v>
      </x:c>
      <x:c r="M85" s="42" t="str"/>
      <x:c r="N85" s="42" t="str"/>
      <x:c r="O85" s="42" t="str">
        <x:v>Unnamed vessel (UKMTO 071-26)</x:v>
      </x:c>
      <x:c r="P85" s="42" t="str"/>
      <x:c r="Q85" s="42" t="str">
        <x:v>Merchant vessel</x:v>
      </x:c>
      <x:c r="R85" s="42" t="str"/>
      <x:c r="S85" s="42" t="str">
        <x:v>UKMTO has received a report of an incident 105NM northeast of Aden, Yemen. A ...</x:v>
      </x:c>
      <x:c r="T85" s="42" t="str">
        <x:v>Suspicious armed approach</x:v>
      </x:c>
      <x:c r="U85" s="42" t="str"/>
      <x:c r="V85" s="42" t="str"/>
      <x:c r="W85" s="42" t="str"/>
      <x:c r="X85" s="42" t="str"/>
      <x:c r="Y85" s="42" t="str"/>
      <x:c r="Z85" s="42" t="str">
        <x:v>High</x:v>
      </x:c>
      <x:c r="AA85" s="42" t="str">
        <x:v>UKMTO Warning 071-26 (uploaded PDF: 20260617-UKMTO_WARNING_ATTACK-071-26 1.pdf)</x:v>
      </x:c>
      <x:c r="AB85" s="42" t="str">
        <x:v>Needs canonical event resolution</x:v>
      </x:c>
      <x:c r="AC85" s="42" t="str"/>
    </x:row>
    <x:row r="86">
      <x:c r="A86" s="42" t="str">
        <x:v>OBS_000085</x:v>
      </x:c>
      <x:c r="B86" s="42" t="str"/>
      <x:c r="C86" s="42" t="str">
        <x:v>piracy_2026</x:v>
      </x:c>
      <x:c r="D86" s="42" t="str">
        <x:v>79</x:v>
      </x:c>
      <x:c r="E86" s="42" t="str">
        <x:v>2026-06-21</x:v>
      </x:c>
      <x:c r="F86" s="42" t="str">
        <x:v>Maritime Crime</x:v>
      </x:c>
      <x:c r="G86" s="42" t="str">
        <x:v>Piracy / armed robbery</x:v>
      </x:c>
      <x:c r="H86" s="42" t="str">
        <x:v>Armed skiff/small craft</x:v>
      </x:c>
      <x:c r="I86" s="42" t="str">
        <x:v>Maritime</x:v>
      </x:c>
      <x:c r="J86" s="42" t="str">
        <x:v>Gulf of Aden / Arabian Sea</x:v>
      </x:c>
      <x:c r="K86" s="42" t="str"/>
      <x:c r="L86" s="42" t="str">
        <x:v>50NM southeast of Al-Shihr, Yemen</x:v>
      </x:c>
      <x:c r="M86" s="42" t="str"/>
      <x:c r="N86" s="42" t="str"/>
      <x:c r="O86" s="42" t="str">
        <x:v>Unnamed vessel (UKMTO 072-26)</x:v>
      </x:c>
      <x:c r="P86" s="42" t="str"/>
      <x:c r="Q86" s="42" t="str">
        <x:v>Product tanker</x:v>
      </x:c>
      <x:c r="R86" s="42" t="str"/>
      <x:c r="S86" s="42" t="str">
        <x:v>UKMTO has received a report of an incident 50NM southeast of Al-Shihr, Yemen....</x:v>
      </x:c>
      <x:c r="T86" s="42" t="str">
        <x:v>Attempted boarding / repelled</x:v>
      </x:c>
      <x:c r="U86" s="42" t="str"/>
      <x:c r="V86" s="42" t="str"/>
      <x:c r="W86" s="42" t="str"/>
      <x:c r="X86" s="42" t="str"/>
      <x:c r="Y86" s="42" t="str"/>
      <x:c r="Z86" s="42" t="str">
        <x:v>Medium</x:v>
      </x:c>
      <x:c r="AA86" s="42" t="str">
        <x:v>UKMTO Warning 072-26 (uploaded PDF: 20260621-UKMTO_WARNING_SUSPICIOUS ACTIVIT...</x:v>
      </x:c>
      <x:c r="AB86" s="42" t="str">
        <x:v>Needs canonical event resolution</x:v>
      </x:c>
      <x:c r="AC86" s="42" t="str"/>
    </x:row>
    <x:row r="87">
      <x:c r="A87" s="42" t="str">
        <x:v>OBS_000086</x:v>
      </x:c>
      <x:c r="B87" s="42" t="str"/>
      <x:c r="C87" s="42" t="str">
        <x:v>piracy_2026</x:v>
      </x:c>
      <x:c r="D87" s="42" t="str">
        <x:v>80</x:v>
      </x:c>
      <x:c r="E87" s="42" t="str">
        <x:v>2026-07-01</x:v>
      </x:c>
      <x:c r="F87" s="42" t="str">
        <x:v>Maritime Crime</x:v>
      </x:c>
      <x:c r="G87" s="42" t="str">
        <x:v>Piracy / armed robbery</x:v>
      </x:c>
      <x:c r="H87" s="42" t="str">
        <x:v>RPG; Armed skiff/small craft</x:v>
      </x:c>
      <x:c r="I87" s="42" t="str">
        <x:v>Maritime</x:v>
      </x:c>
      <x:c r="J87" s="42" t="str">
        <x:v>Gulf of Aden / Arabian Sea</x:v>
      </x:c>
      <x:c r="K87" s="42" t="str"/>
      <x:c r="L87" s="42" t="str">
        <x:v>76NM south of BALHAF, YEMEN</x:v>
      </x:c>
      <x:c r="M87" s="42" t="str"/>
      <x:c r="N87" s="42" t="str"/>
      <x:c r="O87" s="42" t="str">
        <x:v>Unnamed vessel (UKMTO 077-26)</x:v>
      </x:c>
      <x:c r="P87" s="42" t="str"/>
      <x:c r="Q87" s="42" t="str">
        <x:v>Merchant vessel</x:v>
      </x:c>
      <x:c r="R87" s="42" t="str"/>
      <x:c r="S87" s="42" t="str">
        <x:v>UKMTO has received a report of an incident 76NM south of BALHAF, YEMEN. UPDAT...</x:v>
      </x:c>
      <x:c r="T87" s="42" t="str">
        <x:v>Piracy-related incident</x:v>
      </x:c>
      <x:c r="U87" s="42" t="str"/>
      <x:c r="V87" s="42" t="str"/>
      <x:c r="W87" s="42" t="str"/>
      <x:c r="X87" s="42" t="str"/>
      <x:c r="Y87" s="42" t="str"/>
      <x:c r="Z87" s="42" t="str">
        <x:v>Medium</x:v>
      </x:c>
      <x:c r="AA87" s="42" t="str">
        <x:v>UKMTO Warning 077-26 (uploaded PDF: 20260701-UKMTO_WARNING_077_26_UPDATE 002 ...</x:v>
      </x:c>
      <x:c r="AB87" s="42" t="str">
        <x:v>Needs canonical event resolution</x:v>
      </x:c>
      <x:c r="AC87" s="42" t="str"/>
    </x:row>
    <x:row r="88">
      <x:c r="A88" s="42" t="str">
        <x:v>OBS_000087</x:v>
      </x:c>
      <x:c r="B88" s="42" t="str"/>
      <x:c r="C88" s="42" t="str">
        <x:v>piracy_2026</x:v>
      </x:c>
      <x:c r="D88" s="42" t="str">
        <x:v>81</x:v>
      </x:c>
      <x:c r="E88" s="42" t="str">
        <x:v>2026-07-01</x:v>
      </x:c>
      <x:c r="F88" s="42" t="str">
        <x:v>Maritime Crime</x:v>
      </x:c>
      <x:c r="G88" s="42" t="str">
        <x:v>Piracy / armed robbery</x:v>
      </x:c>
      <x:c r="H88" s="42" t="str">
        <x:v>Small craft / armed approach</x:v>
      </x:c>
      <x:c r="I88" s="42" t="str">
        <x:v>Maritime</x:v>
      </x:c>
      <x:c r="J88" s="42" t="str">
        <x:v>Gulf of Aden / Arabian Sea</x:v>
      </x:c>
      <x:c r="K88" s="42" t="str"/>
      <x:c r="L88" s="42" t="str">
        <x:v>85NM south of Balhaf, Yemen</x:v>
      </x:c>
      <x:c r="M88" s="42" t="str"/>
      <x:c r="N88" s="42" t="str"/>
      <x:c r="O88" s="42" t="str">
        <x:v>Unnamed vessel (UKMTO 078-26)</x:v>
      </x:c>
      <x:c r="P88" s="42" t="str"/>
      <x:c r="Q88" s="42" t="str">
        <x:v>Tanker</x:v>
      </x:c>
      <x:c r="R88" s="42" t="str"/>
      <x:c r="S88" s="42" t="str">
        <x:v>UKMTO has received a report of an incident 85NM south of Balhaf, Yemen. The M...</x:v>
      </x:c>
      <x:c r="T88" s="42" t="str">
        <x:v>Suspicious armed approach</x:v>
      </x:c>
      <x:c r="U88" s="42" t="str"/>
      <x:c r="V88" s="42" t="str"/>
      <x:c r="W88" s="42" t="str"/>
      <x:c r="X88" s="42" t="str"/>
      <x:c r="Y88" s="42" t="str"/>
      <x:c r="Z88" s="42" t="str">
        <x:v>Medium</x:v>
      </x:c>
      <x:c r="AA88" s="42" t="str">
        <x:v>UKMTO Warning 078-26 (uploaded PDF: 20260701-UKMTO_WARNING_078_26 (1).pdf)</x:v>
      </x:c>
      <x:c r="AB88" s="42" t="str">
        <x:v>Needs canonical event resolution</x:v>
      </x:c>
      <x:c r="AC88" s="42" t="str"/>
    </x:row>
    <x:row r="89">
      <x:c r="A89" s="42" t="str">
        <x:v>OBS_000088</x:v>
      </x:c>
      <x:c r="B89" s="42" t="str"/>
      <x:c r="C89" s="42" t="str">
        <x:v>piracy_2026</x:v>
      </x:c>
      <x:c r="D89" s="42" t="str">
        <x:v>82</x:v>
      </x:c>
      <x:c r="E89" s="42" t="str">
        <x:v>2026-07-13</x:v>
      </x:c>
      <x:c r="F89" s="42" t="str">
        <x:v>Maritime Crime</x:v>
      </x:c>
      <x:c r="G89" s="42" t="str">
        <x:v>Piracy / armed robbery</x:v>
      </x:c>
      <x:c r="H89" s="42" t="str">
        <x:v>Small craft / armed approach</x:v>
      </x:c>
      <x:c r="I89" s="42" t="str">
        <x:v>Maritime</x:v>
      </x:c>
      <x:c r="J89" s="42" t="str">
        <x:v>Gulf of Aden / Arabian Sea</x:v>
      </x:c>
      <x:c r="K89" s="42" t="str"/>
      <x:c r="L89" s="42" t="str">
        <x:v>50NM south of Aden, Yemen</x:v>
      </x:c>
      <x:c r="M89" s="42" t="str"/>
      <x:c r="N89" s="42" t="str"/>
      <x:c r="O89" s="42" t="str">
        <x:v>Unnamed vessel (UKMTO 084-26)</x:v>
      </x:c>
      <x:c r="P89" s="42" t="str"/>
      <x:c r="Q89" s="42" t="str">
        <x:v>Tanker</x:v>
      </x:c>
      <x:c r="R89" s="42" t="str"/>
      <x:c r="S89" s="42" t="str">
        <x:v>UKMTO has received a report of an incident 50NM south of Aden, Yemen. A tanke...</x:v>
      </x:c>
      <x:c r="T89" s="42" t="str">
        <x:v>Suspicious approach / repelled</x:v>
      </x:c>
      <x:c r="U89" s="42" t="str"/>
      <x:c r="V89" s="42" t="str"/>
      <x:c r="W89" s="42" t="str"/>
      <x:c r="X89" s="42" t="str"/>
      <x:c r="Y89" s="42" t="str"/>
      <x:c r="Z89" s="42" t="str">
        <x:v>High</x:v>
      </x:c>
      <x:c r="AA89" s="42" t="str">
        <x:v>UKMTO Warning 084-26 (uploaded PDF: 20260713-WARNING-SUSPICIOUS_ACTIVITY_084-...</x:v>
      </x:c>
      <x:c r="AB89" s="42" t="str">
        <x:v>Needs canonical event resolution</x:v>
      </x:c>
      <x:c r="AC89" s="42" t="str"/>
    </x:row>
    <x:row r="90">
      <x:c r="A90" s="42" t="str">
        <x:v>OBS_000089</x:v>
      </x:c>
      <x:c r="B90" s="42" t="str"/>
      <x:c r="C90" s="42" t="str">
        <x:v>ukmto_warnings_2026</x:v>
      </x:c>
      <x:c r="D90" s="42" t="str">
        <x:v>002-26</x:v>
      </x:c>
      <x:c r="E90" s="42" t="str">
        <x:v>2026-02-17</x:v>
      </x:c>
      <x:c r="F90" s="42" t="str">
        <x:v>Maritime Security Warning</x:v>
      </x:c>
      <x:c r="G90" s="42" t="str">
        <x:v>Suspicious Activity</x:v>
      </x:c>
      <x:c r="H90" s="42" t="str">
        <x:v>Piracy / armed robbery / suspicious approach</x:v>
      </x:c>
      <x:c r="I90" s="42" t="str">
        <x:v>Maritime</x:v>
      </x:c>
      <x:c r="J90" s="42" t="str"/>
      <x:c r="K90" s="42" t="str"/>
      <x:c r="L90" s="42" t="str"/>
      <x:c r="M90" s="42" t="str"/>
      <x:c r="N90" s="42" t="str"/>
      <x:c r="O90" s="42" t="str"/>
      <x:c r="P90" s="42" t="str"/>
      <x:c r="Q90" s="42" t="str"/>
      <x:c r="R90" s="42" t="str"/>
      <x:c r="S90" s="42" t="str">
        <x:v>UKMTO received a report of an incident 70NM southwest of Aden, Yemen. A vessel was approached and hailed by one white skiff, with five persons onboard. This was followed by an exchange of small arms fire. Two additional skiffs were also reported in the vicinity. Update 001 UKMTO have been made aware that only warning shots were fired and no weapons were directed at either vessel. This incident has now been downgraded to suspicious activity. Authorities are continuing to investigate.</x:v>
      </x:c>
      <x:c r="T90" s="42" t="str"/>
      <x:c r="U90" s="42" t="str"/>
      <x:c r="V90" s="42" t="str"/>
      <x:c r="W90" s="42" t="str">
        <x:v>Offshore / regional maritime</x:v>
      </x:c>
      <x:c r="X90" s="42" t="str"/>
      <x:c r="Y90" s="42" t="str"/>
      <x:c r="Z90" s="42" t="str">
        <x:v>High</x:v>
      </x:c>
      <x:c r="AA90" s="42" t="str">
        <x:v>20260217-UKMTO_WARNING_002 Update 001 1.pdf</x:v>
      </x:c>
      <x:c r="AB90" s="42" t="str">
        <x:v>Needs canonical event resolution</x:v>
      </x:c>
      <x:c r="AC90" s="42" t="str">
        <x:v>Has Update: Yes; Latest Update: 001</x:v>
      </x:c>
    </x:row>
    <x:row r="91">
      <x:c r="A91" s="42" t="str">
        <x:v>OBS_000090</x:v>
      </x:c>
      <x:c r="B91" s="42" t="str"/>
      <x:c r="C91" s="42" t="str">
        <x:v>ukmto_warnings_2026</x:v>
      </x:c>
      <x:c r="D91" s="42" t="str">
        <x:v>004-26</x:v>
      </x:c>
      <x:c r="E91" s="42" t="str">
        <x:v>2026-03-01</x:v>
      </x:c>
      <x:c r="F91" s="42" t="str">
        <x:v>Maritime Security Warning</x:v>
      </x:c>
      <x:c r="G91" s="42" t="str">
        <x:v>Attack</x:v>
      </x:c>
      <x:c r="H91" s="42" t="str">
        <x:v>Suspicious / security incident</x:v>
      </x:c>
      <x:c r="I91" s="42" t="str">
        <x:v>Maritime</x:v>
      </x:c>
      <x:c r="J91" s="42" t="str"/>
      <x:c r="K91" s="42" t="str"/>
      <x:c r="L91" s="42" t="str"/>
      <x:c r="M91" s="42" t="str"/>
      <x:c r="N91" s="42" t="str"/>
      <x:c r="O91" s="42" t="str"/>
      <x:c r="P91" s="42" t="str"/>
      <x:c r="Q91" s="42" t="str"/>
      <x:c r="R91" s="42" t="str"/>
      <x:c r="S91" s="42" t="str">
        <x:v>UKMTO has received a report of an incident 2NM north of Oman. The crew have been evacuated and safe. Authorities are investigating.</x:v>
      </x:c>
      <x:c r="T91" s="42" t="str"/>
      <x:c r="U91" s="42" t="str"/>
      <x:c r="V91" s="42" t="str"/>
      <x:c r="W91" s="42" t="str">
        <x:v>Offshore / regional maritime</x:v>
      </x:c>
      <x:c r="X91" s="42" t="str"/>
      <x:c r="Y91" s="42" t="str"/>
      <x:c r="Z91" s="42" t="str">
        <x:v>Medium</x:v>
      </x:c>
      <x:c r="AA91" s="42" t="str">
        <x:v>20260301-UKMTO_WARNING_004-26 1.pdf</x:v>
      </x:c>
      <x:c r="AB91" s="42" t="str">
        <x:v>Needs canonical event resolution</x:v>
      </x:c>
      <x:c r="AC91" s="42" t="str">
        <x:v>Has Update: No; Latest Update: </x:v>
      </x:c>
    </x:row>
    <x:row r="92">
      <x:c r="A92" s="42" t="str">
        <x:v>OBS_000091</x:v>
      </x:c>
      <x:c r="B92" s="42" t="str"/>
      <x:c r="C92" s="42" t="str">
        <x:v>ukmto_warnings_2026</x:v>
      </x:c>
      <x:c r="D92" s="42" t="str">
        <x:v>005-26</x:v>
      </x:c>
      <x:c r="E92" s="42" t="str">
        <x:v>2026-03-01</x:v>
      </x:c>
      <x:c r="F92" s="42" t="str">
        <x:v>Maritime Security Warning</x:v>
      </x:c>
      <x:c r="G92" s="42" t="str">
        <x:v>Attack</x:v>
      </x:c>
      <x:c r="H92" s="42" t="str">
        <x:v>Conflict / maritime security attack</x:v>
      </x:c>
      <x:c r="I92" s="42" t="str">
        <x:v>Maritime</x:v>
      </x:c>
      <x:c r="J92" s="42" t="str"/>
      <x:c r="K92" s="42" t="str"/>
      <x:c r="L92" s="42" t="str"/>
      <x:c r="M92" s="42" t="str"/>
      <x:c r="N92" s="42" t="str"/>
      <x:c r="O92" s="42" t="str"/>
      <x:c r="P92" s="42" t="str"/>
      <x:c r="Q92" s="42" t="str"/>
      <x:c r="R92" s="42" t="str"/>
      <x:c r="S92" s="42" t="str">
        <x:v>UKMTO has received a report of an incident 50NM north of Muscat, Oman. It has been reported over VHF Channel 16 that the vessel has been struck by an unknown projectile above the waterline. Although the engine room was originally reported as on fire it has now been reported that the fire is under control. Update 001: UKMTO has received confirmation that the vessel was attacked by an Uncrewed Surface Vehicle (USV), and that the crew has been evacuated to shore. Authorities are investigating.</x:v>
      </x:c>
      <x:c r="T92" s="42" t="str"/>
      <x:c r="U92" s="42" t="str"/>
      <x:c r="V92" s="42" t="str"/>
      <x:c r="W92" s="42" t="str">
        <x:v>Offshore / regional maritime</x:v>
      </x:c>
      <x:c r="X92" s="42" t="str"/>
      <x:c r="Y92" s="42" t="str"/>
      <x:c r="Z92" s="42" t="str">
        <x:v>High</x:v>
      </x:c>
      <x:c r="AA92" s="42" t="str">
        <x:v>20260302-UKMTO_WARNING_005-26 -UPDATE_001.pdf</x:v>
      </x:c>
      <x:c r="AB92" s="42" t="str">
        <x:v>Needs canonical event resolution</x:v>
      </x:c>
      <x:c r="AC92" s="42" t="str">
        <x:v>Has Update: Yes; Latest Update: 001</x:v>
      </x:c>
    </x:row>
    <x:row r="93">
      <x:c r="A93" s="42" t="str">
        <x:v>OBS_000092</x:v>
      </x:c>
      <x:c r="B93" s="42" t="str"/>
      <x:c r="C93" s="42" t="str">
        <x:v>ukmto_warnings_2026</x:v>
      </x:c>
      <x:c r="D93" s="42" t="str">
        <x:v>006-26</x:v>
      </x:c>
      <x:c r="E93" s="42" t="str">
        <x:v>2026-03-01</x:v>
      </x:c>
      <x:c r="F93" s="42" t="str">
        <x:v>Maritime Security Warning</x:v>
      </x:c>
      <x:c r="G93" s="42" t="str">
        <x:v>Attack</x:v>
      </x:c>
      <x:c r="H93" s="42" t="str">
        <x:v>Conflict / maritime security attack</x:v>
      </x:c>
      <x:c r="I93" s="42" t="str">
        <x:v>Maritime</x:v>
      </x:c>
      <x:c r="J93" s="42" t="str"/>
      <x:c r="K93" s="42" t="str"/>
      <x:c r="L93" s="42" t="str"/>
      <x:c r="M93" s="42" t="str"/>
      <x:c r="N93" s="42" t="str"/>
      <x:c r="O93" s="42" t="str"/>
      <x:c r="P93" s="42" t="str"/>
      <x:c r="Q93" s="42" t="str"/>
      <x:c r="R93" s="42" t="str"/>
      <x:c r="S93" s="42" t="str">
        <x:v>UKMTO has received a report of an incident 17NM northwest of Mina Saqr, United Arab Emirates. The Company Security Officer reported that the vessel been struck by an unknown projectile causing a fire. The fire has been extinguished and the vessel intends to continue on its voyage. Authorities are investigating.</x:v>
      </x:c>
      <x:c r="T93" s="42" t="str"/>
      <x:c r="U93" s="42" t="str"/>
      <x:c r="V93" s="42" t="str"/>
      <x:c r="W93" s="42" t="str">
        <x:v>Near-port / approaches</x:v>
      </x:c>
      <x:c r="X93" s="42" t="str"/>
      <x:c r="Y93" s="42" t="str"/>
      <x:c r="Z93" s="42" t="str">
        <x:v>High</x:v>
      </x:c>
      <x:c r="AA93" s="42" t="str">
        <x:v>20260301-UKMTO_WARNING_006-26.pdf</x:v>
      </x:c>
      <x:c r="AB93" s="42" t="str">
        <x:v>Needs canonical event resolution</x:v>
      </x:c>
      <x:c r="AC93" s="42" t="str">
        <x:v>Has Update: No; Latest Update: </x:v>
      </x:c>
    </x:row>
    <x:row r="94">
      <x:c r="A94" s="42" t="str">
        <x:v>OBS_000093</x:v>
      </x:c>
      <x:c r="B94" s="42" t="str"/>
      <x:c r="C94" s="42" t="str">
        <x:v>ukmto_warnings_2026</x:v>
      </x:c>
      <x:c r="D94" s="42" t="str">
        <x:v>007-26</x:v>
      </x:c>
      <x:c r="E94" s="42" t="str">
        <x:v>2026-03-01</x:v>
      </x:c>
      <x:c r="F94" s="42" t="str">
        <x:v>Maritime Security Warning</x:v>
      </x:c>
      <x:c r="G94" s="42" t="str">
        <x:v>Attack</x:v>
      </x:c>
      <x:c r="H94" s="42" t="str">
        <x:v>Conflict / maritime security attack</x:v>
      </x:c>
      <x:c r="I94" s="42" t="str">
        <x:v>Maritime</x:v>
      </x:c>
      <x:c r="J94" s="42" t="str"/>
      <x:c r="K94" s="42" t="str"/>
      <x:c r="L94" s="42" t="str"/>
      <x:c r="M94" s="42" t="str"/>
      <x:c r="N94" s="42" t="str"/>
      <x:c r="O94" s="42" t="str"/>
      <x:c r="P94" s="42" t="str"/>
      <x:c r="Q94" s="42" t="str"/>
      <x:c r="R94" s="42" t="str"/>
      <x:c r="S94" s="42" t="str">
        <x:v>UKMTO has received a report of an incident 35NM west of Sharjah, United Arab Emirates. It has been reported that an unknown projectile has exploded in very close proximity to a vessel. All crew are safe and well. Authorities are investigating.</x:v>
      </x:c>
      <x:c r="T94" s="42" t="str"/>
      <x:c r="U94" s="42" t="str"/>
      <x:c r="V94" s="42" t="str"/>
      <x:c r="W94" s="42" t="str">
        <x:v>Offshore / regional maritime</x:v>
      </x:c>
      <x:c r="X94" s="42" t="str"/>
      <x:c r="Y94" s="42" t="str"/>
      <x:c r="Z94" s="42" t="str">
        <x:v>High</x:v>
      </x:c>
      <x:c r="AA94" s="42" t="str">
        <x:v>20260301-UKMTO_WARNING_007-26.pdf</x:v>
      </x:c>
      <x:c r="AB94" s="42" t="str">
        <x:v>Needs canonical event resolution</x:v>
      </x:c>
      <x:c r="AC94" s="42" t="str">
        <x:v>Has Update: No; Latest Update: </x:v>
      </x:c>
    </x:row>
    <x:row r="95">
      <x:c r="A95" s="42" t="str">
        <x:v>OBS_000094</x:v>
      </x:c>
      <x:c r="B95" s="42" t="str"/>
      <x:c r="C95" s="42" t="str">
        <x:v>ukmto_warnings_2026</x:v>
      </x:c>
      <x:c r="D95" s="42" t="str">
        <x:v>008-26</x:v>
      </x:c>
      <x:c r="E95" s="42" t="str">
        <x:v>2026-03-02</x:v>
      </x:c>
      <x:c r="F95" s="42" t="str">
        <x:v>Maritime Security Warning</x:v>
      </x:c>
      <x:c r="G95" s="42" t="str">
        <x:v>Attack</x:v>
      </x:c>
      <x:c r="H95" s="42" t="str">
        <x:v>Conflict / maritime security attack</x:v>
      </x:c>
      <x:c r="I95" s="42" t="str">
        <x:v>Maritime</x:v>
      </x:c>
      <x:c r="J95" s="42" t="str"/>
      <x:c r="K95" s="42" t="str"/>
      <x:c r="L95" s="42" t="str"/>
      <x:c r="M95" s="42" t="str"/>
      <x:c r="N95" s="42" t="str"/>
      <x:c r="O95" s="42" t="str"/>
      <x:c r="P95" s="42" t="str"/>
      <x:c r="Q95" s="42" t="str"/>
      <x:c r="R95" s="42" t="str"/>
      <x:c r="S95" s="42" t="str">
        <x:v>UKMTO received a report of an incident in the Port of Bahrain. The Company Security Officer reported that the vessel had been struck by two unknown projectiles causing a fire. The fire has been extinguished and the vessel remains in port. All members of the ships crew are safe and have evacuated the vessel. Authorities are investigating. Vessels are to remain cautious and report any suspicious activity to UKMTO.</x:v>
      </x:c>
      <x:c r="T95" s="42" t="str"/>
      <x:c r="U95" s="42" t="str"/>
      <x:c r="V95" s="42" t="str"/>
      <x:c r="W95" s="42" t="str">
        <x:v>Port-side</x:v>
      </x:c>
      <x:c r="X95" s="42" t="str"/>
      <x:c r="Y95" s="42" t="str"/>
      <x:c r="Z95" s="42" t="str">
        <x:v>High</x:v>
      </x:c>
      <x:c r="AA95" s="42" t="str">
        <x:v>20260302-UKMTO_WARNING_008-26.pdf</x:v>
      </x:c>
      <x:c r="AB95" s="42" t="str">
        <x:v>Needs canonical event resolution</x:v>
      </x:c>
      <x:c r="AC95" s="42" t="str">
        <x:v>Has Update: No; Latest Update: </x:v>
      </x:c>
    </x:row>
    <x:row r="96">
      <x:c r="A96" s="42" t="str">
        <x:v>OBS_000095</x:v>
      </x:c>
      <x:c r="B96" s="42" t="str"/>
      <x:c r="C96" s="42" t="str">
        <x:v>ukmto_warnings_2026</x:v>
      </x:c>
      <x:c r="D96" s="42" t="str">
        <x:v>009-26</x:v>
      </x:c>
      <x:c r="E96" s="42" t="str">
        <x:v>2026-03-03</x:v>
      </x:c>
      <x:c r="F96" s="42" t="str">
        <x:v>Maritime Security Warning</x:v>
      </x:c>
      <x:c r="G96" s="42" t="str">
        <x:v>Suspicious Activity</x:v>
      </x:c>
      <x:c r="H96" s="42" t="str">
        <x:v>Conflict / maritime security attack</x:v>
      </x:c>
      <x:c r="I96" s="42" t="str">
        <x:v>Maritime</x:v>
      </x:c>
      <x:c r="J96" s="42" t="str"/>
      <x:c r="K96" s="42" t="str"/>
      <x:c r="L96" s="42" t="str"/>
      <x:c r="M96" s="42" t="str"/>
      <x:c r="N96" s="42" t="str"/>
      <x:c r="O96" s="42" t="str"/>
      <x:c r="P96" s="42" t="str"/>
      <x:c r="Q96" s="42" t="str"/>
      <x:c r="R96" s="42" t="str"/>
      <x:c r="S96" s="42" t="str">
        <x:v>UKMTO has received a report of an incident 137NM east of Muscat, Oman. The Master reported a loud explosion in close proximity of the vessel followed by smoke in the water. The vessel and crew are safe. Authorities are investigating.</x:v>
      </x:c>
      <x:c r="T96" s="42" t="str"/>
      <x:c r="U96" s="42" t="str"/>
      <x:c r="V96" s="42" t="str"/>
      <x:c r="W96" s="42" t="str">
        <x:v>Offshore / regional maritime</x:v>
      </x:c>
      <x:c r="X96" s="42" t="str"/>
      <x:c r="Y96" s="42" t="str"/>
      <x:c r="Z96" s="42" t="str">
        <x:v>High</x:v>
      </x:c>
      <x:c r="AA96" s="42" t="str">
        <x:v>20260303-UKMTO_WARNING_009-26.pdf</x:v>
      </x:c>
      <x:c r="AB96" s="42" t="str">
        <x:v>Needs canonical event resolution</x:v>
      </x:c>
      <x:c r="AC96" s="42" t="str">
        <x:v>Has Update: No; Latest Update: </x:v>
      </x:c>
    </x:row>
    <x:row r="97">
      <x:c r="A97" s="42" t="str">
        <x:v>OBS_000096</x:v>
      </x:c>
      <x:c r="B97" s="42" t="str"/>
      <x:c r="C97" s="42" t="str">
        <x:v>ukmto_warnings_2026</x:v>
      </x:c>
      <x:c r="D97" s="42" t="str">
        <x:v>010-26</x:v>
      </x:c>
      <x:c r="E97" s="42" t="str">
        <x:v>2026-03-03</x:v>
      </x:c>
      <x:c r="F97" s="42" t="str">
        <x:v>Maritime Security Warning</x:v>
      </x:c>
      <x:c r="G97" s="42" t="str">
        <x:v>Attack</x:v>
      </x:c>
      <x:c r="H97" s="42" t="str">
        <x:v>Conflict / maritime security attack</x:v>
      </x:c>
      <x:c r="I97" s="42" t="str">
        <x:v>Maritime</x:v>
      </x:c>
      <x:c r="J97" s="42" t="str"/>
      <x:c r="K97" s="42" t="str"/>
      <x:c r="L97" s="42" t="str"/>
      <x:c r="M97" s="42" t="str"/>
      <x:c r="N97" s="42" t="str"/>
      <x:c r="O97" s="42" t="str"/>
      <x:c r="P97" s="42" t="str"/>
      <x:c r="Q97" s="42" t="str"/>
      <x:c r="R97" s="42" t="str"/>
      <x:c r="S97" s="42" t="str">
        <x:v>UKMTO has received a report of an incident 7NM east of Fujairah, United Arab Emirates. The Master reported the vessel being struck by an unknown projectile causing damage to the steel plating. There has been no fire or water intake. All crew reported safe. Authorities are investigating.</x:v>
      </x:c>
      <x:c r="T97" s="42" t="str"/>
      <x:c r="U97" s="42" t="str"/>
      <x:c r="V97" s="42" t="str"/>
      <x:c r="W97" s="42" t="str">
        <x:v>Near-port / approaches</x:v>
      </x:c>
      <x:c r="X97" s="42" t="str"/>
      <x:c r="Y97" s="42" t="str"/>
      <x:c r="Z97" s="42" t="str">
        <x:v>High</x:v>
      </x:c>
      <x:c r="AA97" s="42" t="str">
        <x:v>20260304-UKMTO_WARNING_010-26.pdf</x:v>
      </x:c>
      <x:c r="AB97" s="42" t="str">
        <x:v>Needs canonical event resolution</x:v>
      </x:c>
      <x:c r="AC97" s="42" t="str">
        <x:v>Has Update: No; Latest Update: </x:v>
      </x:c>
    </x:row>
    <x:row r="98">
      <x:c r="A98" s="42" t="str">
        <x:v>OBS_000097</x:v>
      </x:c>
      <x:c r="B98" s="42" t="str"/>
      <x:c r="C98" s="42" t="str">
        <x:v>ukmto_warnings_2026</x:v>
      </x:c>
      <x:c r="D98" s="42" t="str">
        <x:v>011-26</x:v>
      </x:c>
      <x:c r="E98" s="42" t="str">
        <x:v>2026-03-04</x:v>
      </x:c>
      <x:c r="F98" s="42" t="str">
        <x:v>Maritime Security Warning</x:v>
      </x:c>
      <x:c r="G98" s="42" t="str">
        <x:v>Attack</x:v>
      </x:c>
      <x:c r="H98" s="42" t="str">
        <x:v>Conflict / maritime security attack</x:v>
      </x:c>
      <x:c r="I98" s="42" t="str">
        <x:v>Maritime</x:v>
      </x:c>
      <x:c r="J98" s="42" t="str"/>
      <x:c r="K98" s="42" t="str"/>
      <x:c r="L98" s="42" t="str"/>
      <x:c r="M98" s="42" t="str"/>
      <x:c r="N98" s="42" t="str"/>
      <x:c r="O98" s="42" t="str"/>
      <x:c r="P98" s="42" t="str"/>
      <x:c r="Q98" s="42" t="str"/>
      <x:c r="R98" s="42" t="str"/>
      <x:c r="S98" s="42" t="str">
        <x:v>UKMTO has received a report of an incident 10NM east of Fujairah, UAE. The tanker experienced a loud blast and debris from an unknown projectile was found on the deck. The funnel of the tanker sustained minor damage but no major damage has been observed with no environmental implications. All crew are safe and accounted for. Authorities are investigating.</x:v>
      </x:c>
      <x:c r="T98" s="42" t="str"/>
      <x:c r="U98" s="42" t="str"/>
      <x:c r="V98" s="42" t="str"/>
      <x:c r="W98" s="42" t="str">
        <x:v>Near-port / approaches</x:v>
      </x:c>
      <x:c r="X98" s="42" t="str"/>
      <x:c r="Y98" s="42" t="str"/>
      <x:c r="Z98" s="42" t="str">
        <x:v>High</x:v>
      </x:c>
      <x:c r="AA98" s="42" t="str">
        <x:v>20260304-UKMTO_WARNING_011-26.pdf</x:v>
      </x:c>
      <x:c r="AB98" s="42" t="str">
        <x:v>Needs canonical event resolution</x:v>
      </x:c>
      <x:c r="AC98" s="42" t="str">
        <x:v>Has Update: No; Latest Update: </x:v>
      </x:c>
    </x:row>
    <x:row r="99">
      <x:c r="A99" s="42" t="str">
        <x:v>OBS_000098</x:v>
      </x:c>
      <x:c r="B99" s="42" t="str"/>
      <x:c r="C99" s="42" t="str">
        <x:v>ukmto_warnings_2026</x:v>
      </x:c>
      <x:c r="D99" s="42" t="str">
        <x:v>012-26</x:v>
      </x:c>
      <x:c r="E99" s="42" t="str">
        <x:v>2026-03-04</x:v>
      </x:c>
      <x:c r="F99" s="42" t="str">
        <x:v>Maritime Security Warning</x:v>
      </x:c>
      <x:c r="G99" s="42" t="str">
        <x:v>Attack</x:v>
      </x:c>
      <x:c r="H99" s="42" t="str">
        <x:v>Conflict / maritime security attack</x:v>
      </x:c>
      <x:c r="I99" s="42" t="str">
        <x:v>Maritime</x:v>
      </x:c>
      <x:c r="J99" s="42" t="str"/>
      <x:c r="K99" s="42" t="str"/>
      <x:c r="L99" s="42" t="str"/>
      <x:c r="M99" s="42" t="str"/>
      <x:c r="N99" s="42" t="str"/>
      <x:c r="O99" s="42" t="str"/>
      <x:c r="P99" s="42" t="str"/>
      <x:c r="Q99" s="42" t="str"/>
      <x:c r="R99" s="42" t="str"/>
      <x:c r="S99" s="42" t="str">
        <x:v>UKMTO has received a report of an incident 2NM north of Oman transiting eastbound in the Straits of Hormuz. A container ship has reported being hit by an unknown projectile just above the water line causing a fire in the engine room. Update 001 – The crew have now abandoned the vessel and all crew are accounted for with no reported injuries. No environmental impact has been reported at this time. Authorities are investigating.</x:v>
      </x:c>
      <x:c r="T99" s="42" t="str"/>
      <x:c r="U99" s="42" t="str"/>
      <x:c r="V99" s="42" t="str"/>
      <x:c r="W99" s="42" t="str">
        <x:v>Offshore / regional maritime</x:v>
      </x:c>
      <x:c r="X99" s="42" t="str"/>
      <x:c r="Y99" s="42" t="str"/>
      <x:c r="Z99" s="42" t="str">
        <x:v>High</x:v>
      </x:c>
      <x:c r="AA99" s="42" t="str">
        <x:v>20260304-UKMTO_WARNING_012-26 Update 001.pdf</x:v>
      </x:c>
      <x:c r="AB99" s="42" t="str">
        <x:v>Needs canonical event resolution</x:v>
      </x:c>
      <x:c r="AC99" s="42" t="str">
        <x:v>Has Update: Yes; Latest Update: 001</x:v>
      </x:c>
    </x:row>
    <x:row r="100">
      <x:c r="A100" s="42" t="str">
        <x:v>OBS_000099</x:v>
      </x:c>
      <x:c r="B100" s="42" t="str"/>
      <x:c r="C100" s="42" t="str">
        <x:v>ukmto_warnings_2026</x:v>
      </x:c>
      <x:c r="D100" s="42" t="str">
        <x:v>013-26</x:v>
      </x:c>
      <x:c r="E100" s="42" t="str">
        <x:v>2026-03-04</x:v>
      </x:c>
      <x:c r="F100" s="42" t="str">
        <x:v>Maritime Security Warning</x:v>
      </x:c>
      <x:c r="G100" s="42" t="str">
        <x:v>Suspicious Activity</x:v>
      </x:c>
      <x:c r="H100" s="42" t="str">
        <x:v>Conflict / maritime security attack</x:v>
      </x:c>
      <x:c r="I100" s="42" t="str">
        <x:v>Maritime</x:v>
      </x:c>
      <x:c r="J100" s="42" t="str"/>
      <x:c r="K100" s="42" t="str"/>
      <x:c r="L100" s="42" t="str"/>
      <x:c r="M100" s="42" t="str"/>
      <x:c r="N100" s="42" t="str"/>
      <x:c r="O100" s="42" t="str"/>
      <x:c r="P100" s="42" t="str"/>
      <x:c r="Q100" s="42" t="str"/>
      <x:c r="R100" s="42" t="str"/>
      <x:c r="S100" s="42" t="str">
        <x:v>UKMTO has received a report of an incident 20NM west of Dubai. A container ship has reported witnessing a splash from an unknown projectile in close proximity to the vessel. No damage to the vessel has been reported. Authorities are investigating.</x:v>
      </x:c>
      <x:c r="T100" s="42" t="str"/>
      <x:c r="U100" s="42" t="str"/>
      <x:c r="V100" s="42" t="str"/>
      <x:c r="W100" s="42" t="str">
        <x:v>Near-port / approaches</x:v>
      </x:c>
      <x:c r="X100" s="42" t="str"/>
      <x:c r="Y100" s="42" t="str"/>
      <x:c r="Z100" s="42" t="str">
        <x:v>High</x:v>
      </x:c>
      <x:c r="AA100" s="42" t="str">
        <x:v>20260304-UKMTO_WARNING_013-26.pdf</x:v>
      </x:c>
      <x:c r="AB100" s="42" t="str">
        <x:v>Needs canonical event resolution</x:v>
      </x:c>
      <x:c r="AC100" s="42" t="str">
        <x:v>Has Update: No; Latest Update: </x:v>
      </x:c>
    </x:row>
    <x:row r="101">
      <x:c r="A101" s="42" t="str">
        <x:v>OBS_000100</x:v>
      </x:c>
      <x:c r="B101" s="42" t="str"/>
      <x:c r="C101" s="42" t="str">
        <x:v>ukmto_warnings_2026</x:v>
      </x:c>
      <x:c r="D101" s="42" t="str">
        <x:v>014-26</x:v>
      </x:c>
      <x:c r="E101" s="42" t="str">
        <x:v>2026-03-04</x:v>
      </x:c>
      <x:c r="F101" s="42" t="str">
        <x:v>Maritime Security Warning</x:v>
      </x:c>
      <x:c r="G101" s="42" t="str">
        <x:v>Attack</x:v>
      </x:c>
      <x:c r="H101" s="42" t="str">
        <x:v>Piracy / armed robbery / suspicious approach</x:v>
      </x:c>
      <x:c r="I101" s="42" t="str">
        <x:v>Maritime</x:v>
      </x:c>
      <x:c r="J101" s="42" t="str"/>
      <x:c r="K101" s="42" t="str"/>
      <x:c r="L101" s="42" t="str"/>
      <x:c r="M101" s="42" t="str"/>
      <x:c r="N101" s="42" t="str"/>
      <x:c r="O101" s="42" t="str"/>
      <x:c r="P101" s="42" t="str"/>
      <x:c r="Q101" s="42" t="str"/>
      <x:c r="R101" s="42" t="str"/>
      <x:c r="S101" s="42" t="str">
        <x:v>UKMTO has received a report of an incident 30NM southeast of MUBARAK AL KABEER, KUWAIT. The Master of a tanker at anchor, reports witnessing and hearing a large explosion on the port side then seeing a small craft leave the vicinity. There is oil in the water coming from a cargo tank which could have some environmental impact, the vessel has taken on water, there are no fires reported and the crew are safe and well. Update 001 05 Mar 26 – UKMTO has received an update that the discharge from the tanker is ballast water. The tanker remains 30NM southeast of MUBARAK AL KABEER, KUWAIT, in IRAQI TTW’s. Authorities are investigating.</x:v>
      </x:c>
      <x:c r="T101" s="42" t="str"/>
      <x:c r="U101" s="42" t="str"/>
      <x:c r="V101" s="42" t="str"/>
      <x:c r="W101" s="42" t="str">
        <x:v>Anchorage / port approaches</x:v>
      </x:c>
      <x:c r="X101" s="42" t="str"/>
      <x:c r="Y101" s="42" t="str"/>
      <x:c r="Z101" s="42" t="str">
        <x:v>Medium</x:v>
      </x:c>
      <x:c r="AA101" s="42" t="str">
        <x:v>20260304-UKMTO_WARNING_014-26-UPDATE 001.pdf</x:v>
      </x:c>
      <x:c r="AB101" s="42" t="str">
        <x:v>Needs canonical event resolution</x:v>
      </x:c>
      <x:c r="AC101" s="42" t="str">
        <x:v>Has Update: Yes; Latest Update: 001</x:v>
      </x:c>
    </x:row>
    <x:row r="102">
      <x:c r="A102" s="42" t="str">
        <x:v>OBS_000101</x:v>
      </x:c>
      <x:c r="B102" s="42" t="str"/>
      <x:c r="C102" s="42" t="str">
        <x:v>ukmto_warnings_2026</x:v>
      </x:c>
      <x:c r="D102" s="42" t="str">
        <x:v>015-26</x:v>
      </x:c>
      <x:c r="E102" s="42" t="str">
        <x:v>2026-03-06</x:v>
      </x:c>
      <x:c r="F102" s="42" t="str">
        <x:v>Maritime Security Warning</x:v>
      </x:c>
      <x:c r="G102" s="42" t="str">
        <x:v>Attack</x:v>
      </x:c>
      <x:c r="H102" s="42" t="str">
        <x:v>Conflict / maritime security attack</x:v>
      </x:c>
      <x:c r="I102" s="42" t="str">
        <x:v>Maritime</x:v>
      </x:c>
      <x:c r="J102" s="42" t="str"/>
      <x:c r="K102" s="42" t="str"/>
      <x:c r="L102" s="42" t="str"/>
      <x:c r="M102" s="42" t="str"/>
      <x:c r="N102" s="42" t="str"/>
      <x:c r="O102" s="42" t="str"/>
      <x:c r="P102" s="42" t="str"/>
      <x:c r="Q102" s="42" t="str"/>
      <x:c r="R102" s="42" t="str"/>
      <x:c r="S102" s="42" t="str">
        <x:v>UKMTO has received a report of an incident 6NM north of Oman in the Straits of Hormuz. A third-party source has reported a tug being hit by unknown projectiles in the Straits of Hormuz. Authorities are investigating.</x:v>
      </x:c>
      <x:c r="T102" s="42" t="str"/>
      <x:c r="U102" s="42" t="str"/>
      <x:c r="V102" s="42" t="str"/>
      <x:c r="W102" s="42" t="str">
        <x:v>Offshore / regional maritime</x:v>
      </x:c>
      <x:c r="X102" s="42" t="str"/>
      <x:c r="Y102" s="42" t="str"/>
      <x:c r="Z102" s="42" t="str">
        <x:v>High</x:v>
      </x:c>
      <x:c r="AA102" s="42" t="str">
        <x:v>20260306-UKMTO_WARNING_015-26.pdf</x:v>
      </x:c>
      <x:c r="AB102" s="42" t="str">
        <x:v>Needs canonical event resolution</x:v>
      </x:c>
      <x:c r="AC102" s="42" t="str">
        <x:v>Has Update: No; Latest Update: </x:v>
      </x:c>
    </x:row>
    <x:row r="103">
      <x:c r="A103" s="42" t="str">
        <x:v>OBS_000102</x:v>
      </x:c>
      <x:c r="B103" s="42" t="str"/>
      <x:c r="C103" s="42" t="str">
        <x:v>ukmto_warnings_2026</x:v>
      </x:c>
      <x:c r="D103" s="42" t="str">
        <x:v>016-26</x:v>
      </x:c>
      <x:c r="E103" s="42" t="str">
        <x:v>2026-03-07</x:v>
      </x:c>
      <x:c r="F103" s="42" t="str">
        <x:v>Maritime Security Warning</x:v>
      </x:c>
      <x:c r="G103" s="42" t="str">
        <x:v>Attack</x:v>
      </x:c>
      <x:c r="H103" s="42" t="str">
        <x:v>Suspicious / security incident</x:v>
      </x:c>
      <x:c r="I103" s="42" t="str">
        <x:v>Maritime</x:v>
      </x:c>
      <x:c r="J103" s="42" t="str"/>
      <x:c r="K103" s="42" t="str"/>
      <x:c r="L103" s="42" t="str"/>
      <x:c r="M103" s="42" t="str"/>
      <x:c r="N103" s="42" t="str"/>
      <x:c r="O103" s="42" t="str"/>
      <x:c r="P103" s="42" t="str"/>
      <x:c r="Q103" s="42" t="str"/>
      <x:c r="R103" s="42" t="str"/>
      <x:c r="S103" s="42" t="str">
        <x:v>UKMTO has received a third-party report of an incident 10NM north of Jubail, Saudi Arabia in TTW. The report is being investigated.</x:v>
      </x:c>
      <x:c r="T103" s="42" t="str"/>
      <x:c r="U103" s="42" t="str"/>
      <x:c r="V103" s="42" t="str"/>
      <x:c r="W103" s="42" t="str">
        <x:v>Near-port / approaches</x:v>
      </x:c>
      <x:c r="X103" s="42" t="str"/>
      <x:c r="Y103" s="42" t="str"/>
      <x:c r="Z103" s="42" t="str">
        <x:v>Medium</x:v>
      </x:c>
      <x:c r="AA103" s="42" t="str">
        <x:v>20260307-UKMTO_WARNING_016-26-UK-OS.pdf</x:v>
      </x:c>
      <x:c r="AB103" s="42" t="str">
        <x:v>Needs canonical event resolution</x:v>
      </x:c>
      <x:c r="AC103" s="42" t="str">
        <x:v>Has Update: No; Latest Update: </x:v>
      </x:c>
    </x:row>
    <x:row r="104">
      <x:c r="A104" s="42" t="str">
        <x:v>OBS_000103</x:v>
      </x:c>
      <x:c r="B104" s="42" t="str"/>
      <x:c r="C104" s="42" t="str">
        <x:v>ukmto_warnings_2026</x:v>
      </x:c>
      <x:c r="D104" s="42" t="str">
        <x:v>017-26</x:v>
      </x:c>
      <x:c r="E104" s="42" t="str">
        <x:v>2026-03-10</x:v>
      </x:c>
      <x:c r="F104" s="42" t="str">
        <x:v>Maritime Security Warning</x:v>
      </x:c>
      <x:c r="G104" s="42" t="str">
        <x:v>Suspicious Activity</x:v>
      </x:c>
      <x:c r="H104" s="42" t="str">
        <x:v>Suspicious / security incident</x:v>
      </x:c>
      <x:c r="I104" s="42" t="str">
        <x:v>Maritime</x:v>
      </x:c>
      <x:c r="J104" s="42" t="str"/>
      <x:c r="K104" s="42" t="str"/>
      <x:c r="L104" s="42" t="str"/>
      <x:c r="M104" s="42" t="str"/>
      <x:c r="N104" s="42" t="str"/>
      <x:c r="O104" s="42" t="str"/>
      <x:c r="P104" s="42" t="str"/>
      <x:c r="Q104" s="42" t="str"/>
      <x:c r="R104" s="42" t="str"/>
      <x:c r="S104" s="42" t="str">
        <x:v>UKMTO has received a report of an incident 36NM north of Abu Dhabi, United Arab Emirates. The Master reports witnessing a splash and heard a loud bang in close proximity of a bulk carrier. Authorities are investigating.</x:v>
      </x:c>
      <x:c r="T104" s="42" t="str"/>
      <x:c r="U104" s="42" t="str"/>
      <x:c r="V104" s="42" t="str"/>
      <x:c r="W104" s="42" t="str">
        <x:v>Offshore / regional maritime</x:v>
      </x:c>
      <x:c r="X104" s="42" t="str"/>
      <x:c r="Y104" s="42" t="str"/>
      <x:c r="Z104" s="42" t="str">
        <x:v>Medium</x:v>
      </x:c>
      <x:c r="AA104" s="42" t="str">
        <x:v>20260310-UKMTO_WARNING_017-26.pdf</x:v>
      </x:c>
      <x:c r="AB104" s="42" t="str">
        <x:v>Needs canonical event resolution</x:v>
      </x:c>
      <x:c r="AC104" s="42" t="str">
        <x:v>Has Update: No; Latest Update: </x:v>
      </x:c>
    </x:row>
    <x:row r="105">
      <x:c r="A105" s="42" t="str">
        <x:v>OBS_000104</x:v>
      </x:c>
      <x:c r="B105" s="42" t="str"/>
      <x:c r="C105" s="42" t="str">
        <x:v>ukmto_warnings_2026</x:v>
      </x:c>
      <x:c r="D105" s="42" t="str">
        <x:v>018-26</x:v>
      </x:c>
      <x:c r="E105" s="42" t="str">
        <x:v>2026-03-11</x:v>
      </x:c>
      <x:c r="F105" s="42" t="str">
        <x:v>Maritime Security Warning</x:v>
      </x:c>
      <x:c r="G105" s="42" t="str">
        <x:v>Attack</x:v>
      </x:c>
      <x:c r="H105" s="42" t="str">
        <x:v>Conflict / maritime security attack</x:v>
      </x:c>
      <x:c r="I105" s="42" t="str">
        <x:v>Maritime</x:v>
      </x:c>
      <x:c r="J105" s="42" t="str"/>
      <x:c r="K105" s="42" t="str"/>
      <x:c r="L105" s="42" t="str"/>
      <x:c r="M105" s="42" t="str"/>
      <x:c r="N105" s="42" t="str"/>
      <x:c r="O105" s="42" t="str"/>
      <x:c r="P105" s="42" t="str"/>
      <x:c r="Q105" s="42" t="str"/>
      <x:c r="R105" s="42" t="str"/>
      <x:c r="S105" s="42" t="str">
        <x:v>UKMTO has received a report of an incident 25NM northwest of Ra’s al Khaymah, UAE. The Master of a container vessel has reported that the vessel has sustained damage from a suspected but unknown projectile. Extent of the damage is currently unknown but under investigation by the crew. The Master additionally reports that all crew members are safe and accounted for. Update 001: UKMTO has been informed that there is no environmental impact as a result of the incident.</x:v>
      </x:c>
      <x:c r="T105" s="42" t="str"/>
      <x:c r="U105" s="42" t="str"/>
      <x:c r="V105" s="42" t="str"/>
      <x:c r="W105" s="42" t="str">
        <x:v>Near-port / approaches</x:v>
      </x:c>
      <x:c r="X105" s="42" t="str"/>
      <x:c r="Y105" s="42" t="str"/>
      <x:c r="Z105" s="42" t="str">
        <x:v>High</x:v>
      </x:c>
      <x:c r="AA105" s="42" t="str">
        <x:v>20260311-UKMTO_WARNING-UPDATE_001-018-26.pdf</x:v>
      </x:c>
      <x:c r="AB105" s="42" t="str">
        <x:v>Needs canonical event resolution</x:v>
      </x:c>
      <x:c r="AC105" s="42" t="str">
        <x:v>Has Update: Yes; Latest Update: 001</x:v>
      </x:c>
    </x:row>
    <x:row r="106">
      <x:c r="A106" s="42" t="str">
        <x:v>OBS_000105</x:v>
      </x:c>
      <x:c r="B106" s="42" t="str"/>
      <x:c r="C106" s="42" t="str">
        <x:v>ukmto_warnings_2026</x:v>
      </x:c>
      <x:c r="D106" s="42" t="str">
        <x:v>019-26</x:v>
      </x:c>
      <x:c r="E106" s="42" t="str">
        <x:v>2026-03-11</x:v>
      </x:c>
      <x:c r="F106" s="42" t="str">
        <x:v>Maritime Security Warning</x:v>
      </x:c>
      <x:c r="G106" s="42" t="str">
        <x:v>Attack</x:v>
      </x:c>
      <x:c r="H106" s="42" t="str">
        <x:v>Conflict / maritime security attack</x:v>
      </x:c>
      <x:c r="I106" s="42" t="str">
        <x:v>Maritime</x:v>
      </x:c>
      <x:c r="J106" s="42" t="str"/>
      <x:c r="K106" s="42" t="str"/>
      <x:c r="L106" s="42" t="str"/>
      <x:c r="M106" s="42" t="str"/>
      <x:c r="N106" s="42" t="str"/>
      <x:c r="O106" s="42" t="str"/>
      <x:c r="P106" s="42" t="str"/>
      <x:c r="Q106" s="42" t="str"/>
      <x:c r="R106" s="42" t="str"/>
      <x:c r="S106" s="42" t="str">
        <x:v>UKMTO has received a report of an incident 11NM north of Oman in the Straits of Hormuz. It has been reported that a cargo vessel has been hit by an unknown projectile in the Straits of Hormuz which has resulted in a fire onboard. The vessel has requested assistance and the crew are evacuating the vessel. Update- 001: The CSO has reported that the fire onboard the vessel has been extinguished and there is no environmental impact at this time. Update 002 - 13 Mar 26: The CSO has reported that some of the crew remain unlocated at this time and authorities continue to investigate.</x:v>
      </x:c>
      <x:c r="T106" s="42" t="str"/>
      <x:c r="U106" s="42" t="str"/>
      <x:c r="V106" s="42" t="str"/>
      <x:c r="W106" s="42" t="str">
        <x:v>Offshore / regional maritime</x:v>
      </x:c>
      <x:c r="X106" s="42" t="str"/>
      <x:c r="Y106" s="42" t="str"/>
      <x:c r="Z106" s="42" t="str">
        <x:v>High</x:v>
      </x:c>
      <x:c r="AA106" s="42" t="str">
        <x:v>20260311-UKMTO_WARNING_019-26_UPDATE-002.pdf</x:v>
      </x:c>
      <x:c r="AB106" s="42" t="str">
        <x:v>Needs canonical event resolution</x:v>
      </x:c>
      <x:c r="AC106" s="42" t="str">
        <x:v>Has Update: Yes; Latest Update: 002</x:v>
      </x:c>
    </x:row>
    <x:row r="107">
      <x:c r="A107" s="42" t="str">
        <x:v>OBS_000106</x:v>
      </x:c>
      <x:c r="B107" s="42" t="str"/>
      <x:c r="C107" s="42" t="str">
        <x:v>ukmto_warnings_2026</x:v>
      </x:c>
      <x:c r="D107" s="42" t="str">
        <x:v>020-26</x:v>
      </x:c>
      <x:c r="E107" s="42" t="str">
        <x:v>2026-03-11</x:v>
      </x:c>
      <x:c r="F107" s="42" t="str">
        <x:v>Maritime Security Warning</x:v>
      </x:c>
      <x:c r="G107" s="42" t="str">
        <x:v>Attack</x:v>
      </x:c>
      <x:c r="H107" s="42" t="str">
        <x:v>Conflict / maritime security attack</x:v>
      </x:c>
      <x:c r="I107" s="42" t="str">
        <x:v>Maritime</x:v>
      </x:c>
      <x:c r="J107" s="42" t="str"/>
      <x:c r="K107" s="42" t="str"/>
      <x:c r="L107" s="42" t="str"/>
      <x:c r="M107" s="42" t="str"/>
      <x:c r="N107" s="42" t="str"/>
      <x:c r="O107" s="42" t="str"/>
      <x:c r="P107" s="42" t="str"/>
      <x:c r="Q107" s="42" t="str"/>
      <x:c r="R107" s="42" t="str"/>
      <x:c r="S107" s="42" t="str">
        <x:v>UKMTO has received a report of an incident 50NM northwest of Dubai, United Arab Emirates. The Master of a Bulk Carrier has reported their vessel being hit by an unknown projectile. There is no report of any environmental impact. The crew are reported safe and well. Authorities are investigating.</x:v>
      </x:c>
      <x:c r="T107" s="42" t="str"/>
      <x:c r="U107" s="42" t="str"/>
      <x:c r="V107" s="42" t="str"/>
      <x:c r="W107" s="42" t="str">
        <x:v>Offshore / regional maritime</x:v>
      </x:c>
      <x:c r="X107" s="42" t="str"/>
      <x:c r="Y107" s="42" t="str"/>
      <x:c r="Z107" s="42" t="str">
        <x:v>High</x:v>
      </x:c>
      <x:c r="AA107" s="42" t="str">
        <x:v>20260311-UKMTO_WARNING_020-26.pdf</x:v>
      </x:c>
      <x:c r="AB107" s="42" t="str">
        <x:v>Needs canonical event resolution</x:v>
      </x:c>
      <x:c r="AC107" s="42" t="str">
        <x:v>Has Update: No; Latest Update: </x:v>
      </x:c>
    </x:row>
    <x:row r="108">
      <x:c r="A108" s="42" t="str">
        <x:v>OBS_000107</x:v>
      </x:c>
      <x:c r="B108" s="42" t="str"/>
      <x:c r="C108" s="42" t="str">
        <x:v>ukmto_warnings_2026</x:v>
      </x:c>
      <x:c r="D108" s="42" t="str">
        <x:v>021-26</x:v>
      </x:c>
      <x:c r="E108" s="42" t="str">
        <x:v>2026-03-11</x:v>
      </x:c>
      <x:c r="F108" s="42" t="str">
        <x:v>Maritime Security Warning</x:v>
      </x:c>
      <x:c r="G108" s="42" t="str">
        <x:v>Attack</x:v>
      </x:c>
      <x:c r="H108" s="42" t="str">
        <x:v>Conflict / maritime security attack</x:v>
      </x:c>
      <x:c r="I108" s="42" t="str">
        <x:v>Maritime</x:v>
      </x:c>
      <x:c r="J108" s="42" t="str"/>
      <x:c r="K108" s="42" t="str"/>
      <x:c r="L108" s="42" t="str"/>
      <x:c r="M108" s="42" t="str"/>
      <x:c r="N108" s="42" t="str"/>
      <x:c r="O108" s="42" t="str"/>
      <x:c r="P108" s="42" t="str"/>
      <x:c r="Q108" s="42" t="str"/>
      <x:c r="R108" s="42" t="str"/>
      <x:c r="S108" s="42" t="str">
        <x:v>UKMTO has received a report of an incident 5NM south of Al Basrah, in Iraq TTW. A third party reported that two tankers have been struck by an unknown projectile. The CSO of one affected vessel confirmed the attack had caused a fire onboard. The CSO reported that the crew have been evacuated and safe. Investigations to identify the second vessel affected continue. 120140UTCMAR26: The CSO of the second tanker involved has confirmed the vessel was struck and the attack has caused a fire onboard. All members of the crew have been evacuated. No environmental impact has been reported at this time.</x:v>
      </x:c>
      <x:c r="T108" s="42" t="str"/>
      <x:c r="U108" s="42" t="str"/>
      <x:c r="V108" s="42" t="str"/>
      <x:c r="W108" s="42" t="str">
        <x:v>Near-port / approaches</x:v>
      </x:c>
      <x:c r="X108" s="42" t="str"/>
      <x:c r="Y108" s="42" t="str"/>
      <x:c r="Z108" s="42" t="str">
        <x:v>High</x:v>
      </x:c>
      <x:c r="AA108" s="42" t="str">
        <x:v>20260311-UKMTO_WARNING_021-26-UPDATE 001.pdf</x:v>
      </x:c>
      <x:c r="AB108" s="42" t="str">
        <x:v>Needs canonical event resolution</x:v>
      </x:c>
      <x:c r="AC108" s="42" t="str">
        <x:v>Has Update: Yes; Latest Update: 001</x:v>
      </x:c>
    </x:row>
    <x:row r="109">
      <x:c r="A109" s="42" t="str">
        <x:v>OBS_000108</x:v>
      </x:c>
      <x:c r="B109" s="42" t="str"/>
      <x:c r="C109" s="42" t="str">
        <x:v>ukmto_warnings_2026</x:v>
      </x:c>
      <x:c r="D109" s="42" t="str">
        <x:v>022-26</x:v>
      </x:c>
      <x:c r="E109" s="42" t="str">
        <x:v>2026-03-12</x:v>
      </x:c>
      <x:c r="F109" s="42" t="str">
        <x:v>Maritime Security Warning</x:v>
      </x:c>
      <x:c r="G109" s="42" t="str">
        <x:v>Attack</x:v>
      </x:c>
      <x:c r="H109" s="42" t="str">
        <x:v>Conflict / maritime security attack</x:v>
      </x:c>
      <x:c r="I109" s="42" t="str">
        <x:v>Maritime</x:v>
      </x:c>
      <x:c r="J109" s="42" t="str"/>
      <x:c r="K109" s="42" t="str"/>
      <x:c r="L109" s="42" t="str"/>
      <x:c r="M109" s="42" t="str"/>
      <x:c r="N109" s="42" t="str"/>
      <x:c r="O109" s="42" t="str"/>
      <x:c r="P109" s="42" t="str"/>
      <x:c r="Q109" s="42" t="str"/>
      <x:c r="R109" s="42" t="str"/>
      <x:c r="S109" s="42" t="str">
        <x:v>UKMTO has received a report of an incident 35NM north of Jebel Ali, United Arab Emirates. The Master has reported the container ship was struck by unknown projectile causing a small fire onboard. Full damage assessment impaired by darkness. All crew are reported as safe. No environmental impact has been reported at this time. Authorities are investigating.</x:v>
      </x:c>
      <x:c r="T109" s="42" t="str"/>
      <x:c r="U109" s="42" t="str"/>
      <x:c r="V109" s="42" t="str"/>
      <x:c r="W109" s="42" t="str">
        <x:v>Offshore / regional maritime</x:v>
      </x:c>
      <x:c r="X109" s="42" t="str"/>
      <x:c r="Y109" s="42" t="str"/>
      <x:c r="Z109" s="42" t="str">
        <x:v>High</x:v>
      </x:c>
      <x:c r="AA109" s="42" t="str">
        <x:v>20260312-UKMTO_WARNING_022-26.pdf</x:v>
      </x:c>
      <x:c r="AB109" s="42" t="str">
        <x:v>Needs canonical event resolution</x:v>
      </x:c>
      <x:c r="AC109" s="42" t="str">
        <x:v>Has Update: No; Latest Update: </x:v>
      </x:c>
    </x:row>
    <x:row r="110">
      <x:c r="A110" s="42" t="str">
        <x:v>OBS_000109</x:v>
      </x:c>
      <x:c r="B110" s="42" t="str"/>
      <x:c r="C110" s="42" t="str">
        <x:v>ukmto_warnings_2026</x:v>
      </x:c>
      <x:c r="D110" s="42" t="str">
        <x:v>023-26</x:v>
      </x:c>
      <x:c r="E110" s="42" t="str">
        <x:v>2026-03-16</x:v>
      </x:c>
      <x:c r="F110" s="42" t="str">
        <x:v>Maritime Security Warning</x:v>
      </x:c>
      <x:c r="G110" s="42" t="str">
        <x:v>Suspicious Activity</x:v>
      </x:c>
      <x:c r="H110" s="42" t="str">
        <x:v>Conflict / maritime security attack</x:v>
      </x:c>
      <x:c r="I110" s="42" t="str">
        <x:v>Maritime</x:v>
      </x:c>
      <x:c r="J110" s="42" t="str"/>
      <x:c r="K110" s="42" t="str"/>
      <x:c r="L110" s="42" t="str"/>
      <x:c r="M110" s="42" t="str"/>
      <x:c r="N110" s="42" t="str"/>
      <x:c r="O110" s="42" t="str"/>
      <x:c r="P110" s="42" t="str"/>
      <x:c r="Q110" s="42" t="str"/>
      <x:c r="R110" s="42" t="str"/>
      <x:c r="S110" s="42" t="str">
        <x:v>UKMTO has received a report of an incident 23NM east of Fujairah, UAE. A Tanker has reported being struck by an unknown projectile whilst at anchor. Minor structural damage reported. No injuries to crew. No environmental impact reported. Update- 001: The CSO has reported that investigations indicate that the vessel was subjected to falling debris from interceptions in the vicinity of the vessel. The vessel received minor structural damage however all crew are confirmed as safe. UKMTO have re-classified this incident as Suspicious Activity.</x:v>
      </x:c>
      <x:c r="T110" s="42" t="str"/>
      <x:c r="U110" s="42" t="str"/>
      <x:c r="V110" s="42" t="str"/>
      <x:c r="W110" s="42" t="str">
        <x:v>Anchorage / port approaches</x:v>
      </x:c>
      <x:c r="X110" s="42" t="str"/>
      <x:c r="Y110" s="42" t="str"/>
      <x:c r="Z110" s="42" t="str">
        <x:v>High</x:v>
      </x:c>
      <x:c r="AA110" s="42" t="str">
        <x:v>20260317-UKMTO_WARNING_023-26_UPDATE-001.pdf</x:v>
      </x:c>
      <x:c r="AB110" s="42" t="str">
        <x:v>Needs canonical event resolution</x:v>
      </x:c>
      <x:c r="AC110" s="42" t="str">
        <x:v>Has Update: Yes; Latest Update: 001</x:v>
      </x:c>
    </x:row>
    <x:row r="111">
      <x:c r="A111" s="42" t="str">
        <x:v>OBS_000110</x:v>
      </x:c>
      <x:c r="B111" s="42" t="str"/>
      <x:c r="C111" s="42" t="str">
        <x:v>ukmto_warnings_2026</x:v>
      </x:c>
      <x:c r="D111" s="42" t="str">
        <x:v>024-26</x:v>
      </x:c>
      <x:c r="E111" s="42" t="str">
        <x:v>2026-03-18</x:v>
      </x:c>
      <x:c r="F111" s="42" t="str">
        <x:v>Maritime Security Warning</x:v>
      </x:c>
      <x:c r="G111" s="42" t="str">
        <x:v>Attack</x:v>
      </x:c>
      <x:c r="H111" s="42" t="str">
        <x:v>Conflict / maritime security attack</x:v>
      </x:c>
      <x:c r="I111" s="42" t="str">
        <x:v>Maritime</x:v>
      </x:c>
      <x:c r="J111" s="42" t="str"/>
      <x:c r="K111" s="42" t="str"/>
      <x:c r="L111" s="42" t="str"/>
      <x:c r="M111" s="42" t="str"/>
      <x:c r="N111" s="42" t="str"/>
      <x:c r="O111" s="42" t="str"/>
      <x:c r="P111" s="42" t="str"/>
      <x:c r="Q111" s="42" t="str"/>
      <x:c r="R111" s="42" t="str"/>
      <x:c r="S111" s="42" t="str">
        <x:v>UKMTO has received a report of an incident 11NM east of Khawr Fakkan, UAE. It has been reported to UKMTO that a vessel has been hit by an unknown projectile which has resulted in a fire onboard.</x:v>
      </x:c>
      <x:c r="T111" s="42" t="str"/>
      <x:c r="U111" s="42" t="str"/>
      <x:c r="V111" s="42" t="str"/>
      <x:c r="W111" s="42" t="str">
        <x:v>Near-port / approaches</x:v>
      </x:c>
      <x:c r="X111" s="42" t="str"/>
      <x:c r="Y111" s="42" t="str"/>
      <x:c r="Z111" s="42" t="str">
        <x:v>High</x:v>
      </x:c>
      <x:c r="AA111" s="42" t="str">
        <x:v>20260318-UKMTO_WARNING_024-26.pdf</x:v>
      </x:c>
      <x:c r="AB111" s="42" t="str">
        <x:v>Needs canonical event resolution</x:v>
      </x:c>
      <x:c r="AC111" s="42" t="str">
        <x:v>Has Update: No; Latest Update: </x:v>
      </x:c>
    </x:row>
    <x:row r="112">
      <x:c r="A112" s="42" t="str">
        <x:v>OBS_000111</x:v>
      </x:c>
      <x:c r="B112" s="42" t="str"/>
      <x:c r="C112" s="42" t="str">
        <x:v>ukmto_warnings_2026</x:v>
      </x:c>
      <x:c r="D112" s="42" t="str">
        <x:v>025-26</x:v>
      </x:c>
      <x:c r="E112" s="42" t="str">
        <x:v>2026-03-19</x:v>
      </x:c>
      <x:c r="F112" s="42" t="str">
        <x:v>Maritime Security Warning</x:v>
      </x:c>
      <x:c r="G112" s="42" t="str">
        <x:v>Suspicious Activity</x:v>
      </x:c>
      <x:c r="H112" s="42" t="str">
        <x:v>Conflict / maritime security attack</x:v>
      </x:c>
      <x:c r="I112" s="42" t="str">
        <x:v>Maritime</x:v>
      </x:c>
      <x:c r="J112" s="42" t="str"/>
      <x:c r="K112" s="42" t="str"/>
      <x:c r="L112" s="42" t="str"/>
      <x:c r="M112" s="42" t="str"/>
      <x:c r="N112" s="42" t="str"/>
      <x:c r="O112" s="42" t="str"/>
      <x:c r="P112" s="42" t="str"/>
      <x:c r="Q112" s="42" t="str"/>
      <x:c r="R112" s="42" t="str"/>
      <x:c r="S112" s="42" t="str">
        <x:v>UKMTO has received a report of an incident 4NM east of Ras Laffan, Qatar. It has been reported to UKMTO that a vessel has been hit by an unknown projectile. All crew are reported safe and well.</x:v>
      </x:c>
      <x:c r="T112" s="42" t="str"/>
      <x:c r="U112" s="42" t="str"/>
      <x:c r="V112" s="42" t="str"/>
      <x:c r="W112" s="42" t="str">
        <x:v>Near-port / approaches</x:v>
      </x:c>
      <x:c r="X112" s="42" t="str"/>
      <x:c r="Y112" s="42" t="str"/>
      <x:c r="Z112" s="42" t="str">
        <x:v>High</x:v>
      </x:c>
      <x:c r="AA112" s="42" t="str">
        <x:v>20260319-UKMTO_WARNING_025-26.pdf</x:v>
      </x:c>
      <x:c r="AB112" s="42" t="str">
        <x:v>Needs canonical event resolution</x:v>
      </x:c>
      <x:c r="AC112" s="42" t="str">
        <x:v>Has Update: No; Latest Update: </x:v>
      </x:c>
    </x:row>
    <x:row r="113">
      <x:c r="A113" s="42" t="str">
        <x:v>OBS_000112</x:v>
      </x:c>
      <x:c r="B113" s="42" t="str"/>
      <x:c r="C113" s="42" t="str">
        <x:v>ukmto_warnings_2026</x:v>
      </x:c>
      <x:c r="D113" s="42" t="str">
        <x:v>026-26</x:v>
      </x:c>
      <x:c r="E113" s="42" t="str">
        <x:v>2026-03-21</x:v>
      </x:c>
      <x:c r="F113" s="42" t="str">
        <x:v>Maritime Security Warning</x:v>
      </x:c>
      <x:c r="G113" s="42" t="str">
        <x:v>Attack</x:v>
      </x:c>
      <x:c r="H113" s="42" t="str">
        <x:v>Conflict / maritime security attack</x:v>
      </x:c>
      <x:c r="I113" s="42" t="str">
        <x:v>Maritime</x:v>
      </x:c>
      <x:c r="J113" s="42" t="str"/>
      <x:c r="K113" s="42" t="str"/>
      <x:c r="L113" s="42" t="str"/>
      <x:c r="M113" s="42" t="str"/>
      <x:c r="N113" s="42" t="str"/>
      <x:c r="O113" s="42" t="str"/>
      <x:c r="P113" s="42" t="str"/>
      <x:c r="Q113" s="42" t="str"/>
      <x:c r="R113" s="42" t="str"/>
      <x:c r="S113" s="42" t="str">
        <x:v>UKMTO has received a report of an incident 15NM north of Sharjah, United Arab Emirates. The Master of a Bulk Carrier reported an explosion from an unknown projectile in close proximity to the vessel. All crew are reported safe. Update 001: UKMTO ATTACK Warning 026-26 has been reclassified after review determined the intended target could not be conclusively identified. Authorities are investigating.</x:v>
      </x:c>
      <x:c r="T113" s="42" t="str"/>
      <x:c r="U113" s="42" t="str"/>
      <x:c r="V113" s="42" t="str"/>
      <x:c r="W113" s="42" t="str">
        <x:v>Near-port / approaches</x:v>
      </x:c>
      <x:c r="X113" s="42" t="str"/>
      <x:c r="Y113" s="42" t="str"/>
      <x:c r="Z113" s="42" t="str">
        <x:v>High</x:v>
      </x:c>
      <x:c r="AA113" s="42" t="str">
        <x:v>20260322-UKMTO_WARNING_026-26-UPDATE 001.pdf</x:v>
      </x:c>
      <x:c r="AB113" s="42" t="str">
        <x:v>Needs canonical event resolution</x:v>
      </x:c>
      <x:c r="AC113" s="42" t="str">
        <x:v>Has Update: Yes; Latest Update: 001</x:v>
      </x:c>
    </x:row>
    <x:row r="114">
      <x:c r="A114" s="42" t="str">
        <x:v>OBS_000113</x:v>
      </x:c>
      <x:c r="B114" s="42" t="str"/>
      <x:c r="C114" s="42" t="str">
        <x:v>ukmto_warnings_2026</x:v>
      </x:c>
      <x:c r="D114" s="42" t="str">
        <x:v>028-26</x:v>
      </x:c>
      <x:c r="E114" s="42" t="str">
        <x:v>2026-03-30</x:v>
      </x:c>
      <x:c r="F114" s="42" t="str">
        <x:v>Maritime Security Warning</x:v>
      </x:c>
      <x:c r="G114" s="42" t="str">
        <x:v>Suspicious Activity</x:v>
      </x:c>
      <x:c r="H114" s="42" t="str">
        <x:v>Conflict / maritime security attack</x:v>
      </x:c>
      <x:c r="I114" s="42" t="str">
        <x:v>Maritime</x:v>
      </x:c>
      <x:c r="J114" s="42" t="str"/>
      <x:c r="K114" s="42" t="str"/>
      <x:c r="L114" s="42" t="str"/>
      <x:c r="M114" s="42" t="str"/>
      <x:c r="N114" s="42" t="str"/>
      <x:c r="O114" s="42" t="str"/>
      <x:c r="P114" s="42" t="str"/>
      <x:c r="Q114" s="42" t="str"/>
      <x:c r="R114" s="42" t="str"/>
      <x:c r="S114" s="42" t="str">
        <x:v>UKMTO has received a report of an incident 22NM northeast of RAS TANURA Saudi Arabia. The CSO of the Container Vessel reported 2 unknown projectiles splashing in close proximity, each occurring within 1 hour of each other. The crew are reported as safe. Authorities are investigating.</x:v>
      </x:c>
      <x:c r="T114" s="42" t="str"/>
      <x:c r="U114" s="42" t="str"/>
      <x:c r="V114" s="42" t="str"/>
      <x:c r="W114" s="42" t="str">
        <x:v>Near-port / approaches</x:v>
      </x:c>
      <x:c r="X114" s="42" t="str"/>
      <x:c r="Y114" s="42" t="str"/>
      <x:c r="Z114" s="42" t="str">
        <x:v>High</x:v>
      </x:c>
      <x:c r="AA114" s="42" t="str">
        <x:v>20260330_UKMTO_WARNING_028_26-SUSPICIOUS ACTIVITY.pdf</x:v>
      </x:c>
      <x:c r="AB114" s="42" t="str">
        <x:v>Needs canonical event resolution</x:v>
      </x:c>
      <x:c r="AC114" s="42" t="str">
        <x:v>Has Update: No; Latest Update: </x:v>
      </x:c>
    </x:row>
    <x:row r="115">
      <x:c r="A115" s="42" t="str">
        <x:v>OBS_000114</x:v>
      </x:c>
      <x:c r="B115" s="42" t="str"/>
      <x:c r="C115" s="42" t="str">
        <x:v>ukmto_warnings_2026</x:v>
      </x:c>
      <x:c r="D115" s="42" t="str">
        <x:v>029-26</x:v>
      </x:c>
      <x:c r="E115" s="42" t="str">
        <x:v>2026-03-30</x:v>
      </x:c>
      <x:c r="F115" s="42" t="str">
        <x:v>Maritime Security Warning</x:v>
      </x:c>
      <x:c r="G115" s="42" t="str">
        <x:v>Suspicious Activity</x:v>
      </x:c>
      <x:c r="H115" s="42" t="str">
        <x:v>Conflict / maritime security attack</x:v>
      </x:c>
      <x:c r="I115" s="42" t="str">
        <x:v>Maritime</x:v>
      </x:c>
      <x:c r="J115" s="42" t="str"/>
      <x:c r="K115" s="42" t="str"/>
      <x:c r="L115" s="42" t="str"/>
      <x:c r="M115" s="42" t="str"/>
      <x:c r="N115" s="42" t="str"/>
      <x:c r="O115" s="42" t="str"/>
      <x:c r="P115" s="42" t="str"/>
      <x:c r="Q115" s="42" t="str"/>
      <x:c r="R115" s="42" t="str"/>
      <x:c r="S115" s="42" t="str">
        <x:v>UKMTO has received a report of an incident 31NM northwest of Dubai, United Arab Emirates. The Company Security Officer reported an unknown projectile had struck their tanker on the starboard side causing a fire to the vessel. The crew are accounted for and safe. No environmental impact has been reported. Update 001: The CSO has confirmed the fire is extinguished, and there are no environmental implications resulting from the strike. UKMTO are unable to determine the source of the projectile and continue to investigate</x:v>
      </x:c>
      <x:c r="T115" s="42" t="str"/>
      <x:c r="U115" s="42" t="str"/>
      <x:c r="V115" s="42" t="str"/>
      <x:c r="W115" s="42" t="str">
        <x:v>Offshore / regional maritime</x:v>
      </x:c>
      <x:c r="X115" s="42" t="str"/>
      <x:c r="Y115" s="42" t="str"/>
      <x:c r="Z115" s="42" t="str">
        <x:v>High</x:v>
      </x:c>
      <x:c r="AA115" s="42" t="str">
        <x:v>20260331_UKMTO_WARNING_029_26_UPDATE 001.pdf</x:v>
      </x:c>
      <x:c r="AB115" s="42" t="str">
        <x:v>Needs canonical event resolution</x:v>
      </x:c>
      <x:c r="AC115" s="42" t="str">
        <x:v>Has Update: Yes; Latest Update: 001</x:v>
      </x:c>
    </x:row>
    <x:row r="116">
      <x:c r="A116" s="42" t="str">
        <x:v>OBS_000115</x:v>
      </x:c>
      <x:c r="B116" s="42" t="str"/>
      <x:c r="C116" s="42" t="str">
        <x:v>ukmto_warnings_2026</x:v>
      </x:c>
      <x:c r="D116" s="42" t="str">
        <x:v>030-26</x:v>
      </x:c>
      <x:c r="E116" s="42" t="str">
        <x:v>2026-03-31</x:v>
      </x:c>
      <x:c r="F116" s="42" t="str">
        <x:v>Maritime Security Warning</x:v>
      </x:c>
      <x:c r="G116" s="42" t="str">
        <x:v>Suspicious Activity</x:v>
      </x:c>
      <x:c r="H116" s="42" t="str">
        <x:v>Conflict / maritime security attack</x:v>
      </x:c>
      <x:c r="I116" s="42" t="str">
        <x:v>Maritime</x:v>
      </x:c>
      <x:c r="J116" s="42" t="str"/>
      <x:c r="K116" s="42" t="str"/>
      <x:c r="L116" s="42" t="str"/>
      <x:c r="M116" s="42" t="str"/>
      <x:c r="N116" s="42" t="str"/>
      <x:c r="O116" s="42" t="str"/>
      <x:c r="P116" s="42" t="str"/>
      <x:c r="Q116" s="42" t="str"/>
      <x:c r="R116" s="42" t="str"/>
      <x:c r="S116" s="42" t="str">
        <x:v>UKMTO has received a report of an incident 17NM north of Ras Laffan, Qatar. The Company Security Officer reported the tanker has been hit by unknown projectile on the port side causing damage to the hull above water line. The crew are reported as safe. There is no environmental impact. Authorities are investigating. UPDATE 001: UKMTO can confirm the vessel was struck by two projectiles. One caused a fire which has since been extinguished. The other remains unexploded within the vessels engine room and is being investigated by the relevant authorities. UKMTO are unable to confirm the source of the projectiles and</x:v>
      </x:c>
      <x:c r="T116" s="42" t="str"/>
      <x:c r="U116" s="42" t="str"/>
      <x:c r="V116" s="42" t="str"/>
      <x:c r="W116" s="42" t="str">
        <x:v>Near-port / approaches</x:v>
      </x:c>
      <x:c r="X116" s="42" t="str"/>
      <x:c r="Y116" s="42" t="str"/>
      <x:c r="Z116" s="42" t="str">
        <x:v>High</x:v>
      </x:c>
      <x:c r="AA116" s="42" t="str">
        <x:v>20260331_UKMTO_WARNING_030_26-UPDATE_001.pdf</x:v>
      </x:c>
      <x:c r="AB116" s="42" t="str">
        <x:v>Needs canonical event resolution</x:v>
      </x:c>
      <x:c r="AC116" s="42" t="str">
        <x:v>Has Update: Yes; Latest Update: 001</x:v>
      </x:c>
    </x:row>
    <x:row r="117">
      <x:c r="A117" s="42" t="str">
        <x:v>OBS_000116</x:v>
      </x:c>
      <x:c r="B117" s="42" t="str"/>
      <x:c r="C117" s="42" t="str">
        <x:v>ukmto_warnings_2026</x:v>
      </x:c>
      <x:c r="D117" s="42" t="str">
        <x:v>031-26</x:v>
      </x:c>
      <x:c r="E117" s="42" t="str">
        <x:v>2026-04-05</x:v>
      </x:c>
      <x:c r="F117" s="42" t="str">
        <x:v>Maritime Security Warning</x:v>
      </x:c>
      <x:c r="G117" s="42" t="str">
        <x:v>Suspicious Activity</x:v>
      </x:c>
      <x:c r="H117" s="42" t="str">
        <x:v>Conflict / maritime security attack</x:v>
      </x:c>
      <x:c r="I117" s="42" t="str">
        <x:v>Maritime</x:v>
      </x:c>
      <x:c r="J117" s="42" t="str"/>
      <x:c r="K117" s="42" t="str"/>
      <x:c r="L117" s="42" t="str"/>
      <x:c r="M117" s="42" t="str"/>
      <x:c r="N117" s="42" t="str"/>
      <x:c r="O117" s="42" t="str"/>
      <x:c r="P117" s="42" t="str"/>
      <x:c r="Q117" s="42" t="str"/>
      <x:c r="R117" s="42" t="str"/>
      <x:c r="S117" s="42" t="str">
        <x:v>UKMTO has received a report of an incident in Khor Fakkan Port, United Arab Emirates. The Master reports witnessing multiple splashes from unknown projectiles, in close proximity of his container ship, whilst alongside conducting loading operations.</x:v>
      </x:c>
      <x:c r="T117" s="42" t="str"/>
      <x:c r="U117" s="42" t="str"/>
      <x:c r="V117" s="42" t="str"/>
      <x:c r="W117" s="42" t="str">
        <x:v>Port-side</x:v>
      </x:c>
      <x:c r="X117" s="42" t="str"/>
      <x:c r="Y117" s="42" t="str"/>
      <x:c r="Z117" s="42" t="str">
        <x:v>High</x:v>
      </x:c>
      <x:c r="AA117" s="42" t="str">
        <x:v>20260405_UKMTO_WARNING_031_26.pdf</x:v>
      </x:c>
      <x:c r="AB117" s="42" t="str">
        <x:v>Needs canonical event resolution</x:v>
      </x:c>
      <x:c r="AC117" s="42" t="str">
        <x:v>Has Update: No; Latest Update: </x:v>
      </x:c>
    </x:row>
    <x:row r="118">
      <x:c r="A118" s="42" t="str">
        <x:v>OBS_000117</x:v>
      </x:c>
      <x:c r="B118" s="42" t="str"/>
      <x:c r="C118" s="42" t="str">
        <x:v>ukmto_warnings_2026</x:v>
      </x:c>
      <x:c r="D118" s="42" t="str">
        <x:v>032-26</x:v>
      </x:c>
      <x:c r="E118" s="42" t="str">
        <x:v>2026-04-07</x:v>
      </x:c>
      <x:c r="F118" s="42" t="str">
        <x:v>Maritime Security Warning</x:v>
      </x:c>
      <x:c r="G118" s="42" t="str">
        <x:v>Attack</x:v>
      </x:c>
      <x:c r="H118" s="42" t="str">
        <x:v>Conflict / maritime security attack</x:v>
      </x:c>
      <x:c r="I118" s="42" t="str">
        <x:v>Maritime</x:v>
      </x:c>
      <x:c r="J118" s="42" t="str"/>
      <x:c r="K118" s="42" t="str"/>
      <x:c r="L118" s="42" t="str"/>
      <x:c r="M118" s="42" t="str"/>
      <x:c r="N118" s="42" t="str"/>
      <x:c r="O118" s="42" t="str"/>
      <x:c r="P118" s="42" t="str"/>
      <x:c r="Q118" s="42" t="str"/>
      <x:c r="R118" s="42" t="str"/>
      <x:c r="S118" s="42" t="str">
        <x:v>UKMTO has received a time late report of an incident 25NM south of Kish Island, Iran. The container vessel was struck by an unknown projectile which has caused damage above the waterline. The crew are safe and accounted for. No environmental impact has been reported. Authorities are investigating.</x:v>
      </x:c>
      <x:c r="T118" s="42" t="str"/>
      <x:c r="U118" s="42" t="str"/>
      <x:c r="V118" s="42" t="str"/>
      <x:c r="W118" s="42" t="str">
        <x:v>Offshore / regional maritime</x:v>
      </x:c>
      <x:c r="X118" s="42" t="str"/>
      <x:c r="Y118" s="42" t="str"/>
      <x:c r="Z118" s="42" t="str">
        <x:v>High</x:v>
      </x:c>
      <x:c r="AA118" s="42" t="str">
        <x:v>20260407_UKMTO_WARNING_032_26.pdf</x:v>
      </x:c>
      <x:c r="AB118" s="42" t="str">
        <x:v>Needs canonical event resolution</x:v>
      </x:c>
      <x:c r="AC118" s="42" t="str">
        <x:v>Has Update: No; Latest Update: </x:v>
      </x:c>
    </x:row>
    <x:row r="119">
      <x:c r="A119" s="42" t="str">
        <x:v>OBS_000118</x:v>
      </x:c>
      <x:c r="B119" s="42" t="str"/>
      <x:c r="C119" s="42" t="str">
        <x:v>ukmto_warnings_2026</x:v>
      </x:c>
      <x:c r="D119" s="42" t="str">
        <x:v>034-26</x:v>
      </x:c>
      <x:c r="E119" s="42" t="str">
        <x:v>2026-04-12</x:v>
      </x:c>
      <x:c r="F119" s="42" t="str">
        <x:v>Maritime Security Warning</x:v>
      </x:c>
      <x:c r="G119" s="42" t="str">
        <x:v>Suspicious Activity</x:v>
      </x:c>
      <x:c r="H119" s="42" t="str">
        <x:v>Piracy / armed robbery / suspicious approach</x:v>
      </x:c>
      <x:c r="I119" s="42" t="str">
        <x:v>Maritime</x:v>
      </x:c>
      <x:c r="J119" s="42" t="str"/>
      <x:c r="K119" s="42" t="str"/>
      <x:c r="L119" s="42" t="str"/>
      <x:c r="M119" s="42" t="str"/>
      <x:c r="N119" s="42" t="str"/>
      <x:c r="O119" s="42" t="str"/>
      <x:c r="P119" s="42" t="str"/>
      <x:c r="Q119" s="42" t="str"/>
      <x:c r="R119" s="42" t="str"/>
      <x:c r="S119" s="42" t="str">
        <x:v>UKMTO has received a report of an incident 54NM southwest of Al Hudaydah, Yemen. A sailing vessel was approached by a skiff with approximately 10-12 people on board, 4-5 of whom were armed with automatic weapons. The crew requested that the sailing vessel stopped and when the Master refused they attempted to pull the skiff alongside the sailing vessel to board. The Master deployed a flare and the skiff turned away and departed to the southeast. Authorities are investigating.</x:v>
      </x:c>
      <x:c r="T119" s="42" t="str"/>
      <x:c r="U119" s="42" t="str"/>
      <x:c r="V119" s="42" t="str"/>
      <x:c r="W119" s="42" t="str">
        <x:v>Offshore / regional maritime</x:v>
      </x:c>
      <x:c r="X119" s="42" t="str"/>
      <x:c r="Y119" s="42" t="str"/>
      <x:c r="Z119" s="42" t="str">
        <x:v>Medium</x:v>
      </x:c>
      <x:c r="AA119" s="42" t="str">
        <x:v>20260412_UKMTO_WARNING_034-26.pdf</x:v>
      </x:c>
      <x:c r="AB119" s="42" t="str">
        <x:v>Needs canonical event resolution</x:v>
      </x:c>
      <x:c r="AC119" s="42" t="str">
        <x:v>Has Update: No; Latest Update: </x:v>
      </x:c>
    </x:row>
    <x:row r="120">
      <x:c r="A120" s="42" t="str">
        <x:v>OBS_000119</x:v>
      </x:c>
      <x:c r="B120" s="42" t="str"/>
      <x:c r="C120" s="42" t="str">
        <x:v>ukmto_warnings_2026</x:v>
      </x:c>
      <x:c r="D120" s="42" t="str">
        <x:v>036-26</x:v>
      </x:c>
      <x:c r="E120" s="42" t="str">
        <x:v>2026-04-07</x:v>
      </x:c>
      <x:c r="F120" s="42" t="str">
        <x:v>Maritime Security Warning</x:v>
      </x:c>
      <x:c r="G120" s="42" t="str">
        <x:v>Attack</x:v>
      </x:c>
      <x:c r="H120" s="42" t="str">
        <x:v>Conflict / maritime security attack</x:v>
      </x:c>
      <x:c r="I120" s="42" t="str">
        <x:v>Maritime</x:v>
      </x:c>
      <x:c r="J120" s="42" t="str"/>
      <x:c r="K120" s="42" t="str"/>
      <x:c r="L120" s="42" t="str"/>
      <x:c r="M120" s="42" t="str"/>
      <x:c r="N120" s="42" t="str"/>
      <x:c r="O120" s="42" t="str"/>
      <x:c r="P120" s="42" t="str"/>
      <x:c r="Q120" s="42" t="str"/>
      <x:c r="R120" s="42" t="str"/>
      <x:c r="S120" s="42" t="str">
        <x:v>UKMTO has received a report of an incident on 07 Apr 26, 112NM southeast of Ras Al Hadd, Oman. The Master of a Bulk Carrier reported to authorities that his vessel was struck by two unidentified projectiles resulting in a fire onboard. A Pakistan Naval vessel rendered assistance and the incident is now reported complete. This UKMTO warning complements JMICC Pakistan Alert 94/26 Ras Al Hadd, Oman</x:v>
      </x:c>
      <x:c r="T120" s="42" t="str"/>
      <x:c r="U120" s="42" t="str"/>
      <x:c r="V120" s="42" t="str"/>
      <x:c r="W120" s="42" t="str">
        <x:v>Offshore / regional maritime</x:v>
      </x:c>
      <x:c r="X120" s="42" t="str"/>
      <x:c r="Y120" s="42" t="str"/>
      <x:c r="Z120" s="42" t="str">
        <x:v>High</x:v>
      </x:c>
      <x:c r="AA120" s="42" t="str">
        <x:v>20260414-UKMTO_WARNING_036-26.pdf</x:v>
      </x:c>
      <x:c r="AB120" s="42" t="str">
        <x:v>Needs canonical event resolution</x:v>
      </x:c>
      <x:c r="AC120" s="42" t="str">
        <x:v>Has Update: No; Latest Update: </x:v>
      </x:c>
    </x:row>
    <x:row r="121">
      <x:c r="A121" s="42" t="str">
        <x:v>OBS_000120</x:v>
      </x:c>
      <x:c r="B121" s="42" t="str"/>
      <x:c r="C121" s="42" t="str">
        <x:v>ukmto_warnings_2026</x:v>
      </x:c>
      <x:c r="D121" s="42" t="str">
        <x:v>037-26</x:v>
      </x:c>
      <x:c r="E121" s="42" t="str">
        <x:v>2026-04-18</x:v>
      </x:c>
      <x:c r="F121" s="42" t="str">
        <x:v>Maritime Security Warning</x:v>
      </x:c>
      <x:c r="G121" s="42" t="str">
        <x:v>Attack</x:v>
      </x:c>
      <x:c r="H121" s="42" t="str">
        <x:v>State/security seizure or attack</x:v>
      </x:c>
      <x:c r="I121" s="42" t="str">
        <x:v>Maritime</x:v>
      </x:c>
      <x:c r="J121" s="42" t="str"/>
      <x:c r="K121" s="42" t="str"/>
      <x:c r="L121" s="42" t="str"/>
      <x:c r="M121" s="42" t="str"/>
      <x:c r="N121" s="42" t="str"/>
      <x:c r="O121" s="42" t="str"/>
      <x:c r="P121" s="42" t="str"/>
      <x:c r="Q121" s="42" t="str"/>
      <x:c r="R121" s="42" t="str"/>
      <x:c r="S121" s="42" t="str">
        <x:v>UKMTO has received a report of an incident 20NM northeast of OMAN. The Master of a Tanker reports being approached by 2 IRGC gun boats, no VHF challenge that then fired upon the tanker. Tanker and crew are reported safe. Authorities are investigating. Oman</x:v>
      </x:c>
      <x:c r="T121" s="42" t="str"/>
      <x:c r="U121" s="42" t="str"/>
      <x:c r="V121" s="42" t="str"/>
      <x:c r="W121" s="42" t="str">
        <x:v>Offshore / regional maritime</x:v>
      </x:c>
      <x:c r="X121" s="42" t="str"/>
      <x:c r="Y121" s="42" t="str"/>
      <x:c r="Z121" s="42" t="str">
        <x:v>High</x:v>
      </x:c>
      <x:c r="AA121" s="42" t="str">
        <x:v>20260418 - UKMTO_WARNING_037_26.pdf</x:v>
      </x:c>
      <x:c r="AB121" s="42" t="str">
        <x:v>Needs canonical event resolution</x:v>
      </x:c>
      <x:c r="AC121" s="42" t="str">
        <x:v>Has Update: No; Latest Update: </x:v>
      </x:c>
    </x:row>
    <x:row r="122">
      <x:c r="A122" s="42" t="str">
        <x:v>OBS_000121</x:v>
      </x:c>
      <x:c r="B122" s="42" t="str"/>
      <x:c r="C122" s="42" t="str">
        <x:v>ukmto_warnings_2026</x:v>
      </x:c>
      <x:c r="D122" s="42" t="str">
        <x:v>038-26</x:v>
      </x:c>
      <x:c r="E122" s="42" t="str">
        <x:v>2026-04-18</x:v>
      </x:c>
      <x:c r="F122" s="42" t="str">
        <x:v>Maritime Security Warning</x:v>
      </x:c>
      <x:c r="G122" s="42" t="str">
        <x:v>Attack</x:v>
      </x:c>
      <x:c r="H122" s="42" t="str">
        <x:v>Conflict / maritime security attack</x:v>
      </x:c>
      <x:c r="I122" s="42" t="str">
        <x:v>Maritime</x:v>
      </x:c>
      <x:c r="J122" s="42" t="str"/>
      <x:c r="K122" s="42" t="str"/>
      <x:c r="L122" s="42" t="str"/>
      <x:c r="M122" s="42" t="str"/>
      <x:c r="N122" s="42" t="str"/>
      <x:c r="O122" s="42" t="str"/>
      <x:c r="P122" s="42" t="str"/>
      <x:c r="Q122" s="42" t="str"/>
      <x:c r="R122" s="42" t="str"/>
      <x:c r="S122" s="42" t="str">
        <x:v>UKMTO has received a report of an incident 25NM northeast of OMAN. A report of a Container Ship being hit by an unknown projectile which caused damage to some of the containers, no fires or environment impact reported. Authorities are investigating.</x:v>
      </x:c>
      <x:c r="T122" s="42" t="str"/>
      <x:c r="U122" s="42" t="str"/>
      <x:c r="V122" s="42" t="str"/>
      <x:c r="W122" s="42" t="str">
        <x:v>Offshore / regional maritime</x:v>
      </x:c>
      <x:c r="X122" s="42" t="str"/>
      <x:c r="Y122" s="42" t="str"/>
      <x:c r="Z122" s="42" t="str">
        <x:v>High</x:v>
      </x:c>
      <x:c r="AA122" s="42" t="str">
        <x:v>20260418-WARNING_038_26_ATTACK.pdf</x:v>
      </x:c>
      <x:c r="AB122" s="42" t="str">
        <x:v>Needs canonical event resolution</x:v>
      </x:c>
      <x:c r="AC122" s="42" t="str">
        <x:v>Has Update: No; Latest Update: </x:v>
      </x:c>
    </x:row>
    <x:row r="123">
      <x:c r="A123" s="42" t="str">
        <x:v>OBS_000122</x:v>
      </x:c>
      <x:c r="B123" s="42" t="str"/>
      <x:c r="C123" s="42" t="str">
        <x:v>ukmto_warnings_2026</x:v>
      </x:c>
      <x:c r="D123" s="42" t="str">
        <x:v>039-26</x:v>
      </x:c>
      <x:c r="E123" s="42" t="str">
        <x:v>2026-04-18</x:v>
      </x:c>
      <x:c r="F123" s="42" t="str">
        <x:v>Maritime Security Warning</x:v>
      </x:c>
      <x:c r="G123" s="42" t="str">
        <x:v>Suspicious Activity</x:v>
      </x:c>
      <x:c r="H123" s="42" t="str">
        <x:v>Suspicious / security incident</x:v>
      </x:c>
      <x:c r="I123" s="42" t="str">
        <x:v>Maritime</x:v>
      </x:c>
      <x:c r="J123" s="42" t="str"/>
      <x:c r="K123" s="42" t="str"/>
      <x:c r="L123" s="42" t="str"/>
      <x:c r="M123" s="42" t="str"/>
      <x:c r="N123" s="42" t="str"/>
      <x:c r="O123" s="42" t="str"/>
      <x:c r="P123" s="42" t="str"/>
      <x:c r="Q123" s="42" t="str"/>
      <x:c r="R123" s="42" t="str"/>
      <x:c r="S123" s="42" t="str">
        <x:v>UKMTO has received a report of an incident 3NM east of OMAN. The Master of a Cruise ship reported sighting a splash in close proximity of the vessel.</x:v>
      </x:c>
      <x:c r="T123" s="42" t="str"/>
      <x:c r="U123" s="42" t="str"/>
      <x:c r="V123" s="42" t="str"/>
      <x:c r="W123" s="42" t="str">
        <x:v>Offshore / regional maritime</x:v>
      </x:c>
      <x:c r="X123" s="42" t="str"/>
      <x:c r="Y123" s="42" t="str"/>
      <x:c r="Z123" s="42" t="str">
        <x:v>Medium</x:v>
      </x:c>
      <x:c r="AA123" s="42" t="str">
        <x:v>20260418-WARNING_039_26 _SUSPICIOUS ACTIVITY.pdf</x:v>
      </x:c>
      <x:c r="AB123" s="42" t="str">
        <x:v>Needs canonical event resolution</x:v>
      </x:c>
      <x:c r="AC123" s="42" t="str">
        <x:v>Has Update: No; Latest Update: </x:v>
      </x:c>
    </x:row>
    <x:row r="124">
      <x:c r="A124" s="42" t="str">
        <x:v>OBS_000123</x:v>
      </x:c>
      <x:c r="B124" s="42" t="str"/>
      <x:c r="C124" s="42" t="str">
        <x:v>ukmto_warnings_2026</x:v>
      </x:c>
      <x:c r="D124" s="42" t="str">
        <x:v>041-26</x:v>
      </x:c>
      <x:c r="E124" s="42" t="str">
        <x:v>2026-04-22</x:v>
      </x:c>
      <x:c r="F124" s="42" t="str">
        <x:v>Maritime Security Warning</x:v>
      </x:c>
      <x:c r="G124" s="42" t="str">
        <x:v>Attack</x:v>
      </x:c>
      <x:c r="H124" s="42" t="str">
        <x:v>State/security seizure or attack</x:v>
      </x:c>
      <x:c r="I124" s="42" t="str">
        <x:v>Maritime</x:v>
      </x:c>
      <x:c r="J124" s="42" t="str"/>
      <x:c r="K124" s="42" t="str"/>
      <x:c r="L124" s="42" t="str"/>
      <x:c r="M124" s="42" t="str"/>
      <x:c r="N124" s="42" t="str"/>
      <x:c r="O124" s="42" t="str"/>
      <x:c r="P124" s="42" t="str"/>
      <x:c r="Q124" s="42" t="str"/>
      <x:c r="R124" s="42" t="str"/>
      <x:c r="S124" s="42" t="str">
        <x:v>UKMTO has received a report of an incident 15NM northeast of OMAN. The Master of a Container Ship reported that the vessel was approached by 1 IRGC gun boat, no VHF challenge that then fired upon the vessel which has caused heavy damage to the bridge. No fires or environmental impact reported. All Crew reported safe.</x:v>
      </x:c>
      <x:c r="T124" s="42" t="str"/>
      <x:c r="U124" s="42" t="str"/>
      <x:c r="V124" s="42" t="str"/>
      <x:c r="W124" s="42" t="str">
        <x:v>Offshore / regional maritime</x:v>
      </x:c>
      <x:c r="X124" s="42" t="str"/>
      <x:c r="Y124" s="42" t="str"/>
      <x:c r="Z124" s="42" t="str">
        <x:v>High</x:v>
      </x:c>
      <x:c r="AA124" s="42" t="str">
        <x:v>20260422-UKMTO_WARNING_ATTACK.pdf</x:v>
      </x:c>
      <x:c r="AB124" s="42" t="str">
        <x:v>Needs canonical event resolution</x:v>
      </x:c>
      <x:c r="AC124" s="42" t="str">
        <x:v>Has Update: No; Latest Update: </x:v>
      </x:c>
    </x:row>
    <x:row r="125">
      <x:c r="A125" s="42" t="str">
        <x:v>OBS_000124</x:v>
      </x:c>
      <x:c r="B125" s="42" t="str"/>
      <x:c r="C125" s="42" t="str">
        <x:v>ukmto_warnings_2026</x:v>
      </x:c>
      <x:c r="D125" s="42" t="str">
        <x:v>043-26</x:v>
      </x:c>
      <x:c r="E125" s="42" t="str">
        <x:v>2026-04-22</x:v>
      </x:c>
      <x:c r="F125" s="42" t="str">
        <x:v>Maritime Security Warning</x:v>
      </x:c>
      <x:c r="G125" s="42" t="str">
        <x:v>Attack</x:v>
      </x:c>
      <x:c r="H125" s="42" t="str">
        <x:v>Conflict / maritime security attack</x:v>
      </x:c>
      <x:c r="I125" s="42" t="str">
        <x:v>Maritime</x:v>
      </x:c>
      <x:c r="J125" s="42" t="str"/>
      <x:c r="K125" s="42" t="str"/>
      <x:c r="L125" s="42" t="str"/>
      <x:c r="M125" s="42" t="str"/>
      <x:c r="N125" s="42" t="str"/>
      <x:c r="O125" s="42" t="str"/>
      <x:c r="P125" s="42" t="str"/>
      <x:c r="Q125" s="42" t="str"/>
      <x:c r="R125" s="42" t="str"/>
      <x:c r="S125" s="42" t="str">
        <x:v>UKMTO has received a report of an incident 8NM west of Iran. A master of an outbound cargo ship reports having been fired upon and is now stopped in the water. Crew are safe and accounted for. There is no reported damage to the vessel. UKMTO is aware of high levels of activity in the SoH area and encourages vessels to report any suspicious activity. Iran</x:v>
      </x:c>
      <x:c r="T125" s="42" t="str"/>
      <x:c r="U125" s="42" t="str"/>
      <x:c r="V125" s="42" t="str"/>
      <x:c r="W125" s="42" t="str">
        <x:v>Offshore / regional maritime</x:v>
      </x:c>
      <x:c r="X125" s="42" t="str"/>
      <x:c r="Y125" s="42" t="str"/>
      <x:c r="Z125" s="42" t="str">
        <x:v>High</x:v>
      </x:c>
      <x:c r="AA125" s="42" t="str">
        <x:v>20260422-UKMTO_WARNING_043-26.pdf</x:v>
      </x:c>
      <x:c r="AB125" s="42" t="str">
        <x:v>Needs canonical event resolution</x:v>
      </x:c>
      <x:c r="AC125" s="42" t="str">
        <x:v>Has Update: No; Latest Update: </x:v>
      </x:c>
    </x:row>
    <x:row r="126">
      <x:c r="A126" s="42" t="str">
        <x:v>OBS_000125</x:v>
      </x:c>
      <x:c r="B126" s="42" t="str"/>
      <x:c r="C126" s="42" t="str">
        <x:v>ukmto_warnings_2026</x:v>
      </x:c>
      <x:c r="D126" s="42" t="str">
        <x:v>044-26</x:v>
      </x:c>
      <x:c r="E126" s="42" t="str">
        <x:v>2026-04-23</x:v>
      </x:c>
      <x:c r="F126" s="42" t="str">
        <x:v>Maritime Security Warning</x:v>
      </x:c>
      <x:c r="G126" s="42" t="str">
        <x:v>Suspicious Activity</x:v>
      </x:c>
      <x:c r="H126" s="42" t="str">
        <x:v>Piracy / armed robbery / suspicious approach</x:v>
      </x:c>
      <x:c r="I126" s="42" t="str">
        <x:v>Maritime</x:v>
      </x:c>
      <x:c r="J126" s="42" t="str"/>
      <x:c r="K126" s="42" t="str"/>
      <x:c r="L126" s="42" t="str"/>
      <x:c r="M126" s="42" t="str"/>
      <x:c r="N126" s="42" t="str"/>
      <x:c r="O126" s="42" t="str"/>
      <x:c r="P126" s="42" t="str"/>
      <x:c r="Q126" s="42" t="str"/>
      <x:c r="R126" s="42" t="str"/>
      <x:c r="S126" s="42" t="str">
        <x:v>UKMTO has received a report of an incident 83NM southeast of Eyl, Somalia. The Master of a cargo ship was approached by 2 small craft with armed persons onboard. One small craft approached within 600m, warning shots were fired and the suspicious craft returned fire. The suspicious small craft moved away and made clear of the reporting cargo ship. All crew are safe and accounted for.</x:v>
      </x:c>
      <x:c r="T126" s="42" t="str"/>
      <x:c r="U126" s="42" t="str"/>
      <x:c r="V126" s="42" t="str"/>
      <x:c r="W126" s="42" t="str">
        <x:v>Offshore / regional maritime</x:v>
      </x:c>
      <x:c r="X126" s="42" t="str"/>
      <x:c r="Y126" s="42" t="str"/>
      <x:c r="Z126" s="42" t="str">
        <x:v>High</x:v>
      </x:c>
      <x:c r="AA126" s="42" t="str">
        <x:v>20260423-UKMTO_WARNING-044-26.pdf</x:v>
      </x:c>
      <x:c r="AB126" s="42" t="str">
        <x:v>Needs canonical event resolution</x:v>
      </x:c>
      <x:c r="AC126" s="42" t="str">
        <x:v>Has Update: No; Latest Update: </x:v>
      </x:c>
    </x:row>
    <x:row r="127">
      <x:c r="A127" s="42" t="str">
        <x:v>OBS_000126</x:v>
      </x:c>
      <x:c r="B127" s="42" t="str"/>
      <x:c r="C127" s="42" t="str">
        <x:v>ukmto_warnings_2026</x:v>
      </x:c>
      <x:c r="D127" s="42" t="str">
        <x:v>045-26</x:v>
      </x:c>
      <x:c r="E127" s="42" t="str">
        <x:v>2026-04-21</x:v>
      </x:c>
      <x:c r="F127" s="42" t="str">
        <x:v>Maritime Security Warning</x:v>
      </x:c>
      <x:c r="G127" s="42" t="str">
        <x:v>Suspicious Activity</x:v>
      </x:c>
      <x:c r="H127" s="42" t="str">
        <x:v>Piracy / armed robbery / suspicious approach</x:v>
      </x:c>
      <x:c r="I127" s="42" t="str">
        <x:v>Maritime</x:v>
      </x:c>
      <x:c r="J127" s="42" t="str"/>
      <x:c r="K127" s="42" t="str"/>
      <x:c r="L127" s="42" t="str"/>
      <x:c r="M127" s="42" t="str"/>
      <x:c r="N127" s="42" t="str"/>
      <x:c r="O127" s="42" t="str"/>
      <x:c r="P127" s="42" t="str"/>
      <x:c r="Q127" s="42" t="str"/>
      <x:c r="R127" s="42" t="str"/>
      <x:c r="S127" s="42" t="str">
        <x:v>UKMTO has received a report of an incident 45NM northeast of Mareeyo, Somalia. Military Authorities have reported unauthorised persons taking control of the tanker and manoeuvring the vessel 77NM south within Somali territorial waters. The vessels last known position was 0856N 05032E. UKMTO will continue to monitor.</x:v>
      </x:c>
      <x:c r="T127" s="42" t="str"/>
      <x:c r="U127" s="42" t="str"/>
      <x:c r="V127" s="42" t="str"/>
      <x:c r="W127" s="42" t="str">
        <x:v>Offshore / regional maritime</x:v>
      </x:c>
      <x:c r="X127" s="42" t="str"/>
      <x:c r="Y127" s="42" t="str"/>
      <x:c r="Z127" s="42" t="str">
        <x:v>High</x:v>
      </x:c>
      <x:c r="AA127" s="42" t="str">
        <x:v>20260424-UKMTO_WARNING_045-26.pdf</x:v>
      </x:c>
      <x:c r="AB127" s="42" t="str">
        <x:v>Needs canonical event resolution</x:v>
      </x:c>
      <x:c r="AC127" s="42" t="str">
        <x:v>Has Update: No; Latest Update: </x:v>
      </x:c>
    </x:row>
    <x:row r="128">
      <x:c r="A128" s="42" t="str">
        <x:v>OBS_000127</x:v>
      </x:c>
      <x:c r="B128" s="42" t="str"/>
      <x:c r="C128" s="42" t="str">
        <x:v>ukmto_warnings_2026</x:v>
      </x:c>
      <x:c r="D128" s="42" t="str">
        <x:v>046-26</x:v>
      </x:c>
      <x:c r="E128" s="42" t="str">
        <x:v>2026-04-26</x:v>
      </x:c>
      <x:c r="F128" s="42" t="str">
        <x:v>Maritime Security Warning</x:v>
      </x:c>
      <x:c r="G128" s="42" t="str">
        <x:v>Suspicious Activity</x:v>
      </x:c>
      <x:c r="H128" s="42" t="str">
        <x:v>Piracy / armed robbery / suspicious approach</x:v>
      </x:c>
      <x:c r="I128" s="42" t="str">
        <x:v>Maritime</x:v>
      </x:c>
      <x:c r="J128" s="42" t="str"/>
      <x:c r="K128" s="42" t="str"/>
      <x:c r="L128" s="42" t="str"/>
      <x:c r="M128" s="42" t="str"/>
      <x:c r="N128" s="42" t="str"/>
      <x:c r="O128" s="42" t="str"/>
      <x:c r="P128" s="42" t="str"/>
      <x:c r="Q128" s="42" t="str"/>
      <x:c r="R128" s="42" t="str"/>
      <x:c r="S128" s="42" t="str">
        <x:v>UKMTO has received a report of an incident 6NM North East of Garacad, Somalia. It has been reported that unauthorised persons have taken control of a cargo vessel which has been re-directed to within territorial waters. Due to the increased threat of possible PAG activity, vessels are advised to transit with caution and report any suspicious activity to UKMTO while authorities investigate. Garacad, Somalia</x:v>
      </x:c>
      <x:c r="T128" s="42" t="str"/>
      <x:c r="U128" s="42" t="str"/>
      <x:c r="V128" s="42" t="str"/>
      <x:c r="W128" s="42" t="str">
        <x:v>Offshore / regional maritime</x:v>
      </x:c>
      <x:c r="X128" s="42" t="str"/>
      <x:c r="Y128" s="42" t="str"/>
      <x:c r="Z128" s="42" t="str">
        <x:v>High</x:v>
      </x:c>
      <x:c r="AA128" s="42" t="str">
        <x:v>20260426-UKMTO_WARNING_046-26.pdf</x:v>
      </x:c>
      <x:c r="AB128" s="42" t="str">
        <x:v>Needs canonical event resolution</x:v>
      </x:c>
      <x:c r="AC128" s="42" t="str">
        <x:v>Has Update: No; Latest Update: </x:v>
      </x:c>
    </x:row>
    <x:row r="129">
      <x:c r="A129" s="42" t="str">
        <x:v>OBS_000128</x:v>
      </x:c>
      <x:c r="B129" s="42" t="str"/>
      <x:c r="C129" s="42" t="str">
        <x:v>ukmto_warnings_2026</x:v>
      </x:c>
      <x:c r="D129" s="42" t="str">
        <x:v>047-26</x:v>
      </x:c>
      <x:c r="E129" s="42" t="str">
        <x:v>2026-04-28</x:v>
      </x:c>
      <x:c r="F129" s="42" t="str">
        <x:v>Maritime Security Warning</x:v>
      </x:c>
      <x:c r="G129" s="42" t="str">
        <x:v>Suspicious Activity</x:v>
      </x:c>
      <x:c r="H129" s="42" t="str">
        <x:v>Piracy / armed robbery / suspicious approach</x:v>
      </x:c>
      <x:c r="I129" s="42" t="str">
        <x:v>Maritime</x:v>
      </x:c>
      <x:c r="J129" s="42" t="str"/>
      <x:c r="K129" s="42" t="str"/>
      <x:c r="L129" s="42" t="str"/>
      <x:c r="M129" s="42" t="str"/>
      <x:c r="N129" s="42" t="str"/>
      <x:c r="O129" s="42" t="str"/>
      <x:c r="P129" s="42" t="str"/>
      <x:c r="Q129" s="42" t="str"/>
      <x:c r="R129" s="42" t="str"/>
      <x:c r="S129" s="42" t="str">
        <x:v>UKMTO has received a report of an incident 500NM east of Mogadishu, Somalia. The Master of a tanker was approached by a PAG whilst transiting south through the Indian Ocean. A larger wooden vessel crossed ahead of the tanker at 1nm. The Master then reported that two additional craft approached from the starboard side and closed to within 400 meters. Upon sighting the vessels armed sentries, both small craft and the mothership turned away. Due to the increased threat of possible PAG activity, vessels are advised to transit with caution and report any suspicious activity to UKMTO while authorities investigate.</x:v>
      </x:c>
      <x:c r="T129" s="42" t="str"/>
      <x:c r="U129" s="42" t="str"/>
      <x:c r="V129" s="42" t="str"/>
      <x:c r="W129" s="42" t="str">
        <x:v>Offshore / regional maritime</x:v>
      </x:c>
      <x:c r="X129" s="42" t="str"/>
      <x:c r="Y129" s="42" t="str"/>
      <x:c r="Z129" s="42" t="str">
        <x:v>High</x:v>
      </x:c>
      <x:c r="AA129" s="42" t="str">
        <x:v>20260428-UKMTO_WARNING_SUSPICIOUS ACTIVITY_047-26.pdf</x:v>
      </x:c>
      <x:c r="AB129" s="42" t="str">
        <x:v>Needs canonical event resolution</x:v>
      </x:c>
      <x:c r="AC129" s="42" t="str">
        <x:v>Has Update: No; Latest Update: </x:v>
      </x:c>
    </x:row>
    <x:row r="130">
      <x:c r="A130" s="42" t="str">
        <x:v>OBS_000129</x:v>
      </x:c>
      <x:c r="B130" s="42" t="str"/>
      <x:c r="C130" s="42" t="str">
        <x:v>ukmto_warnings_2026</x:v>
      </x:c>
      <x:c r="D130" s="42" t="str">
        <x:v>048-26</x:v>
      </x:c>
      <x:c r="E130" s="42" t="str">
        <x:v>2026-05-01</x:v>
      </x:c>
      <x:c r="F130" s="42" t="str">
        <x:v>Maritime Security Warning</x:v>
      </x:c>
      <x:c r="G130" s="42" t="str">
        <x:v>Suspicious Activity</x:v>
      </x:c>
      <x:c r="H130" s="42" t="str">
        <x:v>Piracy / armed robbery / suspicious approach</x:v>
      </x:c>
      <x:c r="I130" s="42" t="str">
        <x:v>Maritime</x:v>
      </x:c>
      <x:c r="J130" s="42" t="str"/>
      <x:c r="K130" s="42" t="str"/>
      <x:c r="L130" s="42" t="str"/>
      <x:c r="M130" s="42" t="str"/>
      <x:c r="N130" s="42" t="str"/>
      <x:c r="O130" s="42" t="str"/>
      <x:c r="P130" s="42" t="str"/>
      <x:c r="Q130" s="42" t="str"/>
      <x:c r="R130" s="42" t="str"/>
      <x:c r="S130" s="42" t="str">
        <x:v>UKMTO has received a report of an incident within the IRTC, 92NM southwest of Al Mukalla, Yemen. The Master of bulk carrier has reported being approached by a skiff with a black hull carrying seven armed persons.</x:v>
      </x:c>
      <x:c r="T130" s="42" t="str"/>
      <x:c r="U130" s="42" t="str"/>
      <x:c r="V130" s="42" t="str"/>
      <x:c r="W130" s="42" t="str">
        <x:v>Offshore / regional maritime</x:v>
      </x:c>
      <x:c r="X130" s="42" t="str"/>
      <x:c r="Y130" s="42" t="str"/>
      <x:c r="Z130" s="42" t="str">
        <x:v>High</x:v>
      </x:c>
      <x:c r="AA130" s="42" t="str">
        <x:v>20260501-UKMTO_WARNING_SUSPICIOUS_ACTIVITY-048-26.pdf</x:v>
      </x:c>
      <x:c r="AB130" s="42" t="str">
        <x:v>Needs canonical event resolution</x:v>
      </x:c>
      <x:c r="AC130" s="42" t="str">
        <x:v>Has Update: No; Latest Update: </x:v>
      </x:c>
    </x:row>
    <x:row r="131">
      <x:c r="A131" s="42" t="str">
        <x:v>OBS_000130</x:v>
      </x:c>
      <x:c r="B131" s="42" t="str"/>
      <x:c r="C131" s="42" t="str">
        <x:v>ukmto_warnings_2026</x:v>
      </x:c>
      <x:c r="D131" s="42" t="str">
        <x:v>049-26</x:v>
      </x:c>
      <x:c r="E131" s="42" t="str">
        <x:v>2026-05-02</x:v>
      </x:c>
      <x:c r="F131" s="42" t="str">
        <x:v>Maritime Security Warning</x:v>
      </x:c>
      <x:c r="G131" s="42" t="str">
        <x:v>Suspicious Activity</x:v>
      </x:c>
      <x:c r="H131" s="42" t="str">
        <x:v>Piracy / armed robbery / suspicious approach</x:v>
      </x:c>
      <x:c r="I131" s="42" t="str">
        <x:v>Maritime</x:v>
      </x:c>
      <x:c r="J131" s="42" t="str"/>
      <x:c r="K131" s="42" t="str"/>
      <x:c r="L131" s="42" t="str"/>
      <x:c r="M131" s="42" t="str"/>
      <x:c r="N131" s="42" t="str"/>
      <x:c r="O131" s="42" t="str"/>
      <x:c r="P131" s="42" t="str"/>
      <x:c r="Q131" s="42" t="str"/>
      <x:c r="R131" s="42" t="str"/>
      <x:c r="S131" s="42" t="str">
        <x:v>UKMTO has received a report of a suspicious approach 84NM southwest of Al Mukalla, Yemen. The Master of a bulk carrier has reported being approached to within 500 metres by 1 green hulled skiff which was accompanied by 1 white fishing vessel.</x:v>
      </x:c>
      <x:c r="T131" s="42" t="str"/>
      <x:c r="U131" s="42" t="str"/>
      <x:c r="V131" s="42" t="str"/>
      <x:c r="W131" s="42" t="str">
        <x:v>Offshore / regional maritime</x:v>
      </x:c>
      <x:c r="X131" s="42" t="str"/>
      <x:c r="Y131" s="42" t="str"/>
      <x:c r="Z131" s="42" t="str">
        <x:v>High</x:v>
      </x:c>
      <x:c r="AA131" s="42" t="str">
        <x:v>20260502-UKMTO_WARNING_049-26_SUSPICIOUS_ACTIVITY (1).pdf</x:v>
      </x:c>
      <x:c r="AB131" s="42" t="str">
        <x:v>Needs canonical event resolution</x:v>
      </x:c>
      <x:c r="AC131" s="42" t="str">
        <x:v>Has Update: No; Latest Update: </x:v>
      </x:c>
    </x:row>
    <x:row r="132">
      <x:c r="A132" s="42" t="str">
        <x:v>OBS_000131</x:v>
      </x:c>
      <x:c r="B132" s="42" t="str"/>
      <x:c r="C132" s="42" t="str">
        <x:v>ukmto_warnings_2026</x:v>
      </x:c>
      <x:c r="D132" s="42" t="str">
        <x:v>050-26</x:v>
      </x:c>
      <x:c r="E132" s="42" t="str">
        <x:v>2026-05-03</x:v>
      </x:c>
      <x:c r="F132" s="42" t="str">
        <x:v>Maritime Security Warning</x:v>
      </x:c>
      <x:c r="G132" s="42" t="str">
        <x:v>Attack</x:v>
      </x:c>
      <x:c r="H132" s="42" t="str">
        <x:v>Piracy / armed robbery / suspicious approach</x:v>
      </x:c>
      <x:c r="I132" s="42" t="str">
        <x:v>Maritime</x:v>
      </x:c>
      <x:c r="J132" s="42" t="str"/>
      <x:c r="K132" s="42" t="str"/>
      <x:c r="L132" s="42" t="str"/>
      <x:c r="M132" s="42" t="str"/>
      <x:c r="N132" s="42" t="str"/>
      <x:c r="O132" s="42" t="str"/>
      <x:c r="P132" s="42" t="str"/>
      <x:c r="Q132" s="42" t="str"/>
      <x:c r="R132" s="42" t="str"/>
      <x:c r="S132" s="42" t="str">
        <x:v>UKMTO has received a report of an incident 11NM west of Sirik, Iran. The Master of a northbound bulk carrier has reported being attacked by multiple small craft. All crew reported safe and no environmental impact reported.</x:v>
      </x:c>
      <x:c r="T132" s="42" t="str"/>
      <x:c r="U132" s="42" t="str"/>
      <x:c r="V132" s="42" t="str"/>
      <x:c r="W132" s="42" t="str">
        <x:v>Offshore / regional maritime</x:v>
      </x:c>
      <x:c r="X132" s="42" t="str"/>
      <x:c r="Y132" s="42" t="str"/>
      <x:c r="Z132" s="42" t="str">
        <x:v>Medium</x:v>
      </x:c>
      <x:c r="AA132" s="42" t="str">
        <x:v>20260503-UKMTO_WARNING_ATTACK-050-26.pdf</x:v>
      </x:c>
      <x:c r="AB132" s="42" t="str">
        <x:v>Needs canonical event resolution</x:v>
      </x:c>
      <x:c r="AC132" s="42" t="str">
        <x:v>Has Update: No; Latest Update: </x:v>
      </x:c>
    </x:row>
    <x:row r="133">
      <x:c r="A133" s="42" t="str">
        <x:v>OBS_000132</x:v>
      </x:c>
      <x:c r="B133" s="42" t="str"/>
      <x:c r="C133" s="42" t="str">
        <x:v>ukmto_warnings_2026</x:v>
      </x:c>
      <x:c r="D133" s="42" t="str">
        <x:v>052-26</x:v>
      </x:c>
      <x:c r="E133" s="42" t="str">
        <x:v>2026-05-03</x:v>
      </x:c>
      <x:c r="F133" s="42" t="str">
        <x:v>Maritime Security Warning</x:v>
      </x:c>
      <x:c r="G133" s="42" t="str">
        <x:v>Attack</x:v>
      </x:c>
      <x:c r="H133" s="42" t="str">
        <x:v>Conflict / maritime security attack</x:v>
      </x:c>
      <x:c r="I133" s="42" t="str">
        <x:v>Maritime</x:v>
      </x:c>
      <x:c r="J133" s="42" t="str"/>
      <x:c r="K133" s="42" t="str"/>
      <x:c r="L133" s="42" t="str"/>
      <x:c r="M133" s="42" t="str"/>
      <x:c r="N133" s="42" t="str"/>
      <x:c r="O133" s="42" t="str"/>
      <x:c r="P133" s="42" t="str"/>
      <x:c r="Q133" s="42" t="str"/>
      <x:c r="R133" s="42" t="str"/>
      <x:c r="S133" s="42" t="str">
        <x:v>UKMTO has received a report of an incident 78NM north of Fujairah. United Arab Emirates. A tanker has reported being hit by unknown projectiles. All crew reported safe. No environmental impact reported. Authorities are investigating.</x:v>
      </x:c>
      <x:c r="T133" s="42" t="str"/>
      <x:c r="U133" s="42" t="str"/>
      <x:c r="V133" s="42" t="str"/>
      <x:c r="W133" s="42" t="str">
        <x:v>Offshore / regional maritime</x:v>
      </x:c>
      <x:c r="X133" s="42" t="str"/>
      <x:c r="Y133" s="42" t="str"/>
      <x:c r="Z133" s="42" t="str">
        <x:v>High</x:v>
      </x:c>
      <x:c r="AA133" s="42" t="str">
        <x:v>20260503-UKMTO_WARNING_ATTACK_052-26.pdf</x:v>
      </x:c>
      <x:c r="AB133" s="42" t="str">
        <x:v>Needs canonical event resolution</x:v>
      </x:c>
      <x:c r="AC133" s="42" t="str">
        <x:v>Has Update: No; Latest Update: </x:v>
      </x:c>
    </x:row>
    <x:row r="134">
      <x:c r="A134" s="42" t="str">
        <x:v>OBS_000133</x:v>
      </x:c>
      <x:c r="B134" s="42" t="str"/>
      <x:c r="C134" s="42" t="str">
        <x:v>ukmto_warnings_2026</x:v>
      </x:c>
      <x:c r="D134" s="42" t="str">
        <x:v>053-26</x:v>
      </x:c>
      <x:c r="E134" s="42" t="str">
        <x:v>2026-05-04</x:v>
      </x:c>
      <x:c r="F134" s="42" t="str">
        <x:v>Maritime Security Warning</x:v>
      </x:c>
      <x:c r="G134" s="42" t="str">
        <x:v>Suspicious Activity</x:v>
      </x:c>
      <x:c r="H134" s="42" t="str">
        <x:v>Marine casualty / fire</x:v>
      </x:c>
      <x:c r="I134" s="42" t="str">
        <x:v>Maritime</x:v>
      </x:c>
      <x:c r="J134" s="42" t="str"/>
      <x:c r="K134" s="42" t="str"/>
      <x:c r="L134" s="42" t="str"/>
      <x:c r="M134" s="42" t="str"/>
      <x:c r="N134" s="42" t="str"/>
      <x:c r="O134" s="42" t="str"/>
      <x:c r="P134" s="42" t="str"/>
      <x:c r="Q134" s="42" t="str"/>
      <x:c r="R134" s="42" t="str"/>
      <x:c r="S134" s="42" t="str">
        <x:v>UKMTO has received a report of an incident 36NM north of Dubai, United Arab Emirates. The cargo vessel reported a fire in the engine room, the cause of the fire is unknown at this time. All crew are safe and accounted for. Authorities are investigating.</x:v>
      </x:c>
      <x:c r="T134" s="42" t="str"/>
      <x:c r="U134" s="42" t="str"/>
      <x:c r="V134" s="42" t="str"/>
      <x:c r="W134" s="42" t="str">
        <x:v>Offshore / regional maritime</x:v>
      </x:c>
      <x:c r="X134" s="42" t="str"/>
      <x:c r="Y134" s="42" t="str"/>
      <x:c r="Z134" s="42" t="str">
        <x:v>Medium</x:v>
      </x:c>
      <x:c r="AA134" s="42" t="str">
        <x:v>20260504-UKMTO_WARNING_053-26.pdf</x:v>
      </x:c>
      <x:c r="AB134" s="42" t="str">
        <x:v>Needs canonical event resolution</x:v>
      </x:c>
      <x:c r="AC134" s="42" t="str">
        <x:v>Has Update: No; Latest Update: </x:v>
      </x:c>
    </x:row>
    <x:row r="135">
      <x:c r="A135" s="42" t="str">
        <x:v>OBS_000134</x:v>
      </x:c>
      <x:c r="B135" s="42" t="str"/>
      <x:c r="C135" s="42" t="str">
        <x:v>ukmto_warnings_2026</x:v>
      </x:c>
      <x:c r="D135" s="42" t="str">
        <x:v>054-26</x:v>
      </x:c>
      <x:c r="E135" s="42" t="str">
        <x:v>2026-05-04</x:v>
      </x:c>
      <x:c r="F135" s="42" t="str">
        <x:v>Maritime Security Warning</x:v>
      </x:c>
      <x:c r="G135" s="42" t="str">
        <x:v>Suspicious Activity</x:v>
      </x:c>
      <x:c r="H135" s="42" t="str">
        <x:v>Marine casualty / fire</x:v>
      </x:c>
      <x:c r="I135" s="42" t="str">
        <x:v>Maritime</x:v>
      </x:c>
      <x:c r="J135" s="42" t="str"/>
      <x:c r="K135" s="42" t="str"/>
      <x:c r="L135" s="42" t="str"/>
      <x:c r="M135" s="42" t="str"/>
      <x:c r="N135" s="42" t="str"/>
      <x:c r="O135" s="42" t="str"/>
      <x:c r="P135" s="42" t="str"/>
      <x:c r="Q135" s="42" t="str"/>
      <x:c r="R135" s="42" t="str"/>
      <x:c r="S135" s="42" t="str">
        <x:v>UKMTO has received a report of an incident 14NM west of Mina Saqr, United Arab Emirates. UKMTO received information from a third party that a vessel was on fire and requesting vessels in the vicinity to keep a safe distance from them. The cause of the fire has not been verified at this time No environmental impact reported Authorities are investigating.</x:v>
      </x:c>
      <x:c r="T135" s="42" t="str"/>
      <x:c r="U135" s="42" t="str"/>
      <x:c r="V135" s="42" t="str"/>
      <x:c r="W135" s="42" t="str">
        <x:v>Near-port / approaches</x:v>
      </x:c>
      <x:c r="X135" s="42" t="str"/>
      <x:c r="Y135" s="42" t="str"/>
      <x:c r="Z135" s="42" t="str">
        <x:v>Medium</x:v>
      </x:c>
      <x:c r="AA135" s="42" t="str">
        <x:v>20260504-UKMTO_WARNING_054-26.pdf</x:v>
      </x:c>
      <x:c r="AB135" s="42" t="str">
        <x:v>Needs canonical event resolution</x:v>
      </x:c>
      <x:c r="AC135" s="42" t="str">
        <x:v>Has Update: No; Latest Update: </x:v>
      </x:c>
    </x:row>
    <x:row r="136">
      <x:c r="A136" s="42" t="str">
        <x:v>OBS_000135</x:v>
      </x:c>
      <x:c r="B136" s="42" t="str"/>
      <x:c r="C136" s="42" t="str">
        <x:v>ukmto_warnings_2026</x:v>
      </x:c>
      <x:c r="D136" s="42" t="str">
        <x:v>055-26</x:v>
      </x:c>
      <x:c r="E136" s="42" t="str">
        <x:v>2026-05-05</x:v>
      </x:c>
      <x:c r="F136" s="42" t="str">
        <x:v>Maritime Security Warning</x:v>
      </x:c>
      <x:c r="G136" s="42" t="str">
        <x:v>Attack</x:v>
      </x:c>
      <x:c r="H136" s="42" t="str">
        <x:v>Conflict / maritime security attack</x:v>
      </x:c>
      <x:c r="I136" s="42" t="str">
        <x:v>Maritime</x:v>
      </x:c>
      <x:c r="J136" s="42" t="str"/>
      <x:c r="K136" s="42" t="str"/>
      <x:c r="L136" s="42" t="str"/>
      <x:c r="M136" s="42" t="str"/>
      <x:c r="N136" s="42" t="str"/>
      <x:c r="O136" s="42" t="str"/>
      <x:c r="P136" s="42" t="str"/>
      <x:c r="Q136" s="42" t="str"/>
      <x:c r="R136" s="42" t="str"/>
      <x:c r="S136" s="42" t="str">
        <x:v>UKMTO has received a report of an incident within the Strait of Hormuz. A verified source reported a cargo vessel has been struck by an unknown projectile. Environmental impact is unknown at time of report.</x:v>
      </x:c>
      <x:c r="T136" s="42" t="str"/>
      <x:c r="U136" s="42" t="str"/>
      <x:c r="V136" s="42" t="str"/>
      <x:c r="W136" s="42" t="str">
        <x:v>Offshore / regional maritime</x:v>
      </x:c>
      <x:c r="X136" s="42" t="str"/>
      <x:c r="Y136" s="42" t="str"/>
      <x:c r="Z136" s="42" t="str">
        <x:v>High</x:v>
      </x:c>
      <x:c r="AA136" s="42" t="str">
        <x:v>20260505-UKMTO_WARNING_055-26.pdf</x:v>
      </x:c>
      <x:c r="AB136" s="42" t="str">
        <x:v>Needs canonical event resolution</x:v>
      </x:c>
      <x:c r="AC136" s="42" t="str">
        <x:v>Has Update: No; Latest Update: </x:v>
      </x:c>
    </x:row>
    <x:row r="137">
      <x:c r="A137" s="42" t="str">
        <x:v>OBS_000136</x:v>
      </x:c>
      <x:c r="B137" s="42" t="str"/>
      <x:c r="C137" s="42" t="str">
        <x:v>ukmto_warnings_2026</x:v>
      </x:c>
      <x:c r="D137" s="42" t="str">
        <x:v>056-26</x:v>
      </x:c>
      <x:c r="E137" s="42" t="str">
        <x:v>2026-05-10</x:v>
      </x:c>
      <x:c r="F137" s="42" t="str">
        <x:v>Maritime Security Warning</x:v>
      </x:c>
      <x:c r="G137" s="42" t="str">
        <x:v>Attack</x:v>
      </x:c>
      <x:c r="H137" s="42" t="str">
        <x:v>Conflict / maritime security attack</x:v>
      </x:c>
      <x:c r="I137" s="42" t="str">
        <x:v>Maritime</x:v>
      </x:c>
      <x:c r="J137" s="42" t="str"/>
      <x:c r="K137" s="42" t="str"/>
      <x:c r="L137" s="42" t="str"/>
      <x:c r="M137" s="42" t="str"/>
      <x:c r="N137" s="42" t="str"/>
      <x:c r="O137" s="42" t="str"/>
      <x:c r="P137" s="42" t="str"/>
      <x:c r="Q137" s="42" t="str"/>
      <x:c r="R137" s="42" t="str"/>
      <x:c r="S137" s="42" t="str">
        <x:v>UKMTO has received a report of an incident 23NM northeast of DOHA, QATAR. The Master of a Bulk Carrier reports being hit by an unknown projectile. There was a small fire that has been extinguished, there are no casualties. There is no reported environmental impact. Authorities are investigating.</x:v>
      </x:c>
      <x:c r="T137" s="42" t="str"/>
      <x:c r="U137" s="42" t="str"/>
      <x:c r="V137" s="42" t="str"/>
      <x:c r="W137" s="42" t="str">
        <x:v>Near-port / approaches</x:v>
      </x:c>
      <x:c r="X137" s="42" t="str"/>
      <x:c r="Y137" s="42" t="str"/>
      <x:c r="Z137" s="42" t="str">
        <x:v>High</x:v>
      </x:c>
      <x:c r="AA137" s="42" t="str">
        <x:v>20260510-UKMTO_056_26_WARNING_ATTACK.pdf</x:v>
      </x:c>
      <x:c r="AB137" s="42" t="str">
        <x:v>Needs canonical event resolution</x:v>
      </x:c>
      <x:c r="AC137" s="42" t="str">
        <x:v>Has Update: No; Latest Update: </x:v>
      </x:c>
    </x:row>
    <x:row r="138">
      <x:c r="A138" s="42" t="str">
        <x:v>OBS_000137</x:v>
      </x:c>
      <x:c r="B138" s="42" t="str"/>
      <x:c r="C138" s="42" t="str">
        <x:v>ukmto_warnings_2026</x:v>
      </x:c>
      <x:c r="D138" s="42" t="str">
        <x:v>057-26</x:v>
      </x:c>
      <x:c r="E138" s="42" t="str">
        <x:v>2026-05-14</x:v>
      </x:c>
      <x:c r="F138" s="42" t="str">
        <x:v>Maritime Security Warning</x:v>
      </x:c>
      <x:c r="G138" s="42" t="str">
        <x:v>Suspicious Activity</x:v>
      </x:c>
      <x:c r="H138" s="42" t="str">
        <x:v>State/security seizure or attack</x:v>
      </x:c>
      <x:c r="I138" s="42" t="str">
        <x:v>Maritime</x:v>
      </x:c>
      <x:c r="J138" s="42" t="str"/>
      <x:c r="K138" s="42" t="str"/>
      <x:c r="L138" s="42" t="str"/>
      <x:c r="M138" s="42" t="str"/>
      <x:c r="N138" s="42" t="str"/>
      <x:c r="O138" s="42" t="str"/>
      <x:c r="P138" s="42" t="str"/>
      <x:c r="Q138" s="42" t="str"/>
      <x:c r="R138" s="42" t="str"/>
      <x:c r="S138" s="42" t="str">
        <x:v>UKMTO has received a report of an incident 38NM northeast of Fujairah, United Arab Emirates. The CSO has reported that the vessel has been taken by unauthorised personnel whist at anchor and is now bound for Iranian Territorial Waters. UKMTO continue to investigate.</x:v>
      </x:c>
      <x:c r="T138" s="42" t="str"/>
      <x:c r="U138" s="42" t="str"/>
      <x:c r="V138" s="42" t="str"/>
      <x:c r="W138" s="42" t="str">
        <x:v>Anchorage / port approaches</x:v>
      </x:c>
      <x:c r="X138" s="42" t="str"/>
      <x:c r="Y138" s="42" t="str"/>
      <x:c r="Z138" s="42" t="str">
        <x:v>High</x:v>
      </x:c>
      <x:c r="AA138" s="42" t="str">
        <x:v>20260514-UKMTO_057_26_WARNING_SUSPICIOUS ACTIVITY.pdf</x:v>
      </x:c>
      <x:c r="AB138" s="42" t="str">
        <x:v>Needs canonical event resolution</x:v>
      </x:c>
      <x:c r="AC138" s="42" t="str">
        <x:v>Has Update: No; Latest Update: </x:v>
      </x:c>
    </x:row>
    <x:row r="139">
      <x:c r="A139" s="42" t="str">
        <x:v>OBS_000138</x:v>
      </x:c>
      <x:c r="B139" s="42" t="str"/>
      <x:c r="C139" s="42" t="str">
        <x:v>ukmto_warnings_2026</x:v>
      </x:c>
      <x:c r="D139" s="42" t="str">
        <x:v>059-26</x:v>
      </x:c>
      <x:c r="E139" s="42" t="str">
        <x:v>2026-05-22</x:v>
      </x:c>
      <x:c r="F139" s="42" t="str">
        <x:v>Maritime Security Warning</x:v>
      </x:c>
      <x:c r="G139" s="42" t="str">
        <x:v>Suspicious Activity</x:v>
      </x:c>
      <x:c r="H139" s="42" t="str">
        <x:v>Piracy / armed robbery / suspicious approach</x:v>
      </x:c>
      <x:c r="I139" s="42" t="str">
        <x:v>Maritime</x:v>
      </x:c>
      <x:c r="J139" s="42" t="str"/>
      <x:c r="K139" s="42" t="str"/>
      <x:c r="L139" s="42" t="str"/>
      <x:c r="M139" s="42" t="str"/>
      <x:c r="N139" s="42" t="str"/>
      <x:c r="O139" s="42" t="str"/>
      <x:c r="P139" s="42" t="str"/>
      <x:c r="Q139" s="42" t="str"/>
      <x:c r="R139" s="42" t="str"/>
      <x:c r="S139" s="42" t="str">
        <x:v>UKMTO has received a report of an incident 98NM north of Socotra. The CSO of a tanker has confirmed that the vessel was approached by a small craft with five persons onboard. The vessels Armed Security Team fired warning shots at the small craft which forced them to alter course. Authorities are investigating.</x:v>
      </x:c>
      <x:c r="T139" s="42" t="str"/>
      <x:c r="U139" s="42" t="str"/>
      <x:c r="V139" s="42" t="str"/>
      <x:c r="W139" s="42" t="str">
        <x:v>Offshore / regional maritime</x:v>
      </x:c>
      <x:c r="X139" s="42" t="str"/>
      <x:c r="Y139" s="42" t="str"/>
      <x:c r="Z139" s="42" t="str">
        <x:v>High</x:v>
      </x:c>
      <x:c r="AA139" s="42" t="str">
        <x:v>20260522-UKMTO-WARNING_059.pdf</x:v>
      </x:c>
      <x:c r="AB139" s="42" t="str">
        <x:v>Needs canonical event resolution</x:v>
      </x:c>
      <x:c r="AC139" s="42" t="str">
        <x:v>Has Update: No; Latest Update: </x:v>
      </x:c>
    </x:row>
    <x:row r="140">
      <x:c r="A140" s="42" t="str">
        <x:v>OBS_000139</x:v>
      </x:c>
      <x:c r="B140" s="42" t="str"/>
      <x:c r="C140" s="42" t="str">
        <x:v>ukmto_warnings_2026</x:v>
      </x:c>
      <x:c r="D140" s="42" t="str">
        <x:v>060-26</x:v>
      </x:c>
      <x:c r="E140" s="42" t="str">
        <x:v>2026-05-23</x:v>
      </x:c>
      <x:c r="F140" s="42" t="str">
        <x:v>Maritime Security Warning</x:v>
      </x:c>
      <x:c r="G140" s="42" t="str">
        <x:v>Suspicious Activity</x:v>
      </x:c>
      <x:c r="H140" s="42" t="str">
        <x:v>Piracy / armed robbery / suspicious approach</x:v>
      </x:c>
      <x:c r="I140" s="42" t="str">
        <x:v>Maritime</x:v>
      </x:c>
      <x:c r="J140" s="42" t="str"/>
      <x:c r="K140" s="42" t="str"/>
      <x:c r="L140" s="42" t="str"/>
      <x:c r="M140" s="42" t="str"/>
      <x:c r="N140" s="42" t="str"/>
      <x:c r="O140" s="42" t="str"/>
      <x:c r="P140" s="42" t="str"/>
      <x:c r="Q140" s="42" t="str"/>
      <x:c r="R140" s="42" t="str"/>
      <x:c r="S140" s="42" t="str">
        <x:v>UKMTO has received a report of an incident within the IRTC 200NM west of Socotra. The Master of a products tanker has reported that the vessel was approached by a small craft with 5 persons onboard, closest point of approach 100m. The vessel’s Armed Security Team were deployed and the small craft altered course away from the reporting vessel.</x:v>
      </x:c>
      <x:c r="T140" s="42" t="str"/>
      <x:c r="U140" s="42" t="str"/>
      <x:c r="V140" s="42" t="str"/>
      <x:c r="W140" s="42" t="str">
        <x:v>Offshore / regional maritime</x:v>
      </x:c>
      <x:c r="X140" s="42" t="str"/>
      <x:c r="Y140" s="42" t="str"/>
      <x:c r="Z140" s="42" t="str">
        <x:v>High</x:v>
      </x:c>
      <x:c r="AA140" s="42" t="str">
        <x:v>20260523-UKMTO-WARNING_060.pdf</x:v>
      </x:c>
      <x:c r="AB140" s="42" t="str">
        <x:v>Needs canonical event resolution</x:v>
      </x:c>
      <x:c r="AC140" s="42" t="str">
        <x:v>Has Update: No; Latest Update: </x:v>
      </x:c>
    </x:row>
    <x:row r="141">
      <x:c r="A141" s="42" t="str">
        <x:v>OBS_000140</x:v>
      </x:c>
      <x:c r="B141" s="42" t="str"/>
      <x:c r="C141" s="42" t="str">
        <x:v>ukmto_warnings_2026</x:v>
      </x:c>
      <x:c r="D141" s="42" t="str">
        <x:v>062-26</x:v>
      </x:c>
      <x:c r="E141" s="42" t="str">
        <x:v>2026-05-26</x:v>
      </x:c>
      <x:c r="F141" s="42" t="str">
        <x:v>Maritime Security Warning</x:v>
      </x:c>
      <x:c r="G141" s="42" t="str">
        <x:v>Attack</x:v>
      </x:c>
      <x:c r="H141" s="42" t="str">
        <x:v>Conflict / maritime security attack</x:v>
      </x:c>
      <x:c r="I141" s="42" t="str">
        <x:v>Maritime</x:v>
      </x:c>
      <x:c r="J141" s="42" t="str"/>
      <x:c r="K141" s="42" t="str"/>
      <x:c r="L141" s="42" t="str"/>
      <x:c r="M141" s="42" t="str"/>
      <x:c r="N141" s="42" t="str"/>
      <x:c r="O141" s="42" t="str"/>
      <x:c r="P141" s="42" t="str"/>
      <x:c r="Q141" s="42" t="str"/>
      <x:c r="R141" s="42" t="str"/>
      <x:c r="S141" s="42" t="str">
        <x:v>UKMTO has received a report of an incident 60NM east of Muscat, Oman. The Master of a Tanker reports of an external explosion, Port side aft close to the waterline. The crew and vessel are safe, although the Master reports some bunker fuel has discharged into the sea. Authorities are investigating.</x:v>
      </x:c>
      <x:c r="T141" s="42" t="str"/>
      <x:c r="U141" s="42" t="str"/>
      <x:c r="V141" s="42" t="str"/>
      <x:c r="W141" s="42" t="str">
        <x:v>Offshore / regional maritime</x:v>
      </x:c>
      <x:c r="X141" s="42" t="str"/>
      <x:c r="Y141" s="42" t="str"/>
      <x:c r="Z141" s="42" t="str">
        <x:v>High</x:v>
      </x:c>
      <x:c r="AA141" s="42" t="str">
        <x:v>20260526-UKMTO_WARNING_062_26.pdf</x:v>
      </x:c>
      <x:c r="AB141" s="42" t="str">
        <x:v>Needs canonical event resolution</x:v>
      </x:c>
      <x:c r="AC141" s="42" t="str">
        <x:v>Has Update: No; Latest Update: </x:v>
      </x:c>
    </x:row>
    <x:row r="142">
      <x:c r="A142" s="42" t="str">
        <x:v>OBS_000141</x:v>
      </x:c>
      <x:c r="B142" s="42" t="str"/>
      <x:c r="C142" s="42" t="str">
        <x:v>ukmto_warnings_2026</x:v>
      </x:c>
      <x:c r="D142" s="42" t="str">
        <x:v>063-26</x:v>
      </x:c>
      <x:c r="E142" s="42" t="str">
        <x:v>2026-06-01</x:v>
      </x:c>
      <x:c r="F142" s="42" t="str">
        <x:v>Maritime Security Warning</x:v>
      </x:c>
      <x:c r="G142" s="42" t="str">
        <x:v>Attack</x:v>
      </x:c>
      <x:c r="H142" s="42" t="str">
        <x:v>Conflict / maritime security attack</x:v>
      </x:c>
      <x:c r="I142" s="42" t="str">
        <x:v>Maritime</x:v>
      </x:c>
      <x:c r="J142" s="42" t="str"/>
      <x:c r="K142" s="42" t="str"/>
      <x:c r="L142" s="42" t="str"/>
      <x:c r="M142" s="42" t="str"/>
      <x:c r="N142" s="42" t="str"/>
      <x:c r="O142" s="42" t="str"/>
      <x:c r="P142" s="42" t="str"/>
      <x:c r="Q142" s="42" t="str"/>
      <x:c r="R142" s="42" t="str"/>
      <x:c r="S142" s="42" t="str">
        <x:v>UKMTO has received a report of an incident 40NM southeast of Umm Qasr, Iraq. A Cargo Vessel was transiting in the Arabian Gulf when it experienced a large explosion following potential impact from an unknown projectile on the starboard side. UKMTO is unaware of any environmental impact at this time. Update 001: UKMTO has been informed of a second impact to the Cargo Vessel, resulting in a fire which has since been extinguished. No report of injuries to crew.</x:v>
      </x:c>
      <x:c r="T142" s="42" t="str"/>
      <x:c r="U142" s="42" t="str"/>
      <x:c r="V142" s="42" t="str"/>
      <x:c r="W142" s="42" t="str">
        <x:v>Offshore / regional maritime</x:v>
      </x:c>
      <x:c r="X142" s="42" t="str"/>
      <x:c r="Y142" s="42" t="str"/>
      <x:c r="Z142" s="42" t="str">
        <x:v>High</x:v>
      </x:c>
      <x:c r="AA142" s="42" t="str">
        <x:v>20260601-UKMTO_WARNING_063-UPDATE_001.pdf</x:v>
      </x:c>
      <x:c r="AB142" s="42" t="str">
        <x:v>Needs canonical event resolution</x:v>
      </x:c>
      <x:c r="AC142" s="42" t="str">
        <x:v>Has Update: Yes; Latest Update: 001</x:v>
      </x:c>
    </x:row>
    <x:row r="143">
      <x:c r="A143" s="42" t="str">
        <x:v>OBS_000142</x:v>
      </x:c>
      <x:c r="B143" s="42" t="str"/>
      <x:c r="C143" s="42" t="str">
        <x:v>ukmto_warnings_2026</x:v>
      </x:c>
      <x:c r="D143" s="42" t="str">
        <x:v>064-26</x:v>
      </x:c>
      <x:c r="E143" s="42" t="str">
        <x:v>2026-06-08</x:v>
      </x:c>
      <x:c r="F143" s="42" t="str">
        <x:v>Maritime Security Warning</x:v>
      </x:c>
      <x:c r="G143" s="42" t="str">
        <x:v>Suspicious Activity</x:v>
      </x:c>
      <x:c r="H143" s="42" t="str">
        <x:v>Marine casualty / fire</x:v>
      </x:c>
      <x:c r="I143" s="42" t="str">
        <x:v>Maritime</x:v>
      </x:c>
      <x:c r="J143" s="42" t="str"/>
      <x:c r="K143" s="42" t="str"/>
      <x:c r="L143" s="42" t="str"/>
      <x:c r="M143" s="42" t="str"/>
      <x:c r="N143" s="42" t="str"/>
      <x:c r="O143" s="42" t="str"/>
      <x:c r="P143" s="42" t="str"/>
      <x:c r="Q143" s="42" t="str"/>
      <x:c r="R143" s="42" t="str"/>
      <x:c r="S143" s="42" t="str">
        <x:v>UKMTO has received a report of an incident 15NM northeast of Masirah, Oman. A tanker has experienced a fire onboard resulting in the evacuation of crew. Omani and Indian Authorities are coordinating the response. There are no reports of environmental impact at present.</x:v>
      </x:c>
      <x:c r="T143" s="42" t="str"/>
      <x:c r="U143" s="42" t="str"/>
      <x:c r="V143" s="42" t="str"/>
      <x:c r="W143" s="42" t="str">
        <x:v>Offshore / regional maritime</x:v>
      </x:c>
      <x:c r="X143" s="42" t="str"/>
      <x:c r="Y143" s="42" t="str"/>
      <x:c r="Z143" s="42" t="str">
        <x:v>Medium</x:v>
      </x:c>
      <x:c r="AA143" s="42" t="str">
        <x:v>20260608-UKMTO_WARNING-064-26.pdf</x:v>
      </x:c>
      <x:c r="AB143" s="42" t="str">
        <x:v>Needs canonical event resolution</x:v>
      </x:c>
      <x:c r="AC143" s="42" t="str">
        <x:v>Has Update: No; Latest Update: </x:v>
      </x:c>
    </x:row>
    <x:row r="144">
      <x:c r="A144" s="42" t="str">
        <x:v>OBS_000143</x:v>
      </x:c>
      <x:c r="B144" s="42" t="str"/>
      <x:c r="C144" s="42" t="str">
        <x:v>ukmto_warnings_2026</x:v>
      </x:c>
      <x:c r="D144" s="42" t="str">
        <x:v>066-26</x:v>
      </x:c>
      <x:c r="E144" s="42" t="str">
        <x:v>2026-06-10</x:v>
      </x:c>
      <x:c r="F144" s="42" t="str">
        <x:v>Maritime Security Warning</x:v>
      </x:c>
      <x:c r="G144" s="42" t="str">
        <x:v>Suspicious Activity</x:v>
      </x:c>
      <x:c r="H144" s="42" t="str">
        <x:v>Marine casualty / fire</x:v>
      </x:c>
      <x:c r="I144" s="42" t="str">
        <x:v>Maritime</x:v>
      </x:c>
      <x:c r="J144" s="42" t="str"/>
      <x:c r="K144" s="42" t="str"/>
      <x:c r="L144" s="42" t="str"/>
      <x:c r="M144" s="42" t="str"/>
      <x:c r="N144" s="42" t="str"/>
      <x:c r="O144" s="42" t="str"/>
      <x:c r="P144" s="42" t="str"/>
      <x:c r="Q144" s="42" t="str"/>
      <x:c r="R144" s="42" t="str"/>
      <x:c r="S144" s="42" t="str">
        <x:v>UKMTO has received a report of an incident 20NM northeast of Sohar, Oman. Local authorities have reported a tanker has experienced a fire in their engine room and are on the scene assisting with the evacuation of the crew. The vessel is reporting 1 casualty and 2 crew members missing. No environment impact reported. Authorities continue investigating. Sohar, Oman</x:v>
      </x:c>
      <x:c r="T144" s="42" t="str"/>
      <x:c r="U144" s="42" t="str"/>
      <x:c r="V144" s="42" t="str"/>
      <x:c r="W144" s="42" t="str">
        <x:v>Near-port / approaches</x:v>
      </x:c>
      <x:c r="X144" s="42" t="str"/>
      <x:c r="Y144" s="42" t="str"/>
      <x:c r="Z144" s="42" t="str">
        <x:v>Medium</x:v>
      </x:c>
      <x:c r="AA144" s="42" t="str">
        <x:v>20260610-UKMTO_WARNING_066-26.pdf</x:v>
      </x:c>
      <x:c r="AB144" s="42" t="str">
        <x:v>Needs canonical event resolution</x:v>
      </x:c>
      <x:c r="AC144" s="42" t="str">
        <x:v>Has Update: No; Latest Update: </x:v>
      </x:c>
    </x:row>
    <x:row r="145">
      <x:c r="A145" s="42" t="str">
        <x:v>OBS_000144</x:v>
      </x:c>
      <x:c r="B145" s="42" t="str"/>
      <x:c r="C145" s="42" t="str">
        <x:v>ukmto_warnings_2026</x:v>
      </x:c>
      <x:c r="D145" s="42" t="str">
        <x:v>067-26</x:v>
      </x:c>
      <x:c r="E145" s="42" t="str">
        <x:v>2026-06-11</x:v>
      </x:c>
      <x:c r="F145" s="42" t="str">
        <x:v>Maritime Security Warning</x:v>
      </x:c>
      <x:c r="G145" s="42" t="str">
        <x:v>Suspicious Activity</x:v>
      </x:c>
      <x:c r="H145" s="42" t="str">
        <x:v>Marine casualty / fire</x:v>
      </x:c>
      <x:c r="I145" s="42" t="str">
        <x:v>Maritime</x:v>
      </x:c>
      <x:c r="J145" s="42" t="str"/>
      <x:c r="K145" s="42" t="str"/>
      <x:c r="L145" s="42" t="str"/>
      <x:c r="M145" s="42" t="str"/>
      <x:c r="N145" s="42" t="str"/>
      <x:c r="O145" s="42" t="str"/>
      <x:c r="P145" s="42" t="str"/>
      <x:c r="Q145" s="42" t="str"/>
      <x:c r="R145" s="42" t="str"/>
      <x:c r="S145" s="42" t="str">
        <x:v>UKMTO has received a report of an incident 21NM northeast of Sohar, Oman. Local authorities have reported a tanker has experienced a fire in the engine room. No environmental impact has been reported. Authorities continue to investigate.</x:v>
      </x:c>
      <x:c r="T145" s="42" t="str"/>
      <x:c r="U145" s="42" t="str"/>
      <x:c r="V145" s="42" t="str"/>
      <x:c r="W145" s="42" t="str">
        <x:v>Near-port / approaches</x:v>
      </x:c>
      <x:c r="X145" s="42" t="str"/>
      <x:c r="Y145" s="42" t="str"/>
      <x:c r="Z145" s="42" t="str">
        <x:v>Medium</x:v>
      </x:c>
      <x:c r="AA145" s="42" t="str">
        <x:v>20260611-UKMTO_WARNING_067-26.pdf</x:v>
      </x:c>
      <x:c r="AB145" s="42" t="str">
        <x:v>Needs canonical event resolution</x:v>
      </x:c>
      <x:c r="AC145" s="42" t="str">
        <x:v>Has Update: No; Latest Update: </x:v>
      </x:c>
    </x:row>
    <x:row r="146">
      <x:c r="A146" s="42" t="str">
        <x:v>OBS_000145</x:v>
      </x:c>
      <x:c r="B146" s="42" t="str"/>
      <x:c r="C146" s="42" t="str">
        <x:v>ukmto_warnings_2026</x:v>
      </x:c>
      <x:c r="D146" s="42" t="str">
        <x:v>068-26</x:v>
      </x:c>
      <x:c r="E146" s="42" t="str">
        <x:v>2026-06-12</x:v>
      </x:c>
      <x:c r="F146" s="42" t="str">
        <x:v>Maritime Security Warning</x:v>
      </x:c>
      <x:c r="G146" s="42" t="str">
        <x:v>Attack</x:v>
      </x:c>
      <x:c r="H146" s="42" t="str">
        <x:v>Conflict / maritime security attack</x:v>
      </x:c>
      <x:c r="I146" s="42" t="str">
        <x:v>Maritime</x:v>
      </x:c>
      <x:c r="J146" s="42" t="str"/>
      <x:c r="K146" s="42" t="str"/>
      <x:c r="L146" s="42" t="str"/>
      <x:c r="M146" s="42" t="str"/>
      <x:c r="N146" s="42" t="str"/>
      <x:c r="O146" s="42" t="str"/>
      <x:c r="P146" s="42" t="str"/>
      <x:c r="Q146" s="42" t="str"/>
      <x:c r="R146" s="42" t="str"/>
      <x:c r="S146" s="42" t="str">
        <x:v>UKMTO has received a report of an incident 6NM east of Oman. It is reported a Tanker was struck by an unknown projectile in the Port Bow. The Crew are reported safe and there is no reported environmental impact. The tanker is continuing to its next Port of call. Authorities are investigating.</x:v>
      </x:c>
      <x:c r="T146" s="42" t="str"/>
      <x:c r="U146" s="42" t="str"/>
      <x:c r="V146" s="42" t="str"/>
      <x:c r="W146" s="42" t="str">
        <x:v>Offshore / regional maritime</x:v>
      </x:c>
      <x:c r="X146" s="42" t="str"/>
      <x:c r="Y146" s="42" t="str"/>
      <x:c r="Z146" s="42" t="str">
        <x:v>High</x:v>
      </x:c>
      <x:c r="AA146" s="42" t="str">
        <x:v>20260613-UKMTO_WARNING_ATTACK_068_26.pdf</x:v>
      </x:c>
      <x:c r="AB146" s="42" t="str">
        <x:v>Needs canonical event resolution</x:v>
      </x:c>
      <x:c r="AC146" s="42" t="str">
        <x:v>Has Update: No; Latest Update: </x:v>
      </x:c>
    </x:row>
    <x:row r="147">
      <x:c r="A147" s="42" t="str">
        <x:v>OBS_000146</x:v>
      </x:c>
      <x:c r="B147" s="42" t="str"/>
      <x:c r="C147" s="42" t="str">
        <x:v>ukmto_warnings_2026</x:v>
      </x:c>
      <x:c r="D147" s="42" t="str">
        <x:v>069-26</x:v>
      </x:c>
      <x:c r="E147" s="42" t="str">
        <x:v>2026-06-15</x:v>
      </x:c>
      <x:c r="F147" s="42" t="str">
        <x:v>Maritime Security Warning</x:v>
      </x:c>
      <x:c r="G147" s="42" t="str">
        <x:v>Attack</x:v>
      </x:c>
      <x:c r="H147" s="42" t="str">
        <x:v>Piracy / armed robbery / suspicious approach</x:v>
      </x:c>
      <x:c r="I147" s="42" t="str">
        <x:v>Maritime</x:v>
      </x:c>
      <x:c r="J147" s="42" t="str"/>
      <x:c r="K147" s="42" t="str"/>
      <x:c r="L147" s="42" t="str"/>
      <x:c r="M147" s="42" t="str"/>
      <x:c r="N147" s="42" t="str"/>
      <x:c r="O147" s="42" t="str"/>
      <x:c r="P147" s="42" t="str"/>
      <x:c r="Q147" s="42" t="str"/>
      <x:c r="R147" s="42" t="str"/>
      <x:c r="S147" s="42" t="str">
        <x:v>UKMTO has received a report of an incident 14NM south off the coast of Yemen. A container vessel has reported being approached by a small skiff. The crew of the small skiff opened fire on the vessel and attempted to board. Authorities are investigating.</x:v>
      </x:c>
      <x:c r="T147" s="42" t="str"/>
      <x:c r="U147" s="42" t="str"/>
      <x:c r="V147" s="42" t="str"/>
      <x:c r="W147" s="42" t="str">
        <x:v>Offshore / regional maritime</x:v>
      </x:c>
      <x:c r="X147" s="42" t="str"/>
      <x:c r="Y147" s="42" t="str"/>
      <x:c r="Z147" s="42" t="str">
        <x:v>Medium</x:v>
      </x:c>
      <x:c r="AA147" s="42" t="str">
        <x:v>20260615-UKMTO_WARNING_ATTACK-069-26.pdf</x:v>
      </x:c>
      <x:c r="AB147" s="42" t="str">
        <x:v>Needs canonical event resolution</x:v>
      </x:c>
      <x:c r="AC147" s="42" t="str">
        <x:v>Has Update: No; Latest Update: </x:v>
      </x:c>
    </x:row>
    <x:row r="148">
      <x:c r="A148" s="42" t="str">
        <x:v>OBS_000147</x:v>
      </x:c>
      <x:c r="B148" s="42" t="str"/>
      <x:c r="C148" s="42" t="str">
        <x:v>ukmto_warnings_2026</x:v>
      </x:c>
      <x:c r="D148" s="42" t="str">
        <x:v>070-26</x:v>
      </x:c>
      <x:c r="E148" s="42" t="str">
        <x:v>2026-06-15</x:v>
      </x:c>
      <x:c r="F148" s="42" t="str">
        <x:v>Maritime Security Warning</x:v>
      </x:c>
      <x:c r="G148" s="42" t="str">
        <x:v>Attack</x:v>
      </x:c>
      <x:c r="H148" s="42" t="str">
        <x:v>Piracy / armed robbery / suspicious approach</x:v>
      </x:c>
      <x:c r="I148" s="42" t="str">
        <x:v>Maritime</x:v>
      </x:c>
      <x:c r="J148" s="42" t="str"/>
      <x:c r="K148" s="42" t="str"/>
      <x:c r="L148" s="42" t="str"/>
      <x:c r="M148" s="42" t="str"/>
      <x:c r="N148" s="42" t="str"/>
      <x:c r="O148" s="42" t="str"/>
      <x:c r="P148" s="42" t="str"/>
      <x:c r="Q148" s="42" t="str"/>
      <x:c r="R148" s="42" t="str"/>
      <x:c r="S148" s="42" t="str">
        <x:v>UKMTO has received a report of an incident 111NM southeast of Aden, Yemen. A tanker has reported being approached by a small skiff with 4 crew. The crew of the skiff were armed and opened fire on the vessel with an RPG. Authorities are investigating.</x:v>
      </x:c>
      <x:c r="T148" s="42" t="str"/>
      <x:c r="U148" s="42" t="str"/>
      <x:c r="V148" s="42" t="str"/>
      <x:c r="W148" s="42" t="str">
        <x:v>Offshore / regional maritime</x:v>
      </x:c>
      <x:c r="X148" s="42" t="str"/>
      <x:c r="Y148" s="42" t="str"/>
      <x:c r="Z148" s="42" t="str">
        <x:v>High</x:v>
      </x:c>
      <x:c r="AA148" s="42" t="str">
        <x:v>20260615-UKMTO_WARNING_ATTACK-070-26.pdf</x:v>
      </x:c>
      <x:c r="AB148" s="42" t="str">
        <x:v>Needs canonical event resolution</x:v>
      </x:c>
      <x:c r="AC148" s="42" t="str">
        <x:v>Has Update: No; Latest Update: </x:v>
      </x:c>
    </x:row>
    <x:row r="149">
      <x:c r="A149" s="42" t="str">
        <x:v>OBS_000148</x:v>
      </x:c>
      <x:c r="B149" s="42" t="str"/>
      <x:c r="C149" s="42" t="str">
        <x:v>ukmto_warnings_2026</x:v>
      </x:c>
      <x:c r="D149" s="42" t="str">
        <x:v>071-26</x:v>
      </x:c>
      <x:c r="E149" s="42" t="str">
        <x:v>2026-06-17</x:v>
      </x:c>
      <x:c r="F149" s="42" t="str">
        <x:v>Maritime Security Warning</x:v>
      </x:c>
      <x:c r="G149" s="42" t="str">
        <x:v>Attack</x:v>
      </x:c>
      <x:c r="H149" s="42" t="str">
        <x:v>Piracy / armed robbery / suspicious approach</x:v>
      </x:c>
      <x:c r="I149" s="42" t="str">
        <x:v>Maritime</x:v>
      </x:c>
      <x:c r="J149" s="42" t="str"/>
      <x:c r="K149" s="42" t="str"/>
      <x:c r="L149" s="42" t="str"/>
      <x:c r="M149" s="42" t="str"/>
      <x:c r="N149" s="42" t="str"/>
      <x:c r="O149" s="42" t="str"/>
      <x:c r="P149" s="42" t="str"/>
      <x:c r="Q149" s="42" t="str"/>
      <x:c r="R149" s="42" t="str"/>
      <x:c r="S149" s="42" t="str">
        <x:v>UKMTO has received a report of an incident 105NM northeast of Aden, Yemen. A vessel has been approached to within 4 meters and fired upon by 2 skiffs with an unknown number of armed persons on board. The vessel has deployed security team and returned fire. The suspect skiffs have now disengaged and are in excess 4NM of the vessel. The crew are safe.</x:v>
      </x:c>
      <x:c r="T149" s="42" t="str"/>
      <x:c r="U149" s="42" t="str"/>
      <x:c r="V149" s="42" t="str"/>
      <x:c r="W149" s="42" t="str">
        <x:v>Offshore / regional maritime</x:v>
      </x:c>
      <x:c r="X149" s="42" t="str"/>
      <x:c r="Y149" s="42" t="str"/>
      <x:c r="Z149" s="42" t="str">
        <x:v>High</x:v>
      </x:c>
      <x:c r="AA149" s="42" t="str">
        <x:v>20260617-UKMTO_WARNING_ATTACK-071-26 1.pdf</x:v>
      </x:c>
      <x:c r="AB149" s="42" t="str">
        <x:v>Needs canonical event resolution</x:v>
      </x:c>
      <x:c r="AC149" s="42" t="str">
        <x:v>Has Update: No; Latest Update: </x:v>
      </x:c>
    </x:row>
    <x:row r="150">
      <x:c r="A150" s="42" t="str">
        <x:v>OBS_000149</x:v>
      </x:c>
      <x:c r="B150" s="42" t="str"/>
      <x:c r="C150" s="42" t="str">
        <x:v>ukmto_warnings_2026</x:v>
      </x:c>
      <x:c r="D150" s="42" t="str">
        <x:v>072-26</x:v>
      </x:c>
      <x:c r="E150" s="42" t="str">
        <x:v>2026-06-21</x:v>
      </x:c>
      <x:c r="F150" s="42" t="str">
        <x:v>Maritime Security Warning</x:v>
      </x:c>
      <x:c r="G150" s="42" t="str">
        <x:v>Suspicious Activity</x:v>
      </x:c>
      <x:c r="H150" s="42" t="str">
        <x:v>Piracy / armed robbery / suspicious approach</x:v>
      </x:c>
      <x:c r="I150" s="42" t="str">
        <x:v>Maritime</x:v>
      </x:c>
      <x:c r="J150" s="42" t="str"/>
      <x:c r="K150" s="42" t="str"/>
      <x:c r="L150" s="42" t="str"/>
      <x:c r="M150" s="42" t="str"/>
      <x:c r="N150" s="42" t="str"/>
      <x:c r="O150" s="42" t="str"/>
      <x:c r="P150" s="42" t="str"/>
      <x:c r="Q150" s="42" t="str"/>
      <x:c r="R150" s="42" t="str"/>
      <x:c r="S150" s="42" t="str">
        <x:v>UKMTO has received a report of an incident 50NM southeast of Al-Shihr, Yemen. The Master of a product tanker reported being approached by a skiff carrying five armed persons who appeared to be attempting to board the vessel. In response, the vessel conducted evasive manoeuvres and altered course away from the skiff. Vessel is now proceeding to its next port of call. The vessel and crew are reported safe. Authorities are investigating.</x:v>
      </x:c>
      <x:c r="T150" s="42" t="str"/>
      <x:c r="U150" s="42" t="str"/>
      <x:c r="V150" s="42" t="str"/>
      <x:c r="W150" s="42" t="str">
        <x:v>Offshore / regional maritime</x:v>
      </x:c>
      <x:c r="X150" s="42" t="str"/>
      <x:c r="Y150" s="42" t="str"/>
      <x:c r="Z150" s="42" t="str">
        <x:v>Medium</x:v>
      </x:c>
      <x:c r="AA150" s="42" t="str">
        <x:v>20260621-UKMTO_WARNING_SUSPICIOUS ACTIVITY-072-26.pdf</x:v>
      </x:c>
      <x:c r="AB150" s="42" t="str">
        <x:v>Needs canonical event resolution</x:v>
      </x:c>
      <x:c r="AC150" s="42" t="str">
        <x:v>Has Update: No; Latest Update: </x:v>
      </x:c>
    </x:row>
    <x:row r="151">
      <x:c r="A151" s="42" t="str">
        <x:v>OBS_000150</x:v>
      </x:c>
      <x:c r="B151" s="42" t="str"/>
      <x:c r="C151" s="42" t="str">
        <x:v>ukmto_warnings_2026</x:v>
      </x:c>
      <x:c r="D151" s="42" t="str">
        <x:v>074-26</x:v>
      </x:c>
      <x:c r="E151" s="42" t="str">
        <x:v>2026-06-25</x:v>
      </x:c>
      <x:c r="F151" s="42" t="str">
        <x:v>Maritime Security Warning</x:v>
      </x:c>
      <x:c r="G151" s="42" t="str">
        <x:v>Attack</x:v>
      </x:c>
      <x:c r="H151" s="42" t="str">
        <x:v>Conflict / maritime security attack</x:v>
      </x:c>
      <x:c r="I151" s="42" t="str">
        <x:v>Maritime</x:v>
      </x:c>
      <x:c r="J151" s="42" t="str"/>
      <x:c r="K151" s="42" t="str"/>
      <x:c r="L151" s="42" t="str"/>
      <x:c r="M151" s="42" t="str"/>
      <x:c r="N151" s="42" t="str"/>
      <x:c r="O151" s="42" t="str"/>
      <x:c r="P151" s="42" t="str"/>
      <x:c r="Q151" s="42" t="str"/>
      <x:c r="R151" s="42" t="str"/>
      <x:c r="S151" s="42" t="str">
        <x:v>UKMTO has received a report of an incident 7.5NM southeast of Dahit, Oman. A cargo vessel has been hit on the starboard side by an unknown projectile, causing damage to the bridge. Master has reported no casualties and no environmental impact. Authorities are investigating.</x:v>
      </x:c>
      <x:c r="T151" s="42" t="str"/>
      <x:c r="U151" s="42" t="str"/>
      <x:c r="V151" s="42" t="str"/>
      <x:c r="W151" s="42" t="str">
        <x:v>Offshore / regional maritime</x:v>
      </x:c>
      <x:c r="X151" s="42" t="str"/>
      <x:c r="Y151" s="42" t="str"/>
      <x:c r="Z151" s="42" t="str">
        <x:v>High</x:v>
      </x:c>
      <x:c r="AA151" s="42" t="str">
        <x:v>20260625-UKMTO_WARNING_ATTACK-074-26.pdf</x:v>
      </x:c>
      <x:c r="AB151" s="42" t="str">
        <x:v>Needs canonical event resolution</x:v>
      </x:c>
      <x:c r="AC151" s="42" t="str">
        <x:v>Has Update: No; Latest Update: </x:v>
      </x:c>
    </x:row>
    <x:row r="152">
      <x:c r="A152" s="42" t="str">
        <x:v>OBS_000151</x:v>
      </x:c>
      <x:c r="B152" s="42" t="str"/>
      <x:c r="C152" s="42" t="str">
        <x:v>ukmto_warnings_2026</x:v>
      </x:c>
      <x:c r="D152" s="42" t="str">
        <x:v>076-26</x:v>
      </x:c>
      <x:c r="E152" s="42" t="str">
        <x:v>2026-06-27</x:v>
      </x:c>
      <x:c r="F152" s="42" t="str">
        <x:v>Maritime Security Warning</x:v>
      </x:c>
      <x:c r="G152" s="42" t="str">
        <x:v>Attack</x:v>
      </x:c>
      <x:c r="H152" s="42" t="str">
        <x:v>Conflict / maritime security attack</x:v>
      </x:c>
      <x:c r="I152" s="42" t="str">
        <x:v>Maritime</x:v>
      </x:c>
      <x:c r="J152" s="42" t="str"/>
      <x:c r="K152" s="42" t="str"/>
      <x:c r="L152" s="42" t="str"/>
      <x:c r="M152" s="42" t="str"/>
      <x:c r="N152" s="42" t="str"/>
      <x:c r="O152" s="42" t="str"/>
      <x:c r="P152" s="42" t="str"/>
      <x:c r="Q152" s="42" t="str"/>
      <x:c r="R152" s="42" t="str"/>
      <x:c r="S152" s="42" t="str">
        <x:v>UKMTO has received a report of an incident within the Strait of Hormuz. The Master of Tanker has reported being struck by an unidentified projectile. The vessel sustained damage to their bridge; all crew are reported safe. No environmental damage reported at present.</x:v>
      </x:c>
      <x:c r="T152" s="42" t="str"/>
      <x:c r="U152" s="42" t="str"/>
      <x:c r="V152" s="42" t="str"/>
      <x:c r="W152" s="42" t="str">
        <x:v>Offshore / regional maritime</x:v>
      </x:c>
      <x:c r="X152" s="42" t="str"/>
      <x:c r="Y152" s="42" t="str"/>
      <x:c r="Z152" s="42" t="str">
        <x:v>High</x:v>
      </x:c>
      <x:c r="AA152" s="42" t="str">
        <x:v>20260627-UKMTO_WARNING-076-26.pdf</x:v>
      </x:c>
      <x:c r="AB152" s="42" t="str">
        <x:v>Needs canonical event resolution</x:v>
      </x:c>
      <x:c r="AC152" s="42" t="str">
        <x:v>Has Update: No; Latest Update: </x:v>
      </x:c>
    </x:row>
    <x:row r="153">
      <x:c r="A153" s="42" t="str">
        <x:v>OBS_000152</x:v>
      </x:c>
      <x:c r="B153" s="42" t="str"/>
      <x:c r="C153" s="42" t="str">
        <x:v>ukmto_warnings_2026</x:v>
      </x:c>
      <x:c r="D153" s="42" t="str">
        <x:v>077-26</x:v>
      </x:c>
      <x:c r="E153" s="42" t="str">
        <x:v>2026-07-01</x:v>
      </x:c>
      <x:c r="F153" s="42" t="str">
        <x:v>Maritime Security Warning</x:v>
      </x:c>
      <x:c r="G153" s="42" t="str">
        <x:v>Incident</x:v>
      </x:c>
      <x:c r="H153" s="42" t="str">
        <x:v>Piracy / armed robbery / suspicious approach</x:v>
      </x:c>
      <x:c r="I153" s="42" t="str">
        <x:v>Maritime</x:v>
      </x:c>
      <x:c r="J153" s="42" t="str"/>
      <x:c r="K153" s="42" t="str"/>
      <x:c r="L153" s="42" t="str"/>
      <x:c r="M153" s="42" t="str"/>
      <x:c r="N153" s="42" t="str"/>
      <x:c r="O153" s="42" t="str"/>
      <x:c r="P153" s="42" t="str"/>
      <x:c r="Q153" s="42" t="str"/>
      <x:c r="R153" s="42" t="str"/>
      <x:c r="S153" s="42" t="str">
        <x:v>UKMTO has received a report of an incident 76NM south of BALHAF, YEMEN. UPDATE 001 – UKMTO have been informed that the suspicious small craft has now departed from the vessel but remains active in the area and could possibly be a risk to other vessels. CSO reports the vessel has minor damage on the bridge and confirms it’s one suspicious small craft with 4 POB, armed with RPG. UPDATE 002 – UKMTO Warning 077_26 has been reclassified as an ILLEGAL BOARDING. The Master has further reported that the unauthorised personnel caused damage to the bridge and several adjacent compartments. The crew remain secure in the citadel and are reported safe</x:v>
      </x:c>
      <x:c r="T153" s="42" t="str"/>
      <x:c r="U153" s="42" t="str"/>
      <x:c r="V153" s="42" t="str"/>
      <x:c r="W153" s="42" t="str">
        <x:v>Offshore / regional maritime</x:v>
      </x:c>
      <x:c r="X153" s="42" t="str"/>
      <x:c r="Y153" s="42" t="str"/>
      <x:c r="Z153" s="42" t="str">
        <x:v>Medium</x:v>
      </x:c>
      <x:c r="AA153" s="42" t="str">
        <x:v>20260701-UKMTO_WARNING_077_26_UPDATE 002 (1).pdf</x:v>
      </x:c>
      <x:c r="AB153" s="42" t="str">
        <x:v>Needs canonical event resolution</x:v>
      </x:c>
      <x:c r="AC153" s="42" t="str">
        <x:v>Has Update: Yes; Latest Update: 002</x:v>
      </x:c>
    </x:row>
    <x:row r="154">
      <x:c r="A154" s="42" t="str">
        <x:v>OBS_000153</x:v>
      </x:c>
      <x:c r="B154" s="42" t="str"/>
      <x:c r="C154" s="42" t="str">
        <x:v>ukmto_warnings_2026</x:v>
      </x:c>
      <x:c r="D154" s="42" t="str">
        <x:v>078-26</x:v>
      </x:c>
      <x:c r="E154" s="42" t="str">
        <x:v>2026-07-01</x:v>
      </x:c>
      <x:c r="F154" s="42" t="str">
        <x:v>Maritime Security Warning</x:v>
      </x:c>
      <x:c r="G154" s="42" t="str">
        <x:v>Suspicious Activity</x:v>
      </x:c>
      <x:c r="H154" s="42" t="str">
        <x:v>Piracy / armed robbery / suspicious approach</x:v>
      </x:c>
      <x:c r="I154" s="42" t="str">
        <x:v>Maritime</x:v>
      </x:c>
      <x:c r="J154" s="42" t="str"/>
      <x:c r="K154" s="42" t="str"/>
      <x:c r="L154" s="42" t="str"/>
      <x:c r="M154" s="42" t="str"/>
      <x:c r="N154" s="42" t="str"/>
      <x:c r="O154" s="42" t="str"/>
      <x:c r="P154" s="42" t="str"/>
      <x:c r="Q154" s="42" t="str"/>
      <x:c r="R154" s="42" t="str"/>
      <x:c r="S154" s="42" t="str">
        <x:v>UKMTO has received a report of an incident 85NM south of Balhaf, Yemen. The Master of a tanker had reported a small craft approached the vessel on the port quarter at 2NM. The small craft was described as having a low freeboard and orange interior with 4 POB. The small craft has now left the vicinity proceeding south. The crew are reported as safe and the vessel is continuing on its voyage. Authorities are investigating.</x:v>
      </x:c>
      <x:c r="T154" s="42" t="str"/>
      <x:c r="U154" s="42" t="str"/>
      <x:c r="V154" s="42" t="str"/>
      <x:c r="W154" s="42" t="str">
        <x:v>Offshore / regional maritime</x:v>
      </x:c>
      <x:c r="X154" s="42" t="str"/>
      <x:c r="Y154" s="42" t="str"/>
      <x:c r="Z154" s="42" t="str">
        <x:v>Medium</x:v>
      </x:c>
      <x:c r="AA154" s="42" t="str">
        <x:v>20260701-UKMTO_WARNING_078_26 (1).pdf</x:v>
      </x:c>
      <x:c r="AB154" s="42" t="str">
        <x:v>Needs canonical event resolution</x:v>
      </x:c>
      <x:c r="AC154" s="42" t="str">
        <x:v>Has Update: No; Latest Update: </x:v>
      </x:c>
    </x:row>
    <x:row r="155">
      <x:c r="A155" s="42" t="str">
        <x:v>OBS_000154</x:v>
      </x:c>
      <x:c r="B155" s="42" t="str"/>
      <x:c r="C155" s="42" t="str">
        <x:v>ukmto_warnings_2026</x:v>
      </x:c>
      <x:c r="D155" s="42" t="str">
        <x:v>079-26</x:v>
      </x:c>
      <x:c r="E155" s="42" t="str">
        <x:v>2026-07-05</x:v>
      </x:c>
      <x:c r="F155" s="42" t="str">
        <x:v>Maritime Security Warning</x:v>
      </x:c>
      <x:c r="G155" s="42" t="str">
        <x:v>Attack</x:v>
      </x:c>
      <x:c r="H155" s="42" t="str">
        <x:v>Conflict / maritime security attack</x:v>
      </x:c>
      <x:c r="I155" s="42" t="str">
        <x:v>Maritime</x:v>
      </x:c>
      <x:c r="J155" s="42" t="str"/>
      <x:c r="K155" s="42" t="str"/>
      <x:c r="L155" s="42" t="str"/>
      <x:c r="M155" s="42" t="str"/>
      <x:c r="N155" s="42" t="str"/>
      <x:c r="O155" s="42" t="str"/>
      <x:c r="P155" s="42" t="str"/>
      <x:c r="Q155" s="42" t="str"/>
      <x:c r="R155" s="42" t="str"/>
      <x:c r="S155" s="42" t="str">
        <x:v>UKMTO has received a report of an incident 30NM southwest of Al Hudaydah, Yemen. A cargo vessel has triggered a distress alert stating that they are under attack by unknown armed assailants. Authorities are investigating.</x:v>
      </x:c>
      <x:c r="T155" s="42" t="str"/>
      <x:c r="U155" s="42" t="str"/>
      <x:c r="V155" s="42" t="str"/>
      <x:c r="W155" s="42" t="str">
        <x:v>Offshore / regional maritime</x:v>
      </x:c>
      <x:c r="X155" s="42" t="str"/>
      <x:c r="Y155" s="42" t="str"/>
      <x:c r="Z155" s="42" t="str">
        <x:v>High</x:v>
      </x:c>
      <x:c r="AA155" s="42" t="str">
        <x:v>20260705-WARNING_ATTACK_079-26 (1).pdf</x:v>
      </x:c>
      <x:c r="AB155" s="42" t="str">
        <x:v>Needs canonical event resolution</x:v>
      </x:c>
      <x:c r="AC155" s="42" t="str">
        <x:v>Has Update: No; Latest Update: </x:v>
      </x:c>
    </x:row>
    <x:row r="156">
      <x:c r="A156" s="42" t="str">
        <x:v>OBS_000155</x:v>
      </x:c>
      <x:c r="B156" s="42" t="str"/>
      <x:c r="C156" s="42" t="str">
        <x:v>ukmto_warnings_2026</x:v>
      </x:c>
      <x:c r="D156" s="42" t="str">
        <x:v>080-26</x:v>
      </x:c>
      <x:c r="E156" s="42" t="str">
        <x:v>2026-07-06</x:v>
      </x:c>
      <x:c r="F156" s="42" t="str">
        <x:v>Maritime Security Warning</x:v>
      </x:c>
      <x:c r="G156" s="42" t="str">
        <x:v>Attack</x:v>
      </x:c>
      <x:c r="H156" s="42" t="str">
        <x:v>Conflict / maritime security attack</x:v>
      </x:c>
      <x:c r="I156" s="42" t="str">
        <x:v>Maritime</x:v>
      </x:c>
      <x:c r="J156" s="42" t="str"/>
      <x:c r="K156" s="42" t="str"/>
      <x:c r="L156" s="42" t="str"/>
      <x:c r="M156" s="42" t="str"/>
      <x:c r="N156" s="42" t="str"/>
      <x:c r="O156" s="42" t="str"/>
      <x:c r="P156" s="42" t="str"/>
      <x:c r="Q156" s="42" t="str"/>
      <x:c r="R156" s="42" t="str"/>
      <x:c r="S156" s="42" t="str">
        <x:v>UKMTO has received a report of an incident 8NM east of Limah, Oman. A tanker has reported being hit by an unknown projectile on the port side causing a fire, whilst travelling southbound. No casualties or environmental impact reported. Authorities are investigating.</x:v>
      </x:c>
      <x:c r="T156" s="42" t="str"/>
      <x:c r="U156" s="42" t="str"/>
      <x:c r="V156" s="42" t="str"/>
      <x:c r="W156" s="42" t="str">
        <x:v>Offshore / regional maritime</x:v>
      </x:c>
      <x:c r="X156" s="42" t="str"/>
      <x:c r="Y156" s="42" t="str"/>
      <x:c r="Z156" s="42" t="str">
        <x:v>High</x:v>
      </x:c>
      <x:c r="AA156" s="42" t="str">
        <x:v>20260706-UKMTO_WARNING_080-26_ATTACK (1).pdf</x:v>
      </x:c>
      <x:c r="AB156" s="42" t="str">
        <x:v>Needs canonical event resolution</x:v>
      </x:c>
      <x:c r="AC156" s="42" t="str">
        <x:v>Has Update: No; Latest Update: </x:v>
      </x:c>
    </x:row>
    <x:row r="157">
      <x:c r="A157" s="42" t="str">
        <x:v>OBS_000156</x:v>
      </x:c>
      <x:c r="B157" s="42" t="str"/>
      <x:c r="C157" s="42" t="str">
        <x:v>ukmto_warnings_2026</x:v>
      </x:c>
      <x:c r="D157" s="42" t="str">
        <x:v>081-26</x:v>
      </x:c>
      <x:c r="E157" s="42" t="str">
        <x:v>2026-07-07</x:v>
      </x:c>
      <x:c r="F157" s="42" t="str">
        <x:v>Maritime Security Warning</x:v>
      </x:c>
      <x:c r="G157" s="42" t="str">
        <x:v>Attack</x:v>
      </x:c>
      <x:c r="H157" s="42" t="str">
        <x:v>Conflict / maritime security attack</x:v>
      </x:c>
      <x:c r="I157" s="42" t="str">
        <x:v>Maritime</x:v>
      </x:c>
      <x:c r="J157" s="42" t="str"/>
      <x:c r="K157" s="42" t="str"/>
      <x:c r="L157" s="42" t="str"/>
      <x:c r="M157" s="42" t="str"/>
      <x:c r="N157" s="42" t="str"/>
      <x:c r="O157" s="42" t="str"/>
      <x:c r="P157" s="42" t="str"/>
      <x:c r="Q157" s="42" t="str"/>
      <x:c r="R157" s="42" t="str"/>
      <x:c r="S157" s="42" t="str">
        <x:v>UKMTO has received a report of an incident involving a tanker transiting the Strait of Hormuz. The tanker was struck by an unidentified projectile and is believed to have structural damage. No casualties or environmental impact reported.</x:v>
      </x:c>
      <x:c r="T157" s="42" t="str"/>
      <x:c r="U157" s="42" t="str"/>
      <x:c r="V157" s="42" t="str"/>
      <x:c r="W157" s="42" t="str">
        <x:v>Offshore / regional maritime</x:v>
      </x:c>
      <x:c r="X157" s="42" t="str"/>
      <x:c r="Y157" s="42" t="str"/>
      <x:c r="Z157" s="42" t="str">
        <x:v>High</x:v>
      </x:c>
      <x:c r="AA157" s="42" t="str">
        <x:v>20260707-UKMTO_WARNING_81-26 (1).pdf</x:v>
      </x:c>
      <x:c r="AB157" s="42" t="str">
        <x:v>Needs canonical event resolution</x:v>
      </x:c>
      <x:c r="AC157" s="42" t="str">
        <x:v>Has Update: No; Latest Update: </x:v>
      </x:c>
    </x:row>
    <x:row r="158">
      <x:c r="A158" s="42" t="str">
        <x:v>OBS_000157</x:v>
      </x:c>
      <x:c r="B158" s="42" t="str"/>
      <x:c r="C158" s="42" t="str">
        <x:v>ukmto_warnings_2026</x:v>
      </x:c>
      <x:c r="D158" s="42" t="str">
        <x:v>082-26</x:v>
      </x:c>
      <x:c r="E158" s="42" t="str">
        <x:v>2026-07-07</x:v>
      </x:c>
      <x:c r="F158" s="42" t="str">
        <x:v>Maritime Security Warning</x:v>
      </x:c>
      <x:c r="G158" s="42" t="str">
        <x:v>Attack</x:v>
      </x:c>
      <x:c r="H158" s="42" t="str">
        <x:v>Conflict / maritime security attack</x:v>
      </x:c>
      <x:c r="I158" s="42" t="str">
        <x:v>Maritime</x:v>
      </x:c>
      <x:c r="J158" s="42" t="str"/>
      <x:c r="K158" s="42" t="str"/>
      <x:c r="L158" s="42" t="str"/>
      <x:c r="M158" s="42" t="str"/>
      <x:c r="N158" s="42" t="str"/>
      <x:c r="O158" s="42" t="str"/>
      <x:c r="P158" s="42" t="str"/>
      <x:c r="Q158" s="42" t="str"/>
      <x:c r="R158" s="42" t="str"/>
      <x:c r="S158" s="42" t="str">
        <x:v>UKMTO has received a report of a further incident involving a tanker transiting the Strait of Hormuz. The tanker was struck by an unknown Uncrewed Aerial Vehicle (UAV) and has sustained minor structural damage. No casualties or environmental impact reported, and vessel is continuing to its next port of call.</x:v>
      </x:c>
      <x:c r="T158" s="42" t="str"/>
      <x:c r="U158" s="42" t="str"/>
      <x:c r="V158" s="42" t="str"/>
      <x:c r="W158" s="42" t="str">
        <x:v>Offshore / regional maritime</x:v>
      </x:c>
      <x:c r="X158" s="42" t="str"/>
      <x:c r="Y158" s="42" t="str"/>
      <x:c r="Z158" s="42" t="str">
        <x:v>High</x:v>
      </x:c>
      <x:c r="AA158" s="42" t="str">
        <x:v>20260707-UKMTO_WARNING_82-26 (1).pdf</x:v>
      </x:c>
      <x:c r="AB158" s="42" t="str">
        <x:v>Needs canonical event resolution</x:v>
      </x:c>
      <x:c r="AC158" s="42" t="str">
        <x:v>Has Update: No; Latest Update: </x:v>
      </x:c>
    </x:row>
    <x:row r="159">
      <x:c r="A159" s="42" t="str">
        <x:v>OBS_000158</x:v>
      </x:c>
      <x:c r="B159" s="42" t="str"/>
      <x:c r="C159" s="42" t="str">
        <x:v>ukmto_warnings_2026</x:v>
      </x:c>
      <x:c r="D159" s="42" t="str">
        <x:v>083-26</x:v>
      </x:c>
      <x:c r="E159" s="42" t="str">
        <x:v>2026-07-11</x:v>
      </x:c>
      <x:c r="F159" s="42" t="str">
        <x:v>Maritime Security Warning</x:v>
      </x:c>
      <x:c r="G159" s="42" t="str">
        <x:v>Attack</x:v>
      </x:c>
      <x:c r="H159" s="42" t="str">
        <x:v>Marine casualty / fire</x:v>
      </x:c>
      <x:c r="I159" s="42" t="str">
        <x:v>Maritime</x:v>
      </x:c>
      <x:c r="J159" s="42" t="str"/>
      <x:c r="K159" s="42" t="str"/>
      <x:c r="L159" s="42" t="str"/>
      <x:c r="M159" s="42" t="str"/>
      <x:c r="N159" s="42" t="str"/>
      <x:c r="O159" s="42" t="str"/>
      <x:c r="P159" s="42" t="str"/>
      <x:c r="Q159" s="42" t="str"/>
      <x:c r="R159" s="42" t="str"/>
      <x:c r="S159" s="42" t="str">
        <x:v>UKMTO has received a report of an incident 9NM east of Oman. Military authorities have reported that a container ship has sustained damage to the rear of the vessel which has caused a fire onboard. UPDATE 001: UKMTO has been informed by military authorities and the CSO of the vessel that the crew have abandoned the vessel and are currently embarked in a lifeboat. UPDATE 002: UKMTO has spoken to the CSO of the container ship who confirms that the crew has been rescued by local authorities. Authorities continue to investigate.</x:v>
      </x:c>
      <x:c r="T159" s="42" t="str"/>
      <x:c r="U159" s="42" t="str"/>
      <x:c r="V159" s="42" t="str"/>
      <x:c r="W159" s="42" t="str">
        <x:v>Offshore / regional maritime</x:v>
      </x:c>
      <x:c r="X159" s="42" t="str"/>
      <x:c r="Y159" s="42" t="str"/>
      <x:c r="Z159" s="42" t="str">
        <x:v>Medium</x:v>
      </x:c>
      <x:c r="AA159" s="42" t="str">
        <x:v>20260711-UKMTO_WARNING_083-UPDATE_002.pdf</x:v>
      </x:c>
      <x:c r="AB159" s="42" t="str">
        <x:v>Needs canonical event resolution</x:v>
      </x:c>
      <x:c r="AC159" s="42" t="str">
        <x:v>Has Update: Yes; Latest Update: 002</x:v>
      </x:c>
    </x:row>
    <x:row r="160">
      <x:c r="A160" s="42" t="str">
        <x:v>OBS_000159</x:v>
      </x:c>
      <x:c r="B160" s="42" t="str"/>
      <x:c r="C160" s="42" t="str">
        <x:v>ukmto_warnings_2026</x:v>
      </x:c>
      <x:c r="D160" s="42" t="str">
        <x:v>084-26</x:v>
      </x:c>
      <x:c r="E160" s="42" t="str">
        <x:v>2026-07-13</x:v>
      </x:c>
      <x:c r="F160" s="42" t="str">
        <x:v>Maritime Security Warning</x:v>
      </x:c>
      <x:c r="G160" s="42" t="str">
        <x:v>Suspicious Activity</x:v>
      </x:c>
      <x:c r="H160" s="42" t="str">
        <x:v>Piracy / armed robbery / suspicious approach</x:v>
      </x:c>
      <x:c r="I160" s="42" t="str">
        <x:v>Maritime</x:v>
      </x:c>
      <x:c r="J160" s="42" t="str"/>
      <x:c r="K160" s="42" t="str"/>
      <x:c r="L160" s="42" t="str"/>
      <x:c r="M160" s="42" t="str"/>
      <x:c r="N160" s="42" t="str"/>
      <x:c r="O160" s="42" t="str"/>
      <x:c r="P160" s="42" t="str"/>
      <x:c r="Q160" s="42" t="str"/>
      <x:c r="R160" s="42" t="str"/>
      <x:c r="S160" s="42" t="str">
        <x:v>UKMTO has received a report of an incident 50NM south of Aden, Yemen. A tanker travelling east in the IRTC has reported being approached by 6 small boats approaching from the starboard side. One small boat has closed to 5 cables and the AST on board the tanker has fired warning shots. The other 5 small boats have remained at 1NM. Authorities are investigating.</x:v>
      </x:c>
      <x:c r="T160" s="42" t="str"/>
      <x:c r="U160" s="42" t="str"/>
      <x:c r="V160" s="42" t="str"/>
      <x:c r="W160" s="42" t="str">
        <x:v>Offshore / regional maritime</x:v>
      </x:c>
      <x:c r="X160" s="42" t="str"/>
      <x:c r="Y160" s="42" t="str"/>
      <x:c r="Z160" s="42" t="str">
        <x:v>High</x:v>
      </x:c>
      <x:c r="AA160" s="42" t="str">
        <x:v>20260713-WARNING-SUSPICIOUS_ACTIVITY_084-26.pdf</x:v>
      </x:c>
      <x:c r="AB160" s="42" t="str">
        <x:v>Needs canonical event resolution</x:v>
      </x:c>
      <x:c r="AC160" s="42" t="str">
        <x:v>Has Update: No; Latest Update: </x:v>
      </x:c>
    </x:row>
    <x:row r="161">
      <x:c r="A161" s="42" t="str">
        <x:v>OBS_000160</x:v>
      </x:c>
      <x:c r="B161" s="42" t="str"/>
      <x:c r="C161" s="42" t="str">
        <x:v>ukmto_warnings_2026</x:v>
      </x:c>
      <x:c r="D161" s="42" t="str">
        <x:v>085-26</x:v>
      </x:c>
      <x:c r="E161" s="42" t="str">
        <x:v>2026-07-13</x:v>
      </x:c>
      <x:c r="F161" s="42" t="str">
        <x:v>Maritime Security Warning</x:v>
      </x:c>
      <x:c r="G161" s="42" t="str">
        <x:v>Attack</x:v>
      </x:c>
      <x:c r="H161" s="42" t="str">
        <x:v>Conflict / maritime security attack</x:v>
      </x:c>
      <x:c r="I161" s="42" t="str">
        <x:v>Maritime</x:v>
      </x:c>
      <x:c r="J161" s="42" t="str"/>
      <x:c r="K161" s="42" t="str"/>
      <x:c r="L161" s="42" t="str"/>
      <x:c r="M161" s="42" t="str"/>
      <x:c r="N161" s="42" t="str"/>
      <x:c r="O161" s="42" t="str"/>
      <x:c r="P161" s="42" t="str"/>
      <x:c r="Q161" s="42" t="str"/>
      <x:c r="R161" s="42" t="str"/>
      <x:c r="S161" s="42" t="str">
        <x:v>UKMTO has received a report of an incident 40NM northeast of Qalhat, Oman. The Master of a Tanker reports being hit by an unknown projectile on the starboard side engine room. All crew are safe and accounted for with no environmental impact reported.</x:v>
      </x:c>
      <x:c r="T161" s="42" t="str"/>
      <x:c r="U161" s="42" t="str"/>
      <x:c r="V161" s="42" t="str"/>
      <x:c r="W161" s="42" t="str">
        <x:v>Offshore / regional maritime</x:v>
      </x:c>
      <x:c r="X161" s="42" t="str"/>
      <x:c r="Y161" s="42" t="str"/>
      <x:c r="Z161" s="42" t="str">
        <x:v>High</x:v>
      </x:c>
      <x:c r="AA161" s="42" t="str">
        <x:v>20260713- UKMTO_WARNING_085_26.pdf</x:v>
      </x:c>
      <x:c r="AB161" s="42" t="str">
        <x:v>Needs canonical event resolution</x:v>
      </x:c>
      <x:c r="AC161" s="42" t="str">
        <x:v>Has Update: No; Latest Update: </x:v>
      </x:c>
    </x:row>
    <x:row r="162">
      <x:c r="A162" s="42" t="str">
        <x:v>OBS_000161</x:v>
      </x:c>
      <x:c r="B162" s="42" t="str"/>
      <x:c r="C162" s="42" t="str">
        <x:v>ukmto_warnings_2026</x:v>
      </x:c>
      <x:c r="D162" s="42" t="str">
        <x:v>086-26</x:v>
      </x:c>
      <x:c r="E162" s="42" t="str">
        <x:v>2026-07-13</x:v>
      </x:c>
      <x:c r="F162" s="42" t="str">
        <x:v>Maritime Security Warning</x:v>
      </x:c>
      <x:c r="G162" s="42" t="str">
        <x:v>Attack</x:v>
      </x:c>
      <x:c r="H162" s="42" t="str">
        <x:v>Conflict / maritime security attack</x:v>
      </x:c>
      <x:c r="I162" s="42" t="str">
        <x:v>Maritime</x:v>
      </x:c>
      <x:c r="J162" s="42" t="str"/>
      <x:c r="K162" s="42" t="str"/>
      <x:c r="L162" s="42" t="str"/>
      <x:c r="M162" s="42" t="str"/>
      <x:c r="N162" s="42" t="str"/>
      <x:c r="O162" s="42" t="str"/>
      <x:c r="P162" s="42" t="str"/>
      <x:c r="Q162" s="42" t="str"/>
      <x:c r="R162" s="42" t="str"/>
      <x:c r="S162" s="42" t="str">
        <x:v>UKMTO has received a report of an incident 13NM southeast of Limah, Oman. A tanker has reported being hit by a missile while transiting outbound on the southern route. Authorities are investigating.</x:v>
      </x:c>
      <x:c r="T162" s="42" t="str"/>
      <x:c r="U162" s="42" t="str"/>
      <x:c r="V162" s="42" t="str"/>
      <x:c r="W162" s="42" t="str">
        <x:v>Offshore / regional maritime</x:v>
      </x:c>
      <x:c r="X162" s="42" t="str"/>
      <x:c r="Y162" s="42" t="str"/>
      <x:c r="Z162" s="42" t="str">
        <x:v>High</x:v>
      </x:c>
      <x:c r="AA162" s="42" t="str">
        <x:v>20260714-UKMTO_WARNING_086-26_ATTACK.pdf</x:v>
      </x:c>
      <x:c r="AB162" s="42" t="str">
        <x:v>Needs canonical event resolution</x:v>
      </x:c>
      <x:c r="AC162" s="42" t="str">
        <x:v>Has Update: No; Latest Update: </x:v>
      </x:c>
    </x:row>
    <x:row r="163">
      <x:c r="A163" s="42" t="str">
        <x:v>OBS_000162</x:v>
      </x:c>
      <x:c r="B163" s="42" t="str"/>
      <x:c r="C163" s="42" t="str">
        <x:v>ukmto_warnings_2026</x:v>
      </x:c>
      <x:c r="D163" s="42" t="str">
        <x:v>087-26</x:v>
      </x:c>
      <x:c r="E163" s="42" t="str">
        <x:v>2026-07-13</x:v>
      </x:c>
      <x:c r="F163" s="42" t="str">
        <x:v>Maritime Security Warning</x:v>
      </x:c>
      <x:c r="G163" s="42" t="str">
        <x:v>Attack</x:v>
      </x:c>
      <x:c r="H163" s="42" t="str">
        <x:v>Conflict / maritime security attack</x:v>
      </x:c>
      <x:c r="I163" s="42" t="str">
        <x:v>Maritime</x:v>
      </x:c>
      <x:c r="J163" s="42" t="str"/>
      <x:c r="K163" s="42" t="str"/>
      <x:c r="L163" s="42" t="str"/>
      <x:c r="M163" s="42" t="str"/>
      <x:c r="N163" s="42" t="str"/>
      <x:c r="O163" s="42" t="str"/>
      <x:c r="P163" s="42" t="str"/>
      <x:c r="Q163" s="42" t="str"/>
      <x:c r="R163" s="42" t="str"/>
      <x:c r="S163" s="42" t="str">
        <x:v>UKMTO has received a report of an incident 13NM southeast of Limah, Oman. A tanker has reported being hit by a missile while transiting outbound on the southern route. Authorities are investigating.</x:v>
      </x:c>
      <x:c r="T163" s="42" t="str"/>
      <x:c r="U163" s="42" t="str"/>
      <x:c r="V163" s="42" t="str"/>
      <x:c r="W163" s="42" t="str">
        <x:v>Offshore / regional maritime</x:v>
      </x:c>
      <x:c r="X163" s="42" t="str"/>
      <x:c r="Y163" s="42" t="str"/>
      <x:c r="Z163" s="42" t="str">
        <x:v>High</x:v>
      </x:c>
      <x:c r="AA163" s="42" t="str">
        <x:v>20260714-UKMTO_WARNING_087-26_ATTACK.pdf</x:v>
      </x:c>
      <x:c r="AB163" s="42" t="str">
        <x:v>Needs canonical event resolution</x:v>
      </x:c>
      <x:c r="AC163" s="42" t="str">
        <x:v>Has Update: No; Latest Update: </x:v>
      </x:c>
    </x:row>
    <x:row r="164">
      <x:c r="A164" s="42" t="str">
        <x:v>OBS_000163</x:v>
      </x:c>
      <x:c r="B164" s="42" t="str"/>
      <x:c r="C164" s="42" t="str">
        <x:v>ukmto_warnings_2026</x:v>
      </x:c>
      <x:c r="D164" s="42" t="str">
        <x:v>088-26</x:v>
      </x:c>
      <x:c r="E164" s="42" t="str">
        <x:v>2026-07-16</x:v>
      </x:c>
      <x:c r="F164" s="42" t="str">
        <x:v>Maritime Security Warning</x:v>
      </x:c>
      <x:c r="G164" s="42" t="str">
        <x:v>Attack</x:v>
      </x:c>
      <x:c r="H164" s="42" t="str">
        <x:v>Conflict / maritime security attack</x:v>
      </x:c>
      <x:c r="I164" s="42" t="str">
        <x:v>Maritime</x:v>
      </x:c>
      <x:c r="J164" s="42" t="str"/>
      <x:c r="K164" s="42" t="str"/>
      <x:c r="L164" s="42" t="str"/>
      <x:c r="M164" s="42" t="str"/>
      <x:c r="N164" s="42" t="str"/>
      <x:c r="O164" s="42" t="str"/>
      <x:c r="P164" s="42" t="str"/>
      <x:c r="Q164" s="42" t="str"/>
      <x:c r="R164" s="42" t="str"/>
      <x:c r="S164" s="42" t="str">
        <x:v>UKMTO has received a report of an incident 19NM east of Khasab, Oman. A tanker has reported being hit by an unknown projectile causing minor structural damage to the port side. All crew are safe and accounted for, no environmental impact has been reported and the vessel is continuing to its next port of call. Authorities are investigating.</x:v>
      </x:c>
      <x:c r="T164" s="42" t="str"/>
      <x:c r="U164" s="42" t="str"/>
      <x:c r="V164" s="42" t="str"/>
      <x:c r="W164" s="42" t="str">
        <x:v>Offshore / regional maritime</x:v>
      </x:c>
      <x:c r="X164" s="42" t="str"/>
      <x:c r="Y164" s="42" t="str"/>
      <x:c r="Z164" s="42" t="str">
        <x:v>High</x:v>
      </x:c>
      <x:c r="AA164" s="42" t="str">
        <x:v>20260717-WARNING_088-26_ATTACK.pdf</x:v>
      </x:c>
      <x:c r="AB164" s="42" t="str">
        <x:v>Needs canonical event resolution</x:v>
      </x:c>
      <x:c r="AC164" s="42" t="str">
        <x:v>Has Update: No; Latest Update: </x:v>
      </x:c>
    </x:row>
    <x:row r="165">
      <x:c r="A165" s="42" t="str">
        <x:v>OBS_000164</x:v>
      </x:c>
      <x:c r="B165" s="42" t="str"/>
      <x:c r="C165" s="42" t="str">
        <x:v>ukmto_warnings_2026</x:v>
      </x:c>
      <x:c r="D165" s="42" t="str">
        <x:v>090-26</x:v>
      </x:c>
      <x:c r="E165" s="42" t="str">
        <x:v>2026-07-17</x:v>
      </x:c>
      <x:c r="F165" s="42" t="str">
        <x:v>Maritime Security Warning</x:v>
      </x:c>
      <x:c r="G165" s="42" t="str">
        <x:v>Suspicious Activity</x:v>
      </x:c>
      <x:c r="H165" s="42" t="str">
        <x:v>Piracy / armed robbery / suspicious approach</x:v>
      </x:c>
      <x:c r="I165" s="42" t="str">
        <x:v>Maritime</x:v>
      </x:c>
      <x:c r="J165" s="42" t="str"/>
      <x:c r="K165" s="42" t="str"/>
      <x:c r="L165" s="42" t="str"/>
      <x:c r="M165" s="42" t="str"/>
      <x:c r="N165" s="42" t="str"/>
      <x:c r="O165" s="42" t="str"/>
      <x:c r="P165" s="42" t="str"/>
      <x:c r="Q165" s="42" t="str"/>
      <x:c r="R165" s="42" t="str"/>
      <x:c r="S165" s="42" t="str">
        <x:v>UKMTO has received a report of an incident 65NM south of Al Mukalla, Yemen. Military authorities have reported that the vessel was boarded by unauthorised personnel whilst transiting east in the Gulf of Aden. UPDATE 001 – Military authorities have reported to UKMTO that the vessel involved has been manoeuvred into Somalian territorial waters. UKMTO has re-classified this incident as Hijack Authorities are investigating.</x:v>
      </x:c>
      <x:c r="T165" s="42" t="str"/>
      <x:c r="U165" s="42" t="str"/>
      <x:c r="V165" s="42" t="str"/>
      <x:c r="W165" s="42" t="str">
        <x:v>Offshore / regional maritime</x:v>
      </x:c>
      <x:c r="X165" s="42" t="str"/>
      <x:c r="Y165" s="42" t="str"/>
      <x:c r="Z165" s="42" t="str">
        <x:v>High</x:v>
      </x:c>
      <x:c r="AA165" s="42" t="str">
        <x:v>20260717-UKMTO_WARNING_090_26-UPDATE_001.pdf</x:v>
      </x:c>
      <x:c r="AB165" s="42" t="str">
        <x:v>Needs canonical event resolution</x:v>
      </x:c>
      <x:c r="AC165" s="42" t="str">
        <x:v>Has Update: Yes; Latest Update: 001</x:v>
      </x:c>
    </x:row>
    <x:row r="166">
      <x:c r="A166" s="42" t="str">
        <x:v>OBS_000165</x:v>
      </x:c>
      <x:c r="B166" s="42" t="str"/>
      <x:c r="C166" s="42" t="str">
        <x:v>ukmto_warnings_2026</x:v>
      </x:c>
      <x:c r="D166" s="42" t="str">
        <x:v>092-26</x:v>
      </x:c>
      <x:c r="E166" s="42" t="str">
        <x:v>2026-07-19</x:v>
      </x:c>
      <x:c r="F166" s="42" t="str">
        <x:v>Maritime Security Warning</x:v>
      </x:c>
      <x:c r="G166" s="42" t="str">
        <x:v>Attack</x:v>
      </x:c>
      <x:c r="H166" s="42" t="str">
        <x:v>Conflict / maritime security attack</x:v>
      </x:c>
      <x:c r="I166" s="42" t="str">
        <x:v>Maritime</x:v>
      </x:c>
      <x:c r="J166" s="42" t="str"/>
      <x:c r="K166" s="42" t="str"/>
      <x:c r="L166" s="42" t="str"/>
      <x:c r="M166" s="42" t="str"/>
      <x:c r="N166" s="42" t="str"/>
      <x:c r="O166" s="42" t="str"/>
      <x:c r="P166" s="42" t="str"/>
      <x:c r="Q166" s="42" t="str"/>
      <x:c r="R166" s="42" t="str"/>
      <x:c r="S166" s="42" t="str">
        <x:v>UKMTO has received a report of an incident 8NM northwest of Kumzar, Oman. UKMTO have received information from military authorities that a vessel is on fire. The cause of the fire has not been verified as this time. Update – 001 UKMTO has reclassified as an Attack. The CSO has confirmed the vessel was struck by an unknown projectile. The crew safely abandoned the vessel and have been recovered by a tug boat. The fire has not been extinguished and the vessel is currently adrift. There is no reported environmental impact.</x:v>
      </x:c>
      <x:c r="T166" s="42" t="str"/>
      <x:c r="U166" s="42" t="str"/>
      <x:c r="V166" s="42" t="str"/>
      <x:c r="W166" s="42" t="str">
        <x:v>Offshore / regional maritime</x:v>
      </x:c>
      <x:c r="X166" s="42" t="str"/>
      <x:c r="Y166" s="42" t="str"/>
      <x:c r="Z166" s="42" t="str">
        <x:v>High</x:v>
      </x:c>
      <x:c r="AA166" s="42" t="str">
        <x:v>20260719-WARNING_092-26_ATTACK_UPDATE 001.pdf</x:v>
      </x:c>
      <x:c r="AB166" s="42" t="str">
        <x:v>Needs canonical event resolution</x:v>
      </x:c>
      <x:c r="AC166" s="42" t="str">
        <x:v>Has Update: Yes; Latest Update: 001</x:v>
      </x:c>
    </x:row>
    <x:row r="167">
      <x:c r="A167" s="42" t="str">
        <x:v>OBS_000166</x:v>
      </x:c>
      <x:c r="B167" s="42" t="str"/>
      <x:c r="C167" s="42" t="str">
        <x:v>ukmto_warnings_2026</x:v>
      </x:c>
      <x:c r="D167" s="42" t="str">
        <x:v>093-26</x:v>
      </x:c>
      <x:c r="E167" s="42" t="str">
        <x:v>2026-07-19</x:v>
      </x:c>
      <x:c r="F167" s="42" t="str">
        <x:v>Maritime Security Warning</x:v>
      </x:c>
      <x:c r="G167" s="42" t="str">
        <x:v>Attack</x:v>
      </x:c>
      <x:c r="H167" s="42" t="str">
        <x:v>Conflict / maritime security attack</x:v>
      </x:c>
      <x:c r="I167" s="42" t="str">
        <x:v>Maritime</x:v>
      </x:c>
      <x:c r="J167" s="42" t="str"/>
      <x:c r="K167" s="42" t="str"/>
      <x:c r="L167" s="42" t="str"/>
      <x:c r="M167" s="42" t="str"/>
      <x:c r="N167" s="42" t="str"/>
      <x:c r="O167" s="42" t="str"/>
      <x:c r="P167" s="42" t="str"/>
      <x:c r="Q167" s="42" t="str"/>
      <x:c r="R167" s="42" t="str"/>
      <x:c r="S167" s="42" t="str">
        <x:v>UKMTO has received a report of an incident 17NM east of Dibba, United Arab Emirates. The Master of a vessel reports being struck by an unknown projectile causing damage to the steering gear. All the crew are reported as safe. There is no environmental impact. Authorities are investigating.</x:v>
      </x:c>
      <x:c r="T167" s="42" t="str"/>
      <x:c r="U167" s="42" t="str"/>
      <x:c r="V167" s="42" t="str"/>
      <x:c r="W167" s="42" t="str">
        <x:v>Near-port / approaches</x:v>
      </x:c>
      <x:c r="X167" s="42" t="str"/>
      <x:c r="Y167" s="42" t="str"/>
      <x:c r="Z167" s="42" t="str">
        <x:v>High</x:v>
      </x:c>
      <x:c r="AA167" s="42" t="str">
        <x:v>20260720-UKMTO_WARNING_093_26.pdf</x:v>
      </x:c>
      <x:c r="AB167" s="42" t="str">
        <x:v>Needs canonical event resolution</x:v>
      </x:c>
      <x:c r="AC167" s="42" t="str">
        <x:v>Has Update: No; Latest Update: </x:v>
      </x:c>
    </x:row>
    <x:row r="168">
      <x:c r="A168" s="42" t="str">
        <x:v>OBS_000167</x:v>
      </x:c>
      <x:c r="B168" s="42" t="str"/>
      <x:c r="C168" s="42" t="str">
        <x:v>ukmto_warnings_2026</x:v>
      </x:c>
      <x:c r="D168" s="42" t="str">
        <x:v>094-26</x:v>
      </x:c>
      <x:c r="E168" s="42" t="str">
        <x:v>2026-07-20</x:v>
      </x:c>
      <x:c r="F168" s="42" t="str">
        <x:v>Maritime Security Warning</x:v>
      </x:c>
      <x:c r="G168" s="42" t="str">
        <x:v>Attack</x:v>
      </x:c>
      <x:c r="H168" s="42" t="str">
        <x:v>Conflict / maritime security attack</x:v>
      </x:c>
      <x:c r="I168" s="42" t="str">
        <x:v>Maritime</x:v>
      </x:c>
      <x:c r="J168" s="42" t="str"/>
      <x:c r="K168" s="42" t="str"/>
      <x:c r="L168" s="42" t="str"/>
      <x:c r="M168" s="42" t="str"/>
      <x:c r="N168" s="42" t="str"/>
      <x:c r="O168" s="42" t="str"/>
      <x:c r="P168" s="42" t="str"/>
      <x:c r="Q168" s="42" t="str"/>
      <x:c r="R168" s="42" t="str"/>
      <x:c r="S168" s="42" t="str">
        <x:v>UKMTO has received a report of an incident 8NM northeast of LIMAH, OMAN UKMTO has received multiple reports that a tanker is reporting over VHF Channel 16 that it has been struck by an unknown projectile in the Strait of Hormuz. UPDATE 001: The CSO of the tanker has reported to UKMTO that the crew have abandoned the vessel and are currently embarked in a lifeboat. No environmental impact has been reported. Authorities are investigating.</x:v>
      </x:c>
      <x:c r="T168" s="42" t="str"/>
      <x:c r="U168" s="42" t="str"/>
      <x:c r="V168" s="42" t="str"/>
      <x:c r="W168" s="42" t="str">
        <x:v>Offshore / regional maritime</x:v>
      </x:c>
      <x:c r="X168" s="42" t="str"/>
      <x:c r="Y168" s="42" t="str"/>
      <x:c r="Z168" s="42" t="str">
        <x:v>High</x:v>
      </x:c>
      <x:c r="AA168" s="42" t="str">
        <x:v>20260720-UKMTO_WARNING_094_26 - UPDATE 001.pdf</x:v>
      </x:c>
      <x:c r="AB168" s="42" t="str">
        <x:v>Needs canonical event resolution</x:v>
      </x:c>
      <x:c r="AC168" s="42" t="str">
        <x:v>Has Update: Yes; Latest Update: 001</x:v>
      </x:c>
    </x:row>
    <x:row r="169">
      <x:c r="A169" s="42" t="str">
        <x:v>OBS_000168</x:v>
      </x:c>
      <x:c r="B169" s="42" t="str"/>
      <x:c r="C169" s="42" t="str">
        <x:v>ukmto_warnings_2026</x:v>
      </x:c>
      <x:c r="D169" s="42" t="str">
        <x:v>095-26</x:v>
      </x:c>
      <x:c r="E169" s="42" t="str">
        <x:v>2026-07-22</x:v>
      </x:c>
      <x:c r="F169" s="42" t="str">
        <x:v>Maritime Security Warning</x:v>
      </x:c>
      <x:c r="G169" s="42" t="str">
        <x:v>Attack</x:v>
      </x:c>
      <x:c r="H169" s="42" t="str">
        <x:v>Conflict / maritime security attack</x:v>
      </x:c>
      <x:c r="I169" s="42" t="str">
        <x:v>Maritime</x:v>
      </x:c>
      <x:c r="J169" s="42" t="str"/>
      <x:c r="K169" s="42" t="str"/>
      <x:c r="L169" s="42" t="str"/>
      <x:c r="M169" s="42" t="str"/>
      <x:c r="N169" s="42" t="str"/>
      <x:c r="O169" s="42" t="str"/>
      <x:c r="P169" s="42" t="str"/>
      <x:c r="Q169" s="42" t="str"/>
      <x:c r="R169" s="42" t="str"/>
      <x:c r="S169" s="42" t="str">
        <x:v>UKMTO has received a report of an incident 70NM southwest of AL SHUQAIQ, Saudi Arabia. The Master of a tanker reports being struck by an unknown projectile which has caused a fire onboard that the crew are currently fighting. There are no reported casualties and no environmental impact.</x:v>
      </x:c>
      <x:c r="T169" s="42" t="str"/>
      <x:c r="U169" s="42" t="str"/>
      <x:c r="V169" s="42" t="str"/>
      <x:c r="W169" s="42" t="str">
        <x:v>Offshore / regional maritime</x:v>
      </x:c>
      <x:c r="X169" s="42" t="str"/>
      <x:c r="Y169" s="42" t="str"/>
      <x:c r="Z169" s="42" t="str">
        <x:v>High</x:v>
      </x:c>
      <x:c r="AA169" s="42" t="str">
        <x:v>20260722-UKMTO_WARNING_ATTACK_095_26.pdf</x:v>
      </x:c>
      <x:c r="AB169" s="42" t="str">
        <x:v>Needs canonical event resolution</x:v>
      </x:c>
      <x:c r="AC169" s="42" t="str">
        <x:v>Has Update: No; Latest Update: </x:v>
      </x:c>
    </x:row>
    <x:row r="170">
      <x:c r="A170" s="42" t="str">
        <x:v>OBS_000169</x:v>
      </x:c>
      <x:c r="B170" s="42" t="str"/>
      <x:c r="C170" s="42" t="str">
        <x:v>ukmto_warnings_2026</x:v>
      </x:c>
      <x:c r="D170" s="42" t="str">
        <x:v>097-26</x:v>
      </x:c>
      <x:c r="E170" s="42" t="str">
        <x:v>2026-07-24</x:v>
      </x:c>
      <x:c r="F170" s="42" t="str">
        <x:v>Maritime Security Warning</x:v>
      </x:c>
      <x:c r="G170" s="42" t="str">
        <x:v>Suspicious Activity</x:v>
      </x:c>
      <x:c r="H170" s="42" t="str">
        <x:v>Conflict / maritime security attack</x:v>
      </x:c>
      <x:c r="I170" s="42" t="str">
        <x:v>Maritime</x:v>
      </x:c>
      <x:c r="J170" s="42" t="str"/>
      <x:c r="K170" s="42" t="str"/>
      <x:c r="L170" s="42" t="str"/>
      <x:c r="M170" s="42" t="str"/>
      <x:c r="N170" s="42" t="str"/>
      <x:c r="O170" s="42" t="str"/>
      <x:c r="P170" s="42" t="str"/>
      <x:c r="Q170" s="42" t="str"/>
      <x:c r="R170" s="42" t="str"/>
      <x:c r="S170" s="42" t="str">
        <x:v>UKMTO has received a report of an incident in the southern Red Sea. It has been reported to UKMTO that a tanker witnessed a splash from an unknown projectile in close proximity to the vessel. Reports confirm that the vessel and crew are safe. Environmental impact is unconfirmed at present.</x:v>
      </x:c>
      <x:c r="T170" s="42" t="str"/>
      <x:c r="U170" s="42" t="str"/>
      <x:c r="V170" s="42" t="str"/>
      <x:c r="W170" s="42" t="str">
        <x:v>Offshore / regional maritime</x:v>
      </x:c>
      <x:c r="X170" s="42" t="str"/>
      <x:c r="Y170" s="42" t="str"/>
      <x:c r="Z170" s="42" t="str">
        <x:v>High</x:v>
      </x:c>
      <x:c r="AA170" s="42" t="str">
        <x:v>20260726-UKMTO_WARNING_SUSPICIOUS_ACTIVITY_097_26.pdf</x:v>
      </x:c>
      <x:c r="AB170" s="42" t="str">
        <x:v>Needs canonical event resolution</x:v>
      </x:c>
      <x:c r="AC170" s="42" t="str">
        <x:v>Has Update: No; Latest Update: </x:v>
      </x:c>
    </x:row>
    <x:row r="171">
      <x:c r="A171" s="42" t="str">
        <x:v>OBS_000170</x:v>
      </x:c>
      <x:c r="B171" s="42" t="str"/>
      <x:c r="C171" s="42" t="str">
        <x:v>ukmto_warnings_2026</x:v>
      </x:c>
      <x:c r="D171" s="42" t="str">
        <x:v>101-26</x:v>
      </x:c>
      <x:c r="E171" s="42" t="str">
        <x:v>2026-07-31</x:v>
      </x:c>
      <x:c r="F171" s="42" t="str">
        <x:v>Maritime Security Warning</x:v>
      </x:c>
      <x:c r="G171" s="42" t="str">
        <x:v>Attack</x:v>
      </x:c>
      <x:c r="H171" s="42" t="str">
        <x:v>Conflict / maritime security attack</x:v>
      </x:c>
      <x:c r="I171" s="42" t="str">
        <x:v>Maritime</x:v>
      </x:c>
      <x:c r="J171" s="42" t="str"/>
      <x:c r="K171" s="42" t="str"/>
      <x:c r="L171" s="42" t="str"/>
      <x:c r="M171" s="42" t="str"/>
      <x:c r="N171" s="42" t="str"/>
      <x:c r="O171" s="42" t="str"/>
      <x:c r="P171" s="42" t="str"/>
      <x:c r="Q171" s="42" t="str"/>
      <x:c r="R171" s="42" t="str"/>
      <x:c r="S171" s="42" t="str">
        <x:v>UKMTO has received a report of an incident 11NM northeast off Lima, Oman. The CSO of a tanker reports the vessel has been struck by an unknown projectile which has caused damage to the engine room. The tanker is not under command and the regional Coast Guard have been informed. There are no reported casualties or environmental impact.</x:v>
      </x:c>
      <x:c r="T171" s="42" t="str"/>
      <x:c r="U171" s="42" t="str"/>
      <x:c r="V171" s="42" t="str"/>
      <x:c r="W171" s="42" t="str">
        <x:v>Offshore / regional maritime</x:v>
      </x:c>
      <x:c r="X171" s="42" t="str"/>
      <x:c r="Y171" s="42" t="str"/>
      <x:c r="Z171" s="42" t="str">
        <x:v>High</x:v>
      </x:c>
      <x:c r="AA171" s="42" t="str">
        <x:v>20260801-UKMTO_WARNING_101_26_ATTACK 1.pdf</x:v>
      </x:c>
      <x:c r="AB171" s="42" t="str">
        <x:v>Needs canonical event resolution</x:v>
      </x:c>
      <x:c r="AC171" s="42" t="str">
        <x:v>Has Update: No; Latest Update: </x:v>
      </x:c>
    </x:row>
    <x:row r="172">
      <x:c r="A172" s="42" t="str">
        <x:v>OBS_000171</x:v>
      </x:c>
      <x:c r="B172" s="42" t="str"/>
      <x:c r="C172" s="42" t="str">
        <x:v>ukmto_warnings_2026</x:v>
      </x:c>
      <x:c r="D172" s="42" t="str">
        <x:v>102-26</x:v>
      </x:c>
      <x:c r="E172" s="42" t="str">
        <x:v>2026-07-31</x:v>
      </x:c>
      <x:c r="F172" s="42" t="str">
        <x:v>Maritime Security Warning</x:v>
      </x:c>
      <x:c r="G172" s="42" t="str">
        <x:v>Attack</x:v>
      </x:c>
      <x:c r="H172" s="42" t="str">
        <x:v>Conflict / maritime security attack</x:v>
      </x:c>
      <x:c r="I172" s="42" t="str">
        <x:v>Maritime</x:v>
      </x:c>
      <x:c r="J172" s="42" t="str"/>
      <x:c r="K172" s="42" t="str"/>
      <x:c r="L172" s="42" t="str"/>
      <x:c r="M172" s="42" t="str"/>
      <x:c r="N172" s="42" t="str"/>
      <x:c r="O172" s="42" t="str"/>
      <x:c r="P172" s="42" t="str"/>
      <x:c r="Q172" s="42" t="str"/>
      <x:c r="R172" s="42" t="str"/>
      <x:c r="S172" s="42" t="str">
        <x:v>UKMTO has received a report of an incident 21NM northeast of Khasab, Oman. The Master of a tanker reports seeing a large splash and explosion in close proximity to the vessel. No damage to the vessel has been reported at this time.</x:v>
      </x:c>
      <x:c r="T172" s="42" t="str"/>
      <x:c r="U172" s="42" t="str"/>
      <x:c r="V172" s="42" t="str"/>
      <x:c r="W172" s="42" t="str">
        <x:v>Offshore / regional maritime</x:v>
      </x:c>
      <x:c r="X172" s="42" t="str"/>
      <x:c r="Y172" s="42" t="str"/>
      <x:c r="Z172" s="42" t="str">
        <x:v>High</x:v>
      </x:c>
      <x:c r="AA172" s="42" t="str">
        <x:v>20260801-UKMTO_WARNING_102_26_ATTACK.pdf</x:v>
      </x:c>
      <x:c r="AB172" s="42" t="str">
        <x:v>Needs canonical event resolution</x:v>
      </x:c>
      <x:c r="AC172" s="42" t="str">
        <x:v>Has Update: No; Latest Update: </x:v>
      </x:c>
    </x:row>
    <x:row r="173">
      <x:c r="A173" s="42" t="str">
        <x:v>OBS_000172</x:v>
      </x:c>
      <x:c r="B173" s="42" t="str"/>
      <x:c r="C173" s="42" t="str">
        <x:v>ukmto_warnings_2026</x:v>
      </x:c>
      <x:c r="D173" s="42" t="str">
        <x:v>104-26</x:v>
      </x:c>
      <x:c r="E173" s="42" t="str">
        <x:v>2026-08-03</x:v>
      </x:c>
      <x:c r="F173" s="42" t="str">
        <x:v>Maritime Security Warning</x:v>
      </x:c>
      <x:c r="G173" s="42" t="str">
        <x:v>Attack</x:v>
      </x:c>
      <x:c r="H173" s="42" t="str">
        <x:v>Conflict / maritime security attack</x:v>
      </x:c>
      <x:c r="I173" s="42" t="str">
        <x:v>Maritime</x:v>
      </x:c>
      <x:c r="J173" s="42" t="str"/>
      <x:c r="K173" s="42" t="str"/>
      <x:c r="L173" s="42" t="str"/>
      <x:c r="M173" s="42" t="str"/>
      <x:c r="N173" s="42" t="str"/>
      <x:c r="O173" s="42" t="str"/>
      <x:c r="P173" s="42" t="str"/>
      <x:c r="Q173" s="42" t="str"/>
      <x:c r="R173" s="42" t="str"/>
      <x:c r="S173" s="42" t="str">
        <x:v>UKMTO has received a report of an incident 20NM northeast of Al Khasab, Oman. A cargo vessel has broadcasted on VHF 16 that they have been hit by an unknown projectile. Authorities are investigating.</x:v>
      </x:c>
      <x:c r="T173" s="42" t="str"/>
      <x:c r="U173" s="42" t="str"/>
      <x:c r="V173" s="42" t="str"/>
      <x:c r="W173" s="42" t="str">
        <x:v>Offshore / regional maritime</x:v>
      </x:c>
      <x:c r="X173" s="42" t="str"/>
      <x:c r="Y173" s="42" t="str"/>
      <x:c r="Z173" s="42" t="str">
        <x:v>High</x:v>
      </x:c>
      <x:c r="AA173" s="42" t="str">
        <x:v>20260803-UKMTO_WARNING_104-26.pdf</x:v>
      </x:c>
      <x:c r="AB173" s="42" t="str">
        <x:v>Needs canonical event resolution</x:v>
      </x:c>
      <x:c r="AC173" s="42" t="str">
        <x:v>Has Update: No; Latest Update: </x:v>
      </x:c>
    </x:row>
    <x:row r="174">
      <x:c r="A174" s="42" t="str">
        <x:v>OBS_000173</x:v>
      </x:c>
      <x:c r="B174" s="42" t="str"/>
      <x:c r="C174" s="42" t="str">
        <x:v>ukmto_warnings_2026</x:v>
      </x:c>
      <x:c r="D174" s="42" t="str">
        <x:v>105-26</x:v>
      </x:c>
      <x:c r="E174" s="42" t="str">
        <x:v>2026-08-05</x:v>
      </x:c>
      <x:c r="F174" s="42" t="str">
        <x:v>Maritime Security Warning</x:v>
      </x:c>
      <x:c r="G174" s="42" t="str">
        <x:v>Attack</x:v>
      </x:c>
      <x:c r="H174" s="42" t="str">
        <x:v>Conflict / maritime security attack</x:v>
      </x:c>
      <x:c r="I174" s="42" t="str">
        <x:v>Maritime</x:v>
      </x:c>
      <x:c r="J174" s="42" t="str"/>
      <x:c r="K174" s="42" t="str"/>
      <x:c r="L174" s="42" t="str"/>
      <x:c r="M174" s="42" t="str"/>
      <x:c r="N174" s="42" t="str"/>
      <x:c r="O174" s="42" t="str"/>
      <x:c r="P174" s="42" t="str"/>
      <x:c r="Q174" s="42" t="str"/>
      <x:c r="R174" s="42" t="str"/>
      <x:c r="S174" s="42" t="str">
        <x:v>UKMTO has received a time-late report of an incident 9NM southwest of Al Mukha, Yemen. The CSO of the vessel has reported that the vessel was attacked by an Uncrewed Surface Vessel which caused a fire onboard. The crew have been rescued by local authorities and are safe and well. The vessel has been reported as sunk.</x:v>
      </x:c>
      <x:c r="T174" s="42" t="str"/>
      <x:c r="U174" s="42" t="str"/>
      <x:c r="V174" s="42" t="str"/>
      <x:c r="W174" s="42" t="str">
        <x:v>Offshore / regional maritime</x:v>
      </x:c>
      <x:c r="X174" s="42" t="str"/>
      <x:c r="Y174" s="42" t="str"/>
      <x:c r="Z174" s="42" t="str">
        <x:v>High</x:v>
      </x:c>
      <x:c r="AA174" s="42" t="str">
        <x:v>20260805-UKMTO_WARNING_105.pdf</x:v>
      </x:c>
      <x:c r="AB174" s="42" t="str">
        <x:v>Needs canonical event resolution</x:v>
      </x:c>
      <x:c r="AC174" s="42" t="str">
        <x:v>Has Update: No; Latest Update: </x:v>
      </x:c>
    </x:row>
    <x:row r="175">
      <x:c r="A175" s="42" t="str">
        <x:v>OBS_000174</x:v>
      </x:c>
      <x:c r="B175" s="42" t="str"/>
      <x:c r="C175" s="42" t="str">
        <x:v>ukmto_warnings_2026</x:v>
      </x:c>
      <x:c r="D175" s="42" t="str">
        <x:v>106-26</x:v>
      </x:c>
      <x:c r="E175" s="42" t="str">
        <x:v>2026-08-05</x:v>
      </x:c>
      <x:c r="F175" s="42" t="str">
        <x:v>Maritime Security Warning</x:v>
      </x:c>
      <x:c r="G175" s="42" t="str">
        <x:v>Attack</x:v>
      </x:c>
      <x:c r="H175" s="42" t="str">
        <x:v>Conflict / maritime security attack</x:v>
      </x:c>
      <x:c r="I175" s="42" t="str">
        <x:v>Maritime</x:v>
      </x:c>
      <x:c r="J175" s="42" t="str"/>
      <x:c r="K175" s="42" t="str"/>
      <x:c r="L175" s="42" t="str"/>
      <x:c r="M175" s="42" t="str"/>
      <x:c r="N175" s="42" t="str"/>
      <x:c r="O175" s="42" t="str"/>
      <x:c r="P175" s="42" t="str"/>
      <x:c r="Q175" s="42" t="str"/>
      <x:c r="R175" s="42" t="str"/>
      <x:c r="S175" s="42" t="str">
        <x:v>UKMTO has received a report of an incident 95NM southeast of Aden, Yemen. The Master of a tanker reported hearing a loud explosion in close proximity to the vessel. All crew accounted for and safe. There is no environmental impact reported. Authorities are investigating.</x:v>
      </x:c>
      <x:c r="T175" s="42" t="str"/>
      <x:c r="U175" s="42" t="str"/>
      <x:c r="V175" s="42" t="str"/>
      <x:c r="W175" s="42" t="str">
        <x:v>Offshore / regional maritime</x:v>
      </x:c>
      <x:c r="X175" s="42" t="str"/>
      <x:c r="Y175" s="42" t="str"/>
      <x:c r="Z175" s="42" t="str">
        <x:v>High</x:v>
      </x:c>
      <x:c r="AA175" s="42" t="str">
        <x:v>20260805-UKMTO_WARNING_106-26.pdf</x:v>
      </x:c>
      <x:c r="AB175" s="42" t="str">
        <x:v>Needs canonical event resolution</x:v>
      </x:c>
      <x:c r="AC175" s="42" t="str">
        <x:v>Has Update: No; Latest Update: </x:v>
      </x:c>
    </x:row>
    <x:row r="176">
      <x:c r="A176" s="42" t="str">
        <x:v>OBS_000175</x:v>
      </x:c>
      <x:c r="B176" s="42" t="str"/>
      <x:c r="C176" s="42" t="str">
        <x:v>ukmto_warnings_2026</x:v>
      </x:c>
      <x:c r="D176" s="42" t="str">
        <x:v>107-26</x:v>
      </x:c>
      <x:c r="E176" s="42" t="str">
        <x:v>2026-08-05</x:v>
      </x:c>
      <x:c r="F176" s="42" t="str">
        <x:v>Maritime Security Warning</x:v>
      </x:c>
      <x:c r="G176" s="42" t="str">
        <x:v>Attack</x:v>
      </x:c>
      <x:c r="H176" s="42" t="str">
        <x:v>Conflict / maritime security attack</x:v>
      </x:c>
      <x:c r="I176" s="42" t="str">
        <x:v>Maritime</x:v>
      </x:c>
      <x:c r="J176" s="42" t="str"/>
      <x:c r="K176" s="42" t="str"/>
      <x:c r="L176" s="42" t="str"/>
      <x:c r="M176" s="42" t="str"/>
      <x:c r="N176" s="42" t="str"/>
      <x:c r="O176" s="42" t="str"/>
      <x:c r="P176" s="42" t="str"/>
      <x:c r="Q176" s="42" t="str"/>
      <x:c r="R176" s="42" t="str"/>
      <x:c r="S176" s="42" t="str">
        <x:v>UKMTO has received a time late report of an incident 9NM southeast of Kumzar, Oman. The Master of a tanker has reported hearing two explosions whilst transiting in the Strait of Hormuz. The report confirms that crew and vessel are safe. No environmental damage has been reported.</x:v>
      </x:c>
      <x:c r="T176" s="42" t="str"/>
      <x:c r="U176" s="42" t="str"/>
      <x:c r="V176" s="42" t="str"/>
      <x:c r="W176" s="42" t="str">
        <x:v>Offshore / regional maritime</x:v>
      </x:c>
      <x:c r="X176" s="42" t="str"/>
      <x:c r="Y176" s="42" t="str"/>
      <x:c r="Z176" s="42" t="str">
        <x:v>High</x:v>
      </x:c>
      <x:c r="AA176" s="42" t="str">
        <x:v>20260805-UKMTO_WARNING_107_26.pdf</x:v>
      </x:c>
      <x:c r="AB176" s="42" t="str">
        <x:v>Needs canonical event resolution</x:v>
      </x:c>
      <x:c r="AC176" s="42" t="str">
        <x:v>Has Update: No; Latest Update: </x:v>
      </x:c>
    </x:row>
    <x:row r="177">
      <x:c r="A177" s="42" t="str">
        <x:v>OBS_000176</x:v>
      </x:c>
      <x:c r="B177" s="42" t="str"/>
      <x:c r="C177" s="42" t="str">
        <x:v>ukmto_warnings_2026</x:v>
      </x:c>
      <x:c r="D177" s="42" t="str">
        <x:v>108-26</x:v>
      </x:c>
      <x:c r="E177" s="42" t="str">
        <x:v>2026-08-08</x:v>
      </x:c>
      <x:c r="F177" s="42" t="str">
        <x:v>Maritime Security Warning</x:v>
      </x:c>
      <x:c r="G177" s="42" t="str">
        <x:v>Attack</x:v>
      </x:c>
      <x:c r="H177" s="42" t="str">
        <x:v>Conflict / maritime security attack</x:v>
      </x:c>
      <x:c r="I177" s="42" t="str">
        <x:v>Maritime</x:v>
      </x:c>
      <x:c r="J177" s="42" t="str"/>
      <x:c r="K177" s="42" t="str"/>
      <x:c r="L177" s="42" t="str"/>
      <x:c r="M177" s="42" t="str"/>
      <x:c r="N177" s="42" t="str"/>
      <x:c r="O177" s="42" t="str"/>
      <x:c r="P177" s="42" t="str"/>
      <x:c r="Q177" s="42" t="str"/>
      <x:c r="R177" s="42" t="str"/>
      <x:c r="S177" s="42" t="str">
        <x:v>UKMTO has received a report of an incident 18NM east of Khasab, Oman. A verified source has reported that a vessel was struck by an unknown projectile which caused a fire that has been extinguished. There is no reported environmental impact. The vessel and crew are reported as safe.</x:v>
      </x:c>
      <x:c r="T177" s="42" t="str"/>
      <x:c r="U177" s="42" t="str"/>
      <x:c r="V177" s="42" t="str"/>
      <x:c r="W177" s="42" t="str">
        <x:v>Offshore / regional maritime</x:v>
      </x:c>
      <x:c r="X177" s="42" t="str"/>
      <x:c r="Y177" s="42" t="str"/>
      <x:c r="Z177" s="42" t="str">
        <x:v>High</x:v>
      </x:c>
      <x:c r="AA177" s="42" t="str">
        <x:v>20260808-UKMTO_WARNING_ATTACK_108_26.pdf</x:v>
      </x:c>
      <x:c r="AB177" s="42" t="str">
        <x:v>Needs canonical event resolution</x:v>
      </x:c>
      <x:c r="AC177" s="42" t="str">
        <x:v>Has Update: No; Latest Update: </x:v>
      </x:c>
    </x:row>
    <x:row r="178">
      <x:c r="A178" s="42" t="str">
        <x:v>OBS_000177</x:v>
      </x:c>
      <x:c r="B178" s="42" t="str"/>
      <x:c r="C178" s="42" t="str">
        <x:v>ukmto_warnings_2026</x:v>
      </x:c>
      <x:c r="D178" s="42" t="str">
        <x:v>110-26</x:v>
      </x:c>
      <x:c r="E178" s="42" t="str">
        <x:v>2026-08-11</x:v>
      </x:c>
      <x:c r="F178" s="42" t="str">
        <x:v>Maritime Security Warning</x:v>
      </x:c>
      <x:c r="G178" s="42" t="str">
        <x:v>Attack</x:v>
      </x:c>
      <x:c r="H178" s="42" t="str">
        <x:v>Conflict / maritime security attack</x:v>
      </x:c>
      <x:c r="I178" s="42" t="str">
        <x:v>Maritime</x:v>
      </x:c>
      <x:c r="J178" s="42" t="str"/>
      <x:c r="K178" s="42" t="str"/>
      <x:c r="L178" s="42" t="str"/>
      <x:c r="M178" s="42" t="str"/>
      <x:c r="N178" s="42" t="str"/>
      <x:c r="O178" s="42" t="str"/>
      <x:c r="P178" s="42" t="str"/>
      <x:c r="Q178" s="42" t="str"/>
      <x:c r="R178" s="42" t="str"/>
      <x:c r="S178" s="42" t="str">
        <x:v>UKMTO has been informed of an incident off the coast of Al Mokha, Yemen. It has been reported that a cargo vessel in the Southern Red Sea has been hit by an unknown projectile resulting in casualties. Authorities are investigating.</x:v>
      </x:c>
      <x:c r="T178" s="42" t="str"/>
      <x:c r="U178" s="42" t="str"/>
      <x:c r="V178" s="42" t="str"/>
      <x:c r="W178" s="42" t="str">
        <x:v>Offshore / regional maritime</x:v>
      </x:c>
      <x:c r="X178" s="42" t="str"/>
      <x:c r="Y178" s="42" t="str"/>
      <x:c r="Z178" s="42" t="str">
        <x:v>High</x:v>
      </x:c>
      <x:c r="AA178" s="42" t="str">
        <x:v>20260811- UKMTO_WARNING_110-26.pdf</x:v>
      </x:c>
      <x:c r="AB178" s="42" t="str">
        <x:v>Needs canonical event resolution</x:v>
      </x:c>
      <x:c r="AC178" s="42" t="str">
        <x:v>Has Update: No; Latest Update: </x:v>
      </x:c>
    </x:row>
    <x:row r="179">
      <x:c r="A179" s="42" t="str">
        <x:v>OBS_000178</x:v>
      </x:c>
      <x:c r="B179" s="42" t="str"/>
      <x:c r="C179" s="42" t="str">
        <x:v>ukmto_warnings_2026</x:v>
      </x:c>
      <x:c r="D179" s="42" t="str">
        <x:v>111-26</x:v>
      </x:c>
      <x:c r="E179" s="42" t="str">
        <x:v>2026-08-14</x:v>
      </x:c>
      <x:c r="F179" s="42" t="str">
        <x:v>Maritime Security Warning</x:v>
      </x:c>
      <x:c r="G179" s="42" t="str">
        <x:v>Attack</x:v>
      </x:c>
      <x:c r="H179" s="42" t="str">
        <x:v>Conflict / maritime security attack</x:v>
      </x:c>
      <x:c r="I179" s="42" t="str">
        <x:v>Maritime</x:v>
      </x:c>
      <x:c r="J179" s="42" t="str"/>
      <x:c r="K179" s="42" t="str"/>
      <x:c r="L179" s="42" t="str"/>
      <x:c r="M179" s="42" t="str"/>
      <x:c r="N179" s="42" t="str"/>
      <x:c r="O179" s="42" t="str"/>
      <x:c r="P179" s="42" t="str"/>
      <x:c r="Q179" s="42" t="str"/>
      <x:c r="R179" s="42" t="str"/>
      <x:c r="S179" s="42" t="str">
        <x:v>UKMTO has received a report of an incident in the Strait of Hormuz. UKMTO has received reports from Military Authorities that a tanker was struck by a Uncrewed Ariel Vehicle (UAV) whilst conducting an outbound transit of the Strait of Hormuz. The vessel was subject to minor damage, crew are reported as safe and accounted for and no environmental impact has been reported.</x:v>
      </x:c>
      <x:c r="T179" s="42" t="str"/>
      <x:c r="U179" s="42" t="str"/>
      <x:c r="V179" s="42" t="str"/>
      <x:c r="W179" s="42" t="str">
        <x:v>Offshore / regional maritime</x:v>
      </x:c>
      <x:c r="X179" s="42" t="str"/>
      <x:c r="Y179" s="42" t="str"/>
      <x:c r="Z179" s="42" t="str">
        <x:v>High</x:v>
      </x:c>
      <x:c r="AA179" s="42" t="str">
        <x:v>20260814_UKMTO_WARNING_111-26.pdf</x:v>
      </x:c>
      <x:c r="AB179" s="42" t="str">
        <x:v>Needs canonical event resolution</x:v>
      </x:c>
      <x:c r="AC179" s="42" t="str">
        <x:v>Has Update: No; Latest Update: </x:v>
      </x:c>
    </x:row>
    <x:row r="180">
      <x:c r="A180" s="42" t="str">
        <x:v>OBS_000179</x:v>
      </x:c>
      <x:c r="B180" s="42" t="str"/>
      <x:c r="C180" s="42" t="str">
        <x:v>ukmto_warnings_2026</x:v>
      </x:c>
      <x:c r="D180" s="42" t="str">
        <x:v>112-26</x:v>
      </x:c>
      <x:c r="E180" s="42" t="str">
        <x:v>2026-08-14</x:v>
      </x:c>
      <x:c r="F180" s="42" t="str">
        <x:v>Maritime Security Warning</x:v>
      </x:c>
      <x:c r="G180" s="42" t="str">
        <x:v>Attack</x:v>
      </x:c>
      <x:c r="H180" s="42" t="str">
        <x:v>Conflict / maritime security attack</x:v>
      </x:c>
      <x:c r="I180" s="42" t="str">
        <x:v>Maritime</x:v>
      </x:c>
      <x:c r="J180" s="42" t="str"/>
      <x:c r="K180" s="42" t="str"/>
      <x:c r="L180" s="42" t="str"/>
      <x:c r="M180" s="42" t="str"/>
      <x:c r="N180" s="42" t="str"/>
      <x:c r="O180" s="42" t="str"/>
      <x:c r="P180" s="42" t="str"/>
      <x:c r="Q180" s="42" t="str"/>
      <x:c r="R180" s="42" t="str"/>
      <x:c r="S180" s="42" t="str">
        <x:v>UKMTO has received a report of an incident in the Strait of Hormuz. UKMTO has received reports from Military Authorities that a tanker was struck by a Uncrewed Ariel Vehicle (UAV) whilst conducting an outbound transit of the Strait of Hormuz. The vessel was subject to minor damage, crew are reported as safe and accounted for and no environmental impact has been reported.</x:v>
      </x:c>
      <x:c r="T180" s="42" t="str"/>
      <x:c r="U180" s="42" t="str"/>
      <x:c r="V180" s="42" t="str"/>
      <x:c r="W180" s="42" t="str">
        <x:v>Offshore / regional maritime</x:v>
      </x:c>
      <x:c r="X180" s="42" t="str"/>
      <x:c r="Y180" s="42" t="str"/>
      <x:c r="Z180" s="42" t="str">
        <x:v>High</x:v>
      </x:c>
      <x:c r="AA180" s="42" t="str">
        <x:v>20260814_UKMTO_WARNING_112-26.pdf</x:v>
      </x:c>
      <x:c r="AB180" s="42" t="str">
        <x:v>Needs canonical event resolution</x:v>
      </x:c>
      <x:c r="AC180" s="42" t="str">
        <x:v>Has Update: No; Latest Update: </x:v>
      </x:c>
    </x:row>
    <x:row r="181">
      <x:c r="A181" s="42" t="str">
        <x:v>OBS_000180</x:v>
      </x:c>
      <x:c r="B181" s="42" t="str"/>
      <x:c r="C181" s="42" t="str">
        <x:v>ukmto_warnings_2026</x:v>
      </x:c>
      <x:c r="D181" s="42" t="str">
        <x:v>113-26</x:v>
      </x:c>
      <x:c r="E181" s="42" t="str">
        <x:v>2026-08-15</x:v>
      </x:c>
      <x:c r="F181" s="42" t="str">
        <x:v>Maritime Security Warning</x:v>
      </x:c>
      <x:c r="G181" s="42" t="str">
        <x:v>Attack</x:v>
      </x:c>
      <x:c r="H181" s="42" t="str">
        <x:v>Conflict / maritime security attack</x:v>
      </x:c>
      <x:c r="I181" s="42" t="str">
        <x:v>Maritime</x:v>
      </x:c>
      <x:c r="J181" s="42" t="str"/>
      <x:c r="K181" s="42" t="str"/>
      <x:c r="L181" s="42" t="str"/>
      <x:c r="M181" s="42" t="str"/>
      <x:c r="N181" s="42" t="str"/>
      <x:c r="O181" s="42" t="str"/>
      <x:c r="P181" s="42" t="str"/>
      <x:c r="Q181" s="42" t="str"/>
      <x:c r="R181" s="42" t="str"/>
      <x:c r="S181" s="42" t="str">
        <x:v>UKMTO has received a report of an incident in the Strait of Hormuz UKMTO has received a verified report of a Bulk carrier being struck by an unknown projectile which has hit the hull. The crew are reported safe, no damage assessment has been reported and environmental impact is unknown at present.</x:v>
      </x:c>
      <x:c r="T181" s="42" t="str"/>
      <x:c r="U181" s="42" t="str"/>
      <x:c r="V181" s="42" t="str"/>
      <x:c r="W181" s="42" t="str">
        <x:v>Offshore / regional maritime</x:v>
      </x:c>
      <x:c r="X181" s="42" t="str"/>
      <x:c r="Y181" s="42" t="str"/>
      <x:c r="Z181" s="42" t="str">
        <x:v>High</x:v>
      </x:c>
      <x:c r="AA181" s="42" t="str">
        <x:v>20260815_UKMTO_WARNING_113.pdf</x:v>
      </x:c>
      <x:c r="AB181" s="42" t="str">
        <x:v>Needs canonical event resolution</x:v>
      </x:c>
      <x:c r="AC181" s="42" t="str">
        <x:v>Has Update: No; Latest Update: </x:v>
      </x:c>
    </x:row>
    <x:row r="182">
      <x:c r="A182" s="42" t="str">
        <x:v>OBS_000181</x:v>
      </x:c>
      <x:c r="B182" s="42" t="str"/>
      <x:c r="C182" s="42" t="str">
        <x:v>ukmto_warnings_2026</x:v>
      </x:c>
      <x:c r="D182" s="42" t="str">
        <x:v>114-26</x:v>
      </x:c>
      <x:c r="E182" s="42" t="str">
        <x:v>2026-08-17</x:v>
      </x:c>
      <x:c r="F182" s="42" t="str">
        <x:v>Maritime Security Warning</x:v>
      </x:c>
      <x:c r="G182" s="42" t="str">
        <x:v>Suspicious Activity</x:v>
      </x:c>
      <x:c r="H182" s="42" t="str">
        <x:v>Suspicious / security incident</x:v>
      </x:c>
      <x:c r="I182" s="42" t="str">
        <x:v>Maritime</x:v>
      </x:c>
      <x:c r="J182" s="42" t="str"/>
      <x:c r="K182" s="42" t="str"/>
      <x:c r="L182" s="42" t="str"/>
      <x:c r="M182" s="42" t="str"/>
      <x:c r="N182" s="42" t="str"/>
      <x:c r="O182" s="42" t="str"/>
      <x:c r="P182" s="42" t="str"/>
      <x:c r="Q182" s="42" t="str"/>
      <x:c r="R182" s="42" t="str"/>
      <x:c r="S182" s="42" t="str">
        <x:v>UKMTO has received a report of an incident 4NM south of MAREEYO SOMALIA. The CSO of a cargo vessel reports being boarded by 8 armed unauthorised persons who have taken control of the vessel.</x:v>
      </x:c>
      <x:c r="T182" s="42" t="str"/>
      <x:c r="U182" s="42" t="str"/>
      <x:c r="V182" s="42" t="str"/>
      <x:c r="W182" s="42" t="str">
        <x:v>Offshore / regional maritime</x:v>
      </x:c>
      <x:c r="X182" s="42" t="str"/>
      <x:c r="Y182" s="42" t="str"/>
      <x:c r="Z182" s="42" t="str">
        <x:v>Medium</x:v>
      </x:c>
      <x:c r="AA182" s="42" t="str">
        <x:v>20260817-UKMTO_WARNING_114_26.pdf</x:v>
      </x:c>
      <x:c r="AB182" s="42" t="str">
        <x:v>Needs canonical event resolution</x:v>
      </x:c>
      <x:c r="AC182" s="42" t="str">
        <x:v>Has Update: No; Latest Update: </x:v>
      </x:c>
    </x:row>
    <x:row r="183">
      <x:c r="A183" s="42" t="str">
        <x:v>OBS_000182</x:v>
      </x:c>
      <x:c r="B183" s="42" t="str"/>
      <x:c r="C183" s="42" t="str">
        <x:v>ukmto_warnings_2026</x:v>
      </x:c>
      <x:c r="D183" s="42" t="str">
        <x:v>115-26</x:v>
      </x:c>
      <x:c r="E183" s="42" t="str">
        <x:v>2026-08-18</x:v>
      </x:c>
      <x:c r="F183" s="42" t="str">
        <x:v>Maritime Security Warning</x:v>
      </x:c>
      <x:c r="G183" s="42" t="str">
        <x:v>Attack</x:v>
      </x:c>
      <x:c r="H183" s="42" t="str">
        <x:v>Conflict / maritime security attack</x:v>
      </x:c>
      <x:c r="I183" s="42" t="str">
        <x:v>Maritime</x:v>
      </x:c>
      <x:c r="J183" s="42" t="str"/>
      <x:c r="K183" s="42" t="str"/>
      <x:c r="L183" s="42" t="str"/>
      <x:c r="M183" s="42" t="str"/>
      <x:c r="N183" s="42" t="str"/>
      <x:c r="O183" s="42" t="str"/>
      <x:c r="P183" s="42" t="str"/>
      <x:c r="Q183" s="42" t="str"/>
      <x:c r="R183" s="42" t="str"/>
      <x:c r="S183" s="42" t="str">
        <x:v>UKMTO has received a report of an incident in the Strait of Hormuz. The Company Security Officer has reported that the vessel was struck by an unknown projectile while conducting an outbound transit of the Strait of Hormuz. The impact caused damage to the engine room and resulted in a crew casualty. The remaining crew are currently being assisted by the Omani Coast Guard. At present, no environmental impact has been reported. Authorities are investigating.</x:v>
      </x:c>
      <x:c r="T183" s="42" t="str"/>
      <x:c r="U183" s="42" t="str"/>
      <x:c r="V183" s="42" t="str"/>
      <x:c r="W183" s="42" t="str">
        <x:v>Offshore / regional maritime</x:v>
      </x:c>
      <x:c r="X183" s="42" t="str"/>
      <x:c r="Y183" s="42" t="str"/>
      <x:c r="Z183" s="42" t="str">
        <x:v>High</x:v>
      </x:c>
      <x:c r="AA183" s="42" t="str">
        <x:v>20260818- UKMTO_WARNING_ATTACK_115-26.pdf</x:v>
      </x:c>
      <x:c r="AB183" s="42" t="str">
        <x:v>Needs canonical event resolution</x:v>
      </x:c>
      <x:c r="AC183" s="42" t="str">
        <x:v>Has Update: No; Latest Update: </x:v>
      </x:c>
    </x:row>
    <x:row r="184">
      <x:c r="A184" s="42" t="str">
        <x:v>OBS_000183</x:v>
      </x:c>
      <x:c r="B184" s="42" t="str"/>
      <x:c r="C184" s="42" t="str">
        <x:v>ukmto_warnings_2026</x:v>
      </x:c>
      <x:c r="D184" s="42" t="str">
        <x:v>116-26</x:v>
      </x:c>
      <x:c r="E184" s="42" t="str">
        <x:v>2026-08-15</x:v>
      </x:c>
      <x:c r="F184" s="42" t="str">
        <x:v>Maritime Security Warning</x:v>
      </x:c>
      <x:c r="G184" s="42" t="str">
        <x:v>Attack</x:v>
      </x:c>
      <x:c r="H184" s="42" t="str">
        <x:v>Conflict / maritime security attack</x:v>
      </x:c>
      <x:c r="I184" s="42" t="str">
        <x:v>Maritime</x:v>
      </x:c>
      <x:c r="J184" s="42" t="str"/>
      <x:c r="K184" s="42" t="str"/>
      <x:c r="L184" s="42" t="str"/>
      <x:c r="M184" s="42" t="str"/>
      <x:c r="N184" s="42" t="str"/>
      <x:c r="O184" s="42" t="str"/>
      <x:c r="P184" s="42" t="str"/>
      <x:c r="Q184" s="42" t="str"/>
      <x:c r="R184" s="42" t="str"/>
      <x:c r="S184" s="42" t="str">
        <x:v>UKMTO has received a time late report of an incident in the Strait of Hormuz. A third party has reported that a bulk carrier was struck by an unknown projectile whilst conducting a transit of the Strait of Hormuz. The impact caused damage to the starboard side of the vessel and resulted in a crew casualty. There is no report of an environmental impact.</x:v>
      </x:c>
      <x:c r="T184" s="42" t="str"/>
      <x:c r="U184" s="42" t="str"/>
      <x:c r="V184" s="42" t="str"/>
      <x:c r="W184" s="42" t="str">
        <x:v>Offshore / regional maritime</x:v>
      </x:c>
      <x:c r="X184" s="42" t="str"/>
      <x:c r="Y184" s="42" t="str"/>
      <x:c r="Z184" s="42" t="str">
        <x:v>High</x:v>
      </x:c>
      <x:c r="AA184" s="42" t="str">
        <x:v>20260818-UKMTO_WARNING_116-26.pdf</x:v>
      </x:c>
      <x:c r="AB184" s="42" t="str">
        <x:v>Needs canonical event resolution</x:v>
      </x:c>
      <x:c r="AC184" s="42" t="str">
        <x:v>Has Update: No; Latest Update: </x:v>
      </x:c>
    </x:row>
    <x:row r="185">
      <x:c r="A185" s="42" t="str">
        <x:v>OBS_000184</x:v>
      </x:c>
      <x:c r="B185" s="42" t="str"/>
      <x:c r="C185" s="42" t="str">
        <x:v>ukmto_warnings_2026</x:v>
      </x:c>
      <x:c r="D185" s="42" t="str">
        <x:v>117-26</x:v>
      </x:c>
      <x:c r="E185" s="42" t="str">
        <x:v>2026-08-17</x:v>
      </x:c>
      <x:c r="F185" s="42" t="str">
        <x:v>Maritime Security Warning</x:v>
      </x:c>
      <x:c r="G185" s="42" t="str">
        <x:v>Attack</x:v>
      </x:c>
      <x:c r="H185" s="42" t="str">
        <x:v>Conflict / maritime security attack</x:v>
      </x:c>
      <x:c r="I185" s="42" t="str">
        <x:v>Maritime</x:v>
      </x:c>
      <x:c r="J185" s="42" t="str"/>
      <x:c r="K185" s="42" t="str"/>
      <x:c r="L185" s="42" t="str"/>
      <x:c r="M185" s="42" t="str"/>
      <x:c r="N185" s="42" t="str"/>
      <x:c r="O185" s="42" t="str"/>
      <x:c r="P185" s="42" t="str"/>
      <x:c r="Q185" s="42" t="str"/>
      <x:c r="R185" s="42" t="str"/>
      <x:c r="S185" s="42" t="str">
        <x:v>UKMTO has received a report of an incident 40NM southeast of Al Mukha, Yemen. Local Authorities report a cargo ship being struck by multiple unknown projectiles. The cargo vessel was unmanned at the time of the incident; however, the damage has resulted in a complete constructive loss. Authorities are investigating.</x:v>
      </x:c>
      <x:c r="T185" s="42" t="str"/>
      <x:c r="U185" s="42" t="str"/>
      <x:c r="V185" s="42" t="str"/>
      <x:c r="W185" s="42" t="str">
        <x:v>Offshore / regional maritime</x:v>
      </x:c>
      <x:c r="X185" s="42" t="str"/>
      <x:c r="Y185" s="42" t="str"/>
      <x:c r="Z185" s="42" t="str">
        <x:v>High</x:v>
      </x:c>
      <x:c r="AA185" s="42" t="str">
        <x:v>20260818 -UKMTO_WARNING_117_26-1.pdf</x:v>
      </x:c>
      <x:c r="AB185" s="42" t="str">
        <x:v>Needs canonical event resolution</x:v>
      </x:c>
      <x:c r="AC185" s="42" t="str">
        <x:v>Has Update: No; Latest Update: </x:v>
      </x:c>
    </x:row>
    <x:row r="186">
      <x:c r="A186" s="42" t="str">
        <x:v>OBS_000185</x:v>
      </x:c>
      <x:c r="B186" s="42" t="str"/>
      <x:c r="C186" s="42" t="str">
        <x:v>ukmto_warnings_2026</x:v>
      </x:c>
      <x:c r="D186" s="42" t="str">
        <x:v>118-26</x:v>
      </x:c>
      <x:c r="E186" s="42" t="str">
        <x:v>2026-08-20</x:v>
      </x:c>
      <x:c r="F186" s="42" t="str">
        <x:v>Maritime Security Warning</x:v>
      </x:c>
      <x:c r="G186" s="42" t="str">
        <x:v>Suspicious Activity</x:v>
      </x:c>
      <x:c r="H186" s="42" t="str">
        <x:v>Suspicious / security incident</x:v>
      </x:c>
      <x:c r="I186" s="42" t="str">
        <x:v>Maritime</x:v>
      </x:c>
      <x:c r="J186" s="42" t="str"/>
      <x:c r="K186" s="42" t="str"/>
      <x:c r="L186" s="42" t="str"/>
      <x:c r="M186" s="42" t="str"/>
      <x:c r="N186" s="42" t="str"/>
      <x:c r="O186" s="42" t="str"/>
      <x:c r="P186" s="42" t="str"/>
      <x:c r="Q186" s="42" t="str"/>
      <x:c r="R186" s="42" t="str"/>
      <x:c r="S186" s="42" t="str">
        <x:v>UKMTO has received a report of an incident 136NM east of Al Mukalla, Yemen. A tanker has broadcast a distress call on VHF 16 that they have been approached by an unauthorised vessel whilst travelling west in the Gulf of Aden. Update 001 – UKMTO have received confirmation that the tanker has been boarded by six armed persons who are now in control of the vessel and redirecting to Somalia. Authorities are investigating.</x:v>
      </x:c>
      <x:c r="T186" s="42" t="str"/>
      <x:c r="U186" s="42" t="str"/>
      <x:c r="V186" s="42" t="str"/>
      <x:c r="W186" s="42" t="str">
        <x:v>Offshore / regional maritime</x:v>
      </x:c>
      <x:c r="X186" s="42" t="str"/>
      <x:c r="Y186" s="42" t="str"/>
      <x:c r="Z186" s="42" t="str">
        <x:v>Medium</x:v>
      </x:c>
      <x:c r="AA186" s="42" t="str">
        <x:v>20260820-UKMTO_118-26_UPDATE-001.pdf</x:v>
      </x:c>
      <x:c r="AB186" s="42" t="str">
        <x:v>Needs canonical event resolution</x:v>
      </x:c>
      <x:c r="AC186" s="42" t="str">
        <x:v>Has Update: Yes; Latest Update: 001</x:v>
      </x:c>
    </x:row>
    <x:row r="187">
      <x:c r="A187" s="42" t="str">
        <x:v>OBS_000186</x:v>
      </x:c>
      <x:c r="B187" s="42" t="str"/>
      <x:c r="C187" s="42" t="str">
        <x:v>ukmto_warnings_2026</x:v>
      </x:c>
      <x:c r="D187" s="42" t="str">
        <x:v>119-26</x:v>
      </x:c>
      <x:c r="E187" s="42" t="str">
        <x:v>2026-08-24</x:v>
      </x:c>
      <x:c r="F187" s="42" t="str">
        <x:v>Maritime Security Warning</x:v>
      </x:c>
      <x:c r="G187" s="42" t="str">
        <x:v>Attack</x:v>
      </x:c>
      <x:c r="H187" s="42" t="str">
        <x:v>Conflict / maritime security attack</x:v>
      </x:c>
      <x:c r="I187" s="42" t="str">
        <x:v>Maritime</x:v>
      </x:c>
      <x:c r="J187" s="42" t="str"/>
      <x:c r="K187" s="42" t="str"/>
      <x:c r="L187" s="42" t="str"/>
      <x:c r="M187" s="42" t="str"/>
      <x:c r="N187" s="42" t="str"/>
      <x:c r="O187" s="42" t="str"/>
      <x:c r="P187" s="42" t="str"/>
      <x:c r="Q187" s="42" t="str"/>
      <x:c r="R187" s="42" t="str"/>
      <x:c r="S187" s="42" t="str">
        <x:v>UKMTO has received a report of an incident 63NM west of Yanbu, Saudi Arabia. The Company Security Officer reported a tanker has been struck by unknown projectile causing a fire to the vessel on the main deck. All crew are safe and accounted for and no environmental impact has been reported.</x:v>
      </x:c>
      <x:c r="T187" s="42" t="str"/>
      <x:c r="U187" s="42" t="str"/>
      <x:c r="V187" s="42" t="str"/>
      <x:c r="W187" s="42" t="str">
        <x:v>Offshore / regional maritime</x:v>
      </x:c>
      <x:c r="X187" s="42" t="str"/>
      <x:c r="Y187" s="42" t="str"/>
      <x:c r="Z187" s="42" t="str">
        <x:v>High</x:v>
      </x:c>
      <x:c r="AA187" s="42" t="str">
        <x:v>20260824-UKMTO_WARNING_119-26.pdf</x:v>
      </x:c>
      <x:c r="AB187" s="42" t="str">
        <x:v>Needs canonical event resolution</x:v>
      </x:c>
      <x:c r="AC187" s="42" t="str">
        <x:v>Has Update: No; Latest Update: </x:v>
      </x:c>
    </x:row>
    <x:row r="188">
      <x:c r="A188" s="42" t="str">
        <x:v>OBS_000187</x:v>
      </x:c>
      <x:c r="B188" s="42" t="str"/>
      <x:c r="C188" s="42" t="str">
        <x:v>ukmto_warnings_2026</x:v>
      </x:c>
      <x:c r="D188" s="42" t="str">
        <x:v>120-26</x:v>
      </x:c>
      <x:c r="E188" s="42" t="str">
        <x:v>2026-08-24</x:v>
      </x:c>
      <x:c r="F188" s="42" t="str">
        <x:v>Maritime Security Warning</x:v>
      </x:c>
      <x:c r="G188" s="42" t="str">
        <x:v>Attack</x:v>
      </x:c>
      <x:c r="H188" s="42" t="str">
        <x:v>Conflict / maritime security attack</x:v>
      </x:c>
      <x:c r="I188" s="42" t="str">
        <x:v>Maritime</x:v>
      </x:c>
      <x:c r="J188" s="42" t="str"/>
      <x:c r="K188" s="42" t="str"/>
      <x:c r="L188" s="42" t="str"/>
      <x:c r="M188" s="42" t="str"/>
      <x:c r="N188" s="42" t="str"/>
      <x:c r="O188" s="42" t="str"/>
      <x:c r="P188" s="42" t="str"/>
      <x:c r="Q188" s="42" t="str"/>
      <x:c r="R188" s="42" t="str"/>
      <x:c r="S188" s="42" t="str">
        <x:v>UKMTO has received a report of an incident 9NM northeast of Ash Shishah, Oman. The Master of an oil tanker reports the vessel has been struck by an unknown projectile causing damage to the engine room and disabling the vessel. Crew are reported safe. Environmental impact is unknown at time of report.</x:v>
      </x:c>
      <x:c r="T188" s="42" t="str"/>
      <x:c r="U188" s="42" t="str"/>
      <x:c r="V188" s="42" t="str"/>
      <x:c r="W188" s="42" t="str">
        <x:v>Offshore / regional maritime</x:v>
      </x:c>
      <x:c r="X188" s="42" t="str"/>
      <x:c r="Y188" s="42" t="str"/>
      <x:c r="Z188" s="42" t="str">
        <x:v>High</x:v>
      </x:c>
      <x:c r="AA188" s="42" t="str">
        <x:v>20260824-UKMTO_WARNING_120-26.pdf</x:v>
      </x:c>
      <x:c r="AB188" s="42" t="str">
        <x:v>Needs canonical event resolution</x:v>
      </x:c>
      <x:c r="AC188" s="42" t="str">
        <x:v>Has Update: No; Latest Update: </x:v>
      </x:c>
    </x:row>
    <x:row r="189">
      <x:c r="A189" s="42" t="str">
        <x:v>OBS_000188</x:v>
      </x:c>
      <x:c r="B189" s="42" t="str"/>
      <x:c r="C189" s="42" t="str">
        <x:v>ukmto_warnings_2026</x:v>
      </x:c>
      <x:c r="D189" s="42" t="str">
        <x:v>121-26</x:v>
      </x:c>
      <x:c r="E189" s="42" t="str">
        <x:v>2026-08-25</x:v>
      </x:c>
      <x:c r="F189" s="42" t="str">
        <x:v>Maritime Security Warning</x:v>
      </x:c>
      <x:c r="G189" s="42" t="str">
        <x:v>Attack</x:v>
      </x:c>
      <x:c r="H189" s="42" t="str">
        <x:v>Conflict / maritime security attack</x:v>
      </x:c>
      <x:c r="I189" s="42" t="str">
        <x:v>Maritime</x:v>
      </x:c>
      <x:c r="J189" s="42" t="str"/>
      <x:c r="K189" s="42" t="str"/>
      <x:c r="L189" s="42" t="str"/>
      <x:c r="M189" s="42" t="str"/>
      <x:c r="N189" s="42" t="str"/>
      <x:c r="O189" s="42" t="str"/>
      <x:c r="P189" s="42" t="str"/>
      <x:c r="Q189" s="42" t="str"/>
      <x:c r="R189" s="42" t="str"/>
      <x:c r="S189" s="42" t="str">
        <x:v>UKMTO has received a report of an incident in the Strait of Hormuz. Local authorities have reported a tanker has been hit by an unknown projectile causing fire to the vessel which has since been extinguished. All crew are reported as safe and accounted for and there has been no report of environmental impact. Authorities are investigating.</x:v>
      </x:c>
      <x:c r="T189" s="42" t="str"/>
      <x:c r="U189" s="42" t="str"/>
      <x:c r="V189" s="42" t="str"/>
      <x:c r="W189" s="42" t="str">
        <x:v>Offshore / regional maritime</x:v>
      </x:c>
      <x:c r="X189" s="42" t="str"/>
      <x:c r="Y189" s="42" t="str"/>
      <x:c r="Z189" s="42" t="str">
        <x:v>High</x:v>
      </x:c>
      <x:c r="AA189" s="42" t="str">
        <x:v>20260827-UKMTO_ATTACK-121-26.pdf</x:v>
      </x:c>
      <x:c r="AB189" s="42" t="str">
        <x:v>Needs canonical event resolution</x:v>
      </x:c>
      <x:c r="AC189" s="42" t="str">
        <x:v>Has Update: No; Latest Update: </x:v>
      </x:c>
    </x:row>
    <x:row r="190">
      <x:c r="A190" s="42" t="str">
        <x:v>OBS_000189</x:v>
      </x:c>
      <x:c r="B190" s="42" t="str"/>
      <x:c r="C190" s="42" t="str">
        <x:v>ukmto_warnings_2026</x:v>
      </x:c>
      <x:c r="D190" s="42" t="str">
        <x:v>122-26</x:v>
      </x:c>
      <x:c r="E190" s="42" t="str">
        <x:v>2026-08-29</x:v>
      </x:c>
      <x:c r="F190" s="42" t="str">
        <x:v>Maritime Security Warning</x:v>
      </x:c>
      <x:c r="G190" s="42" t="str">
        <x:v>Attack</x:v>
      </x:c>
      <x:c r="H190" s="42" t="str">
        <x:v>Conflict / maritime security attack</x:v>
      </x:c>
      <x:c r="I190" s="42" t="str">
        <x:v>Maritime</x:v>
      </x:c>
      <x:c r="J190" s="42" t="str"/>
      <x:c r="K190" s="42" t="str"/>
      <x:c r="L190" s="42" t="str"/>
      <x:c r="M190" s="42" t="str"/>
      <x:c r="N190" s="42" t="str"/>
      <x:c r="O190" s="42" t="str"/>
      <x:c r="P190" s="42" t="str"/>
      <x:c r="Q190" s="42" t="str"/>
      <x:c r="R190" s="42" t="str"/>
      <x:c r="S190" s="42" t="str">
        <x:v>UKMTO has received a time-late report of an incident 12NM north of Khasab, Oman. A tanker has been struck by an unknown projectile whilst transiting inbound in the Strait of Hormuz. No casualties or environmental impact are reported at this time. Authorities are investigating.</x:v>
      </x:c>
      <x:c r="T190" s="42" t="str"/>
      <x:c r="U190" s="42" t="str"/>
      <x:c r="V190" s="42" t="str"/>
      <x:c r="W190" s="42" t="str">
        <x:v>Offshore / regional maritime</x:v>
      </x:c>
      <x:c r="X190" s="42" t="str"/>
      <x:c r="Y190" s="42" t="str"/>
      <x:c r="Z190" s="42" t="str">
        <x:v>High</x:v>
      </x:c>
      <x:c r="AA190" s="42" t="str">
        <x:v>20260829-UKMTO_WARNING_122-26.pdf</x:v>
      </x:c>
      <x:c r="AB190" s="42" t="str">
        <x:v>Needs canonical event resolution</x:v>
      </x:c>
      <x:c r="AC190" s="42" t="str">
        <x:v>Has Update: No; Latest Update: </x:v>
      </x:c>
    </x:row>
    <x:row r="191">
      <x:c r="A191" s="42" t="str">
        <x:v>OBS_000190</x:v>
      </x:c>
      <x:c r="B191" s="42" t="str"/>
      <x:c r="C191" s="42" t="str">
        <x:v>ukmto_warnings_2026</x:v>
      </x:c>
      <x:c r="D191" s="42" t="str">
        <x:v>124-26</x:v>
      </x:c>
      <x:c r="E191" s="42" t="str">
        <x:v>2026-08-31</x:v>
      </x:c>
      <x:c r="F191" s="42" t="str">
        <x:v>Maritime Security Warning</x:v>
      </x:c>
      <x:c r="G191" s="42" t="str">
        <x:v>Attack</x:v>
      </x:c>
      <x:c r="H191" s="42" t="str">
        <x:v>Conflict / maritime security attack</x:v>
      </x:c>
      <x:c r="I191" s="42" t="str">
        <x:v>Maritime</x:v>
      </x:c>
      <x:c r="J191" s="42" t="str"/>
      <x:c r="K191" s="42" t="str"/>
      <x:c r="L191" s="42" t="str"/>
      <x:c r="M191" s="42" t="str"/>
      <x:c r="N191" s="42" t="str"/>
      <x:c r="O191" s="42" t="str"/>
      <x:c r="P191" s="42" t="str"/>
      <x:c r="Q191" s="42" t="str"/>
      <x:c r="R191" s="42" t="str"/>
      <x:c r="S191" s="42" t="str">
        <x:v>UKMTO has received a report of an incident 17NM east of Khasab, Oman. A tanker has reported being struck by 3 unknown projectiles whilst completing an outbound transit of the Strait of Hormuz. No casualties or environmental impact has been reported. Authorities are investigating.</x:v>
      </x:c>
      <x:c r="T191" s="42" t="str"/>
      <x:c r="U191" s="42" t="str"/>
      <x:c r="V191" s="42" t="str"/>
      <x:c r="W191" s="42" t="str">
        <x:v>Offshore / regional maritime</x:v>
      </x:c>
      <x:c r="X191" s="42" t="str"/>
      <x:c r="Y191" s="42" t="str"/>
      <x:c r="Z191" s="42" t="str">
        <x:v>High</x:v>
      </x:c>
      <x:c r="AA191" s="42" t="str">
        <x:v>20260831-UKMTO_WARNING_124-26.pdf</x:v>
      </x:c>
      <x:c r="AB191" s="42" t="str">
        <x:v>Needs canonical event resolution</x:v>
      </x:c>
      <x:c r="AC191" s="42" t="str">
        <x:v>Has Update: No; Latest Update: </x:v>
      </x:c>
    </x:row>
    <x:row r="192">
      <x:c r="A192" s="42" t="str">
        <x:v>OBS_000191</x:v>
      </x:c>
      <x:c r="B192" s="42" t="str"/>
      <x:c r="C192" s="42" t="str">
        <x:v>ukmto_warnings_2026</x:v>
      </x:c>
      <x:c r="D192" s="42" t="str">
        <x:v>126-26</x:v>
      </x:c>
      <x:c r="E192" s="42" t="str">
        <x:v>2026-09-02</x:v>
      </x:c>
      <x:c r="F192" s="42" t="str">
        <x:v>Maritime Security Warning</x:v>
      </x:c>
      <x:c r="G192" s="42" t="str">
        <x:v>Attack</x:v>
      </x:c>
      <x:c r="H192" s="42" t="str">
        <x:v>Suspicious / security incident</x:v>
      </x:c>
      <x:c r="I192" s="42" t="str">
        <x:v>Maritime</x:v>
      </x:c>
      <x:c r="J192" s="42" t="str"/>
      <x:c r="K192" s="42" t="str"/>
      <x:c r="L192" s="42" t="str"/>
      <x:c r="M192" s="42" t="str"/>
      <x:c r="N192" s="42" t="str"/>
      <x:c r="O192" s="42" t="str"/>
      <x:c r="P192" s="42" t="str"/>
      <x:c r="Q192" s="42" t="str"/>
      <x:c r="R192" s="42" t="str"/>
      <x:c r="S192" s="42" t="str">
        <x:v>UKMTO has received a time-late report of an incident in the Strait of Hormuz. UKMTO has received a verified report that a tanker was involved in a security incident resulting in two casualties. There is no report of environmental impact at this time. Update 001: UKMTO has received confirmation that the two casualties reported in this incident have now been confirmed as fatalities. Authorities are investigating.</x:v>
      </x:c>
      <x:c r="T192" s="42" t="str"/>
      <x:c r="U192" s="42" t="str"/>
      <x:c r="V192" s="42" t="str"/>
      <x:c r="W192" s="42" t="str">
        <x:v>Offshore / regional maritime</x:v>
      </x:c>
      <x:c r="X192" s="42" t="str"/>
      <x:c r="Y192" s="42" t="str"/>
      <x:c r="Z192" s="42" t="str">
        <x:v>Medium</x:v>
      </x:c>
      <x:c r="AA192" s="42" t="str">
        <x:v>20260902-UKMTO_WARNING_126-UPDATE_001.pdf</x:v>
      </x:c>
      <x:c r="AB192" s="42" t="str">
        <x:v>Needs canonical event resolution</x:v>
      </x:c>
      <x:c r="AC192" s="42" t="str">
        <x:v>Has Update: Yes; Latest Update: 001</x:v>
      </x:c>
    </x:row>
    <x:row r="193">
      <x:c r="A193" s="42" t="str">
        <x:v>OBS_000192</x:v>
      </x:c>
      <x:c r="B193" s="42" t="str"/>
      <x:c r="C193" s="42" t="str">
        <x:v>centcom_maritime_actions_2026</x:v>
      </x:c>
      <x:c r="D193" s="42" t="str">
        <x:v>1</x:v>
      </x:c>
      <x:c r="E193" s="42" t="str">
        <x:v>2026-04-19</x:v>
      </x:c>
      <x:c r="F193" s="42" t="str">
        <x:v>Military / Enforcement</x:v>
      </x:c>
      <x:c r="G193" s="42" t="str">
        <x:v>Disabled + boarded/seized</x:v>
      </x:c>
      <x:c r="H193" s="42" t="str">
        <x:v>5-inch Mk 45 gun into engine room; Marine boarding</x:v>
      </x:c>
      <x:c r="I193" s="42" t="str">
        <x:v>Maritime</x:v>
      </x:c>
      <x:c r="J193" s="42" t="str"/>
      <x:c r="K193" s="42" t="str"/>
      <x:c r="L193" s="42" t="str">
        <x:v>45 NM southeast of Chabahar / Arabian Sea</x:v>
      </x:c>
      <x:c r="M193" s="42" t="str"/>
      <x:c r="N193" s="42" t="str"/>
      <x:c r="O193" s="42" t="str">
        <x:v>TOUSKA</x:v>
      </x:c>
      <x:c r="P193" s="42" t="str">
        <x:v>9328900</x:v>
      </x:c>
      <x:c r="Q193" s="42" t="str">
        <x:v>Cargo vessel</x:v>
      </x:c>
      <x:c r="R193" s="42" t="str">
        <x:v>USS Spruance (DDG-111); 31st MEU</x:v>
      </x:c>
      <x:c r="S193" s="42" t="str">
        <x:v>First named vessel physically disabled and seized during blockade.</x:v>
      </x:c>
      <x:c r="T193" s="42" t="str">
        <x:v>Propulsion disabled</x:v>
      </x:c>
      <x:c r="U193" s="42" t="str"/>
      <x:c r="V193" s="42" t="str"/>
      <x:c r="W193" s="42" t="str">
        <x:v>Boarded and held in U.S. custody</x:v>
      </x:c>
      <x:c r="X193" s="42" t="str"/>
      <x:c r="Y193" s="42" t="str"/>
      <x:c r="Z193" s="42" t="str"/>
      <x:c r="AA193" s="42" t="str">
        <x:v>https://www.centcom.mil/MEDIA/PUBLIC-RELEASES/Article/4464037/us-forces-disable-vessel-attempting-to-enter-iranian-port-violate-blockade/ | https://www.imo.org/en/mediacentre/hottopics/pages/middle-east-highlighted-incidents.aspx</x:v>
      </x:c>
      <x:c r="AB193" s="42" t="str">
        <x:v>Needs canonical event resolution</x:v>
      </x:c>
      <x:c r="AC193" s="42" t="str">
        <x:v>Blockade phase: Initial blockade (13 Apr–18 Jun); Casualties: No injuries reported</x:v>
      </x:c>
    </x:row>
    <x:row r="194">
      <x:c r="A194" s="42" t="str">
        <x:v>OBS_000193</x:v>
      </x:c>
      <x:c r="B194" s="42" t="str"/>
      <x:c r="C194" s="42" t="str">
        <x:v>centcom_maritime_actions_2026</x:v>
      </x:c>
      <x:c r="D194" s="42" t="str">
        <x:v>2</x:v>
      </x:c>
      <x:c r="E194" s="42" t="str">
        <x:v>2026-04-28</x:v>
      </x:c>
      <x:c r="F194" s="42" t="str">
        <x:v>Military / Enforcement</x:v>
      </x:c>
      <x:c r="G194" s="42" t="str">
        <x:v>Boarded / searched</x:v>
      </x:c>
      <x:c r="H194" s="42" t="str">
        <x:v>Marine boarding</x:v>
      </x:c>
      <x:c r="I194" s="42" t="str">
        <x:v>Maritime</x:v>
      </x:c>
      <x:c r="J194" s="42" t="str"/>
      <x:c r="K194" s="42" t="str"/>
      <x:c r="L194" s="42" t="str">
        <x:v>Arabian Sea</x:v>
      </x:c>
      <x:c r="M194" s="42" t="str"/>
      <x:c r="N194" s="42" t="str"/>
      <x:c r="O194" s="42" t="str">
        <x:v>BLUE STAR III</x:v>
      </x:c>
      <x:c r="P194" s="42" t="str"/>
      <x:c r="Q194" s="42" t="str">
        <x:v>Commercial vessel</x:v>
      </x:c>
      <x:c r="R194" s="42" t="str">
        <x:v>31st MEU</x:v>
      </x:c>
      <x:c r="S194" s="42" t="str">
        <x:v>Boarding only; not counted among nine disabled vessels.</x:v>
      </x:c>
      <x:c r="T194" s="42" t="str">
        <x:v>No damage reported</x:v>
      </x:c>
      <x:c r="U194" s="42" t="str"/>
      <x:c r="V194" s="42" t="str"/>
      <x:c r="W194" s="42" t="str">
        <x:v>Released after search; voyage confirmed not to include Iranian port call</x:v>
      </x:c>
      <x:c r="X194" s="42" t="str"/>
      <x:c r="Y194" s="42" t="str"/>
      <x:c r="Z194" s="42" t="str"/>
      <x:c r="AA194" s="42" t="str">
        <x:v>https://www.centcom.mil/MEDIA/VIDEO-AND-IMAGERY/VIDEOS/dvpmoduleid/37619/dvpsearch/units/videoid/1004319/</x:v>
      </x:c>
      <x:c r="AB194" s="42" t="str">
        <x:v>Needs canonical event resolution</x:v>
      </x:c>
      <x:c r="AC194" s="42" t="str">
        <x:v>Blockade phase: Initial blockade; Casualties: None reported</x:v>
      </x:c>
    </x:row>
    <x:row r="195">
      <x:c r="A195" s="42" t="str">
        <x:v>OBS_000194</x:v>
      </x:c>
      <x:c r="B195" s="42" t="str"/>
      <x:c r="C195" s="42" t="str">
        <x:v>centcom_maritime_actions_2026</x:v>
      </x:c>
      <x:c r="D195" s="42" t="str">
        <x:v>3</x:v>
      </x:c>
      <x:c r="E195" s="42" t="str">
        <x:v>2026-05-06</x:v>
      </x:c>
      <x:c r="F195" s="42" t="str">
        <x:v>Military / Enforcement</x:v>
      </x:c>
      <x:c r="G195" s="42" t="str">
        <x:v>Disabled</x:v>
      </x:c>
      <x:c r="H195" s="42" t="str">
        <x:v>20mm cannon fire into rudder</x:v>
      </x:c>
      <x:c r="I195" s="42" t="str">
        <x:v>Maritime</x:v>
      </x:c>
      <x:c r="J195" s="42" t="str"/>
      <x:c r="K195" s="42" t="str"/>
      <x:c r="L195" s="42" t="str">
        <x:v>Gulf of Oman</x:v>
      </x:c>
      <x:c r="M195" s="42" t="str"/>
      <x:c r="N195" s="42" t="str"/>
      <x:c r="O195" s="42" t="str">
        <x:v>HASNA</x:v>
      </x:c>
      <x:c r="P195" s="42" t="str">
        <x:v>9212917</x:v>
      </x:c>
      <x:c r="Q195" s="42" t="str">
        <x:v>Oil tanker</x:v>
      </x:c>
      <x:c r="R195" s="42" t="str">
        <x:v>F/A-18 Super Hornet from USS Abraham Lincoln (CVN-72)</x:v>
      </x:c>
      <x:c r="S195" s="42" t="str"/>
      <x:c r="T195" s="42" t="str">
        <x:v>Rudder disabled; transit stopped</x:v>
      </x:c>
      <x:c r="U195" s="42" t="str"/>
      <x:c r="V195" s="42" t="str"/>
      <x:c r="W195" s="42" t="str">
        <x:v>Not seized</x:v>
      </x:c>
      <x:c r="X195" s="42" t="str"/>
      <x:c r="Y195" s="42" t="str"/>
      <x:c r="Z195" s="42" t="str"/>
      <x:c r="AA195" s="42" t="str">
        <x:v>https://www.centcom.mil/MEDIA/PUBLIC-RELEASES/Article/4479004/us-forces-disable-vessel-in-gulf-of-oman-attempting-to-violate-blockade/ | https://www.imo.org/en/mediacentre/hottopics/pages/middle-east-highlighted-incidents.aspx</x:v>
      </x:c>
      <x:c r="AB195" s="42" t="str">
        <x:v>Needs canonical event resolution</x:v>
      </x:c>
      <x:c r="AC195" s="42" t="str">
        <x:v>Blockade phase: Initial blockade; Casualties: No casualties/pollution reported</x:v>
      </x:c>
    </x:row>
    <x:row r="196">
      <x:c r="A196" s="42" t="str">
        <x:v>OBS_000195</x:v>
      </x:c>
      <x:c r="B196" s="42" t="str"/>
      <x:c r="C196" s="42" t="str">
        <x:v>centcom_maritime_actions_2026</x:v>
      </x:c>
      <x:c r="D196" s="42" t="str">
        <x:v>4</x:v>
      </x:c>
      <x:c r="E196" s="42" t="str">
        <x:v>2026-05-08</x:v>
      </x:c>
      <x:c r="F196" s="42" t="str">
        <x:v>Military / Enforcement</x:v>
      </x:c>
      <x:c r="G196" s="42" t="str">
        <x:v>Disabled</x:v>
      </x:c>
      <x:c r="H196" s="42" t="str">
        <x:v>Precision munition into smokestack</x:v>
      </x:c>
      <x:c r="I196" s="42" t="str">
        <x:v>Maritime</x:v>
      </x:c>
      <x:c r="J196" s="42" t="str"/>
      <x:c r="K196" s="42" t="str"/>
      <x:c r="L196" s="42" t="str">
        <x:v>Gulf of Oman</x:v>
      </x:c>
      <x:c r="M196" s="42" t="str"/>
      <x:c r="N196" s="42" t="str"/>
      <x:c r="O196" s="42" t="str">
        <x:v>SEA STAR III</x:v>
      </x:c>
      <x:c r="P196" s="42" t="str">
        <x:v>9569205</x:v>
      </x:c>
      <x:c r="Q196" s="42" t="str">
        <x:v>Crude oil tanker</x:v>
      </x:c>
      <x:c r="R196" s="42" t="str">
        <x:v>F/A-18 Super Hornet from USS George H.W. Bush (CVN-77)</x:v>
      </x:c>
      <x:c r="S196" s="42" t="str">
        <x:v>OFAC-linked to National Iranian Tanker Company.</x:v>
      </x:c>
      <x:c r="T196" s="42" t="str">
        <x:v>Disabled; transit stopped</x:v>
      </x:c>
      <x:c r="U196" s="42" t="str"/>
      <x:c r="V196" s="42" t="str"/>
      <x:c r="W196" s="42" t="str">
        <x:v>Not seized</x:v>
      </x:c>
      <x:c r="X196" s="42" t="str"/>
      <x:c r="Y196" s="42" t="str"/>
      <x:c r="Z196" s="42" t="str"/>
      <x:c r="AA196" s="42" t="str">
        <x:v>https://www.centcom.mil/MEDIA/PUBLIC-RELEASES/Article/4480820/us-disables-2-more-vessels-violating-blockade-in-gulf-of-oman/ | https://www.imo.org/en/mediacentre/hottopics/pages/middle-east-highlighted-incidents.aspx</x:v>
      </x:c>
      <x:c r="AB196" s="42" t="str">
        <x:v>Needs canonical event resolution</x:v>
      </x:c>
      <x:c r="AC196" s="42" t="str">
        <x:v>Blockade phase: Initial blockade; Casualties: No casualties/pollution reported</x:v>
      </x:c>
    </x:row>
    <x:row r="197">
      <x:c r="A197" s="42" t="str">
        <x:v>OBS_000196</x:v>
      </x:c>
      <x:c r="B197" s="42" t="str"/>
      <x:c r="C197" s="42" t="str">
        <x:v>centcom_maritime_actions_2026</x:v>
      </x:c>
      <x:c r="D197" s="42" t="str">
        <x:v>5</x:v>
      </x:c>
      <x:c r="E197" s="42" t="str">
        <x:v>2026-05-08</x:v>
      </x:c>
      <x:c r="F197" s="42" t="str">
        <x:v>Military / Enforcement</x:v>
      </x:c>
      <x:c r="G197" s="42" t="str">
        <x:v>Disabled</x:v>
      </x:c>
      <x:c r="H197" s="42" t="str">
        <x:v>Precision munition into smokestack</x:v>
      </x:c>
      <x:c r="I197" s="42" t="str">
        <x:v>Maritime</x:v>
      </x:c>
      <x:c r="J197" s="42" t="str"/>
      <x:c r="K197" s="42" t="str"/>
      <x:c r="L197" s="42" t="str">
        <x:v>Gulf of Oman</x:v>
      </x:c>
      <x:c r="M197" s="42" t="str"/>
      <x:c r="N197" s="42" t="str"/>
      <x:c r="O197" s="42" t="str">
        <x:v>SEVDA</x:v>
      </x:c>
      <x:c r="P197" s="42" t="str">
        <x:v>9172040</x:v>
      </x:c>
      <x:c r="Q197" s="42" t="str">
        <x:v>Oil tanker</x:v>
      </x:c>
      <x:c r="R197" s="42" t="str">
        <x:v>F/A-18 Super Hornet from USS George H.W. Bush (CVN-77)</x:v>
      </x:c>
      <x:c r="S197" s="42" t="str"/>
      <x:c r="T197" s="42" t="str">
        <x:v>Disabled; transit stopped</x:v>
      </x:c>
      <x:c r="U197" s="42" t="str"/>
      <x:c r="V197" s="42" t="str"/>
      <x:c r="W197" s="42" t="str">
        <x:v>Not seized</x:v>
      </x:c>
      <x:c r="X197" s="42" t="str"/>
      <x:c r="Y197" s="42" t="str"/>
      <x:c r="Z197" s="42" t="str"/>
      <x:c r="AA197" s="42" t="str">
        <x:v>https://www.centcom.mil/MEDIA/PUBLIC-RELEASES/Article/4480820/us-disables-2-more-vessels-violating-blockade-in-gulf-of-oman/ | https://www.imo.org/en/mediacentre/hottopics/pages/middle-east-highlighted-incidents.aspx</x:v>
      </x:c>
      <x:c r="AB197" s="42" t="str">
        <x:v>Needs canonical event resolution</x:v>
      </x:c>
      <x:c r="AC197" s="42" t="str">
        <x:v>Blockade phase: Initial blockade; Casualties: No casualties/pollution reported</x:v>
      </x:c>
    </x:row>
    <x:row r="198">
      <x:c r="A198" s="42" t="str">
        <x:v>OBS_000197</x:v>
      </x:c>
      <x:c r="B198" s="42" t="str"/>
      <x:c r="C198" s="42" t="str">
        <x:v>centcom_maritime_actions_2026</x:v>
      </x:c>
      <x:c r="D198" s="42" t="str">
        <x:v>6</x:v>
      </x:c>
      <x:c r="E198" s="42" t="str">
        <x:v>2026-05-20</x:v>
      </x:c>
      <x:c r="F198" s="42" t="str">
        <x:v>Military / Enforcement</x:v>
      </x:c>
      <x:c r="G198" s="42" t="str">
        <x:v>Boarded / searched / redirected</x:v>
      </x:c>
      <x:c r="H198" s="42" t="str">
        <x:v>Marine boarding</x:v>
      </x:c>
      <x:c r="I198" s="42" t="str">
        <x:v>Maritime</x:v>
      </x:c>
      <x:c r="J198" s="42" t="str"/>
      <x:c r="K198" s="42" t="str"/>
      <x:c r="L198" s="42" t="str">
        <x:v>Gulf of Oman</x:v>
      </x:c>
      <x:c r="M198" s="42" t="str"/>
      <x:c r="N198" s="42" t="str"/>
      <x:c r="O198" s="42" t="str">
        <x:v>CELESTIAL SEA</x:v>
      </x:c>
      <x:c r="P198" s="42" t="str"/>
      <x:c r="Q198" s="42" t="str">
        <x:v>Oil tanker</x:v>
      </x:c>
      <x:c r="R198" s="42" t="str">
        <x:v>31st MEU</x:v>
      </x:c>
      <x:c r="S198" s="42" t="str">
        <x:v>Boarding only; not counted among disabled vessels.</x:v>
      </x:c>
      <x:c r="T198" s="42" t="str">
        <x:v>No damage reported</x:v>
      </x:c>
      <x:c r="U198" s="42" t="str"/>
      <x:c r="V198" s="42" t="str"/>
      <x:c r="W198" s="42" t="str">
        <x:v>Released after search and directed to alter course</x:v>
      </x:c>
      <x:c r="X198" s="42" t="str"/>
      <x:c r="Y198" s="42" t="str"/>
      <x:c r="Z198" s="42" t="str"/>
      <x:c r="AA198" s="42" t="str">
        <x:v>https://www.reuters.com/world/middle-east/us-military-boards-releases-iran-flagged-oil-tanker-gulf-oman-2026-05-20/ | https://www.centcom.mil/OPERATIONS-AND-EXERCISES/EPIC-FURY/?dvpTag=blockade&amp;dvpmoduleid=41413</x:v>
      </x:c>
      <x:c r="AB198" s="42" t="str">
        <x:v>Needs canonical event resolution</x:v>
      </x:c>
      <x:c r="AC198" s="42" t="str">
        <x:v>Blockade phase: Initial blockade; Casualties: None reported</x:v>
      </x:c>
    </x:row>
    <x:row r="199">
      <x:c r="A199" s="42" t="str">
        <x:v>OBS_000198</x:v>
      </x:c>
      <x:c r="B199" s="42" t="str"/>
      <x:c r="C199" s="42" t="str">
        <x:v>centcom_maritime_actions_2026</x:v>
      </x:c>
      <x:c r="D199" s="42" t="str">
        <x:v>7</x:v>
      </x:c>
      <x:c r="E199" s="42" t="str">
        <x:v>2026-05-29</x:v>
      </x:c>
      <x:c r="F199" s="42" t="str">
        <x:v>Military / Enforcement</x:v>
      </x:c>
      <x:c r="G199" s="42" t="str">
        <x:v>Disabled</x:v>
      </x:c>
      <x:c r="H199" s="42" t="str">
        <x:v>Hellfire missile into engine room</x:v>
      </x:c>
      <x:c r="I199" s="42" t="str">
        <x:v>Maritime</x:v>
      </x:c>
      <x:c r="J199" s="42" t="str"/>
      <x:c r="K199" s="42" t="str"/>
      <x:c r="L199" s="42" t="str">
        <x:v>Gulf of Oman</x:v>
      </x:c>
      <x:c r="M199" s="42" t="str"/>
      <x:c r="N199" s="42" t="str"/>
      <x:c r="O199" s="42" t="str">
        <x:v>LIAN STAR</x:v>
      </x:c>
      <x:c r="P199" s="42" t="str">
        <x:v>9072692</x:v>
      </x:c>
      <x:c r="Q199" s="42" t="str">
        <x:v>General cargo ship</x:v>
      </x:c>
      <x:c r="R199" s="42" t="str">
        <x:v>U.S. aircraft</x:v>
      </x:c>
      <x:c r="S199" s="42" t="str"/>
      <x:c r="T199" s="42" t="str">
        <x:v>Disabled; transit stopped</x:v>
      </x:c>
      <x:c r="U199" s="42" t="str"/>
      <x:c r="V199" s="42" t="str"/>
      <x:c r="W199" s="42" t="str">
        <x:v>Not seized</x:v>
      </x:c>
      <x:c r="X199" s="42" t="str"/>
      <x:c r="Y199" s="42" t="str"/>
      <x:c r="Z199" s="42" t="str"/>
      <x:c r="AA199" s="42" t="str">
        <x:v>https://www.centcom.mil/MEDIA/PUBLIC-RELEASES/Article/4504816/us-forces-disable-non-compliant-vessel-in-gulf-of-oman-to-prevent-blockade-viol/ | https://www.imo.org/en/mediacentre/hottopics/pages/middle-east-highlighted-incidents.aspx</x:v>
      </x:c>
      <x:c r="AB199" s="42" t="str">
        <x:v>Needs canonical event resolution</x:v>
      </x:c>
      <x:c r="AC199" s="42" t="str">
        <x:v>Blockade phase: Initial blockade; Casualties: No casualties/pollution reported</x:v>
      </x:c>
    </x:row>
    <x:row r="200">
      <x:c r="A200" s="42" t="str">
        <x:v>OBS_000199</x:v>
      </x:c>
      <x:c r="B200" s="42" t="str"/>
      <x:c r="C200" s="42" t="str">
        <x:v>centcom_maritime_actions_2026</x:v>
      </x:c>
      <x:c r="D200" s="42" t="str">
        <x:v>8</x:v>
      </x:c>
      <x:c r="E200" s="42" t="str">
        <x:v>2026-06-02</x:v>
      </x:c>
      <x:c r="F200" s="42" t="str">
        <x:v>Military / Enforcement</x:v>
      </x:c>
      <x:c r="G200" s="42" t="str">
        <x:v>Disabled</x:v>
      </x:c>
      <x:c r="H200" s="42" t="str">
        <x:v>Hellfire missile into engine room</x:v>
      </x:c>
      <x:c r="I200" s="42" t="str">
        <x:v>Maritime</x:v>
      </x:c>
      <x:c r="J200" s="42" t="str"/>
      <x:c r="K200" s="42" t="str"/>
      <x:c r="L200" s="42" t="str">
        <x:v>Persian/Arabian Gulf toward Kharg Island</x:v>
      </x:c>
      <x:c r="M200" s="42" t="str"/>
      <x:c r="N200" s="42" t="str"/>
      <x:c r="O200" s="42" t="str">
        <x:v>LEXIE</x:v>
      </x:c>
      <x:c r="P200" s="42" t="str">
        <x:v>9203277</x:v>
      </x:c>
      <x:c r="Q200" s="42" t="str">
        <x:v>Oil tanker</x:v>
      </x:c>
      <x:c r="R200" s="42" t="str">
        <x:v>U.S. aircraft</x:v>
      </x:c>
      <x:c r="S200" s="42" t="str"/>
      <x:c r="T200" s="42" t="str">
        <x:v>Disabled; unable to reach Iran</x:v>
      </x:c>
      <x:c r="U200" s="42" t="str"/>
      <x:c r="V200" s="42" t="str"/>
      <x:c r="W200" s="42" t="str">
        <x:v>Not seized</x:v>
      </x:c>
      <x:c r="X200" s="42" t="str"/>
      <x:c r="Y200" s="42" t="str"/>
      <x:c r="Z200" s="42" t="str"/>
      <x:c r="AA200" s="42" t="str">
        <x:v>https://www.centcom.mil/MEDIA/PUBLIC-RELEASES/Article/4506969/centcom-disables-non-compliant-vessel-in-arabian-gulf/ | https://www.imo.org/en/mediacentre/hottopics/pages/middle-east-highlighted-incidents.aspx</x:v>
      </x:c>
      <x:c r="AB200" s="42" t="str">
        <x:v>Needs canonical event resolution</x:v>
      </x:c>
      <x:c r="AC200" s="42" t="str">
        <x:v>Blockade phase: Initial blockade; Casualties: No casualties/pollution reported</x:v>
      </x:c>
    </x:row>
    <x:row r="201">
      <x:c r="A201" s="42" t="str">
        <x:v>OBS_000200</x:v>
      </x:c>
      <x:c r="B201" s="42" t="str"/>
      <x:c r="C201" s="42" t="str">
        <x:v>centcom_maritime_actions_2026</x:v>
      </x:c>
      <x:c r="D201" s="42" t="str">
        <x:v>9</x:v>
      </x:c>
      <x:c r="E201" s="42" t="str">
        <x:v>2026-06-08</x:v>
      </x:c>
      <x:c r="F201" s="42" t="str">
        <x:v>Military / Enforcement</x:v>
      </x:c>
      <x:c r="G201" s="42" t="str">
        <x:v>Disabled</x:v>
      </x:c>
      <x:c r="H201" s="42" t="str">
        <x:v>Precision munition into engineering/steering spaces</x:v>
      </x:c>
      <x:c r="I201" s="42" t="str">
        <x:v>Maritime</x:v>
      </x:c>
      <x:c r="J201" s="42" t="str"/>
      <x:c r="K201" s="42" t="str"/>
      <x:c r="L201" s="42" t="str">
        <x:v>21 NM northeast of Masirah Island, Oman</x:v>
      </x:c>
      <x:c r="M201" s="42" t="str"/>
      <x:c r="N201" s="42" t="str"/>
      <x:c r="O201" s="42" t="str">
        <x:v>MARIVEX</x:v>
      </x:c>
      <x:c r="P201" s="42" t="str">
        <x:v>9464156</x:v>
      </x:c>
      <x:c r="Q201" s="42" t="str">
        <x:v>Oil tanker</x:v>
      </x:c>
      <x:c r="R201" s="42" t="str">
        <x:v>F/A-18 Super Hornet from USS Abraham Lincoln (CVN-72)</x:v>
      </x:c>
      <x:c r="S201" s="42" t="str">
        <x:v>Palau registry later said vessel was not validly Palau-flagged on incident date.</x:v>
      </x:c>
      <x:c r="T201" s="42" t="str">
        <x:v>Damaged; abandoned</x:v>
      </x:c>
      <x:c r="U201" s="42" t="str"/>
      <x:c r="V201" s="42" t="str"/>
      <x:c r="W201" s="42" t="str">
        <x:v>Not seized</x:v>
      </x:c>
      <x:c r="X201" s="42" t="str"/>
      <x:c r="Y201" s="42" t="str"/>
      <x:c r="Z201" s="42" t="str"/>
      <x:c r="AA201" s="42" t="str">
        <x:v>https://www.centcom.mil/MEDIA/PUBLIC-RELEASES/Article/4511257/us-forces-disable-non-compliant-oil-tanker-in-gulf-of-oman/ | https://www.marinelog.com/news/u-s-strike-disables-would-be-blockade-buster-marivex/</x:v>
      </x:c>
      <x:c r="AB201" s="42" t="str">
        <x:v>Needs canonical event resolution</x:v>
      </x:c>
      <x:c r="AC201" s="42" t="str">
        <x:v>Blockade phase: Initial blockade; Casualties: No injuries/pollution reported</x:v>
      </x:c>
    </x:row>
    <x:row r="202">
      <x:c r="A202" s="42" t="str">
        <x:v>OBS_000201</x:v>
      </x:c>
      <x:c r="B202" s="42" t="str"/>
      <x:c r="C202" s="42" t="str">
        <x:v>centcom_maritime_actions_2026</x:v>
      </x:c>
      <x:c r="D202" s="42" t="str">
        <x:v>10</x:v>
      </x:c>
      <x:c r="E202" s="42" t="str">
        <x:v>2026-06-09</x:v>
      </x:c>
      <x:c r="F202" s="42" t="str">
        <x:v>Military / Enforcement</x:v>
      </x:c>
      <x:c r="G202" s="42" t="str">
        <x:v>Disabled</x:v>
      </x:c>
      <x:c r="H202" s="42" t="str">
        <x:v>Precision munition into engine room</x:v>
      </x:c>
      <x:c r="I202" s="42" t="str">
        <x:v>Maritime</x:v>
      </x:c>
      <x:c r="J202" s="42" t="str"/>
      <x:c r="K202" s="42" t="str"/>
      <x:c r="L202" s="42" t="str">
        <x:v>25 NM east of Shinas, Oman</x:v>
      </x:c>
      <x:c r="M202" s="42" t="str"/>
      <x:c r="N202" s="42" t="str"/>
      <x:c r="O202" s="42" t="str">
        <x:v>SETTEBELLO</x:v>
      </x:c>
      <x:c r="P202" s="42" t="str">
        <x:v>9162916</x:v>
      </x:c>
      <x:c r="Q202" s="42" t="str">
        <x:v>Oil products tanker</x:v>
      </x:c>
      <x:c r="R202" s="42" t="str">
        <x:v>U.S. aircraft</x:v>
      </x:c>
      <x:c r="S202" s="42" t="str">
        <x:v>First confirmed seafarer deaths from U.S. blockade enforcement.</x:v>
      </x:c>
      <x:c r="T202" s="42" t="str">
        <x:v>Damaged; abandoned</x:v>
      </x:c>
      <x:c r="U202" s="42" t="str"/>
      <x:c r="V202" s="42" t="str"/>
      <x:c r="W202" s="42" t="str">
        <x:v>Not seized</x:v>
      </x:c>
      <x:c r="X202" s="42" t="str"/>
      <x:c r="Y202" s="42" t="str"/>
      <x:c r="Z202" s="42" t="str"/>
      <x:c r="AA202" s="42" t="str">
        <x:v>https://www.centcom.mil/MEDIA/PUBLIC-RELEASES/Article/4513450/centcom-disables-non-compliant-vessel-in-gulf-of-oman/ | https://www.imo.org/en/mediacentre/pressbriefings/pages/imo-statement-on-settebello-attack.aspx</x:v>
      </x:c>
      <x:c r="AB202" s="42" t="str">
        <x:v>Needs canonical event resolution</x:v>
      </x:c>
      <x:c r="AC202" s="42" t="str">
        <x:v>Blockade phase: Initial blockade; Casualties: 3 seafarer fatalities</x:v>
      </x:c>
    </x:row>
    <x:row r="203">
      <x:c r="A203" s="42" t="str">
        <x:v>OBS_000202</x:v>
      </x:c>
      <x:c r="B203" s="42" t="str"/>
      <x:c r="C203" s="42" t="str">
        <x:v>centcom_maritime_actions_2026</x:v>
      </x:c>
      <x:c r="D203" s="42" t="str">
        <x:v>11</x:v>
      </x:c>
      <x:c r="E203" s="42" t="str">
        <x:v>2026-06-10</x:v>
      </x:c>
      <x:c r="F203" s="42" t="str">
        <x:v>Military / Enforcement</x:v>
      </x:c>
      <x:c r="G203" s="42" t="str">
        <x:v>Disabled</x:v>
      </x:c>
      <x:c r="H203" s="42" t="str">
        <x:v>Two Hellfire missiles into engine room</x:v>
      </x:c>
      <x:c r="I203" s="42" t="str">
        <x:v>Maritime</x:v>
      </x:c>
      <x:c r="J203" s="42" t="str"/>
      <x:c r="K203" s="42" t="str"/>
      <x:c r="L203" s="42" t="str">
        <x:v>21 NM northeast of Sohar, Oman</x:v>
      </x:c>
      <x:c r="M203" s="42" t="str"/>
      <x:c r="N203" s="42" t="str"/>
      <x:c r="O203" s="42" t="str">
        <x:v>JALVEER</x:v>
      </x:c>
      <x:c r="P203" s="42" t="str">
        <x:v>9486283</x:v>
      </x:c>
      <x:c r="Q203" s="42" t="str">
        <x:v>Bitumen tanker</x:v>
      </x:c>
      <x:c r="R203" s="42" t="str">
        <x:v>U.S. aircraft</x:v>
      </x:c>
      <x:c r="S203" s="42" t="str">
        <x:v>CENTCOM said this brought disabled-vessel count to nine.</x:v>
      </x:c>
      <x:c r="T203" s="42" t="str">
        <x:v>Damaged; abandoned</x:v>
      </x:c>
      <x:c r="U203" s="42" t="str"/>
      <x:c r="V203" s="42" t="str"/>
      <x:c r="W203" s="42" t="str">
        <x:v>Not seized</x:v>
      </x:c>
      <x:c r="X203" s="42" t="str"/>
      <x:c r="Y203" s="42" t="str"/>
      <x:c r="Z203" s="42" t="str"/>
      <x:c r="AA203" s="42" t="str">
        <x:v>https://www.centcom.mil/MEDIA/PUBLIC-RELEASES/Article/4514268/us-forces-disable-3rd-oil-tanker-violating-blockade-in-gulf-of-oman/ | https://www.imo.org/en/mediacentre/hottopics/pages/middle-east-highlighted-incidents.aspx</x:v>
      </x:c>
      <x:c r="AB203" s="42" t="str">
        <x:v>Needs canonical event resolution</x:v>
      </x:c>
      <x:c r="AC203" s="42" t="str">
        <x:v>Blockade phase: Initial blockade; Casualties: No pollution reported</x:v>
      </x:c>
    </x:row>
    <x:row r="204">
      <x:c r="A204" s="42" t="str">
        <x:v>OBS_000203</x:v>
      </x:c>
      <x:c r="B204" s="42" t="str"/>
      <x:c r="C204" s="42" t="str">
        <x:v>centcom_maritime_actions_2026</x:v>
      </x:c>
      <x:c r="D204" s="42" t="str">
        <x:v>12</x:v>
      </x:c>
      <x:c r="E204" s="42" t="str">
        <x:v>2026-07-15</x:v>
      </x:c>
      <x:c r="F204" s="42" t="str">
        <x:v>Military / Enforcement</x:v>
      </x:c>
      <x:c r="G204" s="42" t="str">
        <x:v>Disabled</x:v>
      </x:c>
      <x:c r="H204" s="42" t="str">
        <x:v>Hellfire missiles into smokestack</x:v>
      </x:c>
      <x:c r="I204" s="42" t="str">
        <x:v>Maritime</x:v>
      </x:c>
      <x:c r="J204" s="42" t="str"/>
      <x:c r="K204" s="42" t="str"/>
      <x:c r="L204" s="42" t="str">
        <x:v>IVO Bushehr Province / Arabian Gulf</x:v>
      </x:c>
      <x:c r="M204" s="42" t="str"/>
      <x:c r="N204" s="42" t="str"/>
      <x:c r="O204" s="42" t="str">
        <x:v>BELMA</x:v>
      </x:c>
      <x:c r="P204" s="42" t="str">
        <x:v>9289491</x:v>
      </x:c>
      <x:c r="Q204" s="42" t="str">
        <x:v>Crude oil tanker</x:v>
      </x:c>
      <x:c r="R204" s="42" t="str">
        <x:v>U.S. aircraft</x:v>
      </x:c>
      <x:c r="S204" s="42" t="str"/>
      <x:c r="T204" s="42" t="str">
        <x:v>Damaged; transit to Kharg stopped</x:v>
      </x:c>
      <x:c r="U204" s="42" t="str"/>
      <x:c r="V204" s="42" t="str"/>
      <x:c r="W204" s="42" t="str">
        <x:v>Not seized</x:v>
      </x:c>
      <x:c r="X204" s="42" t="str"/>
      <x:c r="Y204" s="42" t="str"/>
      <x:c r="Z204" s="42" t="str"/>
      <x:c r="AA204" s="42" t="str">
        <x:v>https://www.centcom.mil/MEDIA/PUBLIC-RELEASES/Article/4546626/us-forces-disable-non-compliant-vessel-in-arabian-gulf/ | https://www.imo.org/en/mediacentre/hottopics/pages/middle-east-highlighted-incidents.aspx</x:v>
      </x:c>
      <x:c r="AB204" s="42" t="str">
        <x:v>Needs canonical event resolution</x:v>
      </x:c>
      <x:c r="AC204" s="42" t="str">
        <x:v>Blockade phase: Resumed blockade (from 14 Jul); Casualties: No pollution reported</x:v>
      </x:c>
    </x:row>
    <x:row r="205">
      <x:c r="A205" s="42" t="str">
        <x:v>OBS_000204</x:v>
      </x:c>
      <x:c r="B205" s="42" t="str"/>
      <x:c r="C205" s="42" t="str">
        <x:v>centcom_maritime_actions_2026</x:v>
      </x:c>
      <x:c r="D205" s="42" t="str">
        <x:v>13</x:v>
      </x:c>
      <x:c r="E205" s="42" t="str">
        <x:v>2026-09-05</x:v>
      </x:c>
      <x:c r="F205" s="42" t="str">
        <x:v>Military / Enforcement</x:v>
      </x:c>
      <x:c r="G205" s="42" t="str">
        <x:v>Strike / permanently disabled</x:v>
      </x:c>
      <x:c r="H205" s="42" t="str">
        <x:v>Air-delivered strike</x:v>
      </x:c>
      <x:c r="I205" s="42" t="str">
        <x:v>Maritime</x:v>
      </x:c>
      <x:c r="J205" s="42" t="str"/>
      <x:c r="K205" s="42" t="str"/>
      <x:c r="L205" s="42" t="str">
        <x:v>Off Kharg Island</x:v>
      </x:c>
      <x:c r="M205" s="42" t="str"/>
      <x:c r="N205" s="42" t="str"/>
      <x:c r="O205" s="42" t="str">
        <x:v>DOWNY</x:v>
      </x:c>
      <x:c r="P205" s="42" t="str"/>
      <x:c r="Q205" s="42" t="str">
        <x:v>Crude oil carrier</x:v>
      </x:c>
      <x:c r="R205" s="42" t="str">
        <x:v>CENTCOM forces / U.S. aircraft</x:v>
      </x:c>
      <x:c r="S205" s="42" t="str">
        <x:v>IMO number not yet independently verified in public sources reviewed.</x:v>
      </x:c>
      <x:c r="T205" s="42" t="str">
        <x:v>Permanently disabled</x:v>
      </x:c>
      <x:c r="U205" s="42" t="str"/>
      <x:c r="V205" s="42" t="str"/>
      <x:c r="W205" s="42" t="str">
        <x:v>Not applicable</x:v>
      </x:c>
      <x:c r="X205" s="42" t="str"/>
      <x:c r="Y205" s="42" t="str"/>
      <x:c r="Z205" s="42" t="str"/>
      <x:c r="AA205" s="42" t="str">
        <x:v>https://www.centcom.mil/MEDIA/PUBLIC-RELEASES/Article/4591744/centcom-destroys-3-irgc-oil-tankers-after-iran-targets-2-us-navy-warships/ | https://www.reuters.com/world/middle-east/us-military-strikes-three-iranian-crude-oil-carriers-central-command-says-2026-09-05/</x:v>
      </x:c>
      <x:c r="AB205" s="42" t="str">
        <x:v>Needs canonical event resolution</x:v>
      </x:c>
      <x:c r="AC205" s="42" t="str">
        <x:v>Blockade phase: Post-ceasefire escalation; Casualties: No casualties reported by CENTCOM</x:v>
      </x:c>
    </x:row>
    <x:row r="206">
      <x:c r="A206" s="42" t="str">
        <x:v>OBS_000205</x:v>
      </x:c>
      <x:c r="B206" s="42" t="str"/>
      <x:c r="C206" s="42" t="str">
        <x:v>centcom_maritime_actions_2026</x:v>
      </x:c>
      <x:c r="D206" s="42" t="str">
        <x:v>14</x:v>
      </x:c>
      <x:c r="E206" s="42" t="str">
        <x:v>2026-09-05</x:v>
      </x:c>
      <x:c r="F206" s="42" t="str">
        <x:v>Military / Enforcement</x:v>
      </x:c>
      <x:c r="G206" s="42" t="str">
        <x:v>Strike / permanently disabled</x:v>
      </x:c>
      <x:c r="H206" s="42" t="str">
        <x:v>Air-delivered strike</x:v>
      </x:c>
      <x:c r="I206" s="42" t="str">
        <x:v>Maritime</x:v>
      </x:c>
      <x:c r="J206" s="42" t="str"/>
      <x:c r="K206" s="42" t="str"/>
      <x:c r="L206" s="42" t="str">
        <x:v>Near Jask, Iran</x:v>
      </x:c>
      <x:c r="M206" s="42" t="str"/>
      <x:c r="N206" s="42" t="str"/>
      <x:c r="O206" s="42" t="str">
        <x:v>STARK 1</x:v>
      </x:c>
      <x:c r="P206" s="42" t="str"/>
      <x:c r="Q206" s="42" t="str">
        <x:v>Crude oil carrier</x:v>
      </x:c>
      <x:c r="R206" s="42" t="str">
        <x:v>CENTCOM forces / U.S. aircraft</x:v>
      </x:c>
      <x:c r="S206" s="42" t="str">
        <x:v>IMO number not yet independently verified in public sources reviewed.</x:v>
      </x:c>
      <x:c r="T206" s="42" t="str">
        <x:v>Permanently disabled</x:v>
      </x:c>
      <x:c r="U206" s="42" t="str"/>
      <x:c r="V206" s="42" t="str"/>
      <x:c r="W206" s="42" t="str">
        <x:v>Not applicable</x:v>
      </x:c>
      <x:c r="X206" s="42" t="str"/>
      <x:c r="Y206" s="42" t="str"/>
      <x:c r="Z206" s="42" t="str"/>
      <x:c r="AA206" s="42" t="str">
        <x:v>https://www.centcom.mil/MEDIA/PUBLIC-RELEASES/Article/4591744/centcom-destroys-3-irgc-oil-tankers-after-iran-targets-2-us-navy-warships/ | https://www.reuters.com/world/middle-east/us-military-strikes-three-iranian-crude-oil-carriers-central-command-says-2026-09-05/</x:v>
      </x:c>
      <x:c r="AB206" s="42" t="str">
        <x:v>Needs canonical event resolution</x:v>
      </x:c>
      <x:c r="AC206" s="42" t="str">
        <x:v>Blockade phase: Post-ceasefire escalation; Casualties: No casualties reported by CENTCOM</x:v>
      </x:c>
    </x:row>
    <x:row r="207">
      <x:c r="A207" s="42" t="str">
        <x:v>OBS_000206</x:v>
      </x:c>
      <x:c r="B207" s="42" t="str"/>
      <x:c r="C207" s="42" t="str">
        <x:v>centcom_maritime_actions_2026</x:v>
      </x:c>
      <x:c r="D207" s="42" t="str">
        <x:v>15</x:v>
      </x:c>
      <x:c r="E207" s="42" t="str">
        <x:v>2026-09-05</x:v>
      </x:c>
      <x:c r="F207" s="42" t="str">
        <x:v>Military / Enforcement</x:v>
      </x:c>
      <x:c r="G207" s="42" t="str">
        <x:v>Destroyed</x:v>
      </x:c>
      <x:c r="H207" s="42" t="str">
        <x:v>Multiple strikes after crew ordered to abandon ship</x:v>
      </x:c>
      <x:c r="I207" s="42" t="str">
        <x:v>Maritime</x:v>
      </x:c>
      <x:c r="J207" s="42" t="str"/>
      <x:c r="K207" s="42" t="str"/>
      <x:c r="L207" s="42" t="str">
        <x:v>Gulf of Oman</x:v>
      </x:c>
      <x:c r="M207" s="42" t="str"/>
      <x:c r="N207" s="42" t="str"/>
      <x:c r="O207" s="42" t="str">
        <x:v>KYLO / NOXEN</x:v>
      </x:c>
      <x:c r="P207" s="42" t="str"/>
      <x:c r="Q207" s="42" t="str">
        <x:v>Crude oil carrier</x:v>
      </x:c>
      <x:c r="R207" s="42" t="str">
        <x:v>CENTCOM forces / U.S. aircraft</x:v>
      </x:c>
      <x:c r="S207" s="42" t="str">
        <x:v>CENTCOM says KYLO also known as NOXEN; IMO number not yet independently verified.</x:v>
      </x:c>
      <x:c r="T207" s="42" t="str">
        <x:v>Completely destroyed / rendered inoperable</x:v>
      </x:c>
      <x:c r="U207" s="42" t="str"/>
      <x:c r="V207" s="42" t="str"/>
      <x:c r="W207" s="42" t="str">
        <x:v>Not applicable</x:v>
      </x:c>
      <x:c r="X207" s="42" t="str"/>
      <x:c r="Y207" s="42" t="str"/>
      <x:c r="Z207" s="42" t="str"/>
      <x:c r="AA207" s="42" t="str">
        <x:v>https://www.centcom.mil/MEDIA/PUBLIC-RELEASES/Article/4591744/centcom-destroys-3-irgc-oil-tankers-after-iran-targets-2-us-navy-warships/ | https://www.reuters.com/world/middle-east/us-military-strikes-three-iranian-crude-oil-carriers-central-command-says-2026-09-05/</x:v>
      </x:c>
      <x:c r="AB207" s="42" t="str">
        <x:v>Needs canonical event resolution</x:v>
      </x:c>
      <x:c r="AC207" s="42" t="str">
        <x:v>Blockade phase: Post-ceasefire escalation; Casualties: Crew ordered to abandon before strike; no casualties reported</x:v>
      </x:c>
    </x:row>
    <x:row r="208">
      <x:c r="A208" s="42" t="str">
        <x:v>OBS_000207</x:v>
      </x:c>
      <x:c r="B208" s="42" t="str"/>
      <x:c r="C208" s="42" t="str">
        <x:v>imo_gulf_confirmed_2026</x:v>
      </x:c>
      <x:c r="D208" s="42" t="str">
        <x:v>1</x:v>
      </x:c>
      <x:c r="E208" s="42" t="str">
        <x:v>2026-08-31</x:v>
      </x:c>
      <x:c r="F208" s="42" t="str">
        <x:v>Conflict / Security</x:v>
      </x:c>
      <x:c r="G208" s="42" t="str">
        <x:v>Merchant vessel attack</x:v>
      </x:c>
      <x:c r="H208" s="42" t="str"/>
      <x:c r="I208" s="42" t="str">
        <x:v>Maritime</x:v>
      </x:c>
      <x:c r="J208" s="42" t="str">
        <x:v>Arabian/Persian Gulf</x:v>
      </x:c>
      <x:c r="K208" s="42" t="str"/>
      <x:c r="L208" s="42" t="str">
        <x:v>17NM east of Khasab, Oman</x:v>
      </x:c>
      <x:c r="M208" s="42" t="str"/>
      <x:c r="N208" s="42" t="str"/>
      <x:c r="O208" s="42" t="str">
        <x:v>SIDR</x:v>
      </x:c>
      <x:c r="P208" s="42" t="str">
        <x:v>9854715</x:v>
      </x:c>
      <x:c r="Q208" s="42" t="str"/>
      <x:c r="R208" s="42" t="str">
        <x:v>Unidentified projectile attack; Iran suspected in reporting</x:v>
      </x:c>
      <x:c r="S208" s="42" t="str">
        <x:v>Damaged; no pollution; 2 fatalities</x:v>
      </x:c>
      <x:c r="T208" s="42" t="str">
        <x:v>Damaged; no pollution; 2 fatalities</x:v>
      </x:c>
      <x:c r="U208" s="42" t="str"/>
      <x:c r="V208" s="42" t="str"/>
      <x:c r="W208" s="42" t="str"/>
      <x:c r="X208" s="42" t="str"/>
      <x:c r="Y208" s="42" t="str"/>
      <x:c r="Z208" s="42" t="str"/>
      <x:c r="AA208" s="42" t="str">
        <x:v>https://www.imo.org/en/mediacentre/hottopics/pages/middle-east-highlighted-incidents.aspx</x:v>
      </x:c>
      <x:c r="AB208" s="42" t="str">
        <x:v>Needs canonical event resolution</x:v>
      </x:c>
      <x:c r="AC208" s="42" t="str">
        <x:v>IMO description is source evidence; assessed actor is analytical context and should remain separate from IMO attribution.</x:v>
      </x:c>
    </x:row>
    <x:row r="209">
      <x:c r="A209" s="42" t="str">
        <x:v>OBS_000208</x:v>
      </x:c>
      <x:c r="B209" s="42" t="str"/>
      <x:c r="C209" s="42" t="str">
        <x:v>imo_gulf_confirmed_2026</x:v>
      </x:c>
      <x:c r="D209" s="42" t="str">
        <x:v>2</x:v>
      </x:c>
      <x:c r="E209" s="42" t="str">
        <x:v>2026-08-31</x:v>
      </x:c>
      <x:c r="F209" s="42" t="str">
        <x:v>Conflict / Security</x:v>
      </x:c>
      <x:c r="G209" s="42" t="str">
        <x:v>Merchant vessel attack</x:v>
      </x:c>
      <x:c r="H209" s="42" t="str"/>
      <x:c r="I209" s="42" t="str">
        <x:v>Maritime</x:v>
      </x:c>
      <x:c r="J209" s="42" t="str">
        <x:v>Arabian/Persian Gulf</x:v>
      </x:c>
      <x:c r="K209" s="42" t="str"/>
      <x:c r="L209" s="42" t="str">
        <x:v>17NM east of Khasab, Oman</x:v>
      </x:c>
      <x:c r="M209" s="42" t="str"/>
      <x:c r="N209" s="42" t="str"/>
      <x:c r="O209" s="42" t="str">
        <x:v>SENEGAL PROSPERITY</x:v>
      </x:c>
      <x:c r="P209" s="42" t="str">
        <x:v>9532757</x:v>
      </x:c>
      <x:c r="Q209" s="42" t="str"/>
      <x:c r="R209" s="42" t="str">
        <x:v>Unidentified projectile attack; Iran suspected in reporting</x:v>
      </x:c>
      <x:c r="S209" s="42" t="str">
        <x:v>Damaged; no pollution</x:v>
      </x:c>
      <x:c r="T209" s="42" t="str">
        <x:v>Damaged; no pollution</x:v>
      </x:c>
      <x:c r="U209" s="42" t="str"/>
      <x:c r="V209" s="42" t="str"/>
      <x:c r="W209" s="42" t="str"/>
      <x:c r="X209" s="42" t="str"/>
      <x:c r="Y209" s="42" t="str"/>
      <x:c r="Z209" s="42" t="str"/>
      <x:c r="AA209" s="42" t="str">
        <x:v>https://www.imo.org/en/mediacentre/hottopics/pages/middle-east-highlighted-incidents.aspx</x:v>
      </x:c>
      <x:c r="AB209" s="42" t="str">
        <x:v>Needs canonical event resolution</x:v>
      </x:c>
      <x:c r="AC209" s="42" t="str">
        <x:v>IMO description is source evidence; assessed actor is analytical context and should remain separate from IMO attribution.</x:v>
      </x:c>
    </x:row>
    <x:row r="210">
      <x:c r="A210" s="42" t="str">
        <x:v>OBS_000209</x:v>
      </x:c>
      <x:c r="B210" s="42" t="str"/>
      <x:c r="C210" s="42" t="str">
        <x:v>imo_gulf_confirmed_2026</x:v>
      </x:c>
      <x:c r="D210" s="42" t="str">
        <x:v>3</x:v>
      </x:c>
      <x:c r="E210" s="42" t="str">
        <x:v>2026-08-24</x:v>
      </x:c>
      <x:c r="F210" s="42" t="str">
        <x:v>Conflict / Security</x:v>
      </x:c>
      <x:c r="G210" s="42" t="str">
        <x:v>Merchant vessel attack</x:v>
      </x:c>
      <x:c r="H210" s="42" t="str"/>
      <x:c r="I210" s="42" t="str">
        <x:v>Maritime</x:v>
      </x:c>
      <x:c r="J210" s="42" t="str">
        <x:v>Arabian/Persian Gulf</x:v>
      </x:c>
      <x:c r="K210" s="42" t="str"/>
      <x:c r="L210" s="42" t="str">
        <x:v>9NM northeast of Ash Shishah, Oman</x:v>
      </x:c>
      <x:c r="M210" s="42" t="str"/>
      <x:c r="N210" s="42" t="str"/>
      <x:c r="O210" s="42" t="str">
        <x:v>METRO VENETIAN</x:v>
      </x:c>
      <x:c r="P210" s="42" t="str">
        <x:v>1013391</x:v>
      </x:c>
      <x:c r="Q210" s="42" t="str"/>
      <x:c r="R210" s="42" t="str">
        <x:v>Unconfirmed</x:v>
      </x:c>
      <x:c r="S210" s="42" t="str">
        <x:v>Damaged; no pollution</x:v>
      </x:c>
      <x:c r="T210" s="42" t="str">
        <x:v>Damaged; no pollution</x:v>
      </x:c>
      <x:c r="U210" s="42" t="str"/>
      <x:c r="V210" s="42" t="str"/>
      <x:c r="W210" s="42" t="str"/>
      <x:c r="X210" s="42" t="str"/>
      <x:c r="Y210" s="42" t="str"/>
      <x:c r="Z210" s="42" t="str"/>
      <x:c r="AA210" s="42" t="str">
        <x:v>https://www.imo.org/en/mediacentre/hottopics/pages/middle-east-highlighted-incidents.aspx</x:v>
      </x:c>
      <x:c r="AB210" s="42" t="str">
        <x:v>Needs canonical event resolution</x:v>
      </x:c>
      <x:c r="AC210" s="42" t="str">
        <x:v>IMO description is source evidence; assessed actor is analytical context and should remain separate from IMO attribution.</x:v>
      </x:c>
    </x:row>
    <x:row r="211">
      <x:c r="A211" s="42" t="str">
        <x:v>OBS_000210</x:v>
      </x:c>
      <x:c r="B211" s="42" t="str"/>
      <x:c r="C211" s="42" t="str">
        <x:v>imo_gulf_confirmed_2026</x:v>
      </x:c>
      <x:c r="D211" s="42" t="str">
        <x:v>4</x:v>
      </x:c>
      <x:c r="E211" s="42" t="str">
        <x:v>2026-08-17</x:v>
      </x:c>
      <x:c r="F211" s="42" t="str">
        <x:v>Conflict / Security</x:v>
      </x:c>
      <x:c r="G211" s="42" t="str">
        <x:v>Merchant vessel attack</x:v>
      </x:c>
      <x:c r="H211" s="42" t="str"/>
      <x:c r="I211" s="42" t="str">
        <x:v>Maritime</x:v>
      </x:c>
      <x:c r="J211" s="42" t="str">
        <x:v>Arabian/Persian Gulf</x:v>
      </x:c>
      <x:c r="K211" s="42" t="str"/>
      <x:c r="L211" s="42" t="str">
        <x:v>Strait of Hormuz</x:v>
      </x:c>
      <x:c r="M211" s="42" t="str"/>
      <x:c r="N211" s="42" t="str"/>
      <x:c r="O211" s="42" t="str">
        <x:v>MINOAN DIGNITY</x:v>
      </x:c>
      <x:c r="P211" s="42" t="str">
        <x:v>9294484</x:v>
      </x:c>
      <x:c r="Q211" s="42" t="str"/>
      <x:c r="R211" s="42" t="str">
        <x:v>Unconfirmed / regional conflict context</x:v>
      </x:c>
      <x:c r="S211" s="42" t="str">
        <x:v>Damaged; no pollution; 1 fatality</x:v>
      </x:c>
      <x:c r="T211" s="42" t="str">
        <x:v>Damaged; no pollution; 1 fatality</x:v>
      </x:c>
      <x:c r="U211" s="42" t="str"/>
      <x:c r="V211" s="42" t="str"/>
      <x:c r="W211" s="42" t="str"/>
      <x:c r="X211" s="42" t="str"/>
      <x:c r="Y211" s="42" t="str"/>
      <x:c r="Z211" s="42" t="str"/>
      <x:c r="AA211" s="42" t="str">
        <x:v>https://www.imo.org/en/mediacentre/hottopics/pages/middle-east-highlighted-incidents.aspx</x:v>
      </x:c>
      <x:c r="AB211" s="42" t="str">
        <x:v>Needs canonical event resolution</x:v>
      </x:c>
      <x:c r="AC211" s="42" t="str">
        <x:v>IMO description is source evidence; assessed actor is analytical context and should remain separate from IMO attribution.</x:v>
      </x:c>
    </x:row>
    <x:row r="212">
      <x:c r="A212" s="42" t="str">
        <x:v>OBS_000211</x:v>
      </x:c>
      <x:c r="B212" s="42" t="str"/>
      <x:c r="C212" s="42" t="str">
        <x:v>imo_gulf_confirmed_2026</x:v>
      </x:c>
      <x:c r="D212" s="42" t="str">
        <x:v>5</x:v>
      </x:c>
      <x:c r="E212" s="42" t="str">
        <x:v>2026-08-15</x:v>
      </x:c>
      <x:c r="F212" s="42" t="str">
        <x:v>Conflict / Security</x:v>
      </x:c>
      <x:c r="G212" s="42" t="str">
        <x:v>Merchant vessel attack</x:v>
      </x:c>
      <x:c r="H212" s="42" t="str"/>
      <x:c r="I212" s="42" t="str">
        <x:v>Maritime</x:v>
      </x:c>
      <x:c r="J212" s="42" t="str">
        <x:v>Arabian/Persian Gulf</x:v>
      </x:c>
      <x:c r="K212" s="42" t="str"/>
      <x:c r="L212" s="42" t="str">
        <x:v>Strait of Hormuz</x:v>
      </x:c>
      <x:c r="M212" s="42" t="str"/>
      <x:c r="N212" s="42" t="str"/>
      <x:c r="O212" s="42" t="str">
        <x:v>RIYAN STAR</x:v>
      </x:c>
      <x:c r="P212" s="42" t="str">
        <x:v>9156761</x:v>
      </x:c>
      <x:c r="Q212" s="42" t="str"/>
      <x:c r="R212" s="42" t="str">
        <x:v>Unconfirmed / regional conflict context</x:v>
      </x:c>
      <x:c r="S212" s="42" t="str">
        <x:v>Damaged; no pollution; 1 fatality</x:v>
      </x:c>
      <x:c r="T212" s="42" t="str">
        <x:v>Damaged; no pollution; 1 fatality</x:v>
      </x:c>
      <x:c r="U212" s="42" t="str"/>
      <x:c r="V212" s="42" t="str"/>
      <x:c r="W212" s="42" t="str"/>
      <x:c r="X212" s="42" t="str"/>
      <x:c r="Y212" s="42" t="str"/>
      <x:c r="Z212" s="42" t="str"/>
      <x:c r="AA212" s="42" t="str">
        <x:v>https://www.imo.org/en/mediacentre/hottopics/pages/middle-east-highlighted-incidents.aspx</x:v>
      </x:c>
      <x:c r="AB212" s="42" t="str">
        <x:v>Needs canonical event resolution</x:v>
      </x:c>
      <x:c r="AC212" s="42" t="str">
        <x:v>IMO description is source evidence; assessed actor is analytical context and should remain separate from IMO attribution.</x:v>
      </x:c>
    </x:row>
    <x:row r="213">
      <x:c r="A213" s="42" t="str">
        <x:v>OBS_000212</x:v>
      </x:c>
      <x:c r="B213" s="42" t="str"/>
      <x:c r="C213" s="42" t="str">
        <x:v>imo_gulf_confirmed_2026</x:v>
      </x:c>
      <x:c r="D213" s="42" t="str">
        <x:v>6</x:v>
      </x:c>
      <x:c r="E213" s="42" t="str">
        <x:v>2026-08-14</x:v>
      </x:c>
      <x:c r="F213" s="42" t="str">
        <x:v>Conflict / Security</x:v>
      </x:c>
      <x:c r="G213" s="42" t="str">
        <x:v>Merchant vessel attack</x:v>
      </x:c>
      <x:c r="H213" s="42" t="str"/>
      <x:c r="I213" s="42" t="str">
        <x:v>Maritime</x:v>
      </x:c>
      <x:c r="J213" s="42" t="str">
        <x:v>Arabian/Persian Gulf</x:v>
      </x:c>
      <x:c r="K213" s="42" t="str"/>
      <x:c r="L213" s="42" t="str">
        <x:v>Strait of Hormuz</x:v>
      </x:c>
      <x:c r="M213" s="42" t="str"/>
      <x:c r="N213" s="42" t="str"/>
      <x:c r="O213" s="42" t="str">
        <x:v>AL WATAN</x:v>
      </x:c>
      <x:c r="P213" s="42" t="str">
        <x:v>9615030</x:v>
      </x:c>
      <x:c r="Q213" s="42" t="str"/>
      <x:c r="R213" s="42" t="str">
        <x:v>Unconfirmed</x:v>
      </x:c>
      <x:c r="S213" s="42" t="str">
        <x:v>Damaged; no pollution</x:v>
      </x:c>
      <x:c r="T213" s="42" t="str">
        <x:v>Damaged; no pollution</x:v>
      </x:c>
      <x:c r="U213" s="42" t="str"/>
      <x:c r="V213" s="42" t="str"/>
      <x:c r="W213" s="42" t="str"/>
      <x:c r="X213" s="42" t="str"/>
      <x:c r="Y213" s="42" t="str"/>
      <x:c r="Z213" s="42" t="str"/>
      <x:c r="AA213" s="42" t="str">
        <x:v>https://www.imo.org/en/mediacentre/hottopics/pages/middle-east-highlighted-incidents.aspx</x:v>
      </x:c>
      <x:c r="AB213" s="42" t="str">
        <x:v>Needs canonical event resolution</x:v>
      </x:c>
      <x:c r="AC213" s="42" t="str">
        <x:v>IMO description is source evidence; assessed actor is analytical context and should remain separate from IMO attribution.</x:v>
      </x:c>
    </x:row>
    <x:row r="214">
      <x:c r="A214" s="42" t="str">
        <x:v>OBS_000213</x:v>
      </x:c>
      <x:c r="B214" s="42" t="str"/>
      <x:c r="C214" s="42" t="str">
        <x:v>imo_gulf_confirmed_2026</x:v>
      </x:c>
      <x:c r="D214" s="42" t="str">
        <x:v>7</x:v>
      </x:c>
      <x:c r="E214" s="42" t="str">
        <x:v>2026-08-13</x:v>
      </x:c>
      <x:c r="F214" s="42" t="str">
        <x:v>Conflict / Security</x:v>
      </x:c>
      <x:c r="G214" s="42" t="str">
        <x:v>Merchant vessel attack</x:v>
      </x:c>
      <x:c r="H214" s="42" t="str"/>
      <x:c r="I214" s="42" t="str">
        <x:v>Maritime</x:v>
      </x:c>
      <x:c r="J214" s="42" t="str">
        <x:v>Arabian/Persian Gulf</x:v>
      </x:c>
      <x:c r="K214" s="42" t="str"/>
      <x:c r="L214" s="42" t="str">
        <x:v>Strait of Hormuz</x:v>
      </x:c>
      <x:c r="M214" s="42" t="str"/>
      <x:c r="N214" s="42" t="str"/>
      <x:c r="O214" s="42" t="str">
        <x:v>NAVIG8 MESSI</x:v>
      </x:c>
      <x:c r="P214" s="42" t="str">
        <x:v>9482859</x:v>
      </x:c>
      <x:c r="Q214" s="42" t="str"/>
      <x:c r="R214" s="42" t="str">
        <x:v>Unconfirmed</x:v>
      </x:c>
      <x:c r="S214" s="42" t="str">
        <x:v>Damaged; no pollution</x:v>
      </x:c>
      <x:c r="T214" s="42" t="str">
        <x:v>Damaged; no pollution</x:v>
      </x:c>
      <x:c r="U214" s="42" t="str"/>
      <x:c r="V214" s="42" t="str"/>
      <x:c r="W214" s="42" t="str"/>
      <x:c r="X214" s="42" t="str"/>
      <x:c r="Y214" s="42" t="str"/>
      <x:c r="Z214" s="42" t="str"/>
      <x:c r="AA214" s="42" t="str">
        <x:v>https://www.imo.org/en/mediacentre/hottopics/pages/middle-east-highlighted-incidents.aspx</x:v>
      </x:c>
      <x:c r="AB214" s="42" t="str">
        <x:v>Needs canonical event resolution</x:v>
      </x:c>
      <x:c r="AC214" s="42" t="str">
        <x:v>IMO description is source evidence; assessed actor is analytical context and should remain separate from IMO attribution.</x:v>
      </x:c>
    </x:row>
    <x:row r="215">
      <x:c r="A215" s="42" t="str">
        <x:v>OBS_000214</x:v>
      </x:c>
      <x:c r="B215" s="42" t="str"/>
      <x:c r="C215" s="42" t="str">
        <x:v>imo_gulf_confirmed_2026</x:v>
      </x:c>
      <x:c r="D215" s="42" t="str">
        <x:v>8</x:v>
      </x:c>
      <x:c r="E215" s="42" t="str">
        <x:v>2026-08-11</x:v>
      </x:c>
      <x:c r="F215" s="42" t="str">
        <x:v>Conflict / Security</x:v>
      </x:c>
      <x:c r="G215" s="42" t="str">
        <x:v>Merchant vessel attack</x:v>
      </x:c>
      <x:c r="H215" s="42" t="str"/>
      <x:c r="I215" s="42" t="str">
        <x:v>Maritime</x:v>
      </x:c>
      <x:c r="J215" s="42" t="str">
        <x:v>Arabian/Persian Gulf</x:v>
      </x:c>
      <x:c r="K215" s="42" t="str"/>
      <x:c r="L215" s="42" t="str">
        <x:v>70NM south of Gwadar, Pakistan</x:v>
      </x:c>
      <x:c r="M215" s="42" t="str"/>
      <x:c r="N215" s="42" t="str"/>
      <x:c r="O215" s="42" t="str">
        <x:v>VELA NOVA</x:v>
      </x:c>
      <x:c r="P215" s="42" t="str">
        <x:v>9136228</x:v>
      </x:c>
      <x:c r="Q215" s="42" t="str"/>
      <x:c r="R215" s="42" t="str">
        <x:v>Unconfirmed</x:v>
      </x:c>
      <x:c r="S215" s="42" t="str">
        <x:v>Damaged; no pollution</x:v>
      </x:c>
      <x:c r="T215" s="42" t="str">
        <x:v>Damaged; no pollution</x:v>
      </x:c>
      <x:c r="U215" s="42" t="str"/>
      <x:c r="V215" s="42" t="str"/>
      <x:c r="W215" s="42" t="str"/>
      <x:c r="X215" s="42" t="str"/>
      <x:c r="Y215" s="42" t="str"/>
      <x:c r="Z215" s="42" t="str"/>
      <x:c r="AA215" s="42" t="str">
        <x:v>https://www.imo.org/en/mediacentre/hottopics/pages/middle-east-highlighted-incidents.aspx</x:v>
      </x:c>
      <x:c r="AB215" s="42" t="str">
        <x:v>Needs canonical event resolution</x:v>
      </x:c>
      <x:c r="AC215" s="42" t="str">
        <x:v>IMO description is source evidence; assessed actor is analytical context and should remain separate from IMO attribution.</x:v>
      </x:c>
    </x:row>
    <x:row r="216">
      <x:c r="A216" s="42" t="str">
        <x:v>OBS_000215</x:v>
      </x:c>
      <x:c r="B216" s="42" t="str"/>
      <x:c r="C216" s="42" t="str">
        <x:v>imo_gulf_confirmed_2026</x:v>
      </x:c>
      <x:c r="D216" s="42" t="str">
        <x:v>9</x:v>
      </x:c>
      <x:c r="E216" s="42" t="str">
        <x:v>2026-08-03</x:v>
      </x:c>
      <x:c r="F216" s="42" t="str">
        <x:v>Conflict / Security</x:v>
      </x:c>
      <x:c r="G216" s="42" t="str">
        <x:v>Merchant vessel attack</x:v>
      </x:c>
      <x:c r="H216" s="42" t="str"/>
      <x:c r="I216" s="42" t="str">
        <x:v>Maritime</x:v>
      </x:c>
      <x:c r="J216" s="42" t="str">
        <x:v>Arabian/Persian Gulf</x:v>
      </x:c>
      <x:c r="K216" s="42" t="str"/>
      <x:c r="L216" s="42" t="str">
        <x:v>20NM northeast of Al Khasab, Oman</x:v>
      </x:c>
      <x:c r="M216" s="42" t="str"/>
      <x:c r="N216" s="42" t="str"/>
      <x:c r="O216" s="42" t="str">
        <x:v>MINOAN PIONEER</x:v>
      </x:c>
      <x:c r="P216" s="42" t="str">
        <x:v>9471630</x:v>
      </x:c>
      <x:c r="Q216" s="42" t="str"/>
      <x:c r="R216" s="42" t="str">
        <x:v>Unconfirmed</x:v>
      </x:c>
      <x:c r="S216" s="42" t="str">
        <x:v>Damaged; pollution unconfirmed; 1 missing</x:v>
      </x:c>
      <x:c r="T216" s="42" t="str">
        <x:v>Damaged; pollution unconfirmed; 1 missing</x:v>
      </x:c>
      <x:c r="U216" s="42" t="str"/>
      <x:c r="V216" s="42" t="str"/>
      <x:c r="W216" s="42" t="str"/>
      <x:c r="X216" s="42" t="str"/>
      <x:c r="Y216" s="42" t="str"/>
      <x:c r="Z216" s="42" t="str"/>
      <x:c r="AA216" s="42" t="str">
        <x:v>https://www.imo.org/en/mediacentre/hottopics/pages/middle-east-highlighted-incidents.aspx</x:v>
      </x:c>
      <x:c r="AB216" s="42" t="str">
        <x:v>Needs canonical event resolution</x:v>
      </x:c>
      <x:c r="AC216" s="42" t="str">
        <x:v>IMO description is source evidence; assessed actor is analytical context and should remain separate from IMO attribution.</x:v>
      </x:c>
    </x:row>
    <x:row r="217">
      <x:c r="A217" s="42" t="str">
        <x:v>OBS_000216</x:v>
      </x:c>
      <x:c r="B217" s="42" t="str"/>
      <x:c r="C217" s="42" t="str">
        <x:v>imo_gulf_confirmed_2026</x:v>
      </x:c>
      <x:c r="D217" s="42" t="str">
        <x:v>10</x:v>
      </x:c>
      <x:c r="E217" s="42" t="str">
        <x:v>2026-07-31</x:v>
      </x:c>
      <x:c r="F217" s="42" t="str">
        <x:v>Conflict / Security</x:v>
      </x:c>
      <x:c r="G217" s="42" t="str">
        <x:v>Merchant vessel attack</x:v>
      </x:c>
      <x:c r="H217" s="42" t="str"/>
      <x:c r="I217" s="42" t="str">
        <x:v>Maritime</x:v>
      </x:c>
      <x:c r="J217" s="42" t="str">
        <x:v>Arabian/Persian Gulf</x:v>
      </x:c>
      <x:c r="K217" s="42" t="str"/>
      <x:c r="L217" s="42" t="str">
        <x:v>11NM northeast of Lima, Oman</x:v>
      </x:c>
      <x:c r="M217" s="42" t="str"/>
      <x:c r="N217" s="42" t="str"/>
      <x:c r="O217" s="42" t="str">
        <x:v>GASLOG SHANGHAI</x:v>
      </x:c>
      <x:c r="P217" s="42" t="str">
        <x:v>9600528</x:v>
      </x:c>
      <x:c r="Q217" s="42" t="str"/>
      <x:c r="R217" s="42" t="str">
        <x:v>Unconfirmed</x:v>
      </x:c>
      <x:c r="S217" s="42" t="str">
        <x:v>Damaged; no pollution</x:v>
      </x:c>
      <x:c r="T217" s="42" t="str">
        <x:v>Damaged; no pollution</x:v>
      </x:c>
      <x:c r="U217" s="42" t="str"/>
      <x:c r="V217" s="42" t="str"/>
      <x:c r="W217" s="42" t="str"/>
      <x:c r="X217" s="42" t="str"/>
      <x:c r="Y217" s="42" t="str"/>
      <x:c r="Z217" s="42" t="str"/>
      <x:c r="AA217" s="42" t="str">
        <x:v>https://www.imo.org/en/mediacentre/hottopics/pages/middle-east-highlighted-incidents.aspx</x:v>
      </x:c>
      <x:c r="AB217" s="42" t="str">
        <x:v>Needs canonical event resolution</x:v>
      </x:c>
      <x:c r="AC217" s="42" t="str">
        <x:v>IMO description is source evidence; assessed actor is analytical context and should remain separate from IMO attribution.</x:v>
      </x:c>
    </x:row>
    <x:row r="218">
      <x:c r="A218" s="42" t="str">
        <x:v>OBS_000217</x:v>
      </x:c>
      <x:c r="B218" s="42" t="str"/>
      <x:c r="C218" s="42" t="str">
        <x:v>imo_gulf_confirmed_2026</x:v>
      </x:c>
      <x:c r="D218" s="42" t="str">
        <x:v>11</x:v>
      </x:c>
      <x:c r="E218" s="42" t="str">
        <x:v>2026-07-24</x:v>
      </x:c>
      <x:c r="F218" s="42" t="str">
        <x:v>Conflict / Security</x:v>
      </x:c>
      <x:c r="G218" s="42" t="str">
        <x:v>Merchant vessel attack</x:v>
      </x:c>
      <x:c r="H218" s="42" t="str"/>
      <x:c r="I218" s="42" t="str">
        <x:v>Maritime</x:v>
      </x:c>
      <x:c r="J218" s="42" t="str">
        <x:v>Arabian/Persian Gulf</x:v>
      </x:c>
      <x:c r="K218" s="42" t="str"/>
      <x:c r="L218" s="42" t="str">
        <x:v>Gulf of Oman</x:v>
      </x:c>
      <x:c r="M218" s="42" t="str"/>
      <x:c r="N218" s="42" t="str"/>
      <x:c r="O218" s="42" t="str">
        <x:v>LAVINE</x:v>
      </x:c>
      <x:c r="P218" s="42" t="str">
        <x:v>8818219</x:v>
      </x:c>
      <x:c r="Q218" s="42" t="str"/>
      <x:c r="R218" s="42" t="str">
        <x:v>Unconfirmed</x:v>
      </x:c>
      <x:c r="S218" s="42" t="str">
        <x:v>Damaged; no pollution</x:v>
      </x:c>
      <x:c r="T218" s="42" t="str">
        <x:v>Damaged; no pollution</x:v>
      </x:c>
      <x:c r="U218" s="42" t="str"/>
      <x:c r="V218" s="42" t="str"/>
      <x:c r="W218" s="42" t="str"/>
      <x:c r="X218" s="42" t="str"/>
      <x:c r="Y218" s="42" t="str"/>
      <x:c r="Z218" s="42" t="str"/>
      <x:c r="AA218" s="42" t="str">
        <x:v>https://www.imo.org/en/mediacentre/hottopics/pages/middle-east-highlighted-incidents.aspx</x:v>
      </x:c>
      <x:c r="AB218" s="42" t="str">
        <x:v>Needs canonical event resolution</x:v>
      </x:c>
      <x:c r="AC218" s="42" t="str">
        <x:v>IMO description is source evidence; assessed actor is analytical context and should remain separate from IMO attribution.</x:v>
      </x:c>
    </x:row>
    <x:row r="219">
      <x:c r="A219" s="42" t="str">
        <x:v>OBS_000218</x:v>
      </x:c>
      <x:c r="B219" s="42" t="str"/>
      <x:c r="C219" s="42" t="str">
        <x:v>imo_gulf_confirmed_2026</x:v>
      </x:c>
      <x:c r="D219" s="42" t="str">
        <x:v>12</x:v>
      </x:c>
      <x:c r="E219" s="42" t="str">
        <x:v>2026-07-20</x:v>
      </x:c>
      <x:c r="F219" s="42" t="str">
        <x:v>Conflict / Security</x:v>
      </x:c>
      <x:c r="G219" s="42" t="str">
        <x:v>Merchant vessel attack</x:v>
      </x:c>
      <x:c r="H219" s="42" t="str"/>
      <x:c r="I219" s="42" t="str">
        <x:v>Maritime</x:v>
      </x:c>
      <x:c r="J219" s="42" t="str">
        <x:v>Arabian/Persian Gulf</x:v>
      </x:c>
      <x:c r="K219" s="42" t="str"/>
      <x:c r="L219" s="42" t="str">
        <x:v>8NM northeast of Limah, Oman</x:v>
      </x:c>
      <x:c r="M219" s="42" t="str"/>
      <x:c r="N219" s="42" t="str"/>
      <x:c r="O219" s="42" t="str">
        <x:v>KAIFAN</x:v>
      </x:c>
      <x:c r="P219" s="42" t="str">
        <x:v>9656046</x:v>
      </x:c>
      <x:c r="Q219" s="42" t="str"/>
      <x:c r="R219" s="42" t="str">
        <x:v>Unconfirmed</x:v>
      </x:c>
      <x:c r="S219" s="42" t="str">
        <x:v>Damaged; abandoned; 2 injured</x:v>
      </x:c>
      <x:c r="T219" s="42" t="str">
        <x:v>Damaged; abandoned; 2 injured</x:v>
      </x:c>
      <x:c r="U219" s="42" t="str"/>
      <x:c r="V219" s="42" t="str"/>
      <x:c r="W219" s="42" t="str"/>
      <x:c r="X219" s="42" t="str"/>
      <x:c r="Y219" s="42" t="str"/>
      <x:c r="Z219" s="42" t="str"/>
      <x:c r="AA219" s="42" t="str">
        <x:v>https://www.imo.org/en/mediacentre/hottopics/pages/middle-east-highlighted-incidents.aspx</x:v>
      </x:c>
      <x:c r="AB219" s="42" t="str">
        <x:v>Needs canonical event resolution</x:v>
      </x:c>
      <x:c r="AC219" s="42" t="str">
        <x:v>IMO description is source evidence; assessed actor is analytical context and should remain separate from IMO attribution.</x:v>
      </x:c>
    </x:row>
    <x:row r="220">
      <x:c r="A220" s="42" t="str">
        <x:v>OBS_000219</x:v>
      </x:c>
      <x:c r="B220" s="42" t="str"/>
      <x:c r="C220" s="42" t="str">
        <x:v>imo_gulf_confirmed_2026</x:v>
      </x:c>
      <x:c r="D220" s="42" t="str">
        <x:v>13</x:v>
      </x:c>
      <x:c r="E220" s="42" t="str">
        <x:v>2026-07-19</x:v>
      </x:c>
      <x:c r="F220" s="42" t="str">
        <x:v>Conflict / Security</x:v>
      </x:c>
      <x:c r="G220" s="42" t="str">
        <x:v>Merchant vessel attack</x:v>
      </x:c>
      <x:c r="H220" s="42" t="str"/>
      <x:c r="I220" s="42" t="str">
        <x:v>Maritime</x:v>
      </x:c>
      <x:c r="J220" s="42" t="str">
        <x:v>Arabian/Persian Gulf</x:v>
      </x:c>
      <x:c r="K220" s="42" t="str"/>
      <x:c r="L220" s="42" t="str">
        <x:v>17NM east of Dibba, UAE</x:v>
      </x:c>
      <x:c r="M220" s="42" t="str"/>
      <x:c r="N220" s="42" t="str"/>
      <x:c r="O220" s="42" t="str">
        <x:v>ACHELOOS</x:v>
      </x:c>
      <x:c r="P220" s="42" t="str">
        <x:v>1087524</x:v>
      </x:c>
      <x:c r="Q220" s="42" t="str"/>
      <x:c r="R220" s="42" t="str">
        <x:v>Unconfirmed</x:v>
      </x:c>
      <x:c r="S220" s="42" t="str">
        <x:v>Damaged; no pollution</x:v>
      </x:c>
      <x:c r="T220" s="42" t="str">
        <x:v>Damaged; no pollution</x:v>
      </x:c>
      <x:c r="U220" s="42" t="str"/>
      <x:c r="V220" s="42" t="str"/>
      <x:c r="W220" s="42" t="str"/>
      <x:c r="X220" s="42" t="str"/>
      <x:c r="Y220" s="42" t="str"/>
      <x:c r="Z220" s="42" t="str"/>
      <x:c r="AA220" s="42" t="str">
        <x:v>https://www.imo.org/en/mediacentre/hottopics/pages/middle-east-highlighted-incidents.aspx</x:v>
      </x:c>
      <x:c r="AB220" s="42" t="str">
        <x:v>Needs canonical event resolution</x:v>
      </x:c>
      <x:c r="AC220" s="42" t="str">
        <x:v>IMO description is source evidence; assessed actor is analytical context and should remain separate from IMO attribution.</x:v>
      </x:c>
    </x:row>
    <x:row r="221">
      <x:c r="A221" s="42" t="str">
        <x:v>OBS_000220</x:v>
      </x:c>
      <x:c r="B221" s="42" t="str"/>
      <x:c r="C221" s="42" t="str">
        <x:v>imo_gulf_confirmed_2026</x:v>
      </x:c>
      <x:c r="D221" s="42" t="str">
        <x:v>14</x:v>
      </x:c>
      <x:c r="E221" s="42" t="str">
        <x:v>2026-07-19</x:v>
      </x:c>
      <x:c r="F221" s="42" t="str">
        <x:v>Conflict / Security</x:v>
      </x:c>
      <x:c r="G221" s="42" t="str">
        <x:v>Merchant vessel attack</x:v>
      </x:c>
      <x:c r="H221" s="42" t="str"/>
      <x:c r="I221" s="42" t="str">
        <x:v>Maritime</x:v>
      </x:c>
      <x:c r="J221" s="42" t="str">
        <x:v>Arabian/Persian Gulf</x:v>
      </x:c>
      <x:c r="K221" s="42" t="str"/>
      <x:c r="L221" s="42" t="str">
        <x:v>8NM northwest of Kumzar, Oman</x:v>
      </x:c>
      <x:c r="M221" s="42" t="str"/>
      <x:c r="N221" s="42" t="str"/>
      <x:c r="O221" s="42" t="str">
        <x:v>KAVOMALEAS</x:v>
      </x:c>
      <x:c r="P221" s="42" t="str">
        <x:v>1042823</x:v>
      </x:c>
      <x:c r="Q221" s="42" t="str"/>
      <x:c r="R221" s="42" t="str">
        <x:v>Unconfirmed</x:v>
      </x:c>
      <x:c r="S221" s="42" t="str">
        <x:v>Damaged; no pollution; abandoned</x:v>
      </x:c>
      <x:c r="T221" s="42" t="str">
        <x:v>Damaged; no pollution; abandoned</x:v>
      </x:c>
      <x:c r="U221" s="42" t="str"/>
      <x:c r="V221" s="42" t="str"/>
      <x:c r="W221" s="42" t="str"/>
      <x:c r="X221" s="42" t="str"/>
      <x:c r="Y221" s="42" t="str"/>
      <x:c r="Z221" s="42" t="str"/>
      <x:c r="AA221" s="42" t="str">
        <x:v>https://www.imo.org/en/mediacentre/hottopics/pages/middle-east-highlighted-incidents.aspx</x:v>
      </x:c>
      <x:c r="AB221" s="42" t="str">
        <x:v>Needs canonical event resolution</x:v>
      </x:c>
      <x:c r="AC221" s="42" t="str">
        <x:v>IMO description is source evidence; assessed actor is analytical context and should remain separate from IMO attribution.</x:v>
      </x:c>
    </x:row>
    <x:row r="222">
      <x:c r="A222" s="42" t="str">
        <x:v>OBS_000221</x:v>
      </x:c>
      <x:c r="B222" s="42" t="str"/>
      <x:c r="C222" s="42" t="str">
        <x:v>imo_gulf_confirmed_2026</x:v>
      </x:c>
      <x:c r="D222" s="42" t="str">
        <x:v>15</x:v>
      </x:c>
      <x:c r="E222" s="42" t="str">
        <x:v>2026-07-16</x:v>
      </x:c>
      <x:c r="F222" s="42" t="str">
        <x:v>Conflict / Security</x:v>
      </x:c>
      <x:c r="G222" s="42" t="str">
        <x:v>Merchant vessel attack</x:v>
      </x:c>
      <x:c r="H222" s="42" t="str"/>
      <x:c r="I222" s="42" t="str">
        <x:v>Maritime</x:v>
      </x:c>
      <x:c r="J222" s="42" t="str">
        <x:v>Arabian/Persian Gulf</x:v>
      </x:c>
      <x:c r="K222" s="42" t="str"/>
      <x:c r="L222" s="42" t="str">
        <x:v>19NM east of Khasab, Oman</x:v>
      </x:c>
      <x:c r="M222" s="42" t="str"/>
      <x:c r="N222" s="42" t="str"/>
      <x:c r="O222" s="42" t="str">
        <x:v>IDI</x:v>
      </x:c>
      <x:c r="P222" s="42" t="str">
        <x:v>9307982</x:v>
      </x:c>
      <x:c r="Q222" s="42" t="str"/>
      <x:c r="R222" s="42" t="str">
        <x:v>Unconfirmed</x:v>
      </x:c>
      <x:c r="S222" s="42" t="str">
        <x:v>Damaged; no pollution</x:v>
      </x:c>
      <x:c r="T222" s="42" t="str">
        <x:v>Damaged; no pollution</x:v>
      </x:c>
      <x:c r="U222" s="42" t="str"/>
      <x:c r="V222" s="42" t="str"/>
      <x:c r="W222" s="42" t="str"/>
      <x:c r="X222" s="42" t="str"/>
      <x:c r="Y222" s="42" t="str"/>
      <x:c r="Z222" s="42" t="str"/>
      <x:c r="AA222" s="42" t="str">
        <x:v>https://www.imo.org/en/mediacentre/hottopics/pages/middle-east-highlighted-incidents.aspx</x:v>
      </x:c>
      <x:c r="AB222" s="42" t="str">
        <x:v>Needs canonical event resolution</x:v>
      </x:c>
      <x:c r="AC222" s="42" t="str">
        <x:v>IMO description is source evidence; assessed actor is analytical context and should remain separate from IMO attribution.</x:v>
      </x:c>
    </x:row>
    <x:row r="223">
      <x:c r="A223" s="42" t="str">
        <x:v>OBS_000222</x:v>
      </x:c>
      <x:c r="B223" s="42" t="str"/>
      <x:c r="C223" s="42" t="str">
        <x:v>imo_gulf_confirmed_2026</x:v>
      </x:c>
      <x:c r="D223" s="42" t="str">
        <x:v>16</x:v>
      </x:c>
      <x:c r="E223" s="42" t="str">
        <x:v>2026-07-15</x:v>
      </x:c>
      <x:c r="F223" s="42" t="str">
        <x:v>Conflict / Security</x:v>
      </x:c>
      <x:c r="G223" s="42" t="str">
        <x:v>Blockade enforcement strike</x:v>
      </x:c>
      <x:c r="H223" s="42" t="str"/>
      <x:c r="I223" s="42" t="str">
        <x:v>Maritime</x:v>
      </x:c>
      <x:c r="J223" s="42" t="str">
        <x:v>Arabian/Persian Gulf</x:v>
      </x:c>
      <x:c r="K223" s="42" t="str"/>
      <x:c r="L223" s="42" t="str">
        <x:v>IVO Bushehr Province, Persian Gulf</x:v>
      </x:c>
      <x:c r="M223" s="42" t="str"/>
      <x:c r="N223" s="42" t="str"/>
      <x:c r="O223" s="42" t="str">
        <x:v>BELMA</x:v>
      </x:c>
      <x:c r="P223" s="42" t="str">
        <x:v>9289491</x:v>
      </x:c>
      <x:c r="Q223" s="42" t="str"/>
      <x:c r="R223" s="42" t="str">
        <x:v>United States / CENTCOM</x:v>
      </x:c>
      <x:c r="S223" s="42" t="str">
        <x:v>Damaged; no pollution</x:v>
      </x:c>
      <x:c r="T223" s="42" t="str">
        <x:v>Damaged; no pollution</x:v>
      </x:c>
      <x:c r="U223" s="42" t="str"/>
      <x:c r="V223" s="42" t="str"/>
      <x:c r="W223" s="42" t="str"/>
      <x:c r="X223" s="42" t="str"/>
      <x:c r="Y223" s="42" t="str"/>
      <x:c r="Z223" s="42" t="str"/>
      <x:c r="AA223" s="42" t="str">
        <x:v>https://www.imo.org/en/mediacentre/hottopics/pages/middle-east-highlighted-incidents.aspx</x:v>
      </x:c>
      <x:c r="AB223" s="42" t="str">
        <x:v>Needs canonical event resolution</x:v>
      </x:c>
      <x:c r="AC223" s="42" t="str">
        <x:v>IMO description is source evidence; assessed actor is analytical context and should remain separate from IMO attribution.</x:v>
      </x:c>
    </x:row>
    <x:row r="224">
      <x:c r="A224" s="42" t="str">
        <x:v>OBS_000223</x:v>
      </x:c>
      <x:c r="B224" s="42" t="str"/>
      <x:c r="C224" s="42" t="str">
        <x:v>imo_gulf_confirmed_2026</x:v>
      </x:c>
      <x:c r="D224" s="42" t="str">
        <x:v>17</x:v>
      </x:c>
      <x:c r="E224" s="42" t="str">
        <x:v>2026-07-14</x:v>
      </x:c>
      <x:c r="F224" s="42" t="str">
        <x:v>Conflict / Security</x:v>
      </x:c>
      <x:c r="G224" s="42" t="str">
        <x:v>Merchant vessel attack</x:v>
      </x:c>
      <x:c r="H224" s="42" t="str"/>
      <x:c r="I224" s="42" t="str">
        <x:v>Maritime</x:v>
      </x:c>
      <x:c r="J224" s="42" t="str">
        <x:v>Arabian/Persian Gulf</x:v>
      </x:c>
      <x:c r="K224" s="42" t="str"/>
      <x:c r="L224" s="42" t="str">
        <x:v>13NM from coast of Oman</x:v>
      </x:c>
      <x:c r="M224" s="42" t="str"/>
      <x:c r="N224" s="42" t="str"/>
      <x:c r="O224" s="42" t="str">
        <x:v>AL BAHYAH</x:v>
      </x:c>
      <x:c r="P224" s="42" t="str">
        <x:v>9937799</x:v>
      </x:c>
      <x:c r="Q224" s="42" t="str"/>
      <x:c r="R224" s="42" t="str">
        <x:v>Unconfirmed</x:v>
      </x:c>
      <x:c r="S224" s="42" t="str">
        <x:v>Damaged; no pollution; 1 fatality; 3 injured</x:v>
      </x:c>
      <x:c r="T224" s="42" t="str">
        <x:v>Damaged; no pollution; 1 fatality; 3 injured</x:v>
      </x:c>
      <x:c r="U224" s="42" t="str"/>
      <x:c r="V224" s="42" t="str"/>
      <x:c r="W224" s="42" t="str"/>
      <x:c r="X224" s="42" t="str"/>
      <x:c r="Y224" s="42" t="str"/>
      <x:c r="Z224" s="42" t="str"/>
      <x:c r="AA224" s="42" t="str">
        <x:v>https://www.imo.org/en/mediacentre/hottopics/pages/middle-east-highlighted-incidents.aspx</x:v>
      </x:c>
      <x:c r="AB224" s="42" t="str">
        <x:v>Needs canonical event resolution</x:v>
      </x:c>
      <x:c r="AC224" s="42" t="str">
        <x:v>IMO description is source evidence; assessed actor is analytical context and should remain separate from IMO attribution.</x:v>
      </x:c>
    </x:row>
    <x:row r="225">
      <x:c r="A225" s="42" t="str">
        <x:v>OBS_000224</x:v>
      </x:c>
      <x:c r="B225" s="42" t="str"/>
      <x:c r="C225" s="42" t="str">
        <x:v>imo_gulf_confirmed_2026</x:v>
      </x:c>
      <x:c r="D225" s="42" t="str">
        <x:v>18</x:v>
      </x:c>
      <x:c r="E225" s="42" t="str">
        <x:v>2026-07-14</x:v>
      </x:c>
      <x:c r="F225" s="42" t="str">
        <x:v>Conflict / Security</x:v>
      </x:c>
      <x:c r="G225" s="42" t="str">
        <x:v>Merchant vessel attack</x:v>
      </x:c>
      <x:c r="H225" s="42" t="str"/>
      <x:c r="I225" s="42" t="str">
        <x:v>Maritime</x:v>
      </x:c>
      <x:c r="J225" s="42" t="str">
        <x:v>Arabian/Persian Gulf</x:v>
      </x:c>
      <x:c r="K225" s="42" t="str"/>
      <x:c r="L225" s="42" t="str">
        <x:v>13NM from coast of Oman</x:v>
      </x:c>
      <x:c r="M225" s="42" t="str"/>
      <x:c r="N225" s="42" t="str"/>
      <x:c r="O225" s="42" t="str">
        <x:v>MOMBASA B</x:v>
      </x:c>
      <x:c r="P225" s="42" t="str">
        <x:v>9739501</x:v>
      </x:c>
      <x:c r="Q225" s="42" t="str"/>
      <x:c r="R225" s="42" t="str">
        <x:v>Unconfirmed</x:v>
      </x:c>
      <x:c r="S225" s="42" t="str">
        <x:v>Damaged; no pollution; abandoned; 11 injured</x:v>
      </x:c>
      <x:c r="T225" s="42" t="str">
        <x:v>Damaged; no pollution; abandoned; 11 injured</x:v>
      </x:c>
      <x:c r="U225" s="42" t="str"/>
      <x:c r="V225" s="42" t="str"/>
      <x:c r="W225" s="42" t="str"/>
      <x:c r="X225" s="42" t="str"/>
      <x:c r="Y225" s="42" t="str"/>
      <x:c r="Z225" s="42" t="str"/>
      <x:c r="AA225" s="42" t="str">
        <x:v>https://www.imo.org/en/mediacentre/hottopics/pages/middle-east-highlighted-incidents.aspx</x:v>
      </x:c>
      <x:c r="AB225" s="42" t="str">
        <x:v>Needs canonical event resolution</x:v>
      </x:c>
      <x:c r="AC225" s="42" t="str">
        <x:v>IMO description is source evidence; assessed actor is analytical context and should remain separate from IMO attribution.</x:v>
      </x:c>
    </x:row>
    <x:row r="226">
      <x:c r="A226" s="42" t="str">
        <x:v>OBS_000225</x:v>
      </x:c>
      <x:c r="B226" s="42" t="str"/>
      <x:c r="C226" s="42" t="str">
        <x:v>imo_gulf_confirmed_2026</x:v>
      </x:c>
      <x:c r="D226" s="42" t="str">
        <x:v>19</x:v>
      </x:c>
      <x:c r="E226" s="42" t="str">
        <x:v>2026-07-13</x:v>
      </x:c>
      <x:c r="F226" s="42" t="str">
        <x:v>Conflict / Security</x:v>
      </x:c>
      <x:c r="G226" s="42" t="str">
        <x:v>Merchant vessel attack</x:v>
      </x:c>
      <x:c r="H226" s="42" t="str"/>
      <x:c r="I226" s="42" t="str">
        <x:v>Maritime</x:v>
      </x:c>
      <x:c r="J226" s="42" t="str">
        <x:v>Arabian/Persian Gulf</x:v>
      </x:c>
      <x:c r="K226" s="42" t="str"/>
      <x:c r="L226" s="42" t="str">
        <x:v>40NM from coast of Oman</x:v>
      </x:c>
      <x:c r="M226" s="42" t="str"/>
      <x:c r="N226" s="42" t="str"/>
      <x:c r="O226" s="42" t="str">
        <x:v>STOLT MAGNESIUM</x:v>
      </x:c>
      <x:c r="P226" s="42" t="str">
        <x:v>9739317</x:v>
      </x:c>
      <x:c r="Q226" s="42" t="str"/>
      <x:c r="R226" s="42" t="str">
        <x:v>Unconfirmed</x:v>
      </x:c>
      <x:c r="S226" s="42" t="str">
        <x:v>Damaged; no pollution</x:v>
      </x:c>
      <x:c r="T226" s="42" t="str">
        <x:v>Damaged; no pollution</x:v>
      </x:c>
      <x:c r="U226" s="42" t="str"/>
      <x:c r="V226" s="42" t="str"/>
      <x:c r="W226" s="42" t="str"/>
      <x:c r="X226" s="42" t="str"/>
      <x:c r="Y226" s="42" t="str"/>
      <x:c r="Z226" s="42" t="str"/>
      <x:c r="AA226" s="42" t="str">
        <x:v>https://www.imo.org/en/mediacentre/hottopics/pages/middle-east-highlighted-incidents.aspx</x:v>
      </x:c>
      <x:c r="AB226" s="42" t="str">
        <x:v>Needs canonical event resolution</x:v>
      </x:c>
      <x:c r="AC226" s="42" t="str">
        <x:v>IMO description is source evidence; assessed actor is analytical context and should remain separate from IMO attribution.</x:v>
      </x:c>
    </x:row>
    <x:row r="227">
      <x:c r="A227" s="42" t="str">
        <x:v>OBS_000226</x:v>
      </x:c>
      <x:c r="B227" s="42" t="str"/>
      <x:c r="C227" s="42" t="str">
        <x:v>imo_gulf_confirmed_2026</x:v>
      </x:c>
      <x:c r="D227" s="42" t="str">
        <x:v>20</x:v>
      </x:c>
      <x:c r="E227" s="42" t="str">
        <x:v>2026-07-11</x:v>
      </x:c>
      <x:c r="F227" s="42" t="str">
        <x:v>Conflict / Security</x:v>
      </x:c>
      <x:c r="G227" s="42" t="str">
        <x:v>Merchant vessel attack</x:v>
      </x:c>
      <x:c r="H227" s="42" t="str"/>
      <x:c r="I227" s="42" t="str">
        <x:v>Maritime</x:v>
      </x:c>
      <x:c r="J227" s="42" t="str">
        <x:v>Arabian/Persian Gulf</x:v>
      </x:c>
      <x:c r="K227" s="42" t="str"/>
      <x:c r="L227" s="42" t="str">
        <x:v>9NM east of Oman</x:v>
      </x:c>
      <x:c r="M227" s="42" t="str"/>
      <x:c r="N227" s="42" t="str"/>
      <x:c r="O227" s="42" t="str">
        <x:v>GFS GALAXY</x:v>
      </x:c>
      <x:c r="P227" s="42" t="str">
        <x:v>9401271</x:v>
      </x:c>
      <x:c r="Q227" s="42" t="str"/>
      <x:c r="R227" s="42" t="str">
        <x:v>Unconfirmed</x:v>
      </x:c>
      <x:c r="S227" s="42" t="str">
        <x:v>Damaged; no pollution; 1 fatality</x:v>
      </x:c>
      <x:c r="T227" s="42" t="str">
        <x:v>Damaged; no pollution; 1 fatality</x:v>
      </x:c>
      <x:c r="U227" s="42" t="str"/>
      <x:c r="V227" s="42" t="str"/>
      <x:c r="W227" s="42" t="str"/>
      <x:c r="X227" s="42" t="str"/>
      <x:c r="Y227" s="42" t="str"/>
      <x:c r="Z227" s="42" t="str"/>
      <x:c r="AA227" s="42" t="str">
        <x:v>https://www.imo.org/en/mediacentre/hottopics/pages/middle-east-highlighted-incidents.aspx</x:v>
      </x:c>
      <x:c r="AB227" s="42" t="str">
        <x:v>Needs canonical event resolution</x:v>
      </x:c>
      <x:c r="AC227" s="42" t="str">
        <x:v>IMO description is source evidence; assessed actor is analytical context and should remain separate from IMO attribution.</x:v>
      </x:c>
    </x:row>
    <x:row r="228">
      <x:c r="A228" s="42" t="str">
        <x:v>OBS_000227</x:v>
      </x:c>
      <x:c r="B228" s="42" t="str"/>
      <x:c r="C228" s="42" t="str">
        <x:v>imo_gulf_confirmed_2026</x:v>
      </x:c>
      <x:c r="D228" s="42" t="str">
        <x:v>21</x:v>
      </x:c>
      <x:c r="E228" s="42" t="str">
        <x:v>2026-07-07</x:v>
      </x:c>
      <x:c r="F228" s="42" t="str">
        <x:v>Conflict / Security</x:v>
      </x:c>
      <x:c r="G228" s="42" t="str">
        <x:v>Merchant vessel attack</x:v>
      </x:c>
      <x:c r="H228" s="42" t="str"/>
      <x:c r="I228" s="42" t="str">
        <x:v>Maritime</x:v>
      </x:c>
      <x:c r="J228" s="42" t="str">
        <x:v>Arabian/Persian Gulf</x:v>
      </x:c>
      <x:c r="K228" s="42" t="str"/>
      <x:c r="L228" s="42" t="str">
        <x:v>6NM east of Musandam Peninsula, Oman</x:v>
      </x:c>
      <x:c r="M228" s="42" t="str"/>
      <x:c r="N228" s="42" t="str"/>
      <x:c r="O228" s="42" t="str">
        <x:v>CYPRUS PROSPERITY</x:v>
      </x:c>
      <x:c r="P228" s="42" t="str">
        <x:v>9595216</x:v>
      </x:c>
      <x:c r="Q228" s="42" t="str"/>
      <x:c r="R228" s="42" t="str">
        <x:v>Unconfirmed</x:v>
      </x:c>
      <x:c r="S228" s="42" t="str">
        <x:v>Damaged; no pollution; no injuries</x:v>
      </x:c>
      <x:c r="T228" s="42" t="str">
        <x:v>Damaged; no pollution; no injuries</x:v>
      </x:c>
      <x:c r="U228" s="42" t="str"/>
      <x:c r="V228" s="42" t="str"/>
      <x:c r="W228" s="42" t="str"/>
      <x:c r="X228" s="42" t="str"/>
      <x:c r="Y228" s="42" t="str"/>
      <x:c r="Z228" s="42" t="str"/>
      <x:c r="AA228" s="42" t="str">
        <x:v>https://www.imo.org/en/mediacentre/hottopics/pages/middle-east-highlighted-incidents.aspx</x:v>
      </x:c>
      <x:c r="AB228" s="42" t="str">
        <x:v>Needs canonical event resolution</x:v>
      </x:c>
      <x:c r="AC228" s="42" t="str">
        <x:v>IMO description is source evidence; assessed actor is analytical context and should remain separate from IMO attribution.</x:v>
      </x:c>
    </x:row>
    <x:row r="229">
      <x:c r="A229" s="42" t="str">
        <x:v>OBS_000228</x:v>
      </x:c>
      <x:c r="B229" s="42" t="str"/>
      <x:c r="C229" s="42" t="str">
        <x:v>imo_gulf_confirmed_2026</x:v>
      </x:c>
      <x:c r="D229" s="42" t="str">
        <x:v>22</x:v>
      </x:c>
      <x:c r="E229" s="42" t="str">
        <x:v>2026-07-06</x:v>
      </x:c>
      <x:c r="F229" s="42" t="str">
        <x:v>Conflict / Security</x:v>
      </x:c>
      <x:c r="G229" s="42" t="str">
        <x:v>Merchant vessel attack</x:v>
      </x:c>
      <x:c r="H229" s="42" t="str"/>
      <x:c r="I229" s="42" t="str">
        <x:v>Maritime</x:v>
      </x:c>
      <x:c r="J229" s="42" t="str">
        <x:v>Arabian/Persian Gulf</x:v>
      </x:c>
      <x:c r="K229" s="42" t="str"/>
      <x:c r="L229" s="42" t="str">
        <x:v>16NM east of Khor Fakkan, UAE</x:v>
      </x:c>
      <x:c r="M229" s="42" t="str"/>
      <x:c r="N229" s="42" t="str"/>
      <x:c r="O229" s="42" t="str">
        <x:v>WEDYAN</x:v>
      </x:c>
      <x:c r="P229" s="42" t="str">
        <x:v>9524970</x:v>
      </x:c>
      <x:c r="Q229" s="42" t="str"/>
      <x:c r="R229" s="42" t="str">
        <x:v>Unconfirmed</x:v>
      </x:c>
      <x:c r="S229" s="42" t="str">
        <x:v>Damaged; no pollution; no injuries</x:v>
      </x:c>
      <x:c r="T229" s="42" t="str">
        <x:v>Damaged; no pollution; no injuries</x:v>
      </x:c>
      <x:c r="U229" s="42" t="str"/>
      <x:c r="V229" s="42" t="str"/>
      <x:c r="W229" s="42" t="str"/>
      <x:c r="X229" s="42" t="str"/>
      <x:c r="Y229" s="42" t="str"/>
      <x:c r="Z229" s="42" t="str"/>
      <x:c r="AA229" s="42" t="str">
        <x:v>https://www.imo.org/en/mediacentre/hottopics/pages/middle-east-highlighted-incidents.aspx</x:v>
      </x:c>
      <x:c r="AB229" s="42" t="str">
        <x:v>Needs canonical event resolution</x:v>
      </x:c>
      <x:c r="AC229" s="42" t="str">
        <x:v>IMO description is source evidence; assessed actor is analytical context and should remain separate from IMO attribution.</x:v>
      </x:c>
    </x:row>
    <x:row r="230">
      <x:c r="A230" s="42" t="str">
        <x:v>OBS_000229</x:v>
      </x:c>
      <x:c r="B230" s="42" t="str"/>
      <x:c r="C230" s="42" t="str">
        <x:v>imo_gulf_confirmed_2026</x:v>
      </x:c>
      <x:c r="D230" s="42" t="str">
        <x:v>23</x:v>
      </x:c>
      <x:c r="E230" s="42" t="str">
        <x:v>2026-07-06</x:v>
      </x:c>
      <x:c r="F230" s="42" t="str">
        <x:v>Conflict / Security</x:v>
      </x:c>
      <x:c r="G230" s="42" t="str">
        <x:v>Merchant vessel attack</x:v>
      </x:c>
      <x:c r="H230" s="42" t="str"/>
      <x:c r="I230" s="42" t="str">
        <x:v>Maritime</x:v>
      </x:c>
      <x:c r="J230" s="42" t="str">
        <x:v>Arabian/Persian Gulf</x:v>
      </x:c>
      <x:c r="K230" s="42" t="str"/>
      <x:c r="L230" s="42" t="str">
        <x:v>8NM east of Limah, Oman</x:v>
      </x:c>
      <x:c r="M230" s="42" t="str"/>
      <x:c r="N230" s="42" t="str"/>
      <x:c r="O230" s="42" t="str">
        <x:v>AL REKAYYAT</x:v>
      </x:c>
      <x:c r="P230" s="42" t="str">
        <x:v>9397339</x:v>
      </x:c>
      <x:c r="Q230" s="42" t="str"/>
      <x:c r="R230" s="42" t="str">
        <x:v>Unconfirmed</x:v>
      </x:c>
      <x:c r="S230" s="42" t="str">
        <x:v>Damaged; no pollution</x:v>
      </x:c>
      <x:c r="T230" s="42" t="str">
        <x:v>Damaged; no pollution</x:v>
      </x:c>
      <x:c r="U230" s="42" t="str"/>
      <x:c r="V230" s="42" t="str"/>
      <x:c r="W230" s="42" t="str"/>
      <x:c r="X230" s="42" t="str"/>
      <x:c r="Y230" s="42" t="str"/>
      <x:c r="Z230" s="42" t="str"/>
      <x:c r="AA230" s="42" t="str">
        <x:v>https://www.imo.org/en/mediacentre/hottopics/pages/middle-east-highlighted-incidents.aspx</x:v>
      </x:c>
      <x:c r="AB230" s="42" t="str">
        <x:v>Needs canonical event resolution</x:v>
      </x:c>
      <x:c r="AC230" s="42" t="str">
        <x:v>IMO description is source evidence; assessed actor is analytical context and should remain separate from IMO attribution.</x:v>
      </x:c>
    </x:row>
    <x:row r="231">
      <x:c r="A231" s="42" t="str">
        <x:v>OBS_000230</x:v>
      </x:c>
      <x:c r="B231" s="42" t="str"/>
      <x:c r="C231" s="42" t="str">
        <x:v>imo_gulf_confirmed_2026</x:v>
      </x:c>
      <x:c r="D231" s="42" t="str">
        <x:v>24</x:v>
      </x:c>
      <x:c r="E231" s="42" t="str">
        <x:v>2026-06-27</x:v>
      </x:c>
      <x:c r="F231" s="42" t="str">
        <x:v>Conflict / Security</x:v>
      </x:c>
      <x:c r="G231" s="42" t="str">
        <x:v>Merchant vessel attack</x:v>
      </x:c>
      <x:c r="H231" s="42" t="str"/>
      <x:c r="I231" s="42" t="str">
        <x:v>Maritime</x:v>
      </x:c>
      <x:c r="J231" s="42" t="str">
        <x:v>Arabian/Persian Gulf</x:v>
      </x:c>
      <x:c r="K231" s="42" t="str"/>
      <x:c r="L231" s="42" t="str">
        <x:v>8NM off Oman</x:v>
      </x:c>
      <x:c r="M231" s="42" t="str"/>
      <x:c r="N231" s="42" t="str"/>
      <x:c r="O231" s="42" t="str">
        <x:v>KIKU</x:v>
      </x:c>
      <x:c r="P231" s="42" t="str">
        <x:v>9329796</x:v>
      </x:c>
      <x:c r="Q231" s="42" t="str"/>
      <x:c r="R231" s="42" t="str">
        <x:v>Iran / one-way attack drone per CENTCOM/Reuters</x:v>
      </x:c>
      <x:c r="S231" s="42" t="str">
        <x:v>Damaged; no pollution</x:v>
      </x:c>
      <x:c r="T231" s="42" t="str">
        <x:v>Damaged; no pollution</x:v>
      </x:c>
      <x:c r="U231" s="42" t="str"/>
      <x:c r="V231" s="42" t="str"/>
      <x:c r="W231" s="42" t="str"/>
      <x:c r="X231" s="42" t="str"/>
      <x:c r="Y231" s="42" t="str"/>
      <x:c r="Z231" s="42" t="str"/>
      <x:c r="AA231" s="42" t="str">
        <x:v>https://www.imo.org/en/mediacentre/hottopics/pages/middle-east-highlighted-incidents.aspx</x:v>
      </x:c>
      <x:c r="AB231" s="42" t="str">
        <x:v>Needs canonical event resolution</x:v>
      </x:c>
      <x:c r="AC231" s="42" t="str">
        <x:v>IMO description is source evidence; assessed actor is analytical context and should remain separate from IMO attribution.</x:v>
      </x:c>
    </x:row>
    <x:row r="232">
      <x:c r="A232" s="42" t="str">
        <x:v>OBS_000231</x:v>
      </x:c>
      <x:c r="B232" s="42" t="str"/>
      <x:c r="C232" s="42" t="str">
        <x:v>imo_gulf_confirmed_2026</x:v>
      </x:c>
      <x:c r="D232" s="42" t="str">
        <x:v>25</x:v>
      </x:c>
      <x:c r="E232" s="42" t="str">
        <x:v>2026-06-25</x:v>
      </x:c>
      <x:c r="F232" s="42" t="str">
        <x:v>Conflict / Security</x:v>
      </x:c>
      <x:c r="G232" s="42" t="str">
        <x:v>Merchant vessel attack</x:v>
      </x:c>
      <x:c r="H232" s="42" t="str"/>
      <x:c r="I232" s="42" t="str">
        <x:v>Maritime</x:v>
      </x:c>
      <x:c r="J232" s="42" t="str">
        <x:v>Arabian/Persian Gulf</x:v>
      </x:c>
      <x:c r="K232" s="42" t="str"/>
      <x:c r="L232" s="42" t="str">
        <x:v>7.5NM southeast of Dahit, Oman</x:v>
      </x:c>
      <x:c r="M232" s="42" t="str"/>
      <x:c r="N232" s="42" t="str"/>
      <x:c r="O232" s="42" t="str">
        <x:v>EVER LOVELY</x:v>
      </x:c>
      <x:c r="P232" s="42" t="str">
        <x:v>9629110</x:v>
      </x:c>
      <x:c r="Q232" s="42" t="str"/>
      <x:c r="R232" s="42" t="str">
        <x:v>Iran accused by U.S.; projectile/drone reported</x:v>
      </x:c>
      <x:c r="S232" s="42" t="str">
        <x:v>Damaged; no pollution; no injuries</x:v>
      </x:c>
      <x:c r="T232" s="42" t="str">
        <x:v>Damaged; no pollution; no injuries</x:v>
      </x:c>
      <x:c r="U232" s="42" t="str"/>
      <x:c r="V232" s="42" t="str"/>
      <x:c r="W232" s="42" t="str"/>
      <x:c r="X232" s="42" t="str"/>
      <x:c r="Y232" s="42" t="str"/>
      <x:c r="Z232" s="42" t="str"/>
      <x:c r="AA232" s="42" t="str">
        <x:v>https://www.imo.org/en/mediacentre/hottopics/pages/middle-east-highlighted-incidents.aspx</x:v>
      </x:c>
      <x:c r="AB232" s="42" t="str">
        <x:v>Needs canonical event resolution</x:v>
      </x:c>
      <x:c r="AC232" s="42" t="str">
        <x:v>IMO description is source evidence; assessed actor is analytical context and should remain separate from IMO attribution.</x:v>
      </x:c>
    </x:row>
    <x:row r="233">
      <x:c r="A233" s="42" t="str">
        <x:v>OBS_000232</x:v>
      </x:c>
      <x:c r="B233" s="42" t="str"/>
      <x:c r="C233" s="42" t="str">
        <x:v>port_incidents_2026</x:v>
      </x:c>
      <x:c r="D233" s="42" t="str">
        <x:v>1</x:v>
      </x:c>
      <x:c r="E233" s="42" t="str">
        <x:v>2026-03-01</x:v>
      </x:c>
      <x:c r="F233" s="42" t="str">
        <x:v>Conflict / Security</x:v>
      </x:c>
      <x:c r="G233" s="42" t="str">
        <x:v>War / Conflict</x:v>
      </x:c>
      <x:c r="H233" s="42" t="str">
        <x:v>Drone strike</x:v>
      </x:c>
      <x:c r="I233" s="42" t="str">
        <x:v>Port / Terminal</x:v>
      </x:c>
      <x:c r="J233" s="42" t="str">
        <x:v>Middle East</x:v>
      </x:c>
      <x:c r="K233" s="42" t="str">
        <x:v>Oman</x:v>
      </x:c>
      <x:c r="L233" s="42" t="str">
        <x:v>Port of Duqm</x:v>
      </x:c>
      <x:c r="M233" s="42" t="str"/>
      <x:c r="N233" s="42" t="str"/>
      <x:c r="O233" s="42" t="str">
        <x:v>Port infrastructure / worker accommodation</x:v>
      </x:c>
      <x:c r="P233" s="42" t="str"/>
      <x:c r="Q233" s="42" t="str">
        <x:v>Port / terminal / vessel</x:v>
      </x:c>
      <x:c r="R233" s="42" t="str">
        <x:v>Attributed in reporting to Iranian strike activity</x:v>
      </x:c>
      <x:c r="S233" s="42" t="str">
        <x:v>Two drones targeted the commercial port; one struck worker accommodation and debris from the second landed near fuel tanks.</x:v>
      </x:c>
      <x:c r="T233" s="42" t="str">
        <x:v>No reported pollution</x:v>
      </x:c>
      <x:c r="U233" s="42" t="str">
        <x:v>0</x:v>
      </x:c>
      <x:c r="V233" s="42" t="str">
        <x:v>1</x:v>
      </x:c>
      <x:c r="W233" s="42" t="str">
        <x:v>Localized impact; port security response activated</x:v>
      </x:c>
      <x:c r="X233" s="42" t="str">
        <x:v>Direct attack on a commercial port; important benchmark for port resilience and fuel-storage exposure.</x:v>
      </x:c>
      <x:c r="Y233" s="42" t="str">
        <x:v>High</x:v>
      </x:c>
      <x:c r="Z233" s="42" t="str">
        <x:v>High</x:v>
      </x:c>
      <x:c r="AA233" s="42" t="str">
        <x:v>https://omannews.gov.om/topics/en/79/show/127246/ona | https://airwars.org/incidents/irom260301e-march-1-2026</x:v>
      </x:c>
      <x:c r="AB233" s="42" t="str">
        <x:v>Needs canonical event resolution</x:v>
      </x:c>
      <x:c r="AC233" s="42" t="str">
        <x:v>Operator / authority: Port of Duqm / Oman authorities; Status: Confirmed by Oman News Agency</x:v>
      </x:c>
    </x:row>
    <x:row r="234">
      <x:c r="A234" s="42" t="str">
        <x:v>OBS_000233</x:v>
      </x:c>
      <x:c r="B234" s="42" t="str"/>
      <x:c r="C234" s="42" t="str">
        <x:v>port_incidents_2026</x:v>
      </x:c>
      <x:c r="D234" s="42" t="str">
        <x:v>2</x:v>
      </x:c>
      <x:c r="E234" s="42" t="str">
        <x:v>2026-03-01</x:v>
      </x:c>
      <x:c r="F234" s="42" t="str">
        <x:v>Conflict / Security</x:v>
      </x:c>
      <x:c r="G234" s="42" t="str">
        <x:v>War / Conflict</x:v>
      </x:c>
      <x:c r="H234" s="42" t="str">
        <x:v>Strike / fire</x:v>
      </x:c>
      <x:c r="I234" s="42" t="str">
        <x:v>Port / Terminal</x:v>
      </x:c>
      <x:c r="J234" s="42" t="str">
        <x:v>Middle East</x:v>
      </x:c>
      <x:c r="K234" s="42" t="str">
        <x:v>UAE</x:v>
      </x:c>
      <x:c r="L234" s="42" t="str">
        <x:v>Zayed Port, Abu Dhabi</x:v>
      </x:c>
      <x:c r="M234" s="42" t="str"/>
      <x:c r="N234" s="42" t="str"/>
      <x:c r="O234" s="42" t="str">
        <x:v>Port infrastructure</x:v>
      </x:c>
      <x:c r="P234" s="42" t="str"/>
      <x:c r="Q234" s="42" t="str">
        <x:v>Port / terminal / vessel</x:v>
      </x:c>
      <x:c r="R234" s="42" t="str">
        <x:v>Iranian attack context</x:v>
      </x:c>
      <x:c r="S234" s="42" t="str">
        <x:v>Smoke and fire were reported from the Zayed Port area following Iranian retaliatory strikes.</x:v>
      </x:c>
      <x:c r="T234" s="42" t="str"/>
      <x:c r="U234" s="42" t="str"/>
      <x:c r="V234" s="42" t="str"/>
      <x:c r="W234" s="42" t="str">
        <x:v>Operational disruption reported in wider UAE port response</x:v>
      </x:c>
      <x:c r="X234" s="42" t="str">
        <x:v>Shows conflict spillover directly into urban port infrastructure.</x:v>
      </x:c>
      <x:c r="Y234" s="42" t="str">
        <x:v>High</x:v>
      </x:c>
      <x:c r="Z234" s="42" t="str">
        <x:v>Medium-High</x:v>
      </x:c>
      <x:c r="AA234" s="42" t="str">
        <x:v>https://www.reutersconnect.com/item/smoke-billows-from-zayed-port-after-an-iranian-attack-following-united-states-and-israel-strikes-on-iran-in-abu-dhabi/dGFnOnJldXRlcnMuY29tLDIwMjY6bmV3c21sX1JDMk9WSkFJQ0xMRA | https://www.reuters.com/world/middle-east/several-loud-blasts-heard-over-dubai-doha-second-day-witnesses-say-2026-03-01/</x:v>
      </x:c>
      <x:c r="AB234" s="42" t="str">
        <x:v>Needs canonical event resolution</x:v>
      </x:c>
      <x:c r="AC234" s="42" t="str">
        <x:v>Operator / authority: Abu Dhabi / port authorities; Status: Confirmed visual reporting; detailed damage not fully public</x:v>
      </x:c>
    </x:row>
    <x:row r="235">
      <x:c r="A235" s="42" t="str">
        <x:v>OBS_000234</x:v>
      </x:c>
      <x:c r="B235" s="42" t="str"/>
      <x:c r="C235" s="42" t="str">
        <x:v>port_incidents_2026</x:v>
      </x:c>
      <x:c r="D235" s="42" t="str">
        <x:v>3</x:v>
      </x:c>
      <x:c r="E235" s="42" t="str">
        <x:v>2026-03-01</x:v>
      </x:c>
      <x:c r="F235" s="42" t="str">
        <x:v>Conflict / Security</x:v>
      </x:c>
      <x:c r="G235" s="42" t="str">
        <x:v>War / Conflict</x:v>
      </x:c>
      <x:c r="H235" s="42" t="str">
        <x:v>Missile/drone debris fire</x:v>
      </x:c>
      <x:c r="I235" s="42" t="str">
        <x:v>Port / Terminal</x:v>
      </x:c>
      <x:c r="J235" s="42" t="str">
        <x:v>Middle East</x:v>
      </x:c>
      <x:c r="K235" s="42" t="str">
        <x:v>UAE</x:v>
      </x:c>
      <x:c r="L235" s="42" t="str">
        <x:v>Jebel Ali Port, Dubai</x:v>
      </x:c>
      <x:c r="M235" s="42" t="str"/>
      <x:c r="N235" s="42" t="str"/>
      <x:c r="O235" s="42" t="str">
        <x:v>Container port infrastructure</x:v>
      </x:c>
      <x:c r="P235" s="42" t="str"/>
      <x:c r="Q235" s="42" t="str">
        <x:v>Port / terminal / vessel</x:v>
      </x:c>
      <x:c r="R235" s="42" t="str">
        <x:v>Debris from intercepted incoming threat</x:v>
      </x:c>
      <x:c r="S235" s="42" t="str">
        <x:v>Missile or drone debris sparked a fire at Jebel Ali Port; smoke was visible over the terminal area.</x:v>
      </x:c>
      <x:c r="T235" s="42" t="str"/>
      <x:c r="U235" s="42" t="str">
        <x:v>0</x:v>
      </x:c>
      <x:c r="V235" s="42" t="str"/>
      <x:c r="W235" s="42" t="str">
        <x:v>DP World paused activities temporarily during the immediate response</x:v>
      </x:c>
      <x:c r="X235" s="42" t="str">
        <x:v>Major global transshipment hub; short disruption has regional supply-chain significance.</x:v>
      </x:c>
      <x:c r="Y235" s="42" t="str">
        <x:v>High</x:v>
      </x:c>
      <x:c r="Z235" s="42" t="str">
        <x:v>High</x:v>
      </x:c>
      <x:c r="AA235" s="42" t="str">
        <x:v>https://www.reutersconnect.com/item/smoke-billows-from-jebel-ali-port-after-missile-debris-sparked-fire-says-dubai-media-office/dGFnOnJldXRlcnMuY29tLDIwMjY6bmV3c21sX1ZBOTYxNzAxMDMyMDI2UlAx | https://www.reuters.com/world/middle-east/several-loud-blasts-heard-over-dubai-doha-second-day-witnesses-say-2026-03-01/</x:v>
      </x:c>
      <x:c r="AB235" s="42" t="str">
        <x:v>Needs canonical event resolution</x:v>
      </x:c>
      <x:c r="AC235" s="42" t="str">
        <x:v>Operator / authority: DP World / Dubai authorities; Status: Confirmed by Dubai/Reuters reporting</x:v>
      </x:c>
    </x:row>
    <x:row r="236">
      <x:c r="A236" s="42" t="str">
        <x:v>OBS_000235</x:v>
      </x:c>
      <x:c r="B236" s="42" t="str"/>
      <x:c r="C236" s="42" t="str">
        <x:v>port_incidents_2026</x:v>
      </x:c>
      <x:c r="D236" s="42" t="str">
        <x:v>4</x:v>
      </x:c>
      <x:c r="E236" s="42" t="str">
        <x:v>2026-03-14</x:v>
      </x:c>
      <x:c r="F236" s="42" t="str">
        <x:v>Conflict / Security</x:v>
      </x:c>
      <x:c r="G236" s="42" t="str">
        <x:v>War / Conflict</x:v>
      </x:c>
      <x:c r="H236" s="42" t="str">
        <x:v>Drone debris / fire</x:v>
      </x:c>
      <x:c r="I236" s="42" t="str">
        <x:v>Port / Terminal</x:v>
      </x:c>
      <x:c r="J236" s="42" t="str">
        <x:v>Middle East</x:v>
      </x:c>
      <x:c r="K236" s="42" t="str">
        <x:v>UAE</x:v>
      </x:c>
      <x:c r="L236" s="42" t="str">
        <x:v>Fujairah oil/bunkering hub</x:v>
      </x:c>
      <x:c r="M236" s="42" t="str"/>
      <x:c r="N236" s="42" t="str"/>
      <x:c r="O236" s="42" t="str">
        <x:v>Oil loading and storage infrastructure</x:v>
      </x:c>
      <x:c r="P236" s="42" t="str"/>
      <x:c r="Q236" s="42" t="str">
        <x:v>Port / terminal / vessel</x:v>
      </x:c>
      <x:c r="R236" s="42" t="str">
        <x:v>Incoming Iranian drone intercepted; debris impact</x:v>
      </x:c>
      <x:c r="S236" s="42" t="str">
        <x:v>Debris from an intercepted drone caused a fire at Fujairah; one person was lightly injured and some oil-loading operations were suspended.</x:v>
      </x:c>
      <x:c r="T236" s="42" t="str">
        <x:v>No major spill reported</x:v>
      </x:c>
      <x:c r="U236" s="42" t="str">
        <x:v>0</x:v>
      </x:c>
      <x:c r="V236" s="42" t="str">
        <x:v>1</x:v>
      </x:c>
      <x:c r="W236" s="42" t="str">
        <x:v>Some oil-loading operations suspended; loadings resumed the next day</x:v>
      </x:c>
      <x:c r="X236" s="42" t="str">
        <x:v>Critical because Fujairah sits outside Hormuz and functions as an energy bypass hub.</x:v>
      </x:c>
      <x:c r="Y236" s="42" t="str">
        <x:v>High</x:v>
      </x:c>
      <x:c r="Z236" s="42" t="str">
        <x:v>High</x:v>
      </x:c>
      <x:c r="AA236" s="42" t="str">
        <x:v>https://www.reuters.com/world/middle-east/fire-occurred-uaes-fujairah-after-debris-fell-during-interception-drone-no-2026-03-14/ | https://www.reuters.com/business/energy/oil-loading-operations-uaes-fujairah-have-restarted-industry-source-says-2026-03-15/</x:v>
      </x:c>
      <x:c r="AB236" s="42" t="str">
        <x:v>Needs canonical event resolution</x:v>
      </x:c>
      <x:c r="AC236" s="42" t="str">
        <x:v>Operator / authority: Fujairah authorities / ADNOC-linked infrastructure; Status: Confirmed; operations subsequently resumed</x:v>
      </x:c>
    </x:row>
    <x:row r="237">
      <x:c r="A237" s="42" t="str">
        <x:v>OBS_000236</x:v>
      </x:c>
      <x:c r="B237" s="42" t="str"/>
      <x:c r="C237" s="42" t="str">
        <x:v>port_incidents_2026</x:v>
      </x:c>
      <x:c r="D237" s="42" t="str">
        <x:v>5</x:v>
      </x:c>
      <x:c r="E237" s="42" t="str">
        <x:v>2026-03-28</x:v>
      </x:c>
      <x:c r="F237" s="42" t="str">
        <x:v>Conflict / Security</x:v>
      </x:c>
      <x:c r="G237" s="42" t="str">
        <x:v>War / Conflict</x:v>
      </x:c>
      <x:c r="H237" s="42" t="str">
        <x:v>Drone strike / crane damage</x:v>
      </x:c>
      <x:c r="I237" s="42" t="str">
        <x:v>Port / Terminal</x:v>
      </x:c>
      <x:c r="J237" s="42" t="str">
        <x:v>Middle East</x:v>
      </x:c>
      <x:c r="K237" s="42" t="str">
        <x:v>Oman</x:v>
      </x:c>
      <x:c r="L237" s="42" t="str">
        <x:v>Port of Salalah</x:v>
      </x:c>
      <x:c r="M237" s="42" t="str"/>
      <x:c r="N237" s="42" t="str"/>
      <x:c r="O237" s="42" t="str">
        <x:v>Container crane / terminal infrastructure</x:v>
      </x:c>
      <x:c r="P237" s="42" t="str"/>
      <x:c r="Q237" s="42" t="str">
        <x:v>Port / terminal / vessel</x:v>
      </x:c>
      <x:c r="R237" s="42" t="str">
        <x:v>Likely Iranian strike; local authorities confirmed drone impact</x:v>
      </x:c>
      <x:c r="S237" s="42" t="str">
        <x:v>Two drones targeted Salalah Port, injuring one worker and damaging a container crane.</x:v>
      </x:c>
      <x:c r="T237" s="42" t="str">
        <x:v>No major pollution reported</x:v>
      </x:c>
      <x:c r="U237" s="42" t="str">
        <x:v>0</x:v>
      </x:c>
      <x:c r="V237" s="42" t="str">
        <x:v>1</x:v>
      </x:c>
      <x:c r="W237" s="42" t="str">
        <x:v>Port evacuated and operations temporarily suspended; roughly 48-hour estimate reported</x:v>
      </x:c>
      <x:c r="X237" s="42" t="str">
        <x:v>Notable because it extends conflict risk to a major Indian Ocean transshipment port outside Hormuz.</x:v>
      </x:c>
      <x:c r="Y237" s="42" t="str">
        <x:v>High</x:v>
      </x:c>
      <x:c r="Z237" s="42" t="str">
        <x:v>High</x:v>
      </x:c>
      <x:c r="AA237" s="42" t="str">
        <x:v>https://airwars.org/incidents/irom260328a-march-28-2026</x:v>
      </x:c>
      <x:c r="AB237" s="42" t="str">
        <x:v>Needs canonical event resolution</x:v>
      </x:c>
      <x:c r="AC237" s="42" t="str">
        <x:v>Operator / authority: Port of Salalah / APM Terminals; Status: Assessed / investigated</x:v>
      </x:c>
    </x:row>
    <x:row r="238">
      <x:c r="A238" s="42" t="str">
        <x:v>OBS_000237</x:v>
      </x:c>
      <x:c r="B238" s="42" t="str"/>
      <x:c r="C238" s="42" t="str">
        <x:v>port_incidents_2026</x:v>
      </x:c>
      <x:c r="D238" s="42" t="str">
        <x:v>6</x:v>
      </x:c>
      <x:c r="E238" s="42" t="str">
        <x:v>2026-07-28</x:v>
      </x:c>
      <x:c r="F238" s="42" t="str">
        <x:v>Conflict / Security</x:v>
      </x:c>
      <x:c r="G238" s="42" t="str">
        <x:v>War / Conflict</x:v>
      </x:c>
      <x:c r="H238" s="42" t="str">
        <x:v>Drone strike / vessel fire</x:v>
      </x:c>
      <x:c r="I238" s="42" t="str">
        <x:v>Port / Terminal</x:v>
      </x:c>
      <x:c r="J238" s="42" t="str">
        <x:v>Middle East</x:v>
      </x:c>
      <x:c r="K238" s="42" t="str">
        <x:v>Egypt</x:v>
      </x:c>
      <x:c r="L238" s="42" t="str">
        <x:v>Damietta Port</x:v>
      </x:c>
      <x:c r="M238" s="42" t="str"/>
      <x:c r="N238" s="42" t="str"/>
      <x:c r="O238" s="42" t="str">
        <x:v>Energos Winter FSRU; GasLog Salem</x:v>
      </x:c>
      <x:c r="P238" s="42" t="str"/>
      <x:c r="Q238" s="42" t="str">
        <x:v>Port / terminal / vessel</x:v>
      </x:c>
      <x:c r="R238" s="42" t="str">
        <x:v>Drone strike confirmed by Egyptian cabinet; attacker unclaimed</x:v>
      </x:c>
      <x:c r="S238" s="42" t="str">
        <x:v>A drone hit a gas vessel at Damietta and fire spread to a second gas vessel.</x:v>
      </x:c>
      <x:c r="T238" s="42" t="str">
        <x:v>No major pollution reported</x:v>
      </x:c>
      <x:c r="U238" s="42" t="str">
        <x:v>0</x:v>
      </x:c>
      <x:c r="V238" s="42" t="str">
        <x:v>0</x:v>
      </x:c>
      <x:c r="W238" s="42" t="str">
        <x:v>Emergency response; energy-import infrastructure disrupted / assessed</x:v>
      </x:c>
      <x:c r="X238" s="42" t="str">
        <x:v>Direct attack on LNG/FSRU infrastructure broadens port conflict risk beyond Gulf ports.</x:v>
      </x:c>
      <x:c r="Y238" s="42" t="str">
        <x:v>High</x:v>
      </x:c>
      <x:c r="Z238" s="42" t="str">
        <x:v>High</x:v>
      </x:c>
      <x:c r="AA238" s="42" t="str">
        <x:v>https://www.reuters.com/world/middle-east/drone-hits-gas-storage-tanker-egypts-mediterranean-port-2026-07-29/ | https://www.reuters.com/world/middle-east/us-military-says-it-hit-dozens-irans-irgc-targets-2026-07-30/</x:v>
      </x:c>
      <x:c r="AB238" s="42" t="str">
        <x:v>Needs canonical event resolution</x:v>
      </x:c>
      <x:c r="AC238" s="42" t="str">
        <x:v>Operator / authority: Egyptian authorities / vessel owners; Status: Investigation ongoing</x:v>
      </x:c>
    </x:row>
    <x:row r="239">
      <x:c r="A239" s="42" t="str">
        <x:v>OBS_000238</x:v>
      </x:c>
      <x:c r="B239" s="42" t="str"/>
      <x:c r="C239" s="42" t="str">
        <x:v>port_incidents_2026</x:v>
      </x:c>
      <x:c r="D239" s="42" t="str">
        <x:v>7</x:v>
      </x:c>
      <x:c r="E239" s="42" t="str">
        <x:v>2026-09-01</x:v>
      </x:c>
      <x:c r="F239" s="42" t="str">
        <x:v>Conflict / Security</x:v>
      </x:c>
      <x:c r="G239" s="42" t="str">
        <x:v>War / Conflict</x:v>
      </x:c>
      <x:c r="H239" s="42" t="str">
        <x:v>Drone/missile strikes on port infrastructure</x:v>
      </x:c>
      <x:c r="I239" s="42" t="str">
        <x:v>Port / Terminal</x:v>
      </x:c>
      <x:c r="J239" s="42" t="str">
        <x:v>Europe</x:v>
      </x:c>
      <x:c r="K239" s="42" t="str">
        <x:v>Ukraine</x:v>
      </x:c>
      <x:c r="L239" s="42" t="str">
        <x:v>Odesa region ports / export facilities</x:v>
      </x:c>
      <x:c r="M239" s="42" t="str"/>
      <x:c r="N239" s="42" t="str"/>
      <x:c r="O239" s="42" t="str">
        <x:v>Export facilities / logistics infrastructure</x:v>
      </x:c>
      <x:c r="P239" s="42" t="str"/>
      <x:c r="Q239" s="42" t="str">
        <x:v>Port / terminal / vessel</x:v>
      </x:c>
      <x:c r="R239" s="42" t="str">
        <x:v>Russian drone/missile attacks</x:v>
      </x:c>
      <x:c r="S239" s="42" t="str">
        <x:v>Russian strikes damaged port export infrastructure in the Odesa region and contributed to disruption of export routes.</x:v>
      </x:c>
      <x:c r="T239" s="42" t="str"/>
      <x:c r="U239" s="42" t="str"/>
      <x:c r="V239" s="42" t="str">
        <x:v>1</x:v>
      </x:c>
      <x:c r="W239" s="42" t="str">
        <x:v>Export facilities damaged; wider seaport operations heavily constrained</x:v>
      </x:c>
      <x:c r="X239" s="42" t="str">
        <x:v>Important for grain, Danube rerouting and Black Sea maritime-risk assessment.</x:v>
      </x:c>
      <x:c r="Y239" s="42" t="str">
        <x:v>High</x:v>
      </x:c>
      <x:c r="Z239" s="42" t="str">
        <x:v>High</x:v>
      </x:c>
      <x:c r="AA239" s="42" t="str">
        <x:v>https://www.reuters.com/world/middle-east/russia-hits-port-export-facilities-ukraines-odesa-region-kyiv-says-2026-09-01/</x:v>
      </x:c>
      <x:c r="AB239" s="42" t="str">
        <x:v>Needs canonical event resolution</x:v>
      </x:c>
      <x:c r="AC239" s="42" t="str">
        <x:v>Operator / authority: Ukrainian port authorities; Status: Confirmed by Ukrainian officials; conflict ongoing</x:v>
      </x:c>
    </x:row>
    <x:row r="240">
      <x:c r="A240" s="42" t="str">
        <x:v>OBS_000239</x:v>
      </x:c>
      <x:c r="B240" s="42" t="str"/>
      <x:c r="C240" s="42" t="str">
        <x:v>port_incidents_2026</x:v>
      </x:c>
      <x:c r="D240" s="42" t="str">
        <x:v>8</x:v>
      </x:c>
      <x:c r="E240" s="42" t="str">
        <x:v>2026-04-14</x:v>
      </x:c>
      <x:c r="F240" s="42" t="str">
        <x:v>Conflict / Security</x:v>
      </x:c>
      <x:c r="G240" s="42" t="str">
        <x:v>War / Conflict</x:v>
      </x:c>
      <x:c r="H240" s="42" t="str">
        <x:v>Drone strike on port and vessels</x:v>
      </x:c>
      <x:c r="I240" s="42" t="str">
        <x:v>Port / Terminal</x:v>
      </x:c>
      <x:c r="J240" s="42" t="str">
        <x:v>Europe</x:v>
      </x:c>
      <x:c r="K240" s="42" t="str">
        <x:v>Ukraine</x:v>
      </x:c>
      <x:c r="L240" s="42" t="str">
        <x:v>Port of Izmail / Odesa maritime corridor</x:v>
      </x:c>
      <x:c r="M240" s="42" t="str"/>
      <x:c r="N240" s="42" t="str"/>
      <x:c r="O240" s="42" t="str">
        <x:v>Two foreign civilian vessels / port logistics</x:v>
      </x:c>
      <x:c r="P240" s="42" t="str"/>
      <x:c r="Q240" s="42" t="str">
        <x:v>Port / terminal / vessel</x:v>
      </x:c>
      <x:c r="R240" s="42" t="str">
        <x:v>Russian drone attack</x:v>
      </x:c>
      <x:c r="S240" s="42" t="str">
        <x:v>Russian drones hit Izmail port, damaging port infrastructure and foreign civilian vessels including a Panama-flagged vessel.</x:v>
      </x:c>
      <x:c r="T240" s="42" t="str"/>
      <x:c r="U240" s="42" t="str">
        <x:v>0</x:v>
      </x:c>
      <x:c r="V240" s="42" t="str">
        <x:v>0</x:v>
      </x:c>
      <x:c r="W240" s="42" t="str">
        <x:v>Port operations reportedly remained stable despite damage</x:v>
      </x:c>
      <x:c r="X240" s="42" t="str">
        <x:v>Illustrates direct merchant-vessel exposure inside a functioning wartime export port.</x:v>
      </x:c>
      <x:c r="Y240" s="42" t="str">
        <x:v>High</x:v>
      </x:c>
      <x:c r="Z240" s="42" t="str">
        <x:v>High</x:v>
      </x:c>
      <x:c r="AA240" s="42" t="str">
        <x:v>https://www.reuters.com/world/americas/russian-drones-attacked-ukraines-izmail-port-damaged-panama-flagged-vessel-2026-04-14/</x:v>
      </x:c>
      <x:c r="AB240" s="42" t="str">
        <x:v>Needs canonical event resolution</x:v>
      </x:c>
      <x:c r="AC240" s="42" t="str">
        <x:v>Operator / authority: Ukrainian authorities; Status: Confirmed by Ukrainian officials</x:v>
      </x:c>
    </x:row>
    <x:row r="241">
      <x:c r="A241" s="42" t="str">
        <x:v>OBS_000240</x:v>
      </x:c>
      <x:c r="B241" s="42" t="str"/>
      <x:c r="C241" s="42" t="str">
        <x:v>port_incidents_2026</x:v>
      </x:c>
      <x:c r="D241" s="42" t="str">
        <x:v>9</x:v>
      </x:c>
      <x:c r="E241" s="42" t="str">
        <x:v>2026-08-13</x:v>
      </x:c>
      <x:c r="F241" s="42" t="str">
        <x:v>Port / Infrastructure Incident</x:v>
      </x:c>
      <x:c r="G241" s="42" t="str">
        <x:v>Industrial Accident</x:v>
      </x:c>
      <x:c r="H241" s="42" t="str">
        <x:v>Tank explosion during maintenance</x:v>
      </x:c>
      <x:c r="I241" s="42" t="str">
        <x:v>Port / Terminal</x:v>
      </x:c>
      <x:c r="J241" s="42" t="str">
        <x:v>Europe</x:v>
      </x:c>
      <x:c r="K241" s="42" t="str">
        <x:v>Netherlands</x:v>
      </x:c>
      <x:c r="L241" s="42" t="str">
        <x:v>Port of Rotterdam</x:v>
      </x:c>
      <x:c r="M241" s="42" t="str"/>
      <x:c r="N241" s="42" t="str"/>
      <x:c r="O241" s="42" t="str">
        <x:v>Petroleum product storage tank</x:v>
      </x:c>
      <x:c r="P241" s="42" t="str"/>
      <x:c r="Q241" s="42" t="str">
        <x:v>Port / terminal / vessel</x:v>
      </x:c>
      <x:c r="R241" s="42" t="str">
        <x:v>Maintenance-related incident; sabotage not indicated initially</x:v>
      </x:c>
      <x:c r="S241" s="42" t="str">
        <x:v>Explosion at a petroleum product storage facility during maintenance killed one and injured six.</x:v>
      </x:c>
      <x:c r="T241" s="42" t="str">
        <x:v>No major offsite pollution reported</x:v>
      </x:c>
      <x:c r="U241" s="42" t="str">
        <x:v>1</x:v>
      </x:c>
      <x:c r="V241" s="42" t="str">
        <x:v>6</x:v>
      </x:c>
      <x:c r="W241" s="42" t="str">
        <x:v>Localized facility impact; major port systems remained operational</x:v>
      </x:c>
      <x:c r="X241" s="42" t="str">
        <x:v>Demonstrates maintenance and hazardous-storage risk inside a major energy port.</x:v>
      </x:c>
      <x:c r="Y241" s="42" t="str">
        <x:v>High</x:v>
      </x:c>
      <x:c r="Z241" s="42" t="str">
        <x:v>High</x:v>
      </x:c>
      <x:c r="AA241" s="42" t="str">
        <x:v>https://www.reuters.com/world/europe/rotterdam-port-explosion-causes-one-death-police-say-2026-08-13/</x:v>
      </x:c>
      <x:c r="AB241" s="42" t="str">
        <x:v>Needs canonical event resolution</x:v>
      </x:c>
      <x:c r="AC241" s="42" t="str">
        <x:v>Operator / authority: Gunvor / Rotterdam authorities; Status: Authorities investigating</x:v>
      </x:c>
    </x:row>
    <x:row r="242">
      <x:c r="A242" s="42" t="str">
        <x:v>OBS_000241</x:v>
      </x:c>
      <x:c r="B242" s="42" t="str"/>
      <x:c r="C242" s="42" t="str">
        <x:v>port_incidents_2026</x:v>
      </x:c>
      <x:c r="D242" s="42" t="str">
        <x:v>10</x:v>
      </x:c>
      <x:c r="E242" s="42" t="str">
        <x:v>2026-07-19</x:v>
      </x:c>
      <x:c r="F242" s="42" t="str">
        <x:v>Port / Infrastructure Incident</x:v>
      </x:c>
      <x:c r="G242" s="42" t="str">
        <x:v>Collision / Infrastructure</x:v>
      </x:c>
      <x:c r="H242" s="42" t="str">
        <x:v>Vessel collision / gantry crane collapse</x:v>
      </x:c>
      <x:c r="I242" s="42" t="str">
        <x:v>Port / Terminal</x:v>
      </x:c>
      <x:c r="J242" s="42" t="str">
        <x:v>Europe</x:v>
      </x:c>
      <x:c r="K242" s="42" t="str">
        <x:v>United Kingdom</x:v>
      </x:c>
      <x:c r="L242" s="42" t="str">
        <x:v>Port of Tyne</x:v>
      </x:c>
      <x:c r="M242" s="42" t="str"/>
      <x:c r="N242" s="42" t="str"/>
      <x:c r="O242" s="42" t="str">
        <x:v>Wind Orca; BG Orange; 750-tonne gantry crane</x:v>
      </x:c>
      <x:c r="P242" s="42" t="str"/>
      <x:c r="Q242" s="42" t="str">
        <x:v>Port / terminal / vessel</x:v>
      </x:c>
      <x:c r="R242" s="42" t="str">
        <x:v>Under investigation by police, MAIB and harbour authority</x:v>
      </x:c>
      <x:c r="S242" s="42" t="str">
        <x:v>Wind Orca collided with berthed container ship BG Orange and then a quayside crane, causing the crane to collapse.</x:v>
      </x:c>
      <x:c r="T242" s="42" t="str">
        <x:v>Plastic pellets released to river/coastline</x:v>
      </x:c>
      <x:c r="U242" s="42" t="str">
        <x:v>0</x:v>
      </x:c>
      <x:c r="V242" s="42" t="str">
        <x:v>1</x:v>
      </x:c>
      <x:c r="W242" s="42" t="str">
        <x:v>Recovery zone established; local operational disruption and cleanup</x:v>
      </x:c>
      <x:c r="X242" s="42" t="str">
        <x:v>Strong combined case: collision + crane loss + cargo/environmental release + operational disruption.</x:v>
      </x:c>
      <x:c r="Y242" s="42" t="str">
        <x:v>High</x:v>
      </x:c>
      <x:c r="Z242" s="42" t="str">
        <x:v>High</x:v>
      </x:c>
      <x:c r="AA242" s="42" t="str">
        <x:v>https://www.portoftyne.co.uk/news-and-media/news/port-of-tyne-pellet-incident-qa | https://www.gov.uk/government/publications/marine-accident-investigation-branch-current-investigations/marine-accident-investigation-branch-current-investigations</x:v>
      </x:c>
      <x:c r="AB242" s="42" t="str">
        <x:v>Needs canonical event resolution</x:v>
      </x:c>
      <x:c r="AC242" s="42" t="str">
        <x:v>Operator / authority: Port of Tyne; Status: Investigation ongoing</x:v>
      </x:c>
    </x:row>
    <x:row r="243">
      <x:c r="A243" s="42" t="str">
        <x:v>OBS_000242</x:v>
      </x:c>
      <x:c r="B243" s="42" t="str"/>
      <x:c r="C243" s="42" t="str">
        <x:v>port_incidents_2026</x:v>
      </x:c>
      <x:c r="D243" s="42" t="str">
        <x:v>11</x:v>
      </x:c>
      <x:c r="E243" s="42" t="str">
        <x:v>2026-08-30</x:v>
      </x:c>
      <x:c r="F243" s="42" t="str">
        <x:v>Port / Infrastructure Incident</x:v>
      </x:c>
      <x:c r="G243" s="42" t="str">
        <x:v>Cargo Handling Accident</x:v>
      </x:c>
      <x:c r="H243" s="42" t="str">
        <x:v>Crane overturn / fire</x:v>
      </x:c>
      <x:c r="I243" s="42" t="str">
        <x:v>Port / Terminal</x:v>
      </x:c>
      <x:c r="J243" s="42" t="str">
        <x:v>Asia-Pacific</x:v>
      </x:c>
      <x:c r="K243" s="42" t="str">
        <x:v>India</x:v>
      </x:c>
      <x:c r="L243" s="42" t="str">
        <x:v>Mumbai Port / Indira Dock</x:v>
      </x:c>
      <x:c r="M243" s="42" t="str"/>
      <x:c r="N243" s="42" t="str"/>
      <x:c r="O243" s="42" t="str">
        <x:v>M/V Vienna; shore mobile cranes</x:v>
      </x:c>
      <x:c r="P243" s="42" t="str"/>
      <x:c r="Q243" s="42" t="str">
        <x:v>Port / terminal / vessel</x:v>
      </x:c>
      <x:c r="R243" s="42" t="str">
        <x:v>Load shift / lifting imbalance reported; formal cause under investigation</x:v>
      </x:c>
      <x:c r="S243" s="42" t="str">
        <x:v>During a heavy-lift operation, a mobile crane overturned toward the vessel and a fire broke out.</x:v>
      </x:c>
      <x:c r="T243" s="42" t="str">
        <x:v>No major pollution reported</x:v>
      </x:c>
      <x:c r="U243" s="42" t="str">
        <x:v>0</x:v>
      </x:c>
      <x:c r="V243" s="42" t="str">
        <x:v>2</x:v>
      </x:c>
      <x:c r="W243" s="42" t="str">
        <x:v>Berth area secured; investigation and crane recovery required</x:v>
      </x:c>
      <x:c r="X243" s="42" t="str">
        <x:v>Useful port-safety case for heavy-lift procedures, crane stability and berth exclusion zones.</x:v>
      </x:c>
      <x:c r="Y243" s="42" t="str">
        <x:v>High</x:v>
      </x:c>
      <x:c r="Z243" s="42" t="str">
        <x:v>High</x:v>
      </x:c>
      <x:c r="AA243" s="42" t="str">
        <x:v>https://indianexpress.com/article/cities/mumbai/mumbai-port-orders-safety-probe-after-crane-overturns-at-indira-dock-10860975/ | https://www.dolphin-maritime.com/casualty-news/vienna/</x:v>
      </x:c>
      <x:c r="AB243" s="42" t="str">
        <x:v>Needs canonical event resolution</x:v>
      </x:c>
      <x:c r="AC243" s="42" t="str">
        <x:v>Operator / authority: Mumbai Port Authority; Status: Safety investigation opened</x:v>
      </x:c>
    </x:row>
    <x:row r="244">
      <x:c r="A244" s="42" t="str">
        <x:v>OBS_000243</x:v>
      </x:c>
      <x:c r="B244" s="42" t="str"/>
      <x:c r="C244" s="42" t="str">
        <x:v>port_incidents_2026</x:v>
      </x:c>
      <x:c r="D244" s="42" t="str">
        <x:v>12</x:v>
      </x:c>
      <x:c r="E244" s="42" t="str">
        <x:v>2026-07-10</x:v>
      </x:c>
      <x:c r="F244" s="42" t="str">
        <x:v>Port / Infrastructure Incident</x:v>
      </x:c>
      <x:c r="G244" s="42" t="str">
        <x:v>Infrastructure Accident</x:v>
      </x:c>
      <x:c r="H244" s="42" t="str">
        <x:v>Crane collapse into channel</x:v>
      </x:c>
      <x:c r="I244" s="42" t="str">
        <x:v>Port / Terminal</x:v>
      </x:c>
      <x:c r="J244" s="42" t="str">
        <x:v>North America</x:v>
      </x:c>
      <x:c r="K244" s="42" t="str">
        <x:v>United States</x:v>
      </x:c>
      <x:c r="L244" s="42" t="str">
        <x:v>Charleston / Cooper River, Pier G</x:v>
      </x:c>
      <x:c r="M244" s="42" t="str"/>
      <x:c r="N244" s="42" t="str"/>
      <x:c r="O244" s="42" t="str">
        <x:v>Port crane</x:v>
      </x:c>
      <x:c r="P244" s="42" t="str"/>
      <x:c r="Q244" s="42" t="str">
        <x:v>Port / terminal / vessel</x:v>
      </x:c>
      <x:c r="R244" s="42" t="str">
        <x:v>Cause not stated publicly in Coast Guard release</x:v>
      </x:c>
      <x:c r="S244" s="42" t="str">
        <x:v>A crane fell into the Cooper River near Pier G, creating a submerged navigation hazard.</x:v>
      </x:c>
      <x:c r="T244" s="42" t="str">
        <x:v>Potential fuel pollution controlled with boom</x:v>
      </x:c>
      <x:c r="U244" s="42" t="str">
        <x:v>0</x:v>
      </x:c>
      <x:c r="V244" s="42" t="str"/>
      <x:c r="W244" s="42" t="str">
        <x:v>100-yard safety zone; shipping later resumed around hazard</x:v>
      </x:c>
      <x:c r="X244" s="42" t="str">
        <x:v>Demonstrates how shoreside equipment failure can become a channel/navigation incident.</x:v>
      </x:c>
      <x:c r="Y244" s="42" t="str">
        <x:v>Medium-High</x:v>
      </x:c>
      <x:c r="Z244" s="42" t="str">
        <x:v>High</x:v>
      </x:c>
      <x:c r="AA244" s="42" t="str">
        <x:v>https://www.news.uscg.mil/Press-Releases/Article/4540800/coast-guard-responds-to-crane-collapse-in-cooper-river/ | https://www.news.uscg.mil/Press-Releases/Article/4563504/coast-guard-announces-completion-of-crane-salvage-operations-in-cooper-river/</x:v>
      </x:c>
      <x:c r="AB244" s="42" t="str">
        <x:v>Needs canonical event resolution</x:v>
      </x:c>
      <x:c r="AC244" s="42" t="str">
        <x:v>Operator / authority: US Coast Guard / port stakeholders; Status: Salvage completed 30 Jul; safety zone rescinded</x:v>
      </x:c>
    </x:row>
    <x:row r="245">
      <x:c r="A245" s="42" t="str">
        <x:v>OBS_000244</x:v>
      </x:c>
      <x:c r="B245" s="42" t="str"/>
      <x:c r="C245" s="42" t="str">
        <x:v>port_incidents_2026</x:v>
      </x:c>
      <x:c r="D245" s="42" t="str">
        <x:v>13</x:v>
      </x:c>
      <x:c r="E245" s="42" t="str">
        <x:v>2026-07-12</x:v>
      </x:c>
      <x:c r="F245" s="42" t="str">
        <x:v>Port / Infrastructure Incident</x:v>
      </x:c>
      <x:c r="G245" s="42" t="str">
        <x:v>Collision / Grounding</x:v>
      </x:c>
      <x:c r="H245" s="42" t="str">
        <x:v>Vessel collision and controlled grounding</x:v>
      </x:c>
      <x:c r="I245" s="42" t="str">
        <x:v>Port / Terminal</x:v>
      </x:c>
      <x:c r="J245" s="42" t="str">
        <x:v>Africa</x:v>
      </x:c>
      <x:c r="K245" s="42" t="str">
        <x:v>Cameroon</x:v>
      </x:c>
      <x:c r="L245" s="42" t="str">
        <x:v>Port of Douala-Bonabéri channel</x:v>
      </x:c>
      <x:c r="M245" s="42" t="str"/>
      <x:c r="N245" s="42" t="str"/>
      <x:c r="O245" s="42" t="str">
        <x:v>SEA HONOR; BLACK RHINO</x:v>
      </x:c>
      <x:c r="P245" s="42" t="str"/>
      <x:c r="Q245" s="42" t="str">
        <x:v>Port / terminal / vessel</x:v>
      </x:c>
      <x:c r="R245" s="42" t="str">
        <x:v>Preliminary indication of steering-control loss aboard BLACK RHINO</x:v>
      </x:c>
      <x:c r="S245" s="42" t="str">
        <x:v>Outbound SEA HONOR collided with inbound BLACK RHINO near buoy 20; BLACK RHINO was intentionally grounded after damage.</x:v>
      </x:c>
      <x:c r="T245" s="42" t="str">
        <x:v>No major pollution reported</x:v>
      </x:c>
      <x:c r="U245" s="42" t="str">
        <x:v>0</x:v>
      </x:c>
      <x:c r="V245" s="42" t="str">
        <x:v>0</x:v>
      </x:c>
      <x:c r="W245" s="42" t="str">
        <x:v>Navigation channel temporarily obstructed then reopened</x:v>
      </x:c>
      <x:c r="X245" s="42" t="str">
        <x:v>Direct example of channel blockage risk and emergency grounding to restore access.</x:v>
      </x:c>
      <x:c r="Y245" s="42" t="str">
        <x:v>High</x:v>
      </x:c>
      <x:c r="Z245" s="42" t="str">
        <x:v>High</x:v>
      </x:c>
      <x:c r="AA245" s="42" t="str">
        <x:v>https://www.mintransports.cm/espace-presse/actualit%C3%A9s-du-mint/collision-entre-les-navires-mv-sea-honor-et-le-mv-black-rhino-le-mint-en-visite-de-travail-%C3%A0-douala.html | https://www.dolphin-maritime.com/casualty-news/sea-honor-black-rhino/</x:v>
      </x:c>
      <x:c r="AB245" s="42" t="str">
        <x:v>Needs canonical event resolution</x:v>
      </x:c>
      <x:c r="AC245" s="42" t="str">
        <x:v>Operator / authority: Port Authority of Douala; Status: Technical investigation ongoing</x:v>
      </x:c>
    </x:row>
    <x:row r="246">
      <x:c r="A246" s="42" t="str">
        <x:v>OBS_000245</x:v>
      </x:c>
      <x:c r="B246" s="42" t="str"/>
      <x:c r="C246" s="42" t="str">
        <x:v>port_incidents_2026</x:v>
      </x:c>
      <x:c r="D246" s="42" t="str">
        <x:v>14</x:v>
      </x:c>
      <x:c r="E246" s="42" t="str">
        <x:v>2026-05-20</x:v>
      </x:c>
      <x:c r="F246" s="42" t="str">
        <x:v>Port / Infrastructure Incident</x:v>
      </x:c>
      <x:c r="G246" s="42" t="str">
        <x:v>Collision / Grounding</x:v>
      </x:c>
      <x:c r="H246" s="42" t="str">
        <x:v>Ship contact / dual grounding</x:v>
      </x:c>
      <x:c r="I246" s="42" t="str">
        <x:v>Port / Terminal</x:v>
      </x:c>
      <x:c r="J246" s="42" t="str">
        <x:v>Africa</x:v>
      </x:c>
      <x:c r="K246" s="42" t="str">
        <x:v>Nigeria</x:v>
      </x:c>
      <x:c r="L246" s="42" t="str">
        <x:v>Bonny Channel / approach to Onne</x:v>
      </x:c>
      <x:c r="M246" s="42" t="str"/>
      <x:c r="N246" s="42" t="str"/>
      <x:c r="O246" s="42" t="str">
        <x:v>MAERSK VALPARAISO; LADY MARTINA</x:v>
      </x:c>
      <x:c r="P246" s="42" t="str"/>
      <x:c r="Q246" s="42" t="str">
        <x:v>Port / terminal / vessel</x:v>
      </x:c>
      <x:c r="R246" s="42" t="str">
        <x:v>Under investigation</x:v>
      </x:c>
      <x:c r="S246" s="42" t="str">
        <x:v>Containership MAERSK VALPARAISO contacted tanker LADY MARTINA during manoeuvring; both vessels subsequently grounded.</x:v>
      </x:c>
      <x:c r="T246" s="42" t="str">
        <x:v>Associated oil spill response reported</x:v>
      </x:c>
      <x:c r="U246" s="42" t="str">
        <x:v>0</x:v>
      </x:c>
      <x:c r="V246" s="42" t="str">
        <x:v>5</x:v>
      </x:c>
      <x:c r="W246" s="42" t="str">
        <x:v>Channel/berthing disruption and emergency response</x:v>
      </x:c>
      <x:c r="X246" s="42" t="str">
        <x:v>Combines container-port access, collision, injury, grounding and pollution exposure.</x:v>
      </x:c>
      <x:c r="Y246" s="42" t="str">
        <x:v>High</x:v>
      </x:c>
      <x:c r="Z246" s="42" t="str">
        <x:v>Medium-High</x:v>
      </x:c>
      <x:c r="AA246" s="42" t="str">
        <x:v>https://www.dolphin-maritime.com/casualty-news/maersk-valparaiso-lady-martina/</x:v>
      </x:c>
      <x:c r="AB246" s="42" t="str">
        <x:v>Needs canonical event resolution</x:v>
      </x:c>
      <x:c r="AC246" s="42" t="str">
        <x:v>Operator / authority: Nigerian maritime authorities; Status: Reported casualty / authorities responded</x:v>
      </x:c>
    </x:row>
    <x:row r="247">
      <x:c r="A247" s="42" t="str">
        <x:v>OBS_000246</x:v>
      </x:c>
      <x:c r="B247" s="42" t="str"/>
      <x:c r="C247" s="42" t="str">
        <x:v>port_incidents_2026</x:v>
      </x:c>
      <x:c r="D247" s="42" t="str">
        <x:v>15</x:v>
      </x:c>
      <x:c r="E247" s="42" t="str">
        <x:v>2026-08-12</x:v>
      </x:c>
      <x:c r="F247" s="42" t="str">
        <x:v>Port / Infrastructure Incident</x:v>
      </x:c>
      <x:c r="G247" s="42" t="str">
        <x:v>Grounding</x:v>
      </x:c>
      <x:c r="H247" s="42" t="str">
        <x:v>Loss of control / riverbank allision</x:v>
      </x:c>
      <x:c r="I247" s="42" t="str">
        <x:v>Port / Terminal</x:v>
      </x:c>
      <x:c r="J247" s="42" t="str">
        <x:v>Asia-Pacific</x:v>
      </x:c>
      <x:c r="K247" s="42" t="str">
        <x:v>India</x:v>
      </x:c>
      <x:c r="L247" s="42" t="str">
        <x:v>Hooghly River approach to Kolkata</x:v>
      </x:c>
      <x:c r="M247" s="42" t="str"/>
      <x:c r="N247" s="42" t="str"/>
      <x:c r="O247" s="42" t="str">
        <x:v>NAWATA BHUM</x:v>
      </x:c>
      <x:c r="P247" s="42" t="str"/>
      <x:c r="Q247" s="42" t="str">
        <x:v>Port / terminal / vessel</x:v>
      </x:c>
      <x:c r="R247" s="42" t="str">
        <x:v>Possible steering gear problem plus strong tidal conditions</x:v>
      </x:c>
      <x:c r="S247" s="42" t="str">
        <x:v>Container vessel lost control while navigating the Hooghly, struck the riverbank and grounded.</x:v>
      </x:c>
      <x:c r="T247" s="42" t="str">
        <x:v>No major pollution reported</x:v>
      </x:c>
      <x:c r="U247" s="42" t="str">
        <x:v>0</x:v>
      </x:c>
      <x:c r="V247" s="42" t="str">
        <x:v>0</x:v>
      </x:c>
      <x:c r="W247" s="42" t="str">
        <x:v>Temporary vessel immobilization; refloated at high tide with tug assistance</x:v>
      </x:c>
      <x:c r="X247" s="42" t="str">
        <x:v>Good access-channel case for pilotage, steering reliability and tidal constraints.</x:v>
      </x:c>
      <x:c r="Y247" s="42" t="str">
        <x:v>Medium-High</x:v>
      </x:c>
      <x:c r="Z247" s="42" t="str">
        <x:v>Medium-High</x:v>
      </x:c>
      <x:c r="AA247" s="42" t="str">
        <x:v>https://www.dolphin-maritime.com/casualty-news/nawata-bhum/</x:v>
      </x:c>
      <x:c r="AB247" s="42" t="str">
        <x:v>Needs canonical event resolution</x:v>
      </x:c>
      <x:c r="AC247" s="42" t="str">
        <x:v>Operator / authority: Syama Prasad Mookerjee Port / vessel interests; Status: Cause not yet officially determined</x:v>
      </x:c>
    </x:row>
    <x:row r="248">
      <x:c r="A248" s="42" t="str">
        <x:v>OBS_000247</x:v>
      </x:c>
      <x:c r="B248" s="42" t="str"/>
      <x:c r="C248" s="42" t="str">
        <x:v>port_incidents_2026</x:v>
      </x:c>
      <x:c r="D248" s="42" t="str">
        <x:v>16</x:v>
      </x:c>
      <x:c r="E248" s="42" t="str">
        <x:v>2026-06-28</x:v>
      </x:c>
      <x:c r="F248" s="42" t="str">
        <x:v>Port / Infrastructure Incident</x:v>
      </x:c>
      <x:c r="G248" s="42" t="str">
        <x:v>Grounding</x:v>
      </x:c>
      <x:c r="H248" s="42" t="str">
        <x:v>Research vessel grounding</x:v>
      </x:c>
      <x:c r="I248" s="42" t="str">
        <x:v>Port / Terminal</x:v>
      </x:c>
      <x:c r="J248" s="42" t="str">
        <x:v>North America</x:v>
      </x:c>
      <x:c r="K248" s="42" t="str">
        <x:v>United States</x:v>
      </x:c>
      <x:c r="L248" s="42" t="str">
        <x:v>Woods Hole, Massachusetts</x:v>
      </x:c>
      <x:c r="M248" s="42" t="str"/>
      <x:c r="N248" s="42" t="str"/>
      <x:c r="O248" s="42" t="str">
        <x:v>ATLANTIS</x:v>
      </x:c>
      <x:c r="P248" s="42" t="str"/>
      <x:c r="Q248" s="42" t="str">
        <x:v>Port / terminal / vessel</x:v>
      </x:c>
      <x:c r="R248" s="42" t="str">
        <x:v>Cause under investigation</x:v>
      </x:c>
      <x:c r="S248" s="42" t="str">
        <x:v>Research vessel Atlantis grounded in Great Harbor Channel at the entrance to Woods Hole and freed itself after about 12 minutes.</x:v>
      </x:c>
      <x:c r="T248" s="42" t="str">
        <x:v>3500000; No pollution</x:v>
      </x:c>
      <x:c r="U248" s="42" t="str">
        <x:v>0</x:v>
      </x:c>
      <x:c r="V248" s="42" t="str">
        <x:v>0</x:v>
      </x:c>
      <x:c r="W248" s="42" t="str">
        <x:v>Short-lived channel casualty; vessel moored after refloating</x:v>
      </x:c>
      <x:c r="X248" s="42" t="str">
        <x:v>Includes quantified damage estimate and formal U.S. major marine casualty status.</x:v>
      </x:c>
      <x:c r="Y248" s="42" t="str">
        <x:v>Medium</x:v>
      </x:c>
      <x:c r="Z248" s="42" t="str">
        <x:v>High</x:v>
      </x:c>
      <x:c r="AA248" s="42" t="str">
        <x:v>https://www.ntsb.gov/investigations/Pages/DCA26FM018.aspx</x:v>
      </x:c>
      <x:c r="AB248" s="42" t="str">
        <x:v>Needs canonical event resolution</x:v>
      </x:c>
      <x:c r="AC248" s="42" t="str">
        <x:v>Operator / authority: USCG / NTSB / Woods Hole Oceanographic Institution; Status: USCG lead; NTSB major marine casualty investigation ongoing</x:v>
      </x:c>
    </x:row>
    <x:row r="249">
      <x:c r="A249" s="42" t="str">
        <x:v>OBS_000248</x:v>
      </x:c>
      <x:c r="B249" s="42" t="str"/>
      <x:c r="C249" s="42" t="str">
        <x:v>port_incidents_2026</x:v>
      </x:c>
      <x:c r="D249" s="42" t="str">
        <x:v>17</x:v>
      </x:c>
      <x:c r="E249" s="42" t="str">
        <x:v>2026-06-05</x:v>
      </x:c>
      <x:c r="F249" s="42" t="str">
        <x:v>Port / Infrastructure Incident</x:v>
      </x:c>
      <x:c r="G249" s="42" t="str">
        <x:v>Sinking / Container Hazard</x:v>
      </x:c>
      <x:c r="H249" s="42" t="str">
        <x:v>Container vessel sank</x:v>
      </x:c>
      <x:c r="I249" s="42" t="str">
        <x:v>Port / Terminal</x:v>
      </x:c>
      <x:c r="J249" s="42" t="str">
        <x:v>Asia-Pacific</x:v>
      </x:c>
      <x:c r="K249" s="42" t="str">
        <x:v>Indonesia</x:v>
      </x:c>
      <x:c r="L249" s="42" t="str">
        <x:v>Off Batam / Singapore approaches</x:v>
      </x:c>
      <x:c r="M249" s="42" t="str"/>
      <x:c r="N249" s="42" t="str"/>
      <x:c r="O249" s="42" t="str">
        <x:v>GOLDEN STAR 1</x:v>
      </x:c>
      <x:c r="P249" s="42" t="str"/>
      <x:c r="Q249" s="42" t="str">
        <x:v>Port / terminal / vessel</x:v>
      </x:c>
      <x:c r="R249" s="42" t="str">
        <x:v>Water ingress; detailed cause not public</x:v>
      </x:c>
      <x:c r="S249" s="42" t="str">
        <x:v>Container vessel took on water and sank about 6 km off Batam; all nine crew were rescued.</x:v>
      </x:c>
      <x:c r="T249" s="42" t="str">
        <x:v>No oil pollution reported; potential drifting-container hazard</x:v>
      </x:c>
      <x:c r="U249" s="42" t="str">
        <x:v>0</x:v>
      </x:c>
      <x:c r="V249" s="42" t="str">
        <x:v>0</x:v>
      </x:c>
      <x:c r="W249" s="42" t="str">
        <x:v>Straits traffic unaffected; navigational warnings issued</x:v>
      </x:c>
      <x:c r="X249" s="42" t="str">
        <x:v>Relevant to Singapore/Batam approaches and secondary hazards from floating containers.</x:v>
      </x:c>
      <x:c r="Y249" s="42" t="str">
        <x:v>High</x:v>
      </x:c>
      <x:c r="Z249" s="42" t="str">
        <x:v>High</x:v>
      </x:c>
      <x:c r="AA249" s="42" t="str">
        <x:v>https://www.mpa.gov.sg/media-centre/details/container-vessel-sinks-off-batam | https://links.sgx.com/FileOpen/SSL%20-%20SGX%20Announcement%20_Golden%20Star%201%207%20June%202026.ashx?App=Announcement&amp;FileID=891611</x:v>
      </x:c>
      <x:c r="AB249" s="42" t="str">
        <x:v>Needs canonical event resolution</x:v>
      </x:c>
      <x:c r="AC249" s="42" t="str">
        <x:v>Operator / authority: Indonesian authorities / MPA Singapore / Samudera Shipping; Status: Monitoring / cargo recovery</x:v>
      </x:c>
    </x:row>
    <x:row r="250">
      <x:c r="A250" s="42" t="str">
        <x:v>OBS_000249</x:v>
      </x:c>
      <x:c r="B250" s="42" t="str"/>
      <x:c r="C250" s="42" t="str">
        <x:v>port_incidents_2026</x:v>
      </x:c>
      <x:c r="D250" s="42" t="str">
        <x:v>18</x:v>
      </x:c>
      <x:c r="E250" s="42" t="str">
        <x:v>2026-03-03</x:v>
      </x:c>
      <x:c r="F250" s="42" t="str">
        <x:v>Port / Infrastructure Incident</x:v>
      </x:c>
      <x:c r="G250" s="42" t="str">
        <x:v>Container Loss</x:v>
      </x:c>
      <x:c r="H250" s="42" t="str">
        <x:v>Containers overboard</x:v>
      </x:c>
      <x:c r="I250" s="42" t="str">
        <x:v>Port / Terminal</x:v>
      </x:c>
      <x:c r="J250" s="42" t="str">
        <x:v>North America</x:v>
      </x:c>
      <x:c r="K250" s="42" t="str">
        <x:v>United States</x:v>
      </x:c>
      <x:c r="L250" s="42" t="str">
        <x:v>South of Aleutian Islands / Long Beach-bound</x:v>
      </x:c>
      <x:c r="M250" s="42" t="str"/>
      <x:c r="N250" s="42" t="str"/>
      <x:c r="O250" s="42" t="str">
        <x:v>OOCL SUNFLOWER</x:v>
      </x:c>
      <x:c r="P250" s="42" t="str"/>
      <x:c r="Q250" s="42" t="str">
        <x:v>Port / terminal / vessel</x:v>
      </x:c>
      <x:c r="R250" s="42" t="str">
        <x:v>Heavy-weather/cargo-loss circumstances under review</x:v>
      </x:c>
      <x:c r="S250" s="42" t="str">
        <x:v>OOCL Sunflower lost dozens of containers overboard while en route to Long Beach; USCG prepared for vessel arrival and cargo assessment.</x:v>
      </x:c>
      <x:c r="T250" s="42" t="str">
        <x:v>Potential floating-container hazard; no discharge observed; 32</x:v>
      </x:c>
      <x:c r="U250" s="42" t="str">
        <x:v>0</x:v>
      </x:c>
      <x:c r="V250" s="42" t="str">
        <x:v>0</x:v>
      </x:c>
      <x:c r="W250" s="42" t="str">
        <x:v>Long Beach authorities prepared for arrival inspection; no port closure</x:v>
      </x:c>
      <x:c r="X250" s="42" t="str">
        <x:v>Although offshore, this is directly relevant to container-loss tracking and destination-port response.</x:v>
      </x:c>
      <x:c r="Y250" s="42" t="str">
        <x:v>Medium</x:v>
      </x:c>
      <x:c r="Z250" s="42" t="str">
        <x:v>High</x:v>
      </x:c>
      <x:c r="AA250" s="42" t="str">
        <x:v>https://incidentnews.noaa.gov/incident/11131</x:v>
      </x:c>
      <x:c r="AB250" s="42" t="str">
        <x:v>Needs canonical event resolution</x:v>
      </x:c>
      <x:c r="AC250" s="42" t="str">
        <x:v>Operator / authority: USCG / NOAA / vessel interests; Status: NOAA/USCG response</x:v>
      </x:c>
    </x:row>
    <x:row r="251">
      <x:c r="A251" s="42" t="str">
        <x:v>OBS_000250</x:v>
      </x:c>
      <x:c r="B251" s="42" t="str"/>
      <x:c r="C251" s="42" t="str">
        <x:v>port_incidents_2026</x:v>
      </x:c>
      <x:c r="D251" s="42" t="str">
        <x:v>19</x:v>
      </x:c>
      <x:c r="E251" s="42" t="str">
        <x:v>2026-08-22</x:v>
      </x:c>
      <x:c r="F251" s="42" t="str">
        <x:v>Port / Infrastructure Incident</x:v>
      </x:c>
      <x:c r="G251" s="42" t="str">
        <x:v>Sinking</x:v>
      </x:c>
      <x:c r="H251" s="42" t="str">
        <x:v>Cargo ship sinking</x:v>
      </x:c>
      <x:c r="I251" s="42" t="str">
        <x:v>Port / Terminal</x:v>
      </x:c>
      <x:c r="J251" s="42" t="str">
        <x:v>Asia-Pacific</x:v>
      </x:c>
      <x:c r="K251" s="42" t="str">
        <x:v>India</x:v>
      </x:c>
      <x:c r="L251" s="42" t="str">
        <x:v>Eastern India / Paradip-Dalian route</x:v>
      </x:c>
      <x:c r="M251" s="42" t="str"/>
      <x:c r="N251" s="42" t="str"/>
      <x:c r="O251" s="42" t="str">
        <x:v>OCEAN WINNER</x:v>
      </x:c>
      <x:c r="P251" s="42" t="str"/>
      <x:c r="Q251" s="42" t="str">
        <x:v>Port / terminal / vessel</x:v>
      </x:c>
      <x:c r="R251" s="42" t="str">
        <x:v>Cause unknown at initial reporting</x:v>
      </x:c>
      <x:c r="S251" s="42" t="str">
        <x:v>Panama-flagged cargo ship Ocean Winner sank off eastern India while carrying iron ore; search and rescue operations followed.</x:v>
      </x:c>
      <x:c r="T251" s="42" t="str"/>
      <x:c r="U251" s="42" t="str"/>
      <x:c r="V251" s="42" t="str"/>
      <x:c r="W251" s="42" t="str">
        <x:v>No direct port closure reported; casualty affected regional voyage</x:v>
      </x:c>
      <x:c r="X251" s="42" t="str">
        <x:v>Port-linked bulk-shipping casualty; useful for route-level risk even though not inside harbour limits.</x:v>
      </x:c>
      <x:c r="Y251" s="42" t="str">
        <x:v>High</x:v>
      </x:c>
      <x:c r="Z251" s="42" t="str">
        <x:v>High</x:v>
      </x:c>
      <x:c r="AA251" s="42" t="str">
        <x:v>https://www.reuters.com/world/americas/panamaflagged-cargo-ship-sinks-off-eastern-india-coast-guard-says-2026-08-22/</x:v>
      </x:c>
      <x:c r="AB251" s="42" t="str">
        <x:v>Needs canonical event resolution</x:v>
      </x:c>
      <x:c r="AC251" s="42" t="str">
        <x:v>Operator / authority: Indian Coast Guard; Status: Search and rescue / investigation</x:v>
      </x:c>
    </x:row>
    <x:row r="252">
      <x:c r="A252" s="42" t="str">
        <x:v>OBS_000251</x:v>
      </x:c>
      <x:c r="B252" s="42" t="str"/>
      <x:c r="C252" s="42" t="str">
        <x:v>port_incidents_2026</x:v>
      </x:c>
      <x:c r="D252" s="42" t="str">
        <x:v>20</x:v>
      </x:c>
      <x:c r="E252" s="42" t="str">
        <x:v>2026-08-23</x:v>
      </x:c>
      <x:c r="F252" s="42" t="str">
        <x:v>Port / Infrastructure Incident</x:v>
      </x:c>
      <x:c r="G252" s="42" t="str">
        <x:v>Fire</x:v>
      </x:c>
      <x:c r="H252" s="42" t="str">
        <x:v>Cargo hold fire / salvage</x:v>
      </x:c>
      <x:c r="I252" s="42" t="str">
        <x:v>Port / Terminal</x:v>
      </x:c>
      <x:c r="J252" s="42" t="str">
        <x:v>Asia-Pacific</x:v>
      </x:c>
      <x:c r="K252" s="42" t="str">
        <x:v>Malaysia</x:v>
      </x:c>
      <x:c r="L252" s="42" t="str">
        <x:v>Strait of Malacca / off Penang</x:v>
      </x:c>
      <x:c r="M252" s="42" t="str"/>
      <x:c r="N252" s="42" t="str"/>
      <x:c r="O252" s="42" t="str">
        <x:v>CMA CGM PETRA</x:v>
      </x:c>
      <x:c r="P252" s="42" t="str"/>
      <x:c r="Q252" s="42" t="str">
        <x:v>Port / terminal / vessel</x:v>
      </x:c>
      <x:c r="R252" s="42" t="str">
        <x:v>Cause not public</x:v>
      </x:c>
      <x:c r="S252" s="42" t="str">
        <x:v>CMA CGM PETRA suffered a cargo-hold fire in the Strait of Malacca; salvors were engaged and the ship remained off Penang.</x:v>
      </x:c>
      <x:c r="T252" s="42" t="str">
        <x:v>No pollution reported</x:v>
      </x:c>
      <x:c r="U252" s="42" t="str">
        <x:v>0</x:v>
      </x:c>
      <x:c r="V252" s="42" t="str">
        <x:v>0</x:v>
      </x:c>
      <x:c r="W252" s="42" t="str">
        <x:v>Missed scheduled port call; salvage operations ongoing</x:v>
      </x:c>
      <x:c r="X252" s="42" t="str">
        <x:v>Relevant to Malacca/port-call disruption and salvage capacity.</x:v>
      </x:c>
      <x:c r="Y252" s="42" t="str">
        <x:v>Medium-High</x:v>
      </x:c>
      <x:c r="Z252" s="42" t="str">
        <x:v>Medium-High</x:v>
      </x:c>
      <x:c r="AA252" s="42" t="str">
        <x:v>https://www.dolphin-maritime.com/casualty-news/cma-cgm-petra/</x:v>
      </x:c>
      <x:c r="AB252" s="42" t="str">
        <x:v>Needs canonical event resolution</x:v>
      </x:c>
      <x:c r="AC252" s="42" t="str">
        <x:v>Operator / authority: CMA CGM / salvors; Status: Fire contained; salvage continuing</x:v>
      </x:c>
    </x:row>
    <x:row r="253">
      <x:c r="A253" s="42" t="str">
        <x:v>OBS_000252</x:v>
      </x:c>
      <x:c r="B253" s="42" t="str"/>
      <x:c r="C253" s="42" t="str">
        <x:v>port_incidents_2026</x:v>
      </x:c>
      <x:c r="D253" s="42" t="str">
        <x:v>21</x:v>
      </x:c>
      <x:c r="E253" s="42" t="str">
        <x:v>2026-01-07</x:v>
      </x:c>
      <x:c r="F253" s="42" t="str">
        <x:v>Port / Infrastructure Incident</x:v>
      </x:c>
      <x:c r="G253" s="42" t="str">
        <x:v>Allision / Flooding</x:v>
      </x:c>
      <x:c r="H253" s="42" t="str">
        <x:v>Ferry contact with jetty</x:v>
      </x:c>
      <x:c r="I253" s="42" t="str">
        <x:v>Port / Terminal</x:v>
      </x:c>
      <x:c r="J253" s="42" t="str">
        <x:v>Europe</x:v>
      </x:c>
      <x:c r="K253" s="42" t="str">
        <x:v>United Kingdom</x:v>
      </x:c>
      <x:c r="L253" s="42" t="str">
        <x:v>Holyhead Port, Wales</x:v>
      </x:c>
      <x:c r="M253" s="42" t="str"/>
      <x:c r="N253" s="42" t="str"/>
      <x:c r="O253" s="42" t="str">
        <x:v>STENA ESTRID</x:v>
      </x:c>
      <x:c r="P253" s="42" t="str"/>
      <x:c r="Q253" s="42" t="str">
        <x:v>Port / terminal / vessel</x:v>
      </x:c>
      <x:c r="R253" s="42" t="str">
        <x:v>Under MAIB assessment</x:v>
      </x:c>
      <x:c r="S253" s="42" t="str">
        <x:v>Ro-ro passenger ferry contacted a jetty at Holyhead, puncturing the hull and causing engine-room flooding.</x:v>
      </x:c>
      <x:c r="T253" s="42" t="str"/>
      <x:c r="U253" s="42" t="str"/>
      <x:c r="V253" s="42" t="str"/>
      <x:c r="W253" s="42" t="str">
        <x:v>Port-side vessel casualty; detailed disruption assessed by MAIB</x:v>
      </x:c>
      <x:c r="X253" s="42" t="str">
        <x:v>Early-2026 port allision; useful benchmark for berth-contact and flooding risk.</x:v>
      </x:c>
      <x:c r="Y253" s="42" t="str">
        <x:v>Medium-High</x:v>
      </x:c>
      <x:c r="Z253" s="42" t="str">
        <x:v>High</x:v>
      </x:c>
      <x:c r="AA253" s="42" t="str">
        <x:v>https://www.gov.uk/maib-reports</x:v>
      </x:c>
      <x:c r="AB253" s="42" t="str">
        <x:v>Needs canonical event resolution</x:v>
      </x:c>
      <x:c r="AC253" s="42" t="str">
        <x:v>Operator / authority: Stena Line / Holyhead Port; Status: Completed preliminary assessment</x:v>
      </x:c>
    </x:row>
    <x:row r="254">
      <x:c r="A254" s="42" t="str">
        <x:v>OBS_000253</x:v>
      </x:c>
      <x:c r="B254" s="42" t="str"/>
      <x:c r="C254" s="42" t="str">
        <x:v>port_incidents_2026</x:v>
      </x:c>
      <x:c r="D254" s="42" t="str">
        <x:v>22</x:v>
      </x:c>
      <x:c r="E254" s="42" t="str">
        <x:v>2026-07-29</x:v>
      </x:c>
      <x:c r="F254" s="42" t="str">
        <x:v>Port / Infrastructure Incident</x:v>
      </x:c>
      <x:c r="G254" s="42" t="str">
        <x:v>Industrial / Occupational</x:v>
      </x:c>
      <x:c r="H254" s="42" t="str">
        <x:v>Fatal cargo-handling incident</x:v>
      </x:c>
      <x:c r="I254" s="42" t="str">
        <x:v>Port / Terminal</x:v>
      </x:c>
      <x:c r="J254" s="42" t="str">
        <x:v>Asia-Pacific</x:v>
      </x:c>
      <x:c r="K254" s="42" t="str">
        <x:v>Australia</x:v>
      </x:c>
      <x:c r="L254" s="42" t="str">
        <x:v>Port of Mackay, Queensland</x:v>
      </x:c>
      <x:c r="M254" s="42" t="str"/>
      <x:c r="N254" s="42" t="str"/>
      <x:c r="O254" s="42" t="str">
        <x:v>M/V BRUCE</x:v>
      </x:c>
      <x:c r="P254" s="42" t="str"/>
      <x:c r="Q254" s="42" t="str">
        <x:v>Port / terminal / vessel</x:v>
      </x:c>
      <x:c r="R254" s="42" t="str">
        <x:v>Industrial accident under investigation</x:v>
      </x:c>
      <x:c r="S254" s="42" t="str">
        <x:v>A worker aboard M/V Bruce died after being struck by a large metal beam while the vessel was in Mackay Harbour.</x:v>
      </x:c>
      <x:c r="T254" s="42" t="str">
        <x:v>No pollution reported</x:v>
      </x:c>
      <x:c r="U254" s="42" t="str">
        <x:v>1</x:v>
      </x:c>
      <x:c r="V254" s="42" t="str">
        <x:v>0</x:v>
      </x:c>
      <x:c r="W254" s="42" t="str">
        <x:v>Localized investigation; no broad port shutdown reported</x:v>
      </x:c>
      <x:c r="X254" s="42" t="str">
        <x:v>Captures occupational safety as a distinct port-incident category.</x:v>
      </x:c>
      <x:c r="Y254" s="42" t="str">
        <x:v>High</x:v>
      </x:c>
      <x:c r="Z254" s="42" t="str">
        <x:v>High</x:v>
      </x:c>
      <x:c r="AA254" s="42" t="str">
        <x:v>https://www.abc.net.au/news/2026-07-30/man-dies-in-ship-incident-mackay-harbour/106974776</x:v>
      </x:c>
      <x:c r="AB254" s="42" t="str">
        <x:v>Needs canonical event resolution</x:v>
      </x:c>
      <x:c r="AC254" s="42" t="str">
        <x:v>Operator / authority: AMSA / North Queensland Bulk Ports; Status: AMSA / coroner process</x:v>
      </x:c>
    </x:row>
    <x:row r="255">
      <x:c r="A255" s="42" t="str">
        <x:v>OBS_000254</x:v>
      </x:c>
      <x:c r="B255" s="42" t="str"/>
      <x:c r="C255" s="42" t="str">
        <x:v>port_incidents_2026</x:v>
      </x:c>
      <x:c r="D255" s="42" t="str">
        <x:v>23</x:v>
      </x:c>
      <x:c r="E255" s="42" t="str">
        <x:v>2026-03-01</x:v>
      </x:c>
      <x:c r="F255" s="42" t="str">
        <x:v>Conflict / Security</x:v>
      </x:c>
      <x:c r="G255" s="42" t="str">
        <x:v>War / Conflict</x:v>
      </x:c>
      <x:c r="H255" s="42" t="str">
        <x:v>Projectile strike / fire</x:v>
      </x:c>
      <x:c r="I255" s="42" t="str">
        <x:v>Port / Terminal</x:v>
      </x:c>
      <x:c r="J255" s="42" t="str">
        <x:v>Middle East</x:v>
      </x:c>
      <x:c r="K255" s="42" t="str">
        <x:v>UAE</x:v>
      </x:c>
      <x:c r="L255" s="42" t="str">
        <x:v>Mina Saqr approaches</x:v>
      </x:c>
      <x:c r="M255" s="42" t="str"/>
      <x:c r="N255" s="42" t="str"/>
      <x:c r="O255" s="42" t="str">
        <x:v>UKMTO-reported merchant vessel</x:v>
      </x:c>
      <x:c r="P255" s="42" t="str"/>
      <x:c r="Q255" s="42" t="str">
        <x:v>Port / terminal / vessel</x:v>
      </x:c>
      <x:c r="R255" s="42" t="str">
        <x:v>Conflict / maritime security attack</x:v>
      </x:c>
      <x:c r="S255" s="42" t="str">
        <x:v>UKMTO has received a report of an incident 17NM northwest of Mina Saqr, United Arab Emirates. The Company Security Officer reported that the vessel been struck by an unknown projectile causing a fire. The fire has been extinguished and the vessel intends to continue on its voyage. Authorities are investigating.</x:v>
      </x:c>
      <x:c r="T255" s="42" t="str">
        <x:v>See UKMTO warning; no environmental impact recorded where explicitly stated</x:v>
      </x:c>
      <x:c r="U255" s="42" t="str"/>
      <x:c r="V255" s="42" t="str"/>
      <x:c r="W255" s="42" t="str">
        <x:v>Port/approach risk; vessel-level operational effect varies by warning</x:v>
      </x:c>
      <x:c r="X255" s="42" t="str">
        <x:v>Added from user-supplied UKMTO warning archive; port-side/anchorage/near-port classification applied analytically.</x:v>
      </x:c>
      <x:c r="Y255" s="42" t="str">
        <x:v>High</x:v>
      </x:c>
      <x:c r="Z255" s="42" t="str">
        <x:v>High</x:v>
      </x:c>
      <x:c r="AA255" s="42" t="str">
        <x:v>UKMTO Warning 006-26 (uploaded PDF: 20260301-UKMTO_WARNING_006-26.pdf)</x:v>
      </x:c>
      <x:c r="AB255" s="42" t="str">
        <x:v>Needs canonical event resolution</x:v>
      </x:c>
      <x:c r="AC255" s="42" t="str">
        <x:v>Operator / authority: UKMTO / local maritime authorities; Status: UKMTO warning; latest update incorporated where supplied</x:v>
      </x:c>
    </x:row>
    <x:row r="256">
      <x:c r="A256" s="42" t="str">
        <x:v>OBS_000255</x:v>
      </x:c>
      <x:c r="B256" s="42" t="str"/>
      <x:c r="C256" s="42" t="str">
        <x:v>port_incidents_2026</x:v>
      </x:c>
      <x:c r="D256" s="42" t="str">
        <x:v>24</x:v>
      </x:c>
      <x:c r="E256" s="42" t="str">
        <x:v>2026-03-02</x:v>
      </x:c>
      <x:c r="F256" s="42" t="str">
        <x:v>Conflict / Security</x:v>
      </x:c>
      <x:c r="G256" s="42" t="str">
        <x:v>War / Conflict</x:v>
      </x:c>
      <x:c r="H256" s="42" t="str">
        <x:v>Projectile strike / fire</x:v>
      </x:c>
      <x:c r="I256" s="42" t="str">
        <x:v>Port / Terminal</x:v>
      </x:c>
      <x:c r="J256" s="42" t="str">
        <x:v>Middle East</x:v>
      </x:c>
      <x:c r="K256" s="42" t="str">
        <x:v>Bahrain</x:v>
      </x:c>
      <x:c r="L256" s="42" t="str">
        <x:v>Port of Bahrain</x:v>
      </x:c>
      <x:c r="M256" s="42" t="str"/>
      <x:c r="N256" s="42" t="str"/>
      <x:c r="O256" s="42" t="str">
        <x:v>UKMTO-reported merchant vessel</x:v>
      </x:c>
      <x:c r="P256" s="42" t="str"/>
      <x:c r="Q256" s="42" t="str">
        <x:v>Port / terminal / vessel</x:v>
      </x:c>
      <x:c r="R256" s="42" t="str">
        <x:v>Conflict / maritime security attack</x:v>
      </x:c>
      <x:c r="S256" s="42" t="str">
        <x:v>UKMTO received a report of an incident in the Port of Bahrain. The Company Security Officer reported that the vessel had been struck by two unknown projectiles causing a fire. The fire has been extinguished and the vessel remains in port. All members of the ships crew are safe and have evacuated the vessel. Authorities are investigating. Vessels are to remain cautious and report any suspicious activity to UKMTO.</x:v>
      </x:c>
      <x:c r="T256" s="42" t="str">
        <x:v>See UKMTO warning; no environmental impact recorded where explicitly stated</x:v>
      </x:c>
      <x:c r="U256" s="42" t="str"/>
      <x:c r="V256" s="42" t="str"/>
      <x:c r="W256" s="42" t="str">
        <x:v>Port/approach risk; vessel-level operational effect varies by warning</x:v>
      </x:c>
      <x:c r="X256" s="42" t="str">
        <x:v>Added from user-supplied UKMTO warning archive; port-side/anchorage/near-port classification applied analytically.</x:v>
      </x:c>
      <x:c r="Y256" s="42" t="str">
        <x:v>High</x:v>
      </x:c>
      <x:c r="Z256" s="42" t="str">
        <x:v>High</x:v>
      </x:c>
      <x:c r="AA256" s="42" t="str">
        <x:v>UKMTO Warning 008-26 (uploaded PDF: 20260302-UKMTO_WARNING_008-26.pdf)</x:v>
      </x:c>
      <x:c r="AB256" s="42" t="str">
        <x:v>Needs canonical event resolution</x:v>
      </x:c>
      <x:c r="AC256" s="42" t="str">
        <x:v>Operator / authority: UKMTO / local maritime authorities; Status: UKMTO warning; latest update incorporated where supplied</x:v>
      </x:c>
    </x:row>
    <x:row r="257">
      <x:c r="A257" s="42" t="str">
        <x:v>OBS_000256</x:v>
      </x:c>
      <x:c r="B257" s="42" t="str"/>
      <x:c r="C257" s="42" t="str">
        <x:v>port_incidents_2026</x:v>
      </x:c>
      <x:c r="D257" s="42" t="str">
        <x:v>25</x:v>
      </x:c>
      <x:c r="E257" s="42" t="str">
        <x:v>2026-03-03</x:v>
      </x:c>
      <x:c r="F257" s="42" t="str">
        <x:v>Conflict / Security</x:v>
      </x:c>
      <x:c r="G257" s="42" t="str">
        <x:v>War / Conflict</x:v>
      </x:c>
      <x:c r="H257" s="42" t="str">
        <x:v>Projectile strike / fire</x:v>
      </x:c>
      <x:c r="I257" s="42" t="str">
        <x:v>Port / Terminal</x:v>
      </x:c>
      <x:c r="J257" s="42" t="str">
        <x:v>Middle East</x:v>
      </x:c>
      <x:c r="K257" s="42" t="str">
        <x:v>UAE</x:v>
      </x:c>
      <x:c r="L257" s="42" t="str">
        <x:v>Fujairah approaches / anchorage</x:v>
      </x:c>
      <x:c r="M257" s="42" t="str"/>
      <x:c r="N257" s="42" t="str"/>
      <x:c r="O257" s="42" t="str">
        <x:v>UKMTO-reported merchant vessel</x:v>
      </x:c>
      <x:c r="P257" s="42" t="str"/>
      <x:c r="Q257" s="42" t="str">
        <x:v>Port / terminal / vessel</x:v>
      </x:c>
      <x:c r="R257" s="42" t="str">
        <x:v>Conflict / maritime security attack</x:v>
      </x:c>
      <x:c r="S257" s="42" t="str">
        <x:v>UKMTO has received a report of an incident 7NM east of Fujairah, United Arab Emirates. The Master reported the vessel being struck by an unknown projectile causing damage to the steel plating. There has been no fire or water intake. All crew reported safe. Authorities are investigating.</x:v>
      </x:c>
      <x:c r="T257" s="42" t="str">
        <x:v>See UKMTO warning; no environmental impact recorded where explicitly stated</x:v>
      </x:c>
      <x:c r="U257" s="42" t="str"/>
      <x:c r="V257" s="42" t="str"/>
      <x:c r="W257" s="42" t="str">
        <x:v>Port/approach risk; vessel-level operational effect varies by warning</x:v>
      </x:c>
      <x:c r="X257" s="42" t="str">
        <x:v>Added from user-supplied UKMTO warning archive; port-side/anchorage/near-port classification applied analytically.</x:v>
      </x:c>
      <x:c r="Y257" s="42" t="str">
        <x:v>High</x:v>
      </x:c>
      <x:c r="Z257" s="42" t="str">
        <x:v>High</x:v>
      </x:c>
      <x:c r="AA257" s="42" t="str">
        <x:v>UKMTO Warning 010-26 (uploaded PDF: 20260304-UKMTO_WARNING_010-26.pdf)</x:v>
      </x:c>
      <x:c r="AB257" s="42" t="str">
        <x:v>Needs canonical event resolution</x:v>
      </x:c>
      <x:c r="AC257" s="42" t="str">
        <x:v>Operator / authority: UKMTO / local maritime authorities; Status: UKMTO warning; latest update incorporated where supplied</x:v>
      </x:c>
    </x:row>
    <x:row r="258">
      <x:c r="A258" s="42" t="str">
        <x:v>OBS_000257</x:v>
      </x:c>
      <x:c r="B258" s="42" t="str"/>
      <x:c r="C258" s="42" t="str">
        <x:v>port_incidents_2026</x:v>
      </x:c>
      <x:c r="D258" s="42" t="str">
        <x:v>26</x:v>
      </x:c>
      <x:c r="E258" s="42" t="str">
        <x:v>2026-03-04</x:v>
      </x:c>
      <x:c r="F258" s="42" t="str">
        <x:v>Conflict / Security</x:v>
      </x:c>
      <x:c r="G258" s="42" t="str">
        <x:v>War / Conflict</x:v>
      </x:c>
      <x:c r="H258" s="42" t="str">
        <x:v>Projectile strike</x:v>
      </x:c>
      <x:c r="I258" s="42" t="str">
        <x:v>Port / Terminal</x:v>
      </x:c>
      <x:c r="J258" s="42" t="str">
        <x:v>Middle East</x:v>
      </x:c>
      <x:c r="K258" s="42" t="str">
        <x:v>UAE</x:v>
      </x:c>
      <x:c r="L258" s="42" t="str">
        <x:v>Fujairah approaches / anchorage</x:v>
      </x:c>
      <x:c r="M258" s="42" t="str"/>
      <x:c r="N258" s="42" t="str"/>
      <x:c r="O258" s="42" t="str">
        <x:v>UKMTO-reported merchant vessel</x:v>
      </x:c>
      <x:c r="P258" s="42" t="str"/>
      <x:c r="Q258" s="42" t="str">
        <x:v>Port / terminal / vessel</x:v>
      </x:c>
      <x:c r="R258" s="42" t="str">
        <x:v>Conflict / maritime security attack</x:v>
      </x:c>
      <x:c r="S258" s="42" t="str">
        <x:v>UKMTO has received a report of an incident 10NM east of Fujairah, UAE. The tanker experienced a loud blast and debris from an unknown projectile was found on the deck. The funnel of the tanker sustained minor damage but no major damage has been observed with no environmental implications. All crew are safe and accounted for. Authorities are investigating.</x:v>
      </x:c>
      <x:c r="T258" s="42" t="str">
        <x:v>See UKMTO warning; no environmental impact recorded where explicitly stated</x:v>
      </x:c>
      <x:c r="U258" s="42" t="str"/>
      <x:c r="V258" s="42" t="str"/>
      <x:c r="W258" s="42" t="str">
        <x:v>Port/approach risk; vessel-level operational effect varies by warning</x:v>
      </x:c>
      <x:c r="X258" s="42" t="str">
        <x:v>Added from user-supplied UKMTO warning archive; port-side/anchorage/near-port classification applied analytically.</x:v>
      </x:c>
      <x:c r="Y258" s="42" t="str">
        <x:v>High</x:v>
      </x:c>
      <x:c r="Z258" s="42" t="str">
        <x:v>High</x:v>
      </x:c>
      <x:c r="AA258" s="42" t="str">
        <x:v>UKMTO Warning 011-26 (uploaded PDF: 20260304-UKMTO_WARNING_011-26.pdf)</x:v>
      </x:c>
      <x:c r="AB258" s="42" t="str">
        <x:v>Needs canonical event resolution</x:v>
      </x:c>
      <x:c r="AC258" s="42" t="str">
        <x:v>Operator / authority: UKMTO / local maritime authorities; Status: UKMTO warning; latest update incorporated where supplied</x:v>
      </x:c>
    </x:row>
    <x:row r="259">
      <x:c r="A259" s="42" t="str">
        <x:v>OBS_000258</x:v>
      </x:c>
      <x:c r="B259" s="42" t="str"/>
      <x:c r="C259" s="42" t="str">
        <x:v>port_incidents_2026</x:v>
      </x:c>
      <x:c r="D259" s="42" t="str">
        <x:v>27</x:v>
      </x:c>
      <x:c r="E259" s="42" t="str">
        <x:v>2026-03-04</x:v>
      </x:c>
      <x:c r="F259" s="42" t="str">
        <x:v>Conflict / Security</x:v>
      </x:c>
      <x:c r="G259" s="42" t="str">
        <x:v>War / Conflict</x:v>
      </x:c>
      <x:c r="H259" s="42" t="str">
        <x:v>Projectile splash / near miss</x:v>
      </x:c>
      <x:c r="I259" s="42" t="str">
        <x:v>Port / Terminal</x:v>
      </x:c>
      <x:c r="J259" s="42" t="str">
        <x:v>Middle East</x:v>
      </x:c>
      <x:c r="K259" s="42" t="str">
        <x:v>UAE</x:v>
      </x:c>
      <x:c r="L259" s="42" t="str">
        <x:v>Dubai approaches</x:v>
      </x:c>
      <x:c r="M259" s="42" t="str"/>
      <x:c r="N259" s="42" t="str"/>
      <x:c r="O259" s="42" t="str">
        <x:v>UKMTO-reported merchant vessel</x:v>
      </x:c>
      <x:c r="P259" s="42" t="str"/>
      <x:c r="Q259" s="42" t="str">
        <x:v>Port / terminal / vessel</x:v>
      </x:c>
      <x:c r="R259" s="42" t="str">
        <x:v>Conflict / maritime security attack</x:v>
      </x:c>
      <x:c r="S259" s="42" t="str">
        <x:v>UKMTO has received a report of an incident 20NM west of Dubai. A container ship has reported witnessing a splash from an unknown projectile in close proximity to the vessel. No damage to the vessel has been reported. Authorities are investigating.</x:v>
      </x:c>
      <x:c r="T259" s="42" t="str">
        <x:v>See UKMTO warning; no environmental impact recorded where explicitly stated</x:v>
      </x:c>
      <x:c r="U259" s="42" t="str"/>
      <x:c r="V259" s="42" t="str"/>
      <x:c r="W259" s="42" t="str">
        <x:v>Port/approach risk; vessel-level operational effect varies by warning</x:v>
      </x:c>
      <x:c r="X259" s="42" t="str">
        <x:v>Added from user-supplied UKMTO warning archive; port-side/anchorage/near-port classification applied analytically.</x:v>
      </x:c>
      <x:c r="Y259" s="42" t="str">
        <x:v>High</x:v>
      </x:c>
      <x:c r="Z259" s="42" t="str">
        <x:v>High</x:v>
      </x:c>
      <x:c r="AA259" s="42" t="str">
        <x:v>UKMTO Warning 013-26 (uploaded PDF: 20260304-UKMTO_WARNING_013-26.pdf)</x:v>
      </x:c>
      <x:c r="AB259" s="42" t="str">
        <x:v>Needs canonical event resolution</x:v>
      </x:c>
      <x:c r="AC259" s="42" t="str">
        <x:v>Operator / authority: UKMTO / local maritime authorities; Status: UKMTO warning; latest update incorporated where supplied</x:v>
      </x:c>
    </x:row>
    <x:row r="260">
      <x:c r="A260" s="42" t="str">
        <x:v>OBS_000259</x:v>
      </x:c>
      <x:c r="B260" s="42" t="str"/>
      <x:c r="C260" s="42" t="str">
        <x:v>port_incidents_2026</x:v>
      </x:c>
      <x:c r="D260" s="42" t="str">
        <x:v>28</x:v>
      </x:c>
      <x:c r="E260" s="42" t="str">
        <x:v>2026-03-04</x:v>
      </x:c>
      <x:c r="F260" s="42" t="str">
        <x:v>Port / Infrastructure Incident</x:v>
      </x:c>
      <x:c r="G260" s="42" t="str">
        <x:v>Maritime Security / Other</x:v>
      </x:c>
      <x:c r="H260" s="42" t="str">
        <x:v>Explosion / small craft observed</x:v>
      </x:c>
      <x:c r="I260" s="42" t="str">
        <x:v>Port / Terminal</x:v>
      </x:c>
      <x:c r="J260" s="42" t="str">
        <x:v>Middle East</x:v>
      </x:c>
      <x:c r="K260" s="42" t="str">
        <x:v>Kuwait / Iraq TTW</x:v>
      </x:c>
      <x:c r="L260" s="42" t="str">
        <x:v>SE of Mubarak Al Kabeer / Iraqi TTW</x:v>
      </x:c>
      <x:c r="M260" s="42" t="str"/>
      <x:c r="N260" s="42" t="str"/>
      <x:c r="O260" s="42" t="str">
        <x:v>UKMTO-reported merchant vessel</x:v>
      </x:c>
      <x:c r="P260" s="42" t="str"/>
      <x:c r="Q260" s="42" t="str">
        <x:v>Port / terminal / vessel</x:v>
      </x:c>
      <x:c r="R260" s="42" t="str">
        <x:v>Piracy / armed robbery / suspicious approach</x:v>
      </x:c>
      <x:c r="S260" s="42" t="str">
        <x:v>UKMTO has received a report of an incident 30NM southeast of MUBARAK AL KABEER, KUWAIT. The Master of a tanker at anchor, reports witnessing and hearing a large explosion on the port side then seeing a small craft leave the vicinity. There is oil in the water coming from a cargo tank which could have some environmental impact, the vessel has taken on water, there are no fires reported and the crew are safe and well. Update 001 05 Mar 26 – UKMTO has received an update that the discharge from the tanker is ballast water. The tanker remains 30NM southeast of MUBARAK AL KABEER, KUWAIT, in IRAQI TTW’s. Authorities are investigating.</x:v>
      </x:c>
      <x:c r="T260" s="42" t="str">
        <x:v>See UKMTO warning; no environmental impact recorded where explicitly stated</x:v>
      </x:c>
      <x:c r="U260" s="42" t="str"/>
      <x:c r="V260" s="42" t="str"/>
      <x:c r="W260" s="42" t="str">
        <x:v>Port/approach risk; vessel-level operational effect varies by warning</x:v>
      </x:c>
      <x:c r="X260" s="42" t="str">
        <x:v>Added from user-supplied UKMTO warning archive; port-side/anchorage/near-port classification applied analytically.</x:v>
      </x:c>
      <x:c r="Y260" s="42" t="str">
        <x:v>High</x:v>
      </x:c>
      <x:c r="Z260" s="42" t="str">
        <x:v>High</x:v>
      </x:c>
      <x:c r="AA260" s="42" t="str">
        <x:v>UKMTO Warning 014-26 (uploaded PDF: 20260304-UKMTO_WARNING_014-26-UPDATE 001.pdf)</x:v>
      </x:c>
      <x:c r="AB260" s="42" t="str">
        <x:v>Needs canonical event resolution</x:v>
      </x:c>
      <x:c r="AC260" s="42" t="str">
        <x:v>Operator / authority: UKMTO / local maritime authorities; Status: UKMTO warning; latest update incorporated where supplied</x:v>
      </x:c>
    </x:row>
    <x:row r="261">
      <x:c r="A261" s="42" t="str">
        <x:v>OBS_000260</x:v>
      </x:c>
      <x:c r="B261" s="42" t="str"/>
      <x:c r="C261" s="42" t="str">
        <x:v>port_incidents_2026</x:v>
      </x:c>
      <x:c r="D261" s="42" t="str">
        <x:v>29</x:v>
      </x:c>
      <x:c r="E261" s="42" t="str">
        <x:v>2026-03-07</x:v>
      </x:c>
      <x:c r="F261" s="42" t="str">
        <x:v>Port / Infrastructure Incident</x:v>
      </x:c>
      <x:c r="G261" s="42" t="str">
        <x:v>Maritime Security / Other</x:v>
      </x:c>
      <x:c r="H261" s="42" t="str">
        <x:v>Security incident</x:v>
      </x:c>
      <x:c r="I261" s="42" t="str">
        <x:v>Port / Terminal</x:v>
      </x:c>
      <x:c r="J261" s="42" t="str">
        <x:v>Middle East</x:v>
      </x:c>
      <x:c r="K261" s="42" t="str">
        <x:v>Saudi Arabia</x:v>
      </x:c>
      <x:c r="L261" s="42" t="str">
        <x:v>Jubail approaches</x:v>
      </x:c>
      <x:c r="M261" s="42" t="str"/>
      <x:c r="N261" s="42" t="str"/>
      <x:c r="O261" s="42" t="str">
        <x:v>UKMTO-reported merchant vessel</x:v>
      </x:c>
      <x:c r="P261" s="42" t="str"/>
      <x:c r="Q261" s="42" t="str">
        <x:v>Port / terminal / vessel</x:v>
      </x:c>
      <x:c r="R261" s="42" t="str">
        <x:v>Suspicious / security incident</x:v>
      </x:c>
      <x:c r="S261" s="42" t="str">
        <x:v>UKMTO has received a third-party report of an incident 10NM north of Jubail, Saudi Arabia in TTW. The report is being investigated.</x:v>
      </x:c>
      <x:c r="T261" s="42" t="str">
        <x:v>See UKMTO warning; no environmental impact recorded where explicitly stated</x:v>
      </x:c>
      <x:c r="U261" s="42" t="str"/>
      <x:c r="V261" s="42" t="str"/>
      <x:c r="W261" s="42" t="str">
        <x:v>Port/approach risk; vessel-level operational effect varies by warning</x:v>
      </x:c>
      <x:c r="X261" s="42" t="str">
        <x:v>Added from user-supplied UKMTO warning archive; port-side/anchorage/near-port classification applied analytically.</x:v>
      </x:c>
      <x:c r="Y261" s="42" t="str">
        <x:v>Medium</x:v>
      </x:c>
      <x:c r="Z261" s="42" t="str">
        <x:v>High</x:v>
      </x:c>
      <x:c r="AA261" s="42" t="str">
        <x:v>UKMTO Warning 016-26 (uploaded PDF: 20260307-UKMTO_WARNING_016-26-UK-OS.pdf)</x:v>
      </x:c>
      <x:c r="AB261" s="42" t="str">
        <x:v>Needs canonical event resolution</x:v>
      </x:c>
      <x:c r="AC261" s="42" t="str">
        <x:v>Operator / authority: UKMTO / local maritime authorities; Status: UKMTO warning; latest update incorporated where supplied</x:v>
      </x:c>
    </x:row>
    <x:row r="262">
      <x:c r="A262" s="42" t="str">
        <x:v>OBS_000261</x:v>
      </x:c>
      <x:c r="B262" s="42" t="str"/>
      <x:c r="C262" s="42" t="str">
        <x:v>port_incidents_2026</x:v>
      </x:c>
      <x:c r="D262" s="42" t="str">
        <x:v>30</x:v>
      </x:c>
      <x:c r="E262" s="42" t="str">
        <x:v>2026-03-11</x:v>
      </x:c>
      <x:c r="F262" s="42" t="str">
        <x:v>Conflict / Security</x:v>
      </x:c>
      <x:c r="G262" s="42" t="str">
        <x:v>War / Conflict</x:v>
      </x:c>
      <x:c r="H262" s="42" t="str">
        <x:v>Projectile strike</x:v>
      </x:c>
      <x:c r="I262" s="42" t="str">
        <x:v>Port / Terminal</x:v>
      </x:c>
      <x:c r="J262" s="42" t="str">
        <x:v>Middle East</x:v>
      </x:c>
      <x:c r="K262" s="42" t="str">
        <x:v>UAE</x:v>
      </x:c>
      <x:c r="L262" s="42" t="str">
        <x:v>Ras Al Khaimah approaches</x:v>
      </x:c>
      <x:c r="M262" s="42" t="str"/>
      <x:c r="N262" s="42" t="str"/>
      <x:c r="O262" s="42" t="str">
        <x:v>UKMTO-reported merchant vessel</x:v>
      </x:c>
      <x:c r="P262" s="42" t="str"/>
      <x:c r="Q262" s="42" t="str">
        <x:v>Port / terminal / vessel</x:v>
      </x:c>
      <x:c r="R262" s="42" t="str">
        <x:v>Conflict / maritime security attack</x:v>
      </x:c>
      <x:c r="S262" s="42" t="str">
        <x:v>UKMTO has received a report of an incident 25NM northwest of Ra’s al Khaymah, UAE. The Master of a container vessel has reported that the vessel has sustained damage from a suspected but unknown projectile. Extent of the damage is currently unknown but under investigation by the crew. The Master additionally reports that all crew members are safe and accounted for. Update 001: UKMTO has been informed that there is no environmental impact as a result of the incident.</x:v>
      </x:c>
      <x:c r="T262" s="42" t="str">
        <x:v>See UKMTO warning; no environmental impact recorded where explicitly stated</x:v>
      </x:c>
      <x:c r="U262" s="42" t="str"/>
      <x:c r="V262" s="42" t="str"/>
      <x:c r="W262" s="42" t="str">
        <x:v>Port/approach risk; vessel-level operational effect varies by warning</x:v>
      </x:c>
      <x:c r="X262" s="42" t="str">
        <x:v>Added from user-supplied UKMTO warning archive; port-side/anchorage/near-port classification applied analytically.</x:v>
      </x:c>
      <x:c r="Y262" s="42" t="str">
        <x:v>High</x:v>
      </x:c>
      <x:c r="Z262" s="42" t="str">
        <x:v>High</x:v>
      </x:c>
      <x:c r="AA262" s="42" t="str">
        <x:v>UKMTO Warning 018-26 (uploaded PDF: 20260311-UKMTO_WARNING-UPDATE_001-018-26.pdf)</x:v>
      </x:c>
      <x:c r="AB262" s="42" t="str">
        <x:v>Needs canonical event resolution</x:v>
      </x:c>
      <x:c r="AC262" s="42" t="str">
        <x:v>Operator / authority: UKMTO / local maritime authorities; Status: UKMTO warning; latest update incorporated where supplied</x:v>
      </x:c>
    </x:row>
    <x:row r="263">
      <x:c r="A263" s="42" t="str">
        <x:v>OBS_000262</x:v>
      </x:c>
      <x:c r="B263" s="42" t="str"/>
      <x:c r="C263" s="42" t="str">
        <x:v>port_incidents_2026</x:v>
      </x:c>
      <x:c r="D263" s="42" t="str">
        <x:v>31</x:v>
      </x:c>
      <x:c r="E263" s="42" t="str">
        <x:v>2026-03-11</x:v>
      </x:c>
      <x:c r="F263" s="42" t="str">
        <x:v>Conflict / Security</x:v>
      </x:c>
      <x:c r="G263" s="42" t="str">
        <x:v>War / Conflict</x:v>
      </x:c>
      <x:c r="H263" s="42" t="str">
        <x:v>Projectile strike / fire</x:v>
      </x:c>
      <x:c r="I263" s="42" t="str">
        <x:v>Port / Terminal</x:v>
      </x:c>
      <x:c r="J263" s="42" t="str">
        <x:v>Middle East</x:v>
      </x:c>
      <x:c r="K263" s="42" t="str">
        <x:v>Iraq</x:v>
      </x:c>
      <x:c r="L263" s="42" t="str">
        <x:v>Al Basrah approaches / Iraqi TTW</x:v>
      </x:c>
      <x:c r="M263" s="42" t="str"/>
      <x:c r="N263" s="42" t="str"/>
      <x:c r="O263" s="42" t="str">
        <x:v>UKMTO-reported merchant vessel</x:v>
      </x:c>
      <x:c r="P263" s="42" t="str"/>
      <x:c r="Q263" s="42" t="str">
        <x:v>Port / terminal / vessel</x:v>
      </x:c>
      <x:c r="R263" s="42" t="str">
        <x:v>Conflict / maritime security attack</x:v>
      </x:c>
      <x:c r="S263" s="42" t="str">
        <x:v>UKMTO has received a report of an incident 5NM south of Al Basrah, in Iraq TTW. A third party reported that two tankers have been struck by an unknown projectile. The CSO of one affected vessel confirmed the attack had caused a fire onboard. The CSO reported that the crew have been evacuated and safe. Investigations to identify the second vessel affected continue. 120140UTCMAR26: The CSO of the second tanker involved has confirmed the vessel was struck and the attack has caused a fire onboard. All members of the crew have been evacuated. No environmental impact has been reported at this time.</x:v>
      </x:c>
      <x:c r="T263" s="42" t="str">
        <x:v>See UKMTO warning; no environmental impact recorded where explicitly stated</x:v>
      </x:c>
      <x:c r="U263" s="42" t="str"/>
      <x:c r="V263" s="42" t="str"/>
      <x:c r="W263" s="42" t="str">
        <x:v>Port/approach risk; vessel-level operational effect varies by warning</x:v>
      </x:c>
      <x:c r="X263" s="42" t="str">
        <x:v>Added from user-supplied UKMTO warning archive; port-side/anchorage/near-port classification applied analytically.</x:v>
      </x:c>
      <x:c r="Y263" s="42" t="str">
        <x:v>High</x:v>
      </x:c>
      <x:c r="Z263" s="42" t="str">
        <x:v>High</x:v>
      </x:c>
      <x:c r="AA263" s="42" t="str">
        <x:v>UKMTO Warning 021-26 (uploaded PDF: 20260311-UKMTO_WARNING_021-26-UPDATE 001.pdf)</x:v>
      </x:c>
      <x:c r="AB263" s="42" t="str">
        <x:v>Needs canonical event resolution</x:v>
      </x:c>
      <x:c r="AC263" s="42" t="str">
        <x:v>Operator / authority: UKMTO / local maritime authorities; Status: UKMTO warning; latest update incorporated where supplied</x:v>
      </x:c>
    </x:row>
    <x:row r="264">
      <x:c r="A264" s="42" t="str">
        <x:v>OBS_000263</x:v>
      </x:c>
      <x:c r="B264" s="42" t="str"/>
      <x:c r="C264" s="42" t="str">
        <x:v>port_incidents_2026</x:v>
      </x:c>
      <x:c r="D264" s="42" t="str">
        <x:v>32</x:v>
      </x:c>
      <x:c r="E264" s="42" t="str">
        <x:v>2026-03-16</x:v>
      </x:c>
      <x:c r="F264" s="42" t="str">
        <x:v>Conflict / Security</x:v>
      </x:c>
      <x:c r="G264" s="42" t="str">
        <x:v>War / Conflict</x:v>
      </x:c>
      <x:c r="H264" s="42" t="str">
        <x:v>Projectile strike</x:v>
      </x:c>
      <x:c r="I264" s="42" t="str">
        <x:v>Port / Terminal</x:v>
      </x:c>
      <x:c r="J264" s="42" t="str">
        <x:v>Middle East</x:v>
      </x:c>
      <x:c r="K264" s="42" t="str">
        <x:v>UAE</x:v>
      </x:c>
      <x:c r="L264" s="42" t="str">
        <x:v>Fujairah approaches / anchorage</x:v>
      </x:c>
      <x:c r="M264" s="42" t="str"/>
      <x:c r="N264" s="42" t="str"/>
      <x:c r="O264" s="42" t="str">
        <x:v>UKMTO-reported merchant vessel</x:v>
      </x:c>
      <x:c r="P264" s="42" t="str"/>
      <x:c r="Q264" s="42" t="str">
        <x:v>Port / terminal / vessel</x:v>
      </x:c>
      <x:c r="R264" s="42" t="str">
        <x:v>Conflict / maritime security attack</x:v>
      </x:c>
      <x:c r="S264" s="42" t="str">
        <x:v>UKMTO has received a report of an incident 23NM east of Fujairah, UAE. A Tanker has reported being struck by an unknown projectile whilst at anchor. Minor structural damage reported. No injuries to crew. No environmental impact reported. Update- 001: The CSO has reported that investigations indicate that the vessel was subjected to falling debris from interceptions in the vicinity of the vessel. The vessel received minor structural damage however all crew are confirmed as safe. UKMTO have re-classified this incident as Suspicious Activity.</x:v>
      </x:c>
      <x:c r="T264" s="42" t="str">
        <x:v>See UKMTO warning; no environmental impact recorded where explicitly stated</x:v>
      </x:c>
      <x:c r="U264" s="42" t="str"/>
      <x:c r="V264" s="42" t="str"/>
      <x:c r="W264" s="42" t="str">
        <x:v>Port/approach risk; vessel-level operational effect varies by warning</x:v>
      </x:c>
      <x:c r="X264" s="42" t="str">
        <x:v>Added from user-supplied UKMTO warning archive; port-side/anchorage/near-port classification applied analytically.</x:v>
      </x:c>
      <x:c r="Y264" s="42" t="str">
        <x:v>High</x:v>
      </x:c>
      <x:c r="Z264" s="42" t="str">
        <x:v>High</x:v>
      </x:c>
      <x:c r="AA264" s="42" t="str">
        <x:v>UKMTO Warning 023-26 (uploaded PDF: 20260317-UKMTO_WARNING_023-26_UPDATE-001.pdf)</x:v>
      </x:c>
      <x:c r="AB264" s="42" t="str">
        <x:v>Needs canonical event resolution</x:v>
      </x:c>
      <x:c r="AC264" s="42" t="str">
        <x:v>Operator / authority: UKMTO / local maritime authorities; Status: UKMTO warning; latest update incorporated where supplied</x:v>
      </x:c>
    </x:row>
    <x:row r="265">
      <x:c r="A265" s="42" t="str">
        <x:v>OBS_000264</x:v>
      </x:c>
      <x:c r="B265" s="42" t="str"/>
      <x:c r="C265" s="42" t="str">
        <x:v>port_incidents_2026</x:v>
      </x:c>
      <x:c r="D265" s="42" t="str">
        <x:v>33</x:v>
      </x:c>
      <x:c r="E265" s="42" t="str">
        <x:v>2026-03-18</x:v>
      </x:c>
      <x:c r="F265" s="42" t="str">
        <x:v>Conflict / Security</x:v>
      </x:c>
      <x:c r="G265" s="42" t="str">
        <x:v>War / Conflict</x:v>
      </x:c>
      <x:c r="H265" s="42" t="str">
        <x:v>Projectile strike / fire</x:v>
      </x:c>
      <x:c r="I265" s="42" t="str">
        <x:v>Port / Terminal</x:v>
      </x:c>
      <x:c r="J265" s="42" t="str">
        <x:v>Middle East</x:v>
      </x:c>
      <x:c r="K265" s="42" t="str">
        <x:v>UAE</x:v>
      </x:c>
      <x:c r="L265" s="42" t="str">
        <x:v>Khor Fakkan</x:v>
      </x:c>
      <x:c r="M265" s="42" t="str"/>
      <x:c r="N265" s="42" t="str"/>
      <x:c r="O265" s="42" t="str">
        <x:v>UKMTO-reported merchant vessel</x:v>
      </x:c>
      <x:c r="P265" s="42" t="str"/>
      <x:c r="Q265" s="42" t="str">
        <x:v>Port / terminal / vessel</x:v>
      </x:c>
      <x:c r="R265" s="42" t="str">
        <x:v>Conflict / maritime security attack</x:v>
      </x:c>
      <x:c r="S265" s="42" t="str">
        <x:v>UKMTO has received a report of an incident 11NM east of Khawr Fakkan, UAE. It has been reported to UKMTO that a vessel has been hit by an unknown projectile which has resulted in a fire onboard.</x:v>
      </x:c>
      <x:c r="T265" s="42" t="str">
        <x:v>See UKMTO warning; no environmental impact recorded where explicitly stated</x:v>
      </x:c>
      <x:c r="U265" s="42" t="str"/>
      <x:c r="V265" s="42" t="str"/>
      <x:c r="W265" s="42" t="str">
        <x:v>Port/approach risk; vessel-level operational effect varies by warning</x:v>
      </x:c>
      <x:c r="X265" s="42" t="str">
        <x:v>Added from user-supplied UKMTO warning archive; port-side/anchorage/near-port classification applied analytically.</x:v>
      </x:c>
      <x:c r="Y265" s="42" t="str">
        <x:v>High</x:v>
      </x:c>
      <x:c r="Z265" s="42" t="str">
        <x:v>High</x:v>
      </x:c>
      <x:c r="AA265" s="42" t="str">
        <x:v>UKMTO Warning 024-26 (uploaded PDF: 20260318-UKMTO_WARNING_024-26.pdf)</x:v>
      </x:c>
      <x:c r="AB265" s="42" t="str">
        <x:v>Needs canonical event resolution</x:v>
      </x:c>
      <x:c r="AC265" s="42" t="str">
        <x:v>Operator / authority: UKMTO / local maritime authorities; Status: UKMTO warning; latest update incorporated where supplied</x:v>
      </x:c>
    </x:row>
    <x:row r="266">
      <x:c r="A266" s="42" t="str">
        <x:v>OBS_000265</x:v>
      </x:c>
      <x:c r="B266" s="42" t="str"/>
      <x:c r="C266" s="42" t="str">
        <x:v>port_incidents_2026</x:v>
      </x:c>
      <x:c r="D266" s="42" t="str">
        <x:v>34</x:v>
      </x:c>
      <x:c r="E266" s="42" t="str">
        <x:v>2026-03-19</x:v>
      </x:c>
      <x:c r="F266" s="42" t="str">
        <x:v>Conflict / Security</x:v>
      </x:c>
      <x:c r="G266" s="42" t="str">
        <x:v>War / Conflict</x:v>
      </x:c>
      <x:c r="H266" s="42" t="str">
        <x:v>Projectile strike</x:v>
      </x:c>
      <x:c r="I266" s="42" t="str">
        <x:v>Port / Terminal</x:v>
      </x:c>
      <x:c r="J266" s="42" t="str">
        <x:v>Middle East</x:v>
      </x:c>
      <x:c r="K266" s="42" t="str">
        <x:v>Qatar</x:v>
      </x:c>
      <x:c r="L266" s="42" t="str">
        <x:v>Ras Laffan approaches</x:v>
      </x:c>
      <x:c r="M266" s="42" t="str"/>
      <x:c r="N266" s="42" t="str"/>
      <x:c r="O266" s="42" t="str">
        <x:v>UKMTO-reported merchant vessel</x:v>
      </x:c>
      <x:c r="P266" s="42" t="str"/>
      <x:c r="Q266" s="42" t="str">
        <x:v>Port / terminal / vessel</x:v>
      </x:c>
      <x:c r="R266" s="42" t="str">
        <x:v>Conflict / maritime security attack</x:v>
      </x:c>
      <x:c r="S266" s="42" t="str">
        <x:v>UKMTO has received a report of an incident 4NM east of Ras Laffan, Qatar. It has been reported to UKMTO that a vessel has been hit by an unknown projectile. All crew are reported safe and well.</x:v>
      </x:c>
      <x:c r="T266" s="42" t="str">
        <x:v>See UKMTO warning; no environmental impact recorded where explicitly stated</x:v>
      </x:c>
      <x:c r="U266" s="42" t="str"/>
      <x:c r="V266" s="42" t="str"/>
      <x:c r="W266" s="42" t="str">
        <x:v>Port/approach risk; vessel-level operational effect varies by warning</x:v>
      </x:c>
      <x:c r="X266" s="42" t="str">
        <x:v>Added from user-supplied UKMTO warning archive; port-side/anchorage/near-port classification applied analytically.</x:v>
      </x:c>
      <x:c r="Y266" s="42" t="str">
        <x:v>High</x:v>
      </x:c>
      <x:c r="Z266" s="42" t="str">
        <x:v>High</x:v>
      </x:c>
      <x:c r="AA266" s="42" t="str">
        <x:v>UKMTO Warning 025-26 (uploaded PDF: 20260319-UKMTO_WARNING_025-26.pdf)</x:v>
      </x:c>
      <x:c r="AB266" s="42" t="str">
        <x:v>Needs canonical event resolution</x:v>
      </x:c>
      <x:c r="AC266" s="42" t="str">
        <x:v>Operator / authority: UKMTO / local maritime authorities; Status: UKMTO warning; latest update incorporated where supplied</x:v>
      </x:c>
    </x:row>
    <x:row r="267">
      <x:c r="A267" s="42" t="str">
        <x:v>OBS_000266</x:v>
      </x:c>
      <x:c r="B267" s="42" t="str"/>
      <x:c r="C267" s="42" t="str">
        <x:v>port_incidents_2026</x:v>
      </x:c>
      <x:c r="D267" s="42" t="str">
        <x:v>35</x:v>
      </x:c>
      <x:c r="E267" s="42" t="str">
        <x:v>2026-03-21</x:v>
      </x:c>
      <x:c r="F267" s="42" t="str">
        <x:v>Conflict / Security</x:v>
      </x:c>
      <x:c r="G267" s="42" t="str">
        <x:v>War / Conflict</x:v>
      </x:c>
      <x:c r="H267" s="42" t="str">
        <x:v>Projectile strike</x:v>
      </x:c>
      <x:c r="I267" s="42" t="str">
        <x:v>Port / Terminal</x:v>
      </x:c>
      <x:c r="J267" s="42" t="str">
        <x:v>Middle East</x:v>
      </x:c>
      <x:c r="K267" s="42" t="str">
        <x:v>UAE</x:v>
      </x:c>
      <x:c r="L267" s="42" t="str">
        <x:v>Sharjah approaches</x:v>
      </x:c>
      <x:c r="M267" s="42" t="str"/>
      <x:c r="N267" s="42" t="str"/>
      <x:c r="O267" s="42" t="str">
        <x:v>UKMTO-reported merchant vessel</x:v>
      </x:c>
      <x:c r="P267" s="42" t="str"/>
      <x:c r="Q267" s="42" t="str">
        <x:v>Port / terminal / vessel</x:v>
      </x:c>
      <x:c r="R267" s="42" t="str">
        <x:v>Conflict / maritime security attack</x:v>
      </x:c>
      <x:c r="S267" s="42" t="str">
        <x:v>UKMTO has received a report of an incident 15NM north of Sharjah, United Arab Emirates. The Master of a Bulk Carrier reported an explosion from an unknown projectile in close proximity to the vessel. All crew are reported safe. Update 001: UKMTO ATTACK Warning 026-26 has been reclassified after review determined the intended target could not be conclusively identified. Authorities are investigating.</x:v>
      </x:c>
      <x:c r="T267" s="42" t="str">
        <x:v>See UKMTO warning; no environmental impact recorded where explicitly stated</x:v>
      </x:c>
      <x:c r="U267" s="42" t="str"/>
      <x:c r="V267" s="42" t="str"/>
      <x:c r="W267" s="42" t="str">
        <x:v>Port/approach risk; vessel-level operational effect varies by warning</x:v>
      </x:c>
      <x:c r="X267" s="42" t="str">
        <x:v>Added from user-supplied UKMTO warning archive; port-side/anchorage/near-port classification applied analytically.</x:v>
      </x:c>
      <x:c r="Y267" s="42" t="str">
        <x:v>High</x:v>
      </x:c>
      <x:c r="Z267" s="42" t="str">
        <x:v>High</x:v>
      </x:c>
      <x:c r="AA267" s="42" t="str">
        <x:v>UKMTO Warning 026-26 (uploaded PDF: 20260322-UKMTO_WARNING_026-26-UPDATE 001.pdf)</x:v>
      </x:c>
      <x:c r="AB267" s="42" t="str">
        <x:v>Needs canonical event resolution</x:v>
      </x:c>
      <x:c r="AC267" s="42" t="str">
        <x:v>Operator / authority: UKMTO / local maritime authorities; Status: UKMTO warning; latest update incorporated where supplied</x:v>
      </x:c>
    </x:row>
    <x:row r="268">
      <x:c r="A268" s="42" t="str">
        <x:v>OBS_000267</x:v>
      </x:c>
      <x:c r="B268" s="42" t="str"/>
      <x:c r="C268" s="42" t="str">
        <x:v>port_incidents_2026</x:v>
      </x:c>
      <x:c r="D268" s="42" t="str">
        <x:v>36</x:v>
      </x:c>
      <x:c r="E268" s="42" t="str">
        <x:v>2026-03-30</x:v>
      </x:c>
      <x:c r="F268" s="42" t="str">
        <x:v>Conflict / Security</x:v>
      </x:c>
      <x:c r="G268" s="42" t="str">
        <x:v>War / Conflict</x:v>
      </x:c>
      <x:c r="H268" s="42" t="str">
        <x:v>Projectile splash / near miss</x:v>
      </x:c>
      <x:c r="I268" s="42" t="str">
        <x:v>Port / Terminal</x:v>
      </x:c>
      <x:c r="J268" s="42" t="str">
        <x:v>Middle East</x:v>
      </x:c>
      <x:c r="K268" s="42" t="str">
        <x:v>Saudi Arabia</x:v>
      </x:c>
      <x:c r="L268" s="42" t="str">
        <x:v>Ras Tanura approaches</x:v>
      </x:c>
      <x:c r="M268" s="42" t="str"/>
      <x:c r="N268" s="42" t="str"/>
      <x:c r="O268" s="42" t="str">
        <x:v>UKMTO-reported merchant vessel</x:v>
      </x:c>
      <x:c r="P268" s="42" t="str"/>
      <x:c r="Q268" s="42" t="str">
        <x:v>Port / terminal / vessel</x:v>
      </x:c>
      <x:c r="R268" s="42" t="str">
        <x:v>Conflict / maritime security attack</x:v>
      </x:c>
      <x:c r="S268" s="42" t="str">
        <x:v>UKMTO has received a report of an incident 22NM northeast of RAS TANURA Saudi Arabia. The CSO of the Container Vessel reported 2 unknown projectiles splashing in close proximity, each occurring within 1 hour of each other. The crew are reported as safe. Authorities are investigating.</x:v>
      </x:c>
      <x:c r="T268" s="42" t="str">
        <x:v>See UKMTO warning; no environmental impact recorded where explicitly stated</x:v>
      </x:c>
      <x:c r="U268" s="42" t="str"/>
      <x:c r="V268" s="42" t="str"/>
      <x:c r="W268" s="42" t="str">
        <x:v>Port/approach risk; vessel-level operational effect varies by warning</x:v>
      </x:c>
      <x:c r="X268" s="42" t="str">
        <x:v>Added from user-supplied UKMTO warning archive; port-side/anchorage/near-port classification applied analytically.</x:v>
      </x:c>
      <x:c r="Y268" s="42" t="str">
        <x:v>High</x:v>
      </x:c>
      <x:c r="Z268" s="42" t="str">
        <x:v>High</x:v>
      </x:c>
      <x:c r="AA268" s="42" t="str">
        <x:v>UKMTO Warning 028-26 (uploaded PDF: 20260330_UKMTO_WARNING_028_26-SUSPICIOUS ACTIVITY.pdf)</x:v>
      </x:c>
      <x:c r="AB268" s="42" t="str">
        <x:v>Needs canonical event resolution</x:v>
      </x:c>
      <x:c r="AC268" s="42" t="str">
        <x:v>Operator / authority: UKMTO / local maritime authorities; Status: UKMTO warning; latest update incorporated where supplied</x:v>
      </x:c>
    </x:row>
    <x:row r="269">
      <x:c r="A269" s="42" t="str">
        <x:v>OBS_000268</x:v>
      </x:c>
      <x:c r="B269" s="42" t="str"/>
      <x:c r="C269" s="42" t="str">
        <x:v>port_incidents_2026</x:v>
      </x:c>
      <x:c r="D269" s="42" t="str">
        <x:v>37</x:v>
      </x:c>
      <x:c r="E269" s="42" t="str">
        <x:v>2026-03-31</x:v>
      </x:c>
      <x:c r="F269" s="42" t="str">
        <x:v>Conflict / Security</x:v>
      </x:c>
      <x:c r="G269" s="42" t="str">
        <x:v>War / Conflict</x:v>
      </x:c>
      <x:c r="H269" s="42" t="str">
        <x:v>Projectile strike / fire</x:v>
      </x:c>
      <x:c r="I269" s="42" t="str">
        <x:v>Port / Terminal</x:v>
      </x:c>
      <x:c r="J269" s="42" t="str">
        <x:v>Middle East</x:v>
      </x:c>
      <x:c r="K269" s="42" t="str">
        <x:v>Qatar</x:v>
      </x:c>
      <x:c r="L269" s="42" t="str">
        <x:v>Ras Laffan approaches</x:v>
      </x:c>
      <x:c r="M269" s="42" t="str"/>
      <x:c r="N269" s="42" t="str"/>
      <x:c r="O269" s="42" t="str">
        <x:v>UKMTO-reported merchant vessel</x:v>
      </x:c>
      <x:c r="P269" s="42" t="str"/>
      <x:c r="Q269" s="42" t="str">
        <x:v>Port / terminal / vessel</x:v>
      </x:c>
      <x:c r="R269" s="42" t="str">
        <x:v>Conflict / maritime security attack</x:v>
      </x:c>
      <x:c r="S269" s="42" t="str">
        <x:v>UKMTO has received a report of an incident 17NM north of Ras Laffan, Qatar. The Company Security Officer reported the tanker has been hit by unknown projectile on the port side causing damage to the hull above water line. The crew are reported as safe. There is no environmental impact. Authorities are investigating. UPDATE 001: UKMTO can confirm the vessel was struck by two projectiles. One caused a fire which has since been extinguished. The other remains unexploded within the vessels engine room and is being investigated by the relevant authorities. UKMTO are unable to confirm the source of the projectiles and</x:v>
      </x:c>
      <x:c r="T269" s="42" t="str">
        <x:v>See UKMTO warning; no environmental impact recorded where explicitly stated</x:v>
      </x:c>
      <x:c r="U269" s="42" t="str"/>
      <x:c r="V269" s="42" t="str"/>
      <x:c r="W269" s="42" t="str">
        <x:v>Port/approach risk; vessel-level operational effect varies by warning</x:v>
      </x:c>
      <x:c r="X269" s="42" t="str">
        <x:v>Added from user-supplied UKMTO warning archive; port-side/anchorage/near-port classification applied analytically.</x:v>
      </x:c>
      <x:c r="Y269" s="42" t="str">
        <x:v>High</x:v>
      </x:c>
      <x:c r="Z269" s="42" t="str">
        <x:v>High</x:v>
      </x:c>
      <x:c r="AA269" s="42" t="str">
        <x:v>UKMTO Warning 030-26 (uploaded PDF: 20260331_UKMTO_WARNING_030_26-UPDATE_001.pdf)</x:v>
      </x:c>
      <x:c r="AB269" s="42" t="str">
        <x:v>Needs canonical event resolution</x:v>
      </x:c>
      <x:c r="AC269" s="42" t="str">
        <x:v>Operator / authority: UKMTO / local maritime authorities; Status: UKMTO warning; latest update incorporated where supplied</x:v>
      </x:c>
    </x:row>
    <x:row r="270">
      <x:c r="A270" s="42" t="str">
        <x:v>OBS_000269</x:v>
      </x:c>
      <x:c r="B270" s="42" t="str"/>
      <x:c r="C270" s="42" t="str">
        <x:v>port_incidents_2026</x:v>
      </x:c>
      <x:c r="D270" s="42" t="str">
        <x:v>38</x:v>
      </x:c>
      <x:c r="E270" s="42" t="str">
        <x:v>2026-04-05</x:v>
      </x:c>
      <x:c r="F270" s="42" t="str">
        <x:v>Conflict / Security</x:v>
      </x:c>
      <x:c r="G270" s="42" t="str">
        <x:v>War / Conflict</x:v>
      </x:c>
      <x:c r="H270" s="42" t="str">
        <x:v>Projectile splash / near miss</x:v>
      </x:c>
      <x:c r="I270" s="42" t="str">
        <x:v>Port / Terminal</x:v>
      </x:c>
      <x:c r="J270" s="42" t="str">
        <x:v>Middle East</x:v>
      </x:c>
      <x:c r="K270" s="42" t="str">
        <x:v>UAE</x:v>
      </x:c>
      <x:c r="L270" s="42" t="str">
        <x:v>Khor Fakkan</x:v>
      </x:c>
      <x:c r="M270" s="42" t="str"/>
      <x:c r="N270" s="42" t="str"/>
      <x:c r="O270" s="42" t="str">
        <x:v>UKMTO-reported merchant vessel</x:v>
      </x:c>
      <x:c r="P270" s="42" t="str"/>
      <x:c r="Q270" s="42" t="str">
        <x:v>Port / terminal / vessel</x:v>
      </x:c>
      <x:c r="R270" s="42" t="str">
        <x:v>Conflict / maritime security attack</x:v>
      </x:c>
      <x:c r="S270" s="42" t="str">
        <x:v>UKMTO has received a report of an incident in Khor Fakkan Port, United Arab Emirates. The Master reports witnessing multiple splashes from unknown projectiles, in close proximity of his container ship, whilst alongside conducting loading operations.</x:v>
      </x:c>
      <x:c r="T270" s="42" t="str">
        <x:v>See UKMTO warning; no environmental impact recorded where explicitly stated</x:v>
      </x:c>
      <x:c r="U270" s="42" t="str"/>
      <x:c r="V270" s="42" t="str"/>
      <x:c r="W270" s="42" t="str">
        <x:v>Port/approach risk; vessel-level operational effect varies by warning</x:v>
      </x:c>
      <x:c r="X270" s="42" t="str">
        <x:v>Added from user-supplied UKMTO warning archive; port-side/anchorage/near-port classification applied analytically.</x:v>
      </x:c>
      <x:c r="Y270" s="42" t="str">
        <x:v>High</x:v>
      </x:c>
      <x:c r="Z270" s="42" t="str">
        <x:v>High</x:v>
      </x:c>
      <x:c r="AA270" s="42" t="str">
        <x:v>UKMTO Warning 031-26 (uploaded PDF: 20260405_UKMTO_WARNING_031_26.pdf)</x:v>
      </x:c>
      <x:c r="AB270" s="42" t="str">
        <x:v>Needs canonical event resolution</x:v>
      </x:c>
      <x:c r="AC270" s="42" t="str">
        <x:v>Operator / authority: UKMTO / local maritime authorities; Status: UKMTO warning; latest update incorporated where supplied</x:v>
      </x:c>
    </x:row>
    <x:row r="271">
      <x:c r="A271" s="42" t="str">
        <x:v>OBS_000270</x:v>
      </x:c>
      <x:c r="B271" s="42" t="str"/>
      <x:c r="C271" s="42" t="str">
        <x:v>port_incidents_2026</x:v>
      </x:c>
      <x:c r="D271" s="42" t="str">
        <x:v>39</x:v>
      </x:c>
      <x:c r="E271" s="42" t="str">
        <x:v>2026-05-04</x:v>
      </x:c>
      <x:c r="F271" s="42" t="str">
        <x:v>Port / Infrastructure Incident</x:v>
      </x:c>
      <x:c r="G271" s="42" t="str">
        <x:v>Maritime Security / Other</x:v>
      </x:c>
      <x:c r="H271" s="42" t="str">
        <x:v>Security incident</x:v>
      </x:c>
      <x:c r="I271" s="42" t="str">
        <x:v>Port / Terminal</x:v>
      </x:c>
      <x:c r="J271" s="42" t="str">
        <x:v>Middle East</x:v>
      </x:c>
      <x:c r="K271" s="42" t="str">
        <x:v>UAE</x:v>
      </x:c>
      <x:c r="L271" s="42" t="str">
        <x:v>Mina Saqr approaches</x:v>
      </x:c>
      <x:c r="M271" s="42" t="str"/>
      <x:c r="N271" s="42" t="str"/>
      <x:c r="O271" s="42" t="str">
        <x:v>UKMTO-reported merchant vessel</x:v>
      </x:c>
      <x:c r="P271" s="42" t="str"/>
      <x:c r="Q271" s="42" t="str">
        <x:v>Port / terminal / vessel</x:v>
      </x:c>
      <x:c r="R271" s="42" t="str">
        <x:v>Marine casualty / fire</x:v>
      </x:c>
      <x:c r="S271" s="42" t="str">
        <x:v>UKMTO has received a report of an incident 14NM west of Mina Saqr, United Arab Emirates. UKMTO received information from a third party that a vessel was on fire and requesting vessels in the vicinity to keep a safe distance from them. The cause of the fire has not been verified at this time No environmental impact reported Authorities are investigating.</x:v>
      </x:c>
      <x:c r="T271" s="42" t="str">
        <x:v>See UKMTO warning; no environmental impact recorded where explicitly stated</x:v>
      </x:c>
      <x:c r="U271" s="42" t="str"/>
      <x:c r="V271" s="42" t="str"/>
      <x:c r="W271" s="42" t="str">
        <x:v>Port/approach risk; vessel-level operational effect varies by warning</x:v>
      </x:c>
      <x:c r="X271" s="42" t="str">
        <x:v>Added from user-supplied UKMTO warning archive; port-side/anchorage/near-port classification applied analytically.</x:v>
      </x:c>
      <x:c r="Y271" s="42" t="str">
        <x:v>High</x:v>
      </x:c>
      <x:c r="Z271" s="42" t="str">
        <x:v>High</x:v>
      </x:c>
      <x:c r="AA271" s="42" t="str">
        <x:v>UKMTO Warning 054-26 (uploaded PDF: 20260504-UKMTO_WARNING_054-26.pdf)</x:v>
      </x:c>
      <x:c r="AB271" s="42" t="str">
        <x:v>Needs canonical event resolution</x:v>
      </x:c>
      <x:c r="AC271" s="42" t="str">
        <x:v>Operator / authority: UKMTO / local maritime authorities; Status: UKMTO warning; latest update incorporated where supplied</x:v>
      </x:c>
    </x:row>
    <x:row r="272">
      <x:c r="A272" s="42" t="str">
        <x:v>OBS_000271</x:v>
      </x:c>
      <x:c r="B272" s="42" t="str"/>
      <x:c r="C272" s="42" t="str">
        <x:v>port_incidents_2026</x:v>
      </x:c>
      <x:c r="D272" s="42" t="str">
        <x:v>40</x:v>
      </x:c>
      <x:c r="E272" s="42" t="str">
        <x:v>2026-05-10</x:v>
      </x:c>
      <x:c r="F272" s="42" t="str">
        <x:v>Conflict / Security</x:v>
      </x:c>
      <x:c r="G272" s="42" t="str">
        <x:v>War / Conflict</x:v>
      </x:c>
      <x:c r="H272" s="42" t="str">
        <x:v>Projectile strike / fire</x:v>
      </x:c>
      <x:c r="I272" s="42" t="str">
        <x:v>Port / Terminal</x:v>
      </x:c>
      <x:c r="J272" s="42" t="str">
        <x:v>Middle East</x:v>
      </x:c>
      <x:c r="K272" s="42" t="str">
        <x:v>Qatar</x:v>
      </x:c>
      <x:c r="L272" s="42" t="str">
        <x:v>Doha approaches</x:v>
      </x:c>
      <x:c r="M272" s="42" t="str"/>
      <x:c r="N272" s="42" t="str"/>
      <x:c r="O272" s="42" t="str">
        <x:v>UKMTO-reported merchant vessel</x:v>
      </x:c>
      <x:c r="P272" s="42" t="str"/>
      <x:c r="Q272" s="42" t="str">
        <x:v>Port / terminal / vessel</x:v>
      </x:c>
      <x:c r="R272" s="42" t="str">
        <x:v>Conflict / maritime security attack</x:v>
      </x:c>
      <x:c r="S272" s="42" t="str">
        <x:v>UKMTO has received a report of an incident 23NM northeast of DOHA, QATAR. The Master of a Bulk Carrier reports being hit by an unknown projectile. There was a small fire that has been extinguished, there are no casualties. There is no reported environmental impact. Authorities are investigating.</x:v>
      </x:c>
      <x:c r="T272" s="42" t="str">
        <x:v>See UKMTO warning; no environmental impact recorded where explicitly stated</x:v>
      </x:c>
      <x:c r="U272" s="42" t="str"/>
      <x:c r="V272" s="42" t="str"/>
      <x:c r="W272" s="42" t="str">
        <x:v>Port/approach risk; vessel-level operational effect varies by warning</x:v>
      </x:c>
      <x:c r="X272" s="42" t="str">
        <x:v>Added from user-supplied UKMTO warning archive; port-side/anchorage/near-port classification applied analytically.</x:v>
      </x:c>
      <x:c r="Y272" s="42" t="str">
        <x:v>High</x:v>
      </x:c>
      <x:c r="Z272" s="42" t="str">
        <x:v>High</x:v>
      </x:c>
      <x:c r="AA272" s="42" t="str">
        <x:v>UKMTO Warning 056-26 (uploaded PDF: 20260510-UKMTO_056_26_WARNING_ATTACK.pdf)</x:v>
      </x:c>
      <x:c r="AB272" s="42" t="str">
        <x:v>Needs canonical event resolution</x:v>
      </x:c>
      <x:c r="AC272" s="42" t="str">
        <x:v>Operator / authority: UKMTO / local maritime authorities; Status: UKMTO warning; latest update incorporated where supplied</x:v>
      </x:c>
    </x:row>
    <x:row r="273">
      <x:c r="A273" s="42" t="str">
        <x:v>OBS_000272</x:v>
      </x:c>
      <x:c r="B273" s="42" t="str"/>
      <x:c r="C273" s="42" t="str">
        <x:v>port_incidents_2026</x:v>
      </x:c>
      <x:c r="D273" s="42" t="str">
        <x:v>41</x:v>
      </x:c>
      <x:c r="E273" s="42" t="str">
        <x:v>2026-05-14</x:v>
      </x:c>
      <x:c r="F273" s="42" t="str">
        <x:v>Conflict / Security</x:v>
      </x:c>
      <x:c r="G273" s="42" t="str">
        <x:v>War / Conflict</x:v>
      </x:c>
      <x:c r="H273" s="42" t="str">
        <x:v>Vessel seizure / boarding</x:v>
      </x:c>
      <x:c r="I273" s="42" t="str">
        <x:v>Port / Terminal</x:v>
      </x:c>
      <x:c r="J273" s="42" t="str">
        <x:v>Middle East</x:v>
      </x:c>
      <x:c r="K273" s="42" t="str">
        <x:v>UAE</x:v>
      </x:c>
      <x:c r="L273" s="42" t="str">
        <x:v>Fujairah approaches / anchorage</x:v>
      </x:c>
      <x:c r="M273" s="42" t="str"/>
      <x:c r="N273" s="42" t="str"/>
      <x:c r="O273" s="42" t="str">
        <x:v>UKMTO-reported merchant vessel</x:v>
      </x:c>
      <x:c r="P273" s="42" t="str"/>
      <x:c r="Q273" s="42" t="str">
        <x:v>Port / terminal / vessel</x:v>
      </x:c>
      <x:c r="R273" s="42" t="str">
        <x:v>State/security seizure or attack</x:v>
      </x:c>
      <x:c r="S273" s="42" t="str">
        <x:v>UKMTO has received a report of an incident 38NM northeast of Fujairah, United Arab Emirates. The CSO has reported that the vessel has been taken by unauthorised personnel whist at anchor and is now bound for Iranian Territorial Waters. UKMTO continue to investigate.</x:v>
      </x:c>
      <x:c r="T273" s="42" t="str">
        <x:v>See UKMTO warning; no environmental impact recorded where explicitly stated</x:v>
      </x:c>
      <x:c r="U273" s="42" t="str"/>
      <x:c r="V273" s="42" t="str"/>
      <x:c r="W273" s="42" t="str">
        <x:v>Port/approach risk; vessel-level operational effect varies by warning</x:v>
      </x:c>
      <x:c r="X273" s="42" t="str">
        <x:v>Added from user-supplied UKMTO warning archive; port-side/anchorage/near-port classification applied analytically.</x:v>
      </x:c>
      <x:c r="Y273" s="42" t="str">
        <x:v>High</x:v>
      </x:c>
      <x:c r="Z273" s="42" t="str">
        <x:v>High</x:v>
      </x:c>
      <x:c r="AA273" s="42" t="str">
        <x:v>UKMTO Warning 057-26 (uploaded PDF: 20260514-UKMTO_057_26_WARNING_SUSPICIOUS ACTIVITY.pdf)</x:v>
      </x:c>
      <x:c r="AB273" s="42" t="str">
        <x:v>Needs canonical event resolution</x:v>
      </x:c>
      <x:c r="AC273" s="42" t="str">
        <x:v>Operator / authority: UKMTO / local maritime authorities; Status: UKMTO warning; latest update incorporated where supplied</x:v>
      </x:c>
    </x:row>
    <x:row r="274">
      <x:c r="A274" s="42" t="str">
        <x:v>OBS_000273</x:v>
      </x:c>
      <x:c r="B274" s="42" t="str"/>
      <x:c r="C274" s="42" t="str">
        <x:v>port_incidents_2026</x:v>
      </x:c>
      <x:c r="D274" s="42" t="str">
        <x:v>42</x:v>
      </x:c>
      <x:c r="E274" s="42" t="str">
        <x:v>2026-06-10</x:v>
      </x:c>
      <x:c r="F274" s="42" t="str">
        <x:v>Port / Infrastructure Incident</x:v>
      </x:c>
      <x:c r="G274" s="42" t="str">
        <x:v>Maritime Security / Other</x:v>
      </x:c>
      <x:c r="H274" s="42" t="str">
        <x:v>Security incident</x:v>
      </x:c>
      <x:c r="I274" s="42" t="str">
        <x:v>Port / Terminal</x:v>
      </x:c>
      <x:c r="J274" s="42" t="str">
        <x:v>Middle East</x:v>
      </x:c>
      <x:c r="K274" s="42" t="str">
        <x:v>Oman</x:v>
      </x:c>
      <x:c r="L274" s="42" t="str">
        <x:v>Sohar approaches</x:v>
      </x:c>
      <x:c r="M274" s="42" t="str"/>
      <x:c r="N274" s="42" t="str"/>
      <x:c r="O274" s="42" t="str">
        <x:v>UKMTO-reported merchant vessel</x:v>
      </x:c>
      <x:c r="P274" s="42" t="str"/>
      <x:c r="Q274" s="42" t="str">
        <x:v>Port / terminal / vessel</x:v>
      </x:c>
      <x:c r="R274" s="42" t="str">
        <x:v>Marine casualty / fire</x:v>
      </x:c>
      <x:c r="S274" s="42" t="str">
        <x:v>UKMTO has received a report of an incident 20NM northeast of Sohar, Oman. Local authorities have reported a tanker has experienced a fire in their engine room and are on the scene assisting with the evacuation of the crew. The vessel is reporting 1 casualty and 2 crew members missing. No environment impact reported. Authorities continue investigating. Sohar, Oman</x:v>
      </x:c>
      <x:c r="T274" s="42" t="str">
        <x:v>See UKMTO warning; no environmental impact recorded where explicitly stated</x:v>
      </x:c>
      <x:c r="U274" s="42" t="str"/>
      <x:c r="V274" s="42" t="str"/>
      <x:c r="W274" s="42" t="str">
        <x:v>Port/approach risk; vessel-level operational effect varies by warning</x:v>
      </x:c>
      <x:c r="X274" s="42" t="str">
        <x:v>Added from user-supplied UKMTO warning archive; port-side/anchorage/near-port classification applied analytically.</x:v>
      </x:c>
      <x:c r="Y274" s="42" t="str">
        <x:v>High</x:v>
      </x:c>
      <x:c r="Z274" s="42" t="str">
        <x:v>High</x:v>
      </x:c>
      <x:c r="AA274" s="42" t="str">
        <x:v>UKMTO Warning 066-26 (uploaded PDF: 20260610-UKMTO_WARNING_066-26.pdf)</x:v>
      </x:c>
      <x:c r="AB274" s="42" t="str">
        <x:v>Needs canonical event resolution</x:v>
      </x:c>
      <x:c r="AC274" s="42" t="str">
        <x:v>Operator / authority: UKMTO / local maritime authorities; Status: UKMTO warning; latest update incorporated where supplied</x:v>
      </x:c>
    </x:row>
    <x:row r="275">
      <x:c r="A275" s="42" t="str">
        <x:v>OBS_000274</x:v>
      </x:c>
      <x:c r="B275" s="42" t="str"/>
      <x:c r="C275" s="42" t="str">
        <x:v>port_incidents_2026</x:v>
      </x:c>
      <x:c r="D275" s="42" t="str">
        <x:v>43</x:v>
      </x:c>
      <x:c r="E275" s="42" t="str">
        <x:v>2026-06-11</x:v>
      </x:c>
      <x:c r="F275" s="42" t="str">
        <x:v>Port / Infrastructure Incident</x:v>
      </x:c>
      <x:c r="G275" s="42" t="str">
        <x:v>Maritime Security / Other</x:v>
      </x:c>
      <x:c r="H275" s="42" t="str">
        <x:v>Engine-room fire</x:v>
      </x:c>
      <x:c r="I275" s="42" t="str">
        <x:v>Port / Terminal</x:v>
      </x:c>
      <x:c r="J275" s="42" t="str">
        <x:v>Middle East</x:v>
      </x:c>
      <x:c r="K275" s="42" t="str">
        <x:v>Oman</x:v>
      </x:c>
      <x:c r="L275" s="42" t="str">
        <x:v>Sohar approaches</x:v>
      </x:c>
      <x:c r="M275" s="42" t="str"/>
      <x:c r="N275" s="42" t="str"/>
      <x:c r="O275" s="42" t="str">
        <x:v>UKMTO-reported merchant vessel</x:v>
      </x:c>
      <x:c r="P275" s="42" t="str"/>
      <x:c r="Q275" s="42" t="str">
        <x:v>Port / terminal / vessel</x:v>
      </x:c>
      <x:c r="R275" s="42" t="str">
        <x:v>Marine casualty / fire</x:v>
      </x:c>
      <x:c r="S275" s="42" t="str">
        <x:v>UKMTO has received a report of an incident 21NM northeast of Sohar, Oman. Local authorities have reported a tanker has experienced a fire in the engine room. No environmental impact has been reported. Authorities continue to investigate.</x:v>
      </x:c>
      <x:c r="T275" s="42" t="str">
        <x:v>See UKMTO warning; no environmental impact recorded where explicitly stated</x:v>
      </x:c>
      <x:c r="U275" s="42" t="str"/>
      <x:c r="V275" s="42" t="str"/>
      <x:c r="W275" s="42" t="str">
        <x:v>Port/approach risk; vessel-level operational effect varies by warning</x:v>
      </x:c>
      <x:c r="X275" s="42" t="str">
        <x:v>Added from user-supplied UKMTO warning archive; port-side/anchorage/near-port classification applied analytically.</x:v>
      </x:c>
      <x:c r="Y275" s="42" t="str">
        <x:v>High</x:v>
      </x:c>
      <x:c r="Z275" s="42" t="str">
        <x:v>High</x:v>
      </x:c>
      <x:c r="AA275" s="42" t="str">
        <x:v>UKMTO Warning 067-26 (uploaded PDF: 20260611-UKMTO_WARNING_067-26.pdf)</x:v>
      </x:c>
      <x:c r="AB275" s="42" t="str">
        <x:v>Needs canonical event resolution</x:v>
      </x:c>
      <x:c r="AC275" s="42" t="str">
        <x:v>Operator / authority: UKMTO / local maritime authorities; Status: UKMTO warning; latest update incorporated where supplied</x:v>
      </x:c>
    </x:row>
    <x:row r="276">
      <x:c r="A276" s="42" t="str">
        <x:v>OBS_000275</x:v>
      </x:c>
      <x:c r="B276" s="42" t="str"/>
      <x:c r="C276" s="42" t="str">
        <x:v>port_incidents_2026</x:v>
      </x:c>
      <x:c r="D276" s="42" t="str">
        <x:v>44</x:v>
      </x:c>
      <x:c r="E276" s="42" t="str">
        <x:v>2026-07-19</x:v>
      </x:c>
      <x:c r="F276" s="42" t="str">
        <x:v>Conflict / Security</x:v>
      </x:c>
      <x:c r="G276" s="42" t="str">
        <x:v>War / Conflict</x:v>
      </x:c>
      <x:c r="H276" s="42" t="str">
        <x:v>Projectile strike</x:v>
      </x:c>
      <x:c r="I276" s="42" t="str">
        <x:v>Port / Terminal</x:v>
      </x:c>
      <x:c r="J276" s="42" t="str">
        <x:v>Middle East</x:v>
      </x:c>
      <x:c r="K276" s="42" t="str">
        <x:v>UAE</x:v>
      </x:c>
      <x:c r="L276" s="42" t="str">
        <x:v>Dibba approaches</x:v>
      </x:c>
      <x:c r="M276" s="42" t="str"/>
      <x:c r="N276" s="42" t="str"/>
      <x:c r="O276" s="42" t="str">
        <x:v>UKMTO-reported merchant vessel</x:v>
      </x:c>
      <x:c r="P276" s="42" t="str"/>
      <x:c r="Q276" s="42" t="str">
        <x:v>Port / terminal / vessel</x:v>
      </x:c>
      <x:c r="R276" s="42" t="str">
        <x:v>Conflict / maritime security attack</x:v>
      </x:c>
      <x:c r="S276" s="42" t="str">
        <x:v>UKMTO has received a report of an incident 17NM east of Dibba, United Arab Emirates. The Master of a vessel reports being struck by an unknown projectile causing damage to the steering gear. All the crew are reported as safe. There is no environmental impact. Authorities are investigating.</x:v>
      </x:c>
      <x:c r="T276" s="42" t="str">
        <x:v>See UKMTO warning; no environmental impact recorded where explicitly stated</x:v>
      </x:c>
      <x:c r="U276" s="42" t="str"/>
      <x:c r="V276" s="42" t="str"/>
      <x:c r="W276" s="42" t="str">
        <x:v>Port/approach risk; vessel-level operational effect varies by warning</x:v>
      </x:c>
      <x:c r="X276" s="42" t="str">
        <x:v>Added from user-supplied UKMTO warning archive; port-side/anchorage/near-port classification applied analytically.</x:v>
      </x:c>
      <x:c r="Y276" s="42" t="str">
        <x:v>High</x:v>
      </x:c>
      <x:c r="Z276" s="42" t="str">
        <x:v>High</x:v>
      </x:c>
      <x:c r="AA276" s="42" t="str">
        <x:v>UKMTO Warning 093-26 (uploaded PDF: 20260720-UKMTO_WARNING_093_26.pdf)</x:v>
      </x:c>
      <x:c r="AB276" s="42" t="str">
        <x:v>Needs canonical event resolution</x:v>
      </x:c>
      <x:c r="AC276" s="42" t="str">
        <x:v>Operator / authority: UKMTO / local maritime authorities; Status: UKMTO warning; latest update incorporated where supplied</x:v>
      </x:c>
    </x:row>
    <x:row r="277">
      <x:c r="A277" s="42" t="str">
        <x:v>OBS_000276</x:v>
      </x:c>
      <x:c r="B277" s="42" t="str"/>
      <x:c r="C277" s="42" t="str">
        <x:v>recaap_incidents_2024_2026</x:v>
      </x:c>
      <x:c r="D277" s="42" t="str">
        <x:v>2026-1</x:v>
      </x:c>
      <x:c r="E277" s="42" t="str">
        <x:v>2026-08-24</x:v>
      </x:c>
      <x:c r="F277" s="42" t="str">
        <x:v>Maritime Crime</x:v>
      </x:c>
      <x:c r="G277" s="42" t="str">
        <x:v>Robbery/ Theft</x:v>
      </x:c>
      <x:c r="H277" s="42" t="str">
        <x:v>4</x:v>
      </x:c>
      <x:c r="I277" s="42" t="str">
        <x:v>Maritime</x:v>
      </x:c>
      <x:c r="J277" s="42" t="str">
        <x:v>Indonesia (Ports/Anchorages)</x:v>
      </x:c>
      <x:c r="K277" s="42" t="str"/>
      <x:c r="L277" s="42" t="str">
        <x:v>Lubuk Gaung Port, Indonesia</x:v>
      </x:c>
      <x:c r="M277" s="42" t="str">
        <x:v>1.743333</x:v>
      </x:c>
      <x:c r="N277" s="42" t="str">
        <x:v>101.376667</x:v>
      </x:c>
      <x:c r="O277" s="42" t="str">
        <x:v>Juno Pacific</x:v>
      </x:c>
      <x:c r="P277" s="42" t="str"/>
      <x:c r="Q277" s="42" t="str">
        <x:v>BULK CARRIER</x:v>
      </x:c>
      <x:c r="R277" s="42" t="str"/>
      <x:c r="S277" s="42" t="str">
        <x:v>While the vessel was loading palm kernel shells at berth, the watch helmsman discovered two perpetrators rummaging through the spare parts room in the engine room. The watch helmsman immediately made an emergency call to the ship. The perpetrators fled towards the wheelhouse and jumped overboard from the stern deck upon being noticed. They escaped via a small boat waiting nearby. The crew then conducted a search on board. Some spare parts of the generator were stolen. The crew were not injured. The incident was reported to Polairud Marine Police. The Marine Police carried out information gathering on the ship.</x:v>
      </x:c>
      <x:c r="T277" s="42" t="str"/>
      <x:c r="U277" s="42" t="str"/>
      <x:c r="V277" s="42" t="str"/>
      <x:c r="W277" s="42" t="str">
        <x:v>At Berth</x:v>
      </x:c>
      <x:c r="X277" s="42" t="str"/>
      <x:c r="Y277" s="42" t="str"/>
      <x:c r="Z277" s="42" t="str"/>
      <x:c r="AA277" s="42" t="str">
        <x:v>https://www.recaap.org/alerts</x:v>
      </x:c>
      <x:c r="AB277" s="42" t="str">
        <x:v>Needs canonical event resolution</x:v>
      </x:c>
      <x:c r="AC277" s="42" t="str">
        <x:v>Flag: PANAMA</x:v>
      </x:c>
    </x:row>
    <x:row r="278">
      <x:c r="A278" s="42" t="str">
        <x:v>OBS_000277</x:v>
      </x:c>
      <x:c r="B278" s="42" t="str"/>
      <x:c r="C278" s="42" t="str">
        <x:v>recaap_incidents_2024_2026</x:v>
      </x:c>
      <x:c r="D278" s="42" t="str">
        <x:v>2026-2</x:v>
      </x:c>
      <x:c r="E278" s="42" t="str">
        <x:v>2026-08-23</x:v>
      </x:c>
      <x:c r="F278" s="42" t="str">
        <x:v>Maritime Crime</x:v>
      </x:c>
      <x:c r="G278" s="42" t="str">
        <x:v>Robbery/ Theft</x:v>
      </x:c>
      <x:c r="H278" s="42" t="str">
        <x:v>4</x:v>
      </x:c>
      <x:c r="I278" s="42" t="str">
        <x:v>Maritime</x:v>
      </x:c>
      <x:c r="J278" s="42" t="str">
        <x:v>Vietnam (Ports/Anchorages)</x:v>
      </x:c>
      <x:c r="K278" s="42" t="str"/>
      <x:c r="L278" s="42" t="str">
        <x:v>Southwest of Vung Tau Light house, Anchorage H13, Vietnam</x:v>
      </x:c>
      <x:c r="M278" s="42" t="str">
        <x:v>10.2835</x:v>
      </x:c>
      <x:c r="N278" s="42" t="str">
        <x:v>107.039</x:v>
      </x:c>
      <x:c r="O278" s="42" t="str">
        <x:v>YM Pioneer</x:v>
      </x:c>
      <x:c r="P278" s="42" t="str"/>
      <x:c r="Q278" s="42" t="str">
        <x:v>BULK CARRIER</x:v>
      </x:c>
      <x:c r="R278" s="42" t="str"/>
      <x:c r="S278" s="42" t="str">
        <x:v>At Anchor While at anchor, at least one perpetrator boarded the ship through freeboard on port bow and went to the paint store at forecastle. A thorough search was conducted on board. 75 cans of paints and a set of cables for welding machines were stolen. The crew were not injured. The incident was reported to the local agent and Vung Tau Border Defence Force.</x:v>
      </x:c>
      <x:c r="T278" s="42" t="str"/>
      <x:c r="U278" s="42" t="str"/>
      <x:c r="V278" s="42" t="str"/>
      <x:c r="W278" s="42" t="str"/>
      <x:c r="X278" s="42" t="str"/>
      <x:c r="Y278" s="42" t="str"/>
      <x:c r="Z278" s="42" t="str"/>
      <x:c r="AA278" s="42" t="str">
        <x:v>https://www.recaap.org/alerts</x:v>
      </x:c>
      <x:c r="AB278" s="42" t="str">
        <x:v>Needs canonical event resolution</x:v>
      </x:c>
      <x:c r="AC278" s="42" t="str">
        <x:v>Flag: LIBERIA</x:v>
      </x:c>
    </x:row>
    <x:row r="279">
      <x:c r="A279" s="42" t="str">
        <x:v>OBS_000278</x:v>
      </x:c>
      <x:c r="B279" s="42" t="str"/>
      <x:c r="C279" s="42" t="str">
        <x:v>recaap_incidents_2024_2026</x:v>
      </x:c>
      <x:c r="D279" s="42" t="str">
        <x:v>2026-3</x:v>
      </x:c>
      <x:c r="E279" s="42" t="str">
        <x:v>2026-08-10</x:v>
      </x:c>
      <x:c r="F279" s="42" t="str">
        <x:v>Maritime Crime</x:v>
      </x:c>
      <x:c r="G279" s="42" t="str">
        <x:v>Robbery/ Theft</x:v>
      </x:c>
      <x:c r="H279" s="42" t="str">
        <x:v>4</x:v>
      </x:c>
      <x:c r="I279" s="42" t="str">
        <x:v>Maritime</x:v>
      </x:c>
      <x:c r="J279" s="42" t="str">
        <x:v>Bangladesh (Ports/Anchorages)</x:v>
      </x:c>
      <x:c r="K279" s="42" t="str"/>
      <x:c r="L279" s="42" t="str">
        <x:v>Chittagong Port, Bangladesh</x:v>
      </x:c>
      <x:c r="M279" s="42" t="str">
        <x:v>22.272667</x:v>
      </x:c>
      <x:c r="N279" s="42" t="str">
        <x:v>91.807833</x:v>
      </x:c>
      <x:c r="O279" s="42" t="str">
        <x:v>Hafnia Raven</x:v>
      </x:c>
      <x:c r="P279" s="42" t="str"/>
      <x:c r="Q279" s="42" t="str">
        <x:v>OIL / CHEMICAL TANKER</x:v>
      </x:c>
      <x:c r="R279" s="42" t="str"/>
      <x:c r="S279" s="42" t="str">
        <x:v>While berthed, the vessel’s shore security watchman and duty crew detected three to four perpetrators near the port- side midship store. The alarm was immediately raised, alerting the crew and security personnel. Upon activation of the ship’s alarm, the perpetrators escaped. A search was conducted and ship stores, including an emergency hydraulic hand pump, hydraulic blowers and spare PV valves, were stolen from the midship store. Investigation revealed the perpetrators gained access to the vessel from the seaside using hooks and ropes, and subsequently forced entry into the locked midship store. The crew was not injured. The Bangladesh Coast Guard (BCG) subsequently boarded the vessel to conduct further investigation.</x:v>
      </x:c>
      <x:c r="T279" s="42" t="str"/>
      <x:c r="U279" s="42" t="str"/>
      <x:c r="V279" s="42" t="str"/>
      <x:c r="W279" s="42" t="str">
        <x:v>At Berth</x:v>
      </x:c>
      <x:c r="X279" s="42" t="str"/>
      <x:c r="Y279" s="42" t="str"/>
      <x:c r="Z279" s="42" t="str"/>
      <x:c r="AA279" s="42" t="str">
        <x:v>https://www.recaap.org/alerts</x:v>
      </x:c>
      <x:c r="AB279" s="42" t="str">
        <x:v>Needs canonical event resolution</x:v>
      </x:c>
      <x:c r="AC279" s="42" t="str">
        <x:v>Flag: SINGAPORE</x:v>
      </x:c>
    </x:row>
    <x:row r="280">
      <x:c r="A280" s="42" t="str">
        <x:v>OBS_000279</x:v>
      </x:c>
      <x:c r="B280" s="42" t="str"/>
      <x:c r="C280" s="42" t="str">
        <x:v>recaap_incidents_2024_2026</x:v>
      </x:c>
      <x:c r="D280" s="42" t="str">
        <x:v>2026-4</x:v>
      </x:c>
      <x:c r="E280" s="42" t="str">
        <x:v>2026-07-07</x:v>
      </x:c>
      <x:c r="F280" s="42" t="str">
        <x:v>Maritime Crime</x:v>
      </x:c>
      <x:c r="G280" s="42" t="str">
        <x:v>Robbery/ Theft</x:v>
      </x:c>
      <x:c r="H280" s="42" t="str">
        <x:v>4</x:v>
      </x:c>
      <x:c r="I280" s="42" t="str">
        <x:v>Maritime</x:v>
      </x:c>
      <x:c r="J280" s="42" t="str">
        <x:v>Indonesia (Ports/Anchorages)</x:v>
      </x:c>
      <x:c r="K280" s="42" t="str"/>
      <x:c r="L280" s="42" t="str">
        <x:v>Jakarta Anchorage Zone E, Indonesia</x:v>
      </x:c>
      <x:c r="M280" s="42" t="str">
        <x:v>-6.016667</x:v>
      </x:c>
      <x:c r="N280" s="42" t="str">
        <x:v>106.925</x:v>
      </x:c>
      <x:c r="O280" s="42" t="str">
        <x:v>Columbia River</x:v>
      </x:c>
      <x:c r="P280" s="42" t="str"/>
      <x:c r="Q280" s="42" t="str">
        <x:v>BULK CARRIER</x:v>
      </x:c>
      <x:c r="R280" s="42" t="str"/>
      <x:c r="S280" s="42" t="str">
        <x:v>At Anchor While anchored, two perpetrators wearing T-shirts and shorts boarded the ship from a small boat using a rope and hook via the poop deck port quarter. The alarm was raised and the perpetrators escaped with stolen engine store spares. The crew was not injured.</x:v>
      </x:c>
      <x:c r="T280" s="42" t="str"/>
      <x:c r="U280" s="42" t="str"/>
      <x:c r="V280" s="42" t="str"/>
      <x:c r="W280" s="42" t="str"/>
      <x:c r="X280" s="42" t="str"/>
      <x:c r="Y280" s="42" t="str"/>
      <x:c r="Z280" s="42" t="str"/>
      <x:c r="AA280" s="42" t="str">
        <x:v>https://www.recaap.org/alerts</x:v>
      </x:c>
      <x:c r="AB280" s="42" t="str">
        <x:v>Needs canonical event resolution</x:v>
      </x:c>
      <x:c r="AC280" s="42" t="str">
        <x:v>Flag: HONG KONG, CHINA</x:v>
      </x:c>
    </x:row>
    <x:row r="281">
      <x:c r="A281" s="42" t="str">
        <x:v>OBS_000280</x:v>
      </x:c>
      <x:c r="B281" s="42" t="str"/>
      <x:c r="C281" s="42" t="str">
        <x:v>recaap_incidents_2024_2026</x:v>
      </x:c>
      <x:c r="D281" s="42" t="str">
        <x:v>2026-5</x:v>
      </x:c>
      <x:c r="E281" s="42" t="str">
        <x:v>2026-07-05</x:v>
      </x:c>
      <x:c r="F281" s="42" t="str">
        <x:v>Maritime Crime</x:v>
      </x:c>
      <x:c r="G281" s="42" t="str">
        <x:v>Robbery/ Theft</x:v>
      </x:c>
      <x:c r="H281" s="42" t="str">
        <x:v>4</x:v>
      </x:c>
      <x:c r="I281" s="42" t="str">
        <x:v>Maritime</x:v>
      </x:c>
      <x:c r="J281" s="42" t="str">
        <x:v>Straits of Malacca &amp; Singapore</x:v>
      </x:c>
      <x:c r="K281" s="42" t="str"/>
      <x:c r="L281" s="42" t="str">
        <x:v>Malacca Strait</x:v>
      </x:c>
      <x:c r="M281" s="42" t="str">
        <x:v>1.196667</x:v>
      </x:c>
      <x:c r="N281" s="42" t="str">
        <x:v>103.418333</x:v>
      </x:c>
      <x:c r="O281" s="42" t="str">
        <x:v>PM Crown</x:v>
      </x:c>
      <x:c r="P281" s="42" t="str"/>
      <x:c r="Q281" s="42" t="str">
        <x:v>TANKER</x:v>
      </x:c>
      <x:c r="R281" s="42" t="str"/>
      <x:c r="S281" s="42" t="str">
        <x:v>While the vessel was transiting the Malacca Strait prior to its arrival in Singapore, the third Engineer discovered that the spare store had been disturbed and immediately reported the incident to the Chief Engineer. A subsequent inventory check confirmed that two turbocharger service kits, two main bearing metal assemblies, one crankpin bearing metal, and one piston ring set were missing. All crew members were accounted for and safe. The incident was reported to the flag State.</x:v>
      </x:c>
      <x:c r="T281" s="42" t="str"/>
      <x:c r="U281" s="42" t="str"/>
      <x:c r="V281" s="42" t="str"/>
      <x:c r="W281" s="42" t="str">
        <x:v>While Sailing</x:v>
      </x:c>
      <x:c r="X281" s="42" t="str"/>
      <x:c r="Y281" s="42" t="str"/>
      <x:c r="Z281" s="42" t="str"/>
      <x:c r="AA281" s="42" t="str">
        <x:v>https://www.recaap.org/alerts</x:v>
      </x:c>
      <x:c r="AB281" s="42" t="str">
        <x:v>Needs canonical event resolution</x:v>
      </x:c>
      <x:c r="AC281" s="42" t="str">
        <x:v>Flag: SINGAPORE</x:v>
      </x:c>
    </x:row>
    <x:row r="282">
      <x:c r="A282" s="42" t="str">
        <x:v>OBS_000281</x:v>
      </x:c>
      <x:c r="B282" s="42" t="str"/>
      <x:c r="C282" s="42" t="str">
        <x:v>recaap_incidents_2024_2026</x:v>
      </x:c>
      <x:c r="D282" s="42" t="str">
        <x:v>2026-6</x:v>
      </x:c>
      <x:c r="E282" s="42" t="str">
        <x:v>2026-06-30</x:v>
      </x:c>
      <x:c r="F282" s="42" t="str">
        <x:v>Maritime Crime</x:v>
      </x:c>
      <x:c r="G282" s="42" t="str">
        <x:v>Robbery/ Theft</x:v>
      </x:c>
      <x:c r="H282" s="42" t="str">
        <x:v>4</x:v>
      </x:c>
      <x:c r="I282" s="42" t="str">
        <x:v>Maritime</x:v>
      </x:c>
      <x:c r="J282" s="42" t="str">
        <x:v>Indonesia (Ports/Anchorages)</x:v>
      </x:c>
      <x:c r="K282" s="42" t="str"/>
      <x:c r="L282" s="42" t="str">
        <x:v>Bahodopi Anchorage, Indonesia</x:v>
      </x:c>
      <x:c r="M282" s="42" t="str">
        <x:v>-2.014167</x:v>
      </x:c>
      <x:c r="N282" s="42" t="str">
        <x:v>122.003667</x:v>
      </x:c>
      <x:c r="O282" s="42" t="str">
        <x:v>Southern Hawk</x:v>
      </x:c>
      <x:c r="P282" s="42" t="str"/>
      <x:c r="Q282" s="42" t="str">
        <x:v>BULK CARRIER</x:v>
      </x:c>
      <x:c r="R282" s="42" t="str"/>
      <x:c r="S282" s="42" t="str">
        <x:v>At Anchor While anchored, during routine safety rounds, the duty AB discovered that perpetrators boarded the vessel. The crew conducted a thorough search of the vessel. However, no perpetrators were found onboard. Subsequent onboard checks revealed that several items were stolen from the bosun store, including a brass bell, electrical wires and cables, butterfly nuts, stools, a chain locker sounding cap, a sounding pipe, and a hydraulic oil refilling cap. All crew members were safe and accounted for. The Master reported the incident through the local agent to the local Port Authority.</x:v>
      </x:c>
      <x:c r="T282" s="42" t="str"/>
      <x:c r="U282" s="42" t="str"/>
      <x:c r="V282" s="42" t="str"/>
      <x:c r="W282" s="42" t="str"/>
      <x:c r="X282" s="42" t="str"/>
      <x:c r="Y282" s="42" t="str"/>
      <x:c r="Z282" s="42" t="str"/>
      <x:c r="AA282" s="42" t="str">
        <x:v>https://www.recaap.org/alerts</x:v>
      </x:c>
      <x:c r="AB282" s="42" t="str">
        <x:v>Needs canonical event resolution</x:v>
      </x:c>
      <x:c r="AC282" s="42" t="str">
        <x:v>Flag: SINGAPORE</x:v>
      </x:c>
    </x:row>
    <x:row r="283">
      <x:c r="A283" s="42" t="str">
        <x:v>OBS_000282</x:v>
      </x:c>
      <x:c r="B283" s="42" t="str"/>
      <x:c r="C283" s="42" t="str">
        <x:v>recaap_incidents_2024_2026</x:v>
      </x:c>
      <x:c r="D283" s="42" t="str">
        <x:v>2026-7</x:v>
      </x:c>
      <x:c r="E283" s="42" t="str">
        <x:v>2026-06-29</x:v>
      </x:c>
      <x:c r="F283" s="42" t="str">
        <x:v>Maritime Crime</x:v>
      </x:c>
      <x:c r="G283" s="42" t="str">
        <x:v>Robbery/ Theft</x:v>
      </x:c>
      <x:c r="H283" s="42" t="str">
        <x:v>4</x:v>
      </x:c>
      <x:c r="I283" s="42" t="str">
        <x:v>Maritime</x:v>
      </x:c>
      <x:c r="J283" s="42" t="str">
        <x:v>Bangladesh (Ports/Anchorages)</x:v>
      </x:c>
      <x:c r="K283" s="42" t="str"/>
      <x:c r="L283" s="42" t="str">
        <x:v>Charlie Anchorage, Chittagong Port Area, Bangladesh</x:v>
      </x:c>
      <x:c r="M283" s="42" t="str">
        <x:v>22.1795</x:v>
      </x:c>
      <x:c r="N283" s="42" t="str">
        <x:v>91.781667</x:v>
      </x:c>
      <x:c r="O283" s="42" t="str">
        <x:v>Hai Xu</x:v>
      </x:c>
      <x:c r="P283" s="42" t="str"/>
      <x:c r="Q283" s="42" t="str">
        <x:v>GENERAL CARGO SHIP</x:v>
      </x:c>
      <x:c r="R283" s="42" t="str"/>
      <x:c r="S283" s="42" t="str">
        <x:v>While underway, a group of perpetrators boarded the vessel and stole ship stores. As this was a vessel to be scrapped, there was no security staff or watchmen onboard. The ship's local agent informed BCG and Chittagong Port Authority. BCG sent a boarding party to the vessel and conducted an investigation onboard. BCG and River Police subsequently recovered and handed over the stolen items to concern authority and shipping agent.</x:v>
      </x:c>
      <x:c r="T283" s="42" t="str"/>
      <x:c r="U283" s="42" t="str"/>
      <x:c r="V283" s="42" t="str"/>
      <x:c r="W283" s="42" t="str">
        <x:v>While Sailing</x:v>
      </x:c>
      <x:c r="X283" s="42" t="str"/>
      <x:c r="Y283" s="42" t="str"/>
      <x:c r="Z283" s="42" t="str"/>
      <x:c r="AA283" s="42" t="str">
        <x:v>https://www.recaap.org/alerts</x:v>
      </x:c>
      <x:c r="AB283" s="42" t="str">
        <x:v>Needs canonical event resolution</x:v>
      </x:c>
      <x:c r="AC283" s="42" t="str">
        <x:v>Flag: SAO TOME &amp; PRINCIPE</x:v>
      </x:c>
    </x:row>
    <x:row r="284">
      <x:c r="A284" s="42" t="str">
        <x:v>OBS_000283</x:v>
      </x:c>
      <x:c r="B284" s="42" t="str"/>
      <x:c r="C284" s="42" t="str">
        <x:v>recaap_incidents_2024_2026</x:v>
      </x:c>
      <x:c r="D284" s="42" t="str">
        <x:v>2026-8</x:v>
      </x:c>
      <x:c r="E284" s="42" t="str">
        <x:v>2026-06-26</x:v>
      </x:c>
      <x:c r="F284" s="42" t="str">
        <x:v>Maritime Crime</x:v>
      </x:c>
      <x:c r="G284" s="42" t="str">
        <x:v>Robbery/ Theft</x:v>
      </x:c>
      <x:c r="H284" s="42" t="str">
        <x:v>3</x:v>
      </x:c>
      <x:c r="I284" s="42" t="str">
        <x:v>Maritime</x:v>
      </x:c>
      <x:c r="J284" s="42" t="str">
        <x:v>Straits of Malacca &amp; Singapore</x:v>
      </x:c>
      <x:c r="K284" s="42" t="str"/>
      <x:c r="L284" s="42" t="str">
        <x:v>Approximately 9.7 nm off Pulau Iyu Kecil (Indonesia), in the eastbound lane of the Traffic Separation Scheme (TSS)</x:v>
      </x:c>
      <x:c r="M284" s="42" t="str">
        <x:v>1.1405</x:v>
      </x:c>
      <x:c r="N284" s="42" t="str">
        <x:v>103.505</x:v>
      </x:c>
      <x:c r="O284" s="42" t="str">
        <x:v>Maria D</x:v>
      </x:c>
      <x:c r="P284" s="42" t="str"/>
      <x:c r="Q284" s="42" t="str">
        <x:v>BULK CARRIER</x:v>
      </x:c>
      <x:c r="R284" s="42" t="str"/>
      <x:c r="S284" s="42" t="str">
        <x:v>While underway, five perpetrators armed with a knife and a in the engine room. Ship's gun-like object were sighted general alarm was activated, deck lights switched on and all crew mustered. A search was conducted with no further sighting of the perpetrators onboard. All crew were accounted for and were safe. Some engine spares were stolen. The incident was reported to Singapore Vessel Traffic Information System (VTIS). Safety broadcast on anti-piracy watch carried out to warn vessels to maintain a vigilant watch at all times in the Singapore Strait (SS). Republic of Singapore Navy (RSN) and Singapore Police Coast Guard (SPCG) were notified of the incident. SPCG boarded the vessel and conducted a security search. No perpetrators were found on board. Information was shared with the Indonesian authorities.</x:v>
      </x:c>
      <x:c r="T284" s="42" t="str"/>
      <x:c r="U284" s="42" t="str"/>
      <x:c r="V284" s="42" t="str"/>
      <x:c r="W284" s="42" t="str">
        <x:v>While Sailing</x:v>
      </x:c>
      <x:c r="X284" s="42" t="str"/>
      <x:c r="Y284" s="42" t="str"/>
      <x:c r="Z284" s="42" t="str"/>
      <x:c r="AA284" s="42" t="str">
        <x:v>https://www.recaap.org/alerts</x:v>
      </x:c>
      <x:c r="AB284" s="42" t="str">
        <x:v>Needs canonical event resolution</x:v>
      </x:c>
      <x:c r="AC284" s="42" t="str">
        <x:v>Flag: LIBERIA</x:v>
      </x:c>
    </x:row>
    <x:row r="285">
      <x:c r="A285" s="42" t="str">
        <x:v>OBS_000284</x:v>
      </x:c>
      <x:c r="B285" s="42" t="str"/>
      <x:c r="C285" s="42" t="str">
        <x:v>recaap_incidents_2024_2026</x:v>
      </x:c>
      <x:c r="D285" s="42" t="str">
        <x:v>2026-9</x:v>
      </x:c>
      <x:c r="E285" s="42" t="str">
        <x:v>2026-06-22</x:v>
      </x:c>
      <x:c r="F285" s="42" t="str">
        <x:v>Maritime Crime</x:v>
      </x:c>
      <x:c r="G285" s="42" t="str">
        <x:v>Robbery/ Theft</x:v>
      </x:c>
      <x:c r="H285" s="42" t="str">
        <x:v>2</x:v>
      </x:c>
      <x:c r="I285" s="42" t="str">
        <x:v>Maritime</x:v>
      </x:c>
      <x:c r="J285" s="42" t="str">
        <x:v>Indonesia (Ports/Anchorages)</x:v>
      </x:c>
      <x:c r="K285" s="42" t="str"/>
      <x:c r="L285" s="42" t="str">
        <x:v>Belawan Anchorage, Indonesia</x:v>
      </x:c>
      <x:c r="M285" s="42" t="str">
        <x:v>3.918333</x:v>
      </x:c>
      <x:c r="N285" s="42" t="str">
        <x:v>98.788333</x:v>
      </x:c>
      <x:c r="O285" s="42" t="str">
        <x:v>SDM Shenyang</x:v>
      </x:c>
      <x:c r="P285" s="42" t="str"/>
      <x:c r="Q285" s="42" t="str">
        <x:v>BULK CARRIER</x:v>
      </x:c>
      <x:c r="R285" s="42" t="str"/>
      <x:c r="S285" s="42" t="str">
        <x:v>At Anchor While anchored, the duty officer onboard noticed several small boats near the forward of the vessel and notified the bosun to check. After several minutes, on not receiving any response from the bosun, the duty officer raised the alarm. Crew mustered and proceeded to the forecastle where they saw the bosun tied up. Seven perpetrators carrying knives were also seen escaping from the forecastle store. On investigating, ship properties were reported as stolen. The incident was reported to Belawan VTS, Coast Guard and the local agent.</x:v>
      </x:c>
      <x:c r="T285" s="42" t="str"/>
      <x:c r="U285" s="42" t="str"/>
      <x:c r="V285" s="42" t="str"/>
      <x:c r="W285" s="42" t="str"/>
      <x:c r="X285" s="42" t="str"/>
      <x:c r="Y285" s="42" t="str"/>
      <x:c r="Z285" s="42" t="str"/>
      <x:c r="AA285" s="42" t="str">
        <x:v>https://www.recaap.org/alerts</x:v>
      </x:c>
      <x:c r="AB285" s="42" t="str">
        <x:v>Needs canonical event resolution</x:v>
      </x:c>
      <x:c r="AC285" s="42" t="str">
        <x:v>Flag: LIBERIA</x:v>
      </x:c>
    </x:row>
    <x:row r="286">
      <x:c r="A286" s="42" t="str">
        <x:v>OBS_000285</x:v>
      </x:c>
      <x:c r="B286" s="42" t="str"/>
      <x:c r="C286" s="42" t="str">
        <x:v>recaap_incidents_2024_2026</x:v>
      </x:c>
      <x:c r="D286" s="42" t="str">
        <x:v>2026-10</x:v>
      </x:c>
      <x:c r="E286" s="42" t="str">
        <x:v>2026-06-21</x:v>
      </x:c>
      <x:c r="F286" s="42" t="str">
        <x:v>Maritime Crime</x:v>
      </x:c>
      <x:c r="G286" s="42" t="str">
        <x:v>Robbery/ Theft</x:v>
      </x:c>
      <x:c r="H286" s="42" t="str">
        <x:v>4</x:v>
      </x:c>
      <x:c r="I286" s="42" t="str">
        <x:v>Maritime</x:v>
      </x:c>
      <x:c r="J286" s="42" t="str">
        <x:v>South China Sea</x:v>
      </x:c>
      <x:c r="K286" s="42" t="str"/>
      <x:c r="L286" s="42" t="str">
        <x:v>Approximately 25.4 nm off Pulau Bintan (Indonesia)</x:v>
      </x:c>
      <x:c r="M286" s="42" t="str">
        <x:v>1.506</x:v>
      </x:c>
      <x:c r="N286" s="42" t="str">
        <x:v>104.9015</x:v>
      </x:c>
      <x:c r="O286" s="42" t="str">
        <x:v>Jin Hwa 45 &amp; Jin Hwa 37</x:v>
      </x:c>
      <x:c r="P286" s="42" t="str"/>
      <x:c r="Q286" s="42" t="str">
        <x:v>TUG BOAT &amp; BARGE</x:v>
      </x:c>
      <x:c r="R286" s="42" t="str"/>
      <x:c r="S286" s="42" t="str">
        <x:v>While underway, the barge was boarded by three perpetrators. Four lashing wires, eight turn buckles, one solar light and 10 shovels were stolen. The crew on the tug boat were not injured.</x:v>
      </x:c>
      <x:c r="T286" s="42" t="str"/>
      <x:c r="U286" s="42" t="str"/>
      <x:c r="V286" s="42" t="str"/>
      <x:c r="W286" s="42" t="str">
        <x:v>While Sailing</x:v>
      </x:c>
      <x:c r="X286" s="42" t="str"/>
      <x:c r="Y286" s="42" t="str"/>
      <x:c r="Z286" s="42" t="str"/>
      <x:c r="AA286" s="42" t="str">
        <x:v>https://www.recaap.org/alerts</x:v>
      </x:c>
      <x:c r="AB286" s="42" t="str">
        <x:v>Needs canonical event resolution</x:v>
      </x:c>
      <x:c r="AC286" s="42" t="str">
        <x:v>Flag: MALAYSIA</x:v>
      </x:c>
    </x:row>
    <x:row r="287">
      <x:c r="A287" s="42" t="str">
        <x:v>OBS_000286</x:v>
      </x:c>
      <x:c r="B287" s="42" t="str"/>
      <x:c r="C287" s="42" t="str">
        <x:v>recaap_incidents_2024_2026</x:v>
      </x:c>
      <x:c r="D287" s="42" t="str">
        <x:v>2026-11</x:v>
      </x:c>
      <x:c r="E287" s="42" t="str">
        <x:v>2026-06-19</x:v>
      </x:c>
      <x:c r="F287" s="42" t="str">
        <x:v>Maritime Crime</x:v>
      </x:c>
      <x:c r="G287" s="42" t="str">
        <x:v>Robbery/ Theft</x:v>
      </x:c>
      <x:c r="H287" s="42" t="str">
        <x:v>3</x:v>
      </x:c>
      <x:c r="I287" s="42" t="str">
        <x:v>Maritime</x:v>
      </x:c>
      <x:c r="J287" s="42" t="str">
        <x:v>Philippines (Ports/Anchorages)</x:v>
      </x:c>
      <x:c r="K287" s="42" t="str"/>
      <x:c r="L287" s="42" t="str">
        <x:v>Manila International Container Terminal (MICT) Anchorage, Philippines</x:v>
      </x:c>
      <x:c r="M287" s="42" t="str">
        <x:v>14.609667</x:v>
      </x:c>
      <x:c r="N287" s="42" t="str">
        <x:v>120.816</x:v>
      </x:c>
      <x:c r="O287" s="42" t="str">
        <x:v>TS Pusan</x:v>
      </x:c>
      <x:c r="P287" s="42" t="str"/>
      <x:c r="Q287" s="42" t="str">
        <x:v>CONTAINER SHIP</x:v>
      </x:c>
      <x:c r="R287" s="42" t="str"/>
      <x:c r="S287" s="42" t="str">
        <x:v>anchored, four perpetrators armed with knives/bladed weapons boarded the vessel by climbing a rope attached to the forecastle area. Upon boarding, the perpetrators proceeded to the bosun store and forcibly opened the door. After the incident was discovered, the crew immediately secured the area and activated the alarm. Some ship property/stores were stolen. The incident was reported to Vessel Traffic Management System (VTMS) Manila and Coast Guard Station (CGS) Manila. Upon receiving the report, Coast Guard Sub-Station (CGSS) North Harbor and CGS Manila personnel, together with Investigation Detection Unit (IDU) personnel carried out investigation.</x:v>
      </x:c>
      <x:c r="T287" s="42" t="str"/>
      <x:c r="U287" s="42" t="str"/>
      <x:c r="V287" s="42" t="str"/>
      <x:c r="W287" s="42" t="str">
        <x:v>At Anchor While</x:v>
      </x:c>
      <x:c r="X287" s="42" t="str"/>
      <x:c r="Y287" s="42" t="str"/>
      <x:c r="Z287" s="42" t="str"/>
      <x:c r="AA287" s="42" t="str">
        <x:v>https://www.recaap.org/alerts</x:v>
      </x:c>
      <x:c r="AB287" s="42" t="str">
        <x:v>Needs canonical event resolution</x:v>
      </x:c>
      <x:c r="AC287" s="42" t="str">
        <x:v>Flag: MARSHALL ISLANDS</x:v>
      </x:c>
    </x:row>
    <x:row r="288">
      <x:c r="A288" s="42" t="str">
        <x:v>OBS_000287</x:v>
      </x:c>
      <x:c r="B288" s="42" t="str"/>
      <x:c r="C288" s="42" t="str">
        <x:v>recaap_incidents_2024_2026</x:v>
      </x:c>
      <x:c r="D288" s="42" t="str">
        <x:v>2026-12</x:v>
      </x:c>
      <x:c r="E288" s="42" t="str">
        <x:v>2026-06-13</x:v>
      </x:c>
      <x:c r="F288" s="42" t="str">
        <x:v>Maritime Crime</x:v>
      </x:c>
      <x:c r="G288" s="42" t="str">
        <x:v>Robbery/ Theft</x:v>
      </x:c>
      <x:c r="H288" s="42" t="str">
        <x:v>3</x:v>
      </x:c>
      <x:c r="I288" s="42" t="str">
        <x:v>Maritime</x:v>
      </x:c>
      <x:c r="J288" s="42" t="str">
        <x:v>Straits of Malacca &amp; Singapore</x:v>
      </x:c>
      <x:c r="K288" s="42" t="str"/>
      <x:c r="L288" s="42" t="str">
        <x:v>Approximately 3.2 nm off Pulau Cula (Indonesia), in the eastbound lane of the TSS</x:v>
      </x:c>
      <x:c r="M288" s="42" t="str">
        <x:v>1.090833</x:v>
      </x:c>
      <x:c r="N288" s="42" t="str">
        <x:v>103.731333</x:v>
      </x:c>
      <x:c r="O288" s="42" t="str">
        <x:v>Gul Bano</x:v>
      </x:c>
      <x:c r="P288" s="42" t="str"/>
      <x:c r="Q288" s="42" t="str">
        <x:v>BULK CARRIER</x:v>
      </x:c>
      <x:c r="R288" s="42" t="str"/>
      <x:c r="S288" s="42" t="str">
        <x:v>While underway, four perpetrators were sighted in the engine room. One of the perpetrators carried a gun-like object and three perpetrators were unarmed. The ship’s general alarm was activated, deck lights switched on and the crew was mustered. A search was conducted, with no further sighting of the perpetrators onboard. All crew members were accounted for and safe, with no injuries reported. Some further assistance was engine spares were missing. No required. The incident was reported to Singapore VTIS. Safety broadcast on anti-piracy watch was carried out to warn all vessels to maintain a vigilant watch at all times in the SS. The RSN and SPCG were notified of the incident. Information was shared with the Indonesian authorities. Upon arrival at Eastern Holding A Anchorage (AEHA), SPCG boarded the vessel and conducted a search onboard, with no perpetrators found.</x:v>
      </x:c>
      <x:c r="T288" s="42" t="str"/>
      <x:c r="U288" s="42" t="str"/>
      <x:c r="V288" s="42" t="str"/>
      <x:c r="W288" s="42" t="str">
        <x:v>While Sailing</x:v>
      </x:c>
      <x:c r="X288" s="42" t="str"/>
      <x:c r="Y288" s="42" t="str"/>
      <x:c r="Z288" s="42" t="str"/>
      <x:c r="AA288" s="42" t="str">
        <x:v>https://www.recaap.org/alerts</x:v>
      </x:c>
      <x:c r="AB288" s="42" t="str">
        <x:v>Needs canonical event resolution</x:v>
      </x:c>
      <x:c r="AC288" s="42" t="str">
        <x:v>Flag: BANGLADESH</x:v>
      </x:c>
    </x:row>
    <x:row r="289">
      <x:c r="A289" s="42" t="str">
        <x:v>OBS_000288</x:v>
      </x:c>
      <x:c r="B289" s="42" t="str"/>
      <x:c r="C289" s="42" t="str">
        <x:v>recaap_incidents_2024_2026</x:v>
      </x:c>
      <x:c r="D289" s="42" t="str">
        <x:v>2026-15</x:v>
      </x:c>
      <x:c r="E289" s="42" t="str">
        <x:v>2026-06-05</x:v>
      </x:c>
      <x:c r="F289" s="42" t="str">
        <x:v>Maritime Crime</x:v>
      </x:c>
      <x:c r="G289" s="42" t="str">
        <x:v>Robbery/ Theft</x:v>
      </x:c>
      <x:c r="H289" s="42" t="str">
        <x:v>4</x:v>
      </x:c>
      <x:c r="I289" s="42" t="str">
        <x:v>Maritime</x:v>
      </x:c>
      <x:c r="J289" s="42" t="str">
        <x:v>Straits of Malacca &amp; Singapore</x:v>
      </x:c>
      <x:c r="K289" s="42" t="str"/>
      <x:c r="L289" s="42" t="str">
        <x:v>Approximately 1.9 nm off Pulau Cula (Indonesia), in the eastbound lane of the TSS</x:v>
      </x:c>
      <x:c r="M289" s="42" t="str">
        <x:v>1.069333</x:v>
      </x:c>
      <x:c r="N289" s="42" t="str">
        <x:v>103.6985</x:v>
      </x:c>
      <x:c r="O289" s="42" t="str">
        <x:v>Xing Hai He</x:v>
      </x:c>
      <x:c r="P289" s="42" t="str"/>
      <x:c r="Q289" s="42" t="str">
        <x:v>BULK CARRIER</x:v>
      </x:c>
      <x:c r="R289" s="42" t="str"/>
      <x:c r="S289" s="42" t="str">
        <x:v>While underway, two unarmed perpetrators were sighted on deck by crew. The ship’s general alarm was activated, and all crew members were mustered and accounted for. The crew further was not injured and nothing was stolen. No assistance was required. The incident was reported to VTIS. Safety broadcast on anti- piracy watch was carried out to warn all vessels to maintain a vigilant watch at all times in the SS. The RSN and SPCG were notified of the incident. Information was shared with the Indonesian authority. Upon arrival at Pilot Eastern Boarding Ground B (PEBGB), SPCG boarded the vessel and conducted a search onboard, with no perpetrators found.</x:v>
      </x:c>
      <x:c r="T289" s="42" t="str"/>
      <x:c r="U289" s="42" t="str"/>
      <x:c r="V289" s="42" t="str"/>
      <x:c r="W289" s="42" t="str">
        <x:v>While Sailing</x:v>
      </x:c>
      <x:c r="X289" s="42" t="str"/>
      <x:c r="Y289" s="42" t="str"/>
      <x:c r="Z289" s="42" t="str"/>
      <x:c r="AA289" s="42" t="str">
        <x:v>https://www.recaap.org/alerts</x:v>
      </x:c>
      <x:c r="AB289" s="42" t="str">
        <x:v>Needs canonical event resolution</x:v>
      </x:c>
      <x:c r="AC289" s="42" t="str">
        <x:v>Flag: MARSHALL ISLANDS</x:v>
      </x:c>
    </x:row>
    <x:row r="290">
      <x:c r="A290" s="42" t="str">
        <x:v>OBS_000289</x:v>
      </x:c>
      <x:c r="B290" s="42" t="str"/>
      <x:c r="C290" s="42" t="str">
        <x:v>recaap_incidents_2024_2026</x:v>
      </x:c>
      <x:c r="D290" s="42" t="str">
        <x:v>2026-14</x:v>
      </x:c>
      <x:c r="E290" s="42" t="str">
        <x:v>2026-06-05</x:v>
      </x:c>
      <x:c r="F290" s="42" t="str">
        <x:v>Maritime Crime</x:v>
      </x:c>
      <x:c r="G290" s="42" t="str">
        <x:v>Robbery/ Theft</x:v>
      </x:c>
      <x:c r="H290" s="42" t="str">
        <x:v>3</x:v>
      </x:c>
      <x:c r="I290" s="42" t="str">
        <x:v>Maritime</x:v>
      </x:c>
      <x:c r="J290" s="42" t="str">
        <x:v>Straits of Malacca &amp; Singapore</x:v>
      </x:c>
      <x:c r="K290" s="42" t="str"/>
      <x:c r="L290" s="42" t="str">
        <x:v>Approximately 2.3 nm off Pulau Cula (Indonesia), in the eastbound lane of the TSS</x:v>
      </x:c>
      <x:c r="M290" s="42" t="str">
        <x:v>1.062167</x:v>
      </x:c>
      <x:c r="N290" s="42" t="str">
        <x:v>103.679667</x:v>
      </x:c>
      <x:c r="O290" s="42" t="str">
        <x:v>Star Luna</x:v>
      </x:c>
      <x:c r="P290" s="42" t="str"/>
      <x:c r="Q290" s="42" t="str">
        <x:v>BULK CARRIER</x:v>
      </x:c>
      <x:c r="R290" s="42" t="str"/>
      <x:c r="S290" s="42" t="str">
        <x:v>While underway, three perpetrators armed with knives and gun-like objects were sighted in the engine room. The ship's general alarm was activated and the crew mustered. A search was conducted, with no further sighting of the perpetrators onboard. All crew members were accounted for and safe. Some engine spares were missing. No further assistance was required. The incident was reported to Singapore VTIS. Safety broadcast on anti-piracy watch was carried out to warn all vessels to maintain a vigilant watch at all times in the SS. The RSN and SPCG were notified of the incident. Information was shared with the Indonesian authority. Upon arrival at AEHA, SPCG boarded the vessel and conducted a search onboard, with no perpetrators found.</x:v>
      </x:c>
      <x:c r="T290" s="42" t="str"/>
      <x:c r="U290" s="42" t="str"/>
      <x:c r="V290" s="42" t="str"/>
      <x:c r="W290" s="42" t="str">
        <x:v>While Sailing</x:v>
      </x:c>
      <x:c r="X290" s="42" t="str"/>
      <x:c r="Y290" s="42" t="str"/>
      <x:c r="Z290" s="42" t="str"/>
      <x:c r="AA290" s="42" t="str">
        <x:v>https://www.recaap.org/alerts</x:v>
      </x:c>
      <x:c r="AB290" s="42" t="str">
        <x:v>Needs canonical event resolution</x:v>
      </x:c>
      <x:c r="AC290" s="42" t="str">
        <x:v>Flag: MARSHALL ISLANDS</x:v>
      </x:c>
    </x:row>
    <x:row r="291">
      <x:c r="A291" s="42" t="str">
        <x:v>OBS_000290</x:v>
      </x:c>
      <x:c r="B291" s="42" t="str"/>
      <x:c r="C291" s="42" t="str">
        <x:v>recaap_incidents_2024_2026</x:v>
      </x:c>
      <x:c r="D291" s="42" t="str">
        <x:v>2026-16</x:v>
      </x:c>
      <x:c r="E291" s="42" t="str">
        <x:v>2026-06-04</x:v>
      </x:c>
      <x:c r="F291" s="42" t="str">
        <x:v>Maritime Crime</x:v>
      </x:c>
      <x:c r="G291" s="42" t="str">
        <x:v>Robbery/ Theft</x:v>
      </x:c>
      <x:c r="H291" s="42" t="str">
        <x:v>2</x:v>
      </x:c>
      <x:c r="I291" s="42" t="str">
        <x:v>Maritime</x:v>
      </x:c>
      <x:c r="J291" s="42" t="str">
        <x:v>Philippines (Ports/Anchorages)</x:v>
      </x:c>
      <x:c r="K291" s="42" t="str"/>
      <x:c r="L291" s="42" t="str">
        <x:v>MICT Anchorage, Philippines</x:v>
      </x:c>
      <x:c r="M291" s="42" t="str">
        <x:v>14.609667</x:v>
      </x:c>
      <x:c r="N291" s="42" t="str">
        <x:v>120.816</x:v>
      </x:c>
      <x:c r="O291" s="42" t="str">
        <x:v>CMA CGM Valparaiso</x:v>
      </x:c>
      <x:c r="P291" s="42" t="str"/>
      <x:c r="Q291" s="42" t="str">
        <x:v>CONTAINER SHIP</x:v>
      </x:c>
      <x:c r="R291" s="42" t="str"/>
      <x:c r="S291" s="42" t="str">
        <x:v>At Anchor While at anchor, four perpetrators armed with guns and the ship knives were sighted onboard. Upon discovery, immediately reported to VTMS Corregidor and CGS Manila. The perpetrators disembarked via an unidentified motor banca. In response, CGS Manila immediately informed CGSS North Harbor to establish communication with the subject vessel. Despite several attempts, the station failed to get in touch with the vessel or the local agent for the exact location or other details pertaining to the perpetrators’ identity.</x:v>
      </x:c>
      <x:c r="T291" s="42" t="str"/>
      <x:c r="U291" s="42" t="str"/>
      <x:c r="V291" s="42" t="str"/>
      <x:c r="W291" s="42" t="str"/>
      <x:c r="X291" s="42" t="str"/>
      <x:c r="Y291" s="42" t="str"/>
      <x:c r="Z291" s="42" t="str"/>
      <x:c r="AA291" s="42" t="str">
        <x:v>https://www.recaap.org/alerts</x:v>
      </x:c>
      <x:c r="AB291" s="42" t="str">
        <x:v>Needs canonical event resolution</x:v>
      </x:c>
      <x:c r="AC291" s="42" t="str">
        <x:v>Flag: MALTA</x:v>
      </x:c>
    </x:row>
    <x:row r="292">
      <x:c r="A292" s="42" t="str">
        <x:v>OBS_000291</x:v>
      </x:c>
      <x:c r="B292" s="42" t="str"/>
      <x:c r="C292" s="42" t="str">
        <x:v>recaap_incidents_2024_2026</x:v>
      </x:c>
      <x:c r="D292" s="42" t="str">
        <x:v>2026-13</x:v>
      </x:c>
      <x:c r="E292" s="42" t="str">
        <x:v>2026-06-04</x:v>
      </x:c>
      <x:c r="F292" s="42" t="str">
        <x:v>Maritime Crime</x:v>
      </x:c>
      <x:c r="G292" s="42" t="str">
        <x:v>Robbery/ Theft</x:v>
      </x:c>
      <x:c r="H292" s="42" t="str">
        <x:v>2</x:v>
      </x:c>
      <x:c r="I292" s="42" t="str">
        <x:v>Maritime</x:v>
      </x:c>
      <x:c r="J292" s="42" t="str">
        <x:v>Philippines (Ports/Anchorages)</x:v>
      </x:c>
      <x:c r="K292" s="42" t="str"/>
      <x:c r="L292" s="42" t="str">
        <x:v>MICT Anchorage, Philippines</x:v>
      </x:c>
      <x:c r="M292" s="42" t="str">
        <x:v>14.609667</x:v>
      </x:c>
      <x:c r="N292" s="42" t="str">
        <x:v>120.816</x:v>
      </x:c>
      <x:c r="O292" s="42" t="str">
        <x:v>Teh Victory</x:v>
      </x:c>
      <x:c r="P292" s="42" t="str"/>
      <x:c r="Q292" s="42" t="str">
        <x:v>CONTAINER SHIP</x:v>
      </x:c>
      <x:c r="R292" s="42" t="str"/>
      <x:c r="S292" s="42" t="str">
        <x:v>At Anchor While at anchor, six perpetrators boarded the vessel via a small motor banca. Upon being discovered, one of the suspects displayed a firearm tucked at his waist and ordered the crew member to raise his hands. The crew, after being threatened, immediately fled to the bridge and reported the incident. Approximately 30 drums of 20L Paint, four pieces of copper screw from the cover of the Bosun Store and three copper fire hose nozzles were stolen. The VTMS Corregidor of Philippine Coast Guard (PCG) coordinated with CGSS North Harbor on the incident. Upon receiving the information, personnel of the substation immediately proceeded to CGSS Navotas to assist the IDU personnel conducting the investigation and communicating with the Master of the vessel.</x:v>
      </x:c>
      <x:c r="T292" s="42" t="str"/>
      <x:c r="U292" s="42" t="str"/>
      <x:c r="V292" s="42" t="str"/>
      <x:c r="W292" s="42" t="str"/>
      <x:c r="X292" s="42" t="str"/>
      <x:c r="Y292" s="42" t="str"/>
      <x:c r="Z292" s="42" t="str"/>
      <x:c r="AA292" s="42" t="str">
        <x:v>https://www.recaap.org/alerts</x:v>
      </x:c>
      <x:c r="AB292" s="42" t="str">
        <x:v>Needs canonical event resolution</x:v>
      </x:c>
      <x:c r="AC292" s="42" t="str">
        <x:v>Flag: MALTA</x:v>
      </x:c>
    </x:row>
    <x:row r="293">
      <x:c r="A293" s="42" t="str">
        <x:v>OBS_000292</x:v>
      </x:c>
      <x:c r="B293" s="42" t="str"/>
      <x:c r="C293" s="42" t="str">
        <x:v>recaap_incidents_2024_2026</x:v>
      </x:c>
      <x:c r="D293" s="42" t="str">
        <x:v>2026-17</x:v>
      </x:c>
      <x:c r="E293" s="42" t="str">
        <x:v>2026-05-13</x:v>
      </x:c>
      <x:c r="F293" s="42" t="str">
        <x:v>Maritime Crime</x:v>
      </x:c>
      <x:c r="G293" s="42" t="str">
        <x:v>Robbery/ Theft</x:v>
      </x:c>
      <x:c r="H293" s="42" t="str">
        <x:v>3</x:v>
      </x:c>
      <x:c r="I293" s="42" t="str">
        <x:v>Maritime</x:v>
      </x:c>
      <x:c r="J293" s="42" t="str">
        <x:v>Straits of Malacca &amp; Singapore</x:v>
      </x:c>
      <x:c r="K293" s="42" t="str"/>
      <x:c r="L293" s="42" t="str">
        <x:v>Approximately 5.3 nm off Pulau Cula (Indonesia), in the eastbound lane of the TSS</x:v>
      </x:c>
      <x:c r="M293" s="42" t="str">
        <x:v>1.0575</x:v>
      </x:c>
      <x:c r="N293" s="42" t="str">
        <x:v>103.625</x:v>
      </x:c>
      <x:c r="O293" s="42" t="str">
        <x:v>Broompark</x:v>
      </x:c>
      <x:c r="P293" s="42" t="str"/>
      <x:c r="Q293" s="42" t="str">
        <x:v>BULK CARRIER</x:v>
      </x:c>
      <x:c r="R293" s="42" t="str"/>
      <x:c r="S293" s="42" t="str">
        <x:v>While underway, a perpetrator with knife was sighted in the engine room workshop. The perpetrator attempted to threaten the engine room watchkeeping staff, who ran away and secured himself in the engine control room. The master was informed and the general alarm was activated. All crew mustered and a search was conducted, with no further sighting of the perpetrators. The crew members were not injured and nothing was stolen. No assistance was required and the vessel continued its voyage. The agent of vessel reported to Maritime and Port Authority of Singapore (MPA). Safety broadcast on anti-piracy watch was carried out to warn all vessels to maintain a vigilant watch at all times in the SS. The RSN’s Maritime Security Task Force (MSTF) and SPCG were notified of the incident. Information was shared with the Indonesian authorities.</x:v>
      </x:c>
      <x:c r="T293" s="42" t="str"/>
      <x:c r="U293" s="42" t="str"/>
      <x:c r="V293" s="42" t="str"/>
      <x:c r="W293" s="42" t="str">
        <x:v>While Sailing</x:v>
      </x:c>
      <x:c r="X293" s="42" t="str"/>
      <x:c r="Y293" s="42" t="str"/>
      <x:c r="Z293" s="42" t="str"/>
      <x:c r="AA293" s="42" t="str">
        <x:v>https://www.recaap.org/alerts</x:v>
      </x:c>
      <x:c r="AB293" s="42" t="str">
        <x:v>Needs canonical event resolution</x:v>
      </x:c>
      <x:c r="AC293" s="42" t="str">
        <x:v>Flag: UNITED KINGDOM</x:v>
      </x:c>
    </x:row>
    <x:row r="294">
      <x:c r="A294" s="42" t="str">
        <x:v>OBS_000293</x:v>
      </x:c>
      <x:c r="B294" s="42" t="str"/>
      <x:c r="C294" s="42" t="str">
        <x:v>recaap_incidents_2024_2026</x:v>
      </x:c>
      <x:c r="D294" s="42" t="str">
        <x:v>2026-18</x:v>
      </x:c>
      <x:c r="E294" s="42" t="str">
        <x:v>2026-05-07</x:v>
      </x:c>
      <x:c r="F294" s="42" t="str">
        <x:v>Maritime Crime</x:v>
      </x:c>
      <x:c r="G294" s="42" t="str">
        <x:v>Robbery/ Theft</x:v>
      </x:c>
      <x:c r="H294" s="42" t="str">
        <x:v>2</x:v>
      </x:c>
      <x:c r="I294" s="42" t="str">
        <x:v>Maritime</x:v>
      </x:c>
      <x:c r="J294" s="42" t="str">
        <x:v>Bangladesh (Ports/Anchorages)</x:v>
      </x:c>
      <x:c r="K294" s="42" t="str"/>
      <x:c r="L294" s="42" t="str">
        <x:v>Chittagong Outer Anchorage, Bangladesh</x:v>
      </x:c>
      <x:c r="M294" s="42" t="str">
        <x:v>21.8345</x:v>
      </x:c>
      <x:c r="N294" s="42" t="str">
        <x:v>91.741833</x:v>
      </x:c>
      <x:c r="O294" s="42" t="str">
        <x:v>CNC Neptune</x:v>
      </x:c>
      <x:c r="P294" s="42" t="str"/>
      <x:c r="Q294" s="42" t="str">
        <x:v>CONTAINER SHIP</x:v>
      </x:c>
      <x:c r="R294" s="42" t="str"/>
      <x:c r="S294" s="42" t="str">
        <x:v>At Anchor While at anchor, the deck watchmen observed eight to ten perpetrators armed with long knives boarding the starboard aft deck. One of the perpetrators advanced aggressively, forcing the watchmen to retreat to the port quarter who then raised the alarm. The officer of the Watch (OOW) immediately notified the Master and crew. The ship attempted to contact the Bangladesh Navy and Port Control but with no response. The OOW then observed the perpetrators fleeing from the starboard quarter in two long wooden boats. A subsequent search confirmed no perpetrators remained onboard, but 2900 litres of assorted paint were stolen. The crew were not injured. The incident has been reported to local authorities as well as MPA (flag State).</x:v>
      </x:c>
      <x:c r="T294" s="42" t="str"/>
      <x:c r="U294" s="42" t="str"/>
      <x:c r="V294" s="42" t="str"/>
      <x:c r="W294" s="42" t="str"/>
      <x:c r="X294" s="42" t="str"/>
      <x:c r="Y294" s="42" t="str"/>
      <x:c r="Z294" s="42" t="str"/>
      <x:c r="AA294" s="42" t="str">
        <x:v>https://www.recaap.org/alerts</x:v>
      </x:c>
      <x:c r="AB294" s="42" t="str">
        <x:v>Needs canonical event resolution</x:v>
      </x:c>
      <x:c r="AC294" s="42" t="str">
        <x:v>Flag: SINGAPORE</x:v>
      </x:c>
    </x:row>
    <x:row r="295">
      <x:c r="A295" s="42" t="str">
        <x:v>OBS_000294</x:v>
      </x:c>
      <x:c r="B295" s="42" t="str"/>
      <x:c r="C295" s="42" t="str">
        <x:v>recaap_incidents_2024_2026</x:v>
      </x:c>
      <x:c r="D295" s="42" t="str">
        <x:v>2026-19</x:v>
      </x:c>
      <x:c r="E295" s="42" t="str">
        <x:v>2026-04-26</x:v>
      </x:c>
      <x:c r="F295" s="42" t="str">
        <x:v>Maritime Crime</x:v>
      </x:c>
      <x:c r="G295" s="42" t="str">
        <x:v>Robbery/ Theft</x:v>
      </x:c>
      <x:c r="H295" s="42" t="str">
        <x:v>4</x:v>
      </x:c>
      <x:c r="I295" s="42" t="str">
        <x:v>Maritime</x:v>
      </x:c>
      <x:c r="J295" s="42" t="str">
        <x:v>Malaysia (Ports/Anchorages)</x:v>
      </x:c>
      <x:c r="K295" s="42" t="str"/>
      <x:c r="L295" s="42" t="str">
        <x:v>Sandakan Anchorage, Malaysia</x:v>
      </x:c>
      <x:c r="M295" s="42" t="str">
        <x:v>5.818333</x:v>
      </x:c>
      <x:c r="N295" s="42" t="str">
        <x:v>118.135</x:v>
      </x:c>
      <x:c r="O295" s="42" t="str">
        <x:v>CS Saker</x:v>
      </x:c>
      <x:c r="P295" s="42" t="str"/>
      <x:c r="Q295" s="42" t="str">
        <x:v>TANKER</x:v>
      </x:c>
      <x:c r="R295" s="42" t="str"/>
      <x:c r="S295" s="42" t="str">
        <x:v>At Anchor While at anchor, during a routine verification of hydro blower specifications for the enclosed-space equipment listing, the training Master was unable to locate the hydro blowers in the forecastle store. Subsequent checks with the crew confirmed that four hydro blowers, one pneumatic blower, one helicopter Rescue Equipment Box, and one coil of tiger rope were missing. The store lock was also found to have been broken. The crew were not injured and no assistance was required. A review of CCTV footage was inconclusive, as visibility was compromised by glare from the forecastle floodlight and forward tube lights. No intruders were captured on the recordings. The incident has been reported to the authorities by the local agent. The Superintendent of the ship also reported the incident to MPA (flag State).</x:v>
      </x:c>
      <x:c r="T295" s="42" t="str"/>
      <x:c r="U295" s="42" t="str"/>
      <x:c r="V295" s="42" t="str"/>
      <x:c r="W295" s="42" t="str"/>
      <x:c r="X295" s="42" t="str"/>
      <x:c r="Y295" s="42" t="str"/>
      <x:c r="Z295" s="42" t="str"/>
      <x:c r="AA295" s="42" t="str">
        <x:v>https://www.recaap.org/alerts</x:v>
      </x:c>
      <x:c r="AB295" s="42" t="str">
        <x:v>Needs canonical event resolution</x:v>
      </x:c>
      <x:c r="AC295" s="42" t="str">
        <x:v>Flag: SINGAPORE</x:v>
      </x:c>
    </x:row>
    <x:row r="296">
      <x:c r="A296" s="42" t="str">
        <x:v>OBS_000295</x:v>
      </x:c>
      <x:c r="B296" s="42" t="str"/>
      <x:c r="C296" s="42" t="str">
        <x:v>recaap_incidents_2024_2026</x:v>
      </x:c>
      <x:c r="D296" s="42" t="str">
        <x:v>2026-20</x:v>
      </x:c>
      <x:c r="E296" s="42" t="str">
        <x:v>2026-04-22</x:v>
      </x:c>
      <x:c r="F296" s="42" t="str">
        <x:v>Maritime Crime</x:v>
      </x:c>
      <x:c r="G296" s="42" t="str">
        <x:v>Robbery/ Theft</x:v>
      </x:c>
      <x:c r="H296" s="42" t="str">
        <x:v>3</x:v>
      </x:c>
      <x:c r="I296" s="42" t="str">
        <x:v>Maritime</x:v>
      </x:c>
      <x:c r="J296" s="42" t="str">
        <x:v>Straits of Malacca &amp; Singapore</x:v>
      </x:c>
      <x:c r="K296" s="42" t="str"/>
      <x:c r="L296" s="42" t="str">
        <x:v>Approximately 3.6 nm off Pulau Cula (Indonesia), in the eastbound lane of the TSS</x:v>
      </x:c>
      <x:c r="M296" s="42" t="str">
        <x:v>1.056667</x:v>
      </x:c>
      <x:c r="N296" s="42" t="str">
        <x:v>103.625</x:v>
      </x:c>
      <x:c r="O296" s="42" t="str">
        <x:v>Taipan</x:v>
      </x:c>
      <x:c r="P296" s="42" t="str"/>
      <x:c r="Q296" s="42" t="str">
        <x:v>TANKER</x:v>
      </x:c>
      <x:c r="R296" s="42" t="str"/>
      <x:c r="S296" s="42" t="str">
        <x:v>While underway, a crew member sighted four perpetrators with knives in the engine room. The ship’s general alarm was activated. All crew mustered and accounted for. A search was conducted with no further sighting of the perpetrators. The crew members were not injured and some engine spares were stolen. The incident was reported to Singapore Vessel Traffic Information System (VTIS). Safety broadcast on anti-piracy watch was carried out to warn all vessels to maintain a vigilant watch at all times in the Singapore Strait (SS). The RSN’s MSTF and SPCG were notified of the incident. Information was shared with the Indonesian authority.</x:v>
      </x:c>
      <x:c r="T296" s="42" t="str"/>
      <x:c r="U296" s="42" t="str"/>
      <x:c r="V296" s="42" t="str"/>
      <x:c r="W296" s="42" t="str">
        <x:v>While Sailing</x:v>
      </x:c>
      <x:c r="X296" s="42" t="str"/>
      <x:c r="Y296" s="42" t="str"/>
      <x:c r="Z296" s="42" t="str"/>
      <x:c r="AA296" s="42" t="str">
        <x:v>https://www.recaap.org/alerts</x:v>
      </x:c>
      <x:c r="AB296" s="42" t="str">
        <x:v>Needs canonical event resolution</x:v>
      </x:c>
      <x:c r="AC296" s="42" t="str">
        <x:v>Flag: MARSHALL ISLANDS</x:v>
      </x:c>
    </x:row>
    <x:row r="297">
      <x:c r="A297" s="42" t="str">
        <x:v>OBS_000296</x:v>
      </x:c>
      <x:c r="B297" s="42" t="str"/>
      <x:c r="C297" s="42" t="str">
        <x:v>recaap_incidents_2024_2026</x:v>
      </x:c>
      <x:c r="D297" s="42" t="str">
        <x:v>2026-23</x:v>
      </x:c>
      <x:c r="E297" s="42" t="str">
        <x:v>2026-04-20</x:v>
      </x:c>
      <x:c r="F297" s="42" t="str">
        <x:v>Maritime Crime</x:v>
      </x:c>
      <x:c r="G297" s="42" t="str">
        <x:v>Robbery/ Theft</x:v>
      </x:c>
      <x:c r="H297" s="42" t="str">
        <x:v>4</x:v>
      </x:c>
      <x:c r="I297" s="42" t="str">
        <x:v>Maritime</x:v>
      </x:c>
      <x:c r="J297" s="42" t="str">
        <x:v>Straits of Malacca &amp; Singapore</x:v>
      </x:c>
      <x:c r="K297" s="42" t="str"/>
      <x:c r="L297" s="42" t="str">
        <x:v>Approximately 6.3 nm off Pulau Cula (Indonesia), in the eastbound lane of the TSS</x:v>
      </x:c>
      <x:c r="M297" s="42" t="str">
        <x:v>1.069833</x:v>
      </x:c>
      <x:c r="N297" s="42" t="str">
        <x:v>103.611</x:v>
      </x:c>
      <x:c r="O297" s="42" t="str">
        <x:v>Aliado</x:v>
      </x:c>
      <x:c r="P297" s="42" t="str"/>
      <x:c r="Q297" s="42" t="str">
        <x:v>BULK CARRIER</x:v>
      </x:c>
      <x:c r="R297" s="42" t="str"/>
      <x:c r="S297" s="42" t="str">
        <x:v>While underway, one perpetrator was sighted in the engine room. The ship’s general alarm was activated. All crew mustered and accounted for. A search was conducted with no further sighting of the perpetrators. The crew members were not injured and nothing was stolen. The incident was reported to Singapore VTIS. Safety broadcast on anti-piracy watch was carried out to warn all vessels to maintain a vigilant watch at all times in the SS. The RSN and SPCG were notified of the incident. Information was shared with the Indonesian authority.</x:v>
      </x:c>
      <x:c r="T297" s="42" t="str"/>
      <x:c r="U297" s="42" t="str"/>
      <x:c r="V297" s="42" t="str"/>
      <x:c r="W297" s="42" t="str">
        <x:v>While Sailing</x:v>
      </x:c>
      <x:c r="X297" s="42" t="str"/>
      <x:c r="Y297" s="42" t="str"/>
      <x:c r="Z297" s="42" t="str"/>
      <x:c r="AA297" s="42" t="str">
        <x:v>https://www.recaap.org/alerts</x:v>
      </x:c>
      <x:c r="AB297" s="42" t="str">
        <x:v>Needs canonical event resolution</x:v>
      </x:c>
      <x:c r="AC297" s="42" t="str">
        <x:v>Flag: LIBERIA</x:v>
      </x:c>
    </x:row>
    <x:row r="298">
      <x:c r="A298" s="42" t="str">
        <x:v>OBS_000297</x:v>
      </x:c>
      <x:c r="B298" s="42" t="str"/>
      <x:c r="C298" s="42" t="str">
        <x:v>recaap_incidents_2024_2026</x:v>
      </x:c>
      <x:c r="D298" s="42" t="str">
        <x:v>2026-22</x:v>
      </x:c>
      <x:c r="E298" s="42" t="str">
        <x:v>2026-04-20</x:v>
      </x:c>
      <x:c r="F298" s="42" t="str">
        <x:v>Maritime Crime</x:v>
      </x:c>
      <x:c r="G298" s="42" t="str">
        <x:v>Robbery/ Theft</x:v>
      </x:c>
      <x:c r="H298" s="42" t="str">
        <x:v>4</x:v>
      </x:c>
      <x:c r="I298" s="42" t="str">
        <x:v>Maritime</x:v>
      </x:c>
      <x:c r="J298" s="42" t="str">
        <x:v>Straits of Malacca &amp; Singapore</x:v>
      </x:c>
      <x:c r="K298" s="42" t="str"/>
      <x:c r="L298" s="42" t="str">
        <x:v>In the precautionary area of the TSS</x:v>
      </x:c>
      <x:c r="M298" s="42" t="str">
        <x:v>1.291167</x:v>
      </x:c>
      <x:c r="N298" s="42" t="str">
        <x:v>104.156167</x:v>
      </x:c>
      <x:c r="O298" s="42" t="str">
        <x:v>HK Tug 3 &amp; LKH 9889</x:v>
      </x:c>
      <x:c r="P298" s="42" t="str"/>
      <x:c r="Q298" s="42" t="str">
        <x:v>TUG BOAT &amp; BARGE</x:v>
      </x:c>
      <x:c r="R298" s="42" t="str"/>
      <x:c r="S298" s="42" t="str">
        <x:v>While the tug boat towing barge was underway, the Chief Officer noticed a sampan and two perpetrators sighted onboard the barge. The perpetrators subsequently left the barge, and escaped in the sampan. Some scrap metals were stolen. The crew members were not injured. The vessels continued their voyage, with the master declaring that no assistance was required. The incident was reported to MPA (flag State). Singapore Port Operations Control Centre (POCC) confirmed that this information has been shared with the RSN’s MSTF, SPCG and Indonesian authority.</x:v>
      </x:c>
      <x:c r="T298" s="42" t="str"/>
      <x:c r="U298" s="42" t="str"/>
      <x:c r="V298" s="42" t="str"/>
      <x:c r="W298" s="42" t="str">
        <x:v>While Sailing</x:v>
      </x:c>
      <x:c r="X298" s="42" t="str"/>
      <x:c r="Y298" s="42" t="str"/>
      <x:c r="Z298" s="42" t="str"/>
      <x:c r="AA298" s="42" t="str">
        <x:v>https://www.recaap.org/alerts</x:v>
      </x:c>
      <x:c r="AB298" s="42" t="str">
        <x:v>Needs canonical event resolution</x:v>
      </x:c>
      <x:c r="AC298" s="42" t="str">
        <x:v>Flag: SINGAPORE</x:v>
      </x:c>
    </x:row>
    <x:row r="299">
      <x:c r="A299" s="42" t="str">
        <x:v>OBS_000298</x:v>
      </x:c>
      <x:c r="B299" s="42" t="str"/>
      <x:c r="C299" s="42" t="str">
        <x:v>recaap_incidents_2024_2026</x:v>
      </x:c>
      <x:c r="D299" s="42" t="str">
        <x:v>2026-21</x:v>
      </x:c>
      <x:c r="E299" s="42" t="str">
        <x:v>2026-04-20</x:v>
      </x:c>
      <x:c r="F299" s="42" t="str">
        <x:v>Maritime Crime</x:v>
      </x:c>
      <x:c r="G299" s="42" t="str">
        <x:v>Robbery/ Theft</x:v>
      </x:c>
      <x:c r="H299" s="42" t="str">
        <x:v>4</x:v>
      </x:c>
      <x:c r="I299" s="42" t="str">
        <x:v>Maritime</x:v>
      </x:c>
      <x:c r="J299" s="42" t="str">
        <x:v>Bangladesh (Ports/Anchorages)</x:v>
      </x:c>
      <x:c r="K299" s="42" t="str"/>
      <x:c r="L299" s="42" t="str">
        <x:v>Outer Anchorage B, near beaching area of Chittagong, Bangladesh</x:v>
      </x:c>
      <x:c r="M299" s="42" t="str">
        <x:v>22.355667</x:v>
      </x:c>
      <x:c r="N299" s="42" t="str">
        <x:v>91.697667</x:v>
      </x:c>
      <x:c r="O299" s="42" t="str">
        <x:v>Posh Eagle</x:v>
      </x:c>
      <x:c r="P299" s="42" t="str"/>
      <x:c r="Q299" s="42" t="str">
        <x:v>TUG BOAT</x:v>
      </x:c>
      <x:c r="R299" s="42" t="str"/>
      <x:c r="S299" s="42" t="str">
        <x:v>At Anchor While at anchor, the crew observed unauthorised persons on deck and alerted the bridge. The general alarm was sounded and all crew mustered. Upon detection, the perpetrators fled and jumped into a small boat. A thorough search was conducted. The paint store lock was damaged and 10 cans of paint were stolen. The crew members were not injured. The incident was reported to MPA (flag State).</x:v>
      </x:c>
      <x:c r="T299" s="42" t="str"/>
      <x:c r="U299" s="42" t="str"/>
      <x:c r="V299" s="42" t="str"/>
      <x:c r="W299" s="42" t="str"/>
      <x:c r="X299" s="42" t="str"/>
      <x:c r="Y299" s="42" t="str"/>
      <x:c r="Z299" s="42" t="str"/>
      <x:c r="AA299" s="42" t="str">
        <x:v>https://www.recaap.org/alerts</x:v>
      </x:c>
      <x:c r="AB299" s="42" t="str">
        <x:v>Needs canonical event resolution</x:v>
      </x:c>
      <x:c r="AC299" s="42" t="str">
        <x:v>Flag: SINGAPORE</x:v>
      </x:c>
    </x:row>
    <x:row r="300">
      <x:c r="A300" s="42" t="str">
        <x:v>OBS_000299</x:v>
      </x:c>
      <x:c r="B300" s="42" t="str"/>
      <x:c r="C300" s="42" t="str">
        <x:v>recaap_incidents_2024_2026</x:v>
      </x:c>
      <x:c r="D300" s="42" t="str">
        <x:v>2026-24</x:v>
      </x:c>
      <x:c r="E300" s="42" t="str">
        <x:v>2026-04-19</x:v>
      </x:c>
      <x:c r="F300" s="42" t="str">
        <x:v>Maritime Crime</x:v>
      </x:c>
      <x:c r="G300" s="42" t="str">
        <x:v>Robbery/ Theft</x:v>
      </x:c>
      <x:c r="H300" s="42" t="str">
        <x:v>4</x:v>
      </x:c>
      <x:c r="I300" s="42" t="str">
        <x:v>Maritime</x:v>
      </x:c>
      <x:c r="J300" s="42" t="str">
        <x:v>Straits of Malacca &amp; Singapore</x:v>
      </x:c>
      <x:c r="K300" s="42" t="str"/>
      <x:c r="L300" s="42" t="str">
        <x:v>Northeast of Pulau Karimun Besar (Indonesia), in the eastbound lane of the TSS</x:v>
      </x:c>
      <x:c r="M300" s="42" t="str">
        <x:v>1.137167</x:v>
      </x:c>
      <x:c r="N300" s="42" t="str">
        <x:v>103.477167</x:v>
      </x:c>
      <x:c r="O300" s="42" t="str">
        <x:v>MTT Tahan &amp; MTT Tioman</x:v>
      </x:c>
      <x:c r="P300" s="42" t="str"/>
      <x:c r="Q300" s="42" t="str">
        <x:v>TUG BOAT &amp; BARGE</x:v>
      </x:c>
      <x:c r="R300" s="42" t="str"/>
      <x:c r="S300" s="42" t="str">
        <x:v>While underway, the Master sighted two perpetrators boarding the barge. The perpetrators were not armed. The crew were not injured. Some mooring ropes and packed goods from the container were stolen, which include building materials and automotive products.</x:v>
      </x:c>
      <x:c r="T300" s="42" t="str"/>
      <x:c r="U300" s="42" t="str"/>
      <x:c r="V300" s="42" t="str"/>
      <x:c r="W300" s="42" t="str">
        <x:v>While Sailing</x:v>
      </x:c>
      <x:c r="X300" s="42" t="str"/>
      <x:c r="Y300" s="42" t="str"/>
      <x:c r="Z300" s="42" t="str"/>
      <x:c r="AA300" s="42" t="str">
        <x:v>https://www.recaap.org/alerts</x:v>
      </x:c>
      <x:c r="AB300" s="42" t="str">
        <x:v>Needs canonical event resolution</x:v>
      </x:c>
      <x:c r="AC300" s="42" t="str">
        <x:v>Flag: MALAYSIA</x:v>
      </x:c>
    </x:row>
    <x:row r="301">
      <x:c r="A301" s="42" t="str">
        <x:v>OBS_000300</x:v>
      </x:c>
      <x:c r="B301" s="42" t="str"/>
      <x:c r="C301" s="42" t="str">
        <x:v>recaap_incidents_2024_2026</x:v>
      </x:c>
      <x:c r="D301" s="42" t="str">
        <x:v>2026-25</x:v>
      </x:c>
      <x:c r="E301" s="42" t="str">
        <x:v>2026-04-17</x:v>
      </x:c>
      <x:c r="F301" s="42" t="str">
        <x:v>Maritime Crime</x:v>
      </x:c>
      <x:c r="G301" s="42" t="str">
        <x:v>Robbery/ Theft</x:v>
      </x:c>
      <x:c r="H301" s="42" t="str">
        <x:v>3</x:v>
      </x:c>
      <x:c r="I301" s="42" t="str">
        <x:v>Maritime</x:v>
      </x:c>
      <x:c r="J301" s="42" t="str">
        <x:v>Philippines (Ports/Anchorages)</x:v>
      </x:c>
      <x:c r="K301" s="42" t="str"/>
      <x:c r="L301" s="42" t="str">
        <x:v>Waters off Barangay Cuta, Batangas City, Philippines</x:v>
      </x:c>
      <x:c r="M301" s="42" t="str">
        <x:v>13.739667</x:v>
      </x:c>
      <x:c r="N301" s="42" t="str">
        <x:v>121.049</x:v>
      </x:c>
      <x:c r="O301" s="42" t="str">
        <x:v>Baleno Otso</x:v>
      </x:c>
      <x:c r="P301" s="42" t="str"/>
      <x:c r="Q301" s="42" t="str">
        <x:v>PASSENGER SHIP</x:v>
      </x:c>
      <x:c r="R301" s="42" t="str"/>
      <x:c r="S301" s="42" t="str">
        <x:v>At Anchor While grounded, five perpetrators carried knives boarded the vessel. The perpetrators threatened the crew while escaping. Some metal parts and generator wirings were stolen. One crew member promptly reported the incident to CGSS Batangas City when the perpetrators had already fled the vicinity. Upon receiving the report, CGSS Batangas City deployed personnel to render necessary assistance. All five perpetrators were arrested and sent to the station for investigation.</x:v>
      </x:c>
      <x:c r="T301" s="42" t="str"/>
      <x:c r="U301" s="42" t="str"/>
      <x:c r="V301" s="42" t="str"/>
      <x:c r="W301" s="42" t="str"/>
      <x:c r="X301" s="42" t="str"/>
      <x:c r="Y301" s="42" t="str"/>
      <x:c r="Z301" s="42" t="str"/>
      <x:c r="AA301" s="42" t="str">
        <x:v>https://www.recaap.org/alerts</x:v>
      </x:c>
      <x:c r="AB301" s="42" t="str">
        <x:v>Needs canonical event resolution</x:v>
      </x:c>
      <x:c r="AC301" s="42" t="str">
        <x:v>Flag: PHILIPPINES</x:v>
      </x:c>
    </x:row>
    <x:row r="302">
      <x:c r="A302" s="42" t="str">
        <x:v>OBS_000301</x:v>
      </x:c>
      <x:c r="B302" s="42" t="str"/>
      <x:c r="C302" s="42" t="str">
        <x:v>recaap_incidents_2024_2026</x:v>
      </x:c>
      <x:c r="D302" s="42" t="str">
        <x:v>2026-26</x:v>
      </x:c>
      <x:c r="E302" s="42" t="str">
        <x:v>2026-04-15</x:v>
      </x:c>
      <x:c r="F302" s="42" t="str">
        <x:v>Maritime Crime</x:v>
      </x:c>
      <x:c r="G302" s="42" t="str">
        <x:v>Robbery/ Theft</x:v>
      </x:c>
      <x:c r="H302" s="42" t="str">
        <x:v>4</x:v>
      </x:c>
      <x:c r="I302" s="42" t="str">
        <x:v>Maritime</x:v>
      </x:c>
      <x:c r="J302" s="42" t="str">
        <x:v>Indonesia (Ports/Anchorages)</x:v>
      </x:c>
      <x:c r="K302" s="42" t="str"/>
      <x:c r="L302" s="42" t="str">
        <x:v>Bahodopi Anchorage, Indonesia</x:v>
      </x:c>
      <x:c r="M302" s="42" t="str">
        <x:v>-2.786667</x:v>
      </x:c>
      <x:c r="N302" s="42" t="str">
        <x:v>122.156667</x:v>
      </x:c>
      <x:c r="O302" s="42" t="str">
        <x:v>King Milo</x:v>
      </x:c>
      <x:c r="P302" s="42" t="str"/>
      <x:c r="Q302" s="42" t="str">
        <x:v>BULK CARRIER</x:v>
      </x:c>
      <x:c r="R302" s="42" t="str"/>
      <x:c r="S302" s="42" t="str">
        <x:v>At Anchor While at anchor, the ship was boarded by the perpetrators. Some brass items such as fire hose coupling, nozzles, cargo light wires, ship’s bell and butterfly nuts inside the Bosun Store were stolen. The crew were not injured. The incident was reported to the National Search and Rescue Agency of the coastal State.</x:v>
      </x:c>
      <x:c r="T302" s="42" t="str"/>
      <x:c r="U302" s="42" t="str"/>
      <x:c r="V302" s="42" t="str"/>
      <x:c r="W302" s="42" t="str"/>
      <x:c r="X302" s="42" t="str"/>
      <x:c r="Y302" s="42" t="str"/>
      <x:c r="Z302" s="42" t="str"/>
      <x:c r="AA302" s="42" t="str">
        <x:v>https://www.recaap.org/alerts</x:v>
      </x:c>
      <x:c r="AB302" s="42" t="str">
        <x:v>Needs canonical event resolution</x:v>
      </x:c>
      <x:c r="AC302" s="42" t="str">
        <x:v>Flag: PANAMA</x:v>
      </x:c>
    </x:row>
    <x:row r="303">
      <x:c r="A303" s="42" t="str">
        <x:v>OBS_000302</x:v>
      </x:c>
      <x:c r="B303" s="42" t="str"/>
      <x:c r="C303" s="42" t="str">
        <x:v>recaap_incidents_2024_2026</x:v>
      </x:c>
      <x:c r="D303" s="42" t="str">
        <x:v>2026-27</x:v>
      </x:c>
      <x:c r="E303" s="42" t="str">
        <x:v>2026-04-13</x:v>
      </x:c>
      <x:c r="F303" s="42" t="str">
        <x:v>Maritime Crime</x:v>
      </x:c>
      <x:c r="G303" s="42" t="str">
        <x:v>Robbery/ Theft</x:v>
      </x:c>
      <x:c r="H303" s="42" t="str">
        <x:v>4</x:v>
      </x:c>
      <x:c r="I303" s="42" t="str">
        <x:v>Maritime</x:v>
      </x:c>
      <x:c r="J303" s="42" t="str">
        <x:v>Straits of Malacca &amp; Singapore</x:v>
      </x:c>
      <x:c r="K303" s="42" t="str"/>
      <x:c r="L303" s="42" t="str">
        <x:v>Approximately 3 nm off Pulau Nongsa (Indonesia), in the eastbound lane of the TSS</x:v>
      </x:c>
      <x:c r="M303" s="42" t="str">
        <x:v>1.255333</x:v>
      </x:c>
      <x:c r="N303" s="42" t="str">
        <x:v>104.088</x:v>
      </x:c>
      <x:c r="O303" s="42" t="str">
        <x:v>HK Tug 8 &amp; LKH 2882</x:v>
      </x:c>
      <x:c r="P303" s="42" t="str"/>
      <x:c r="Q303" s="42" t="str">
        <x:v>TUG BOAT &amp; BARGE</x:v>
      </x:c>
      <x:c r="R303" s="42" t="str"/>
      <x:c r="S303" s="42" t="str">
        <x:v>While underway, the Master observed a sampan alongside the barge, with approximately two perpetrators on board. The perpetrators subsequently escaped from the barge via the sampan. The perpetrators were not armed. The crew were not injured. Some scrap metals were stolen. The incident was reported to MPA (flag State).</x:v>
      </x:c>
      <x:c r="T303" s="42" t="str"/>
      <x:c r="U303" s="42" t="str"/>
      <x:c r="V303" s="42" t="str"/>
      <x:c r="W303" s="42" t="str">
        <x:v>While Sailing</x:v>
      </x:c>
      <x:c r="X303" s="42" t="str"/>
      <x:c r="Y303" s="42" t="str"/>
      <x:c r="Z303" s="42" t="str"/>
      <x:c r="AA303" s="42" t="str">
        <x:v>https://www.recaap.org/alerts</x:v>
      </x:c>
      <x:c r="AB303" s="42" t="str">
        <x:v>Needs canonical event resolution</x:v>
      </x:c>
      <x:c r="AC303" s="42" t="str">
        <x:v>Flag: SINGAPORE</x:v>
      </x:c>
    </x:row>
    <x:row r="304">
      <x:c r="A304" s="42" t="str">
        <x:v>OBS_000303</x:v>
      </x:c>
      <x:c r="B304" s="42" t="str"/>
      <x:c r="C304" s="42" t="str">
        <x:v>recaap_incidents_2024_2026</x:v>
      </x:c>
      <x:c r="D304" s="42" t="str">
        <x:v>2026-28</x:v>
      </x:c>
      <x:c r="E304" s="42" t="str">
        <x:v>2026-04-09</x:v>
      </x:c>
      <x:c r="F304" s="42" t="str">
        <x:v>Maritime Crime</x:v>
      </x:c>
      <x:c r="G304" s="42" t="str">
        <x:v>Robbery/ Theft</x:v>
      </x:c>
      <x:c r="H304" s="42" t="str">
        <x:v>3</x:v>
      </x:c>
      <x:c r="I304" s="42" t="str">
        <x:v>Maritime</x:v>
      </x:c>
      <x:c r="J304" s="42" t="str">
        <x:v>Straits of Malacca &amp; Singapore</x:v>
      </x:c>
      <x:c r="K304" s="42" t="str"/>
      <x:c r="L304" s="42" t="str">
        <x:v>Approximately 3 nm off Pulau Cula (Indonesia), in the eastbound lane of the TSS</x:v>
      </x:c>
      <x:c r="M304" s="42" t="str">
        <x:v>1.05</x:v>
      </x:c>
      <x:c r="N304" s="42" t="str">
        <x:v>103.661667</x:v>
      </x:c>
      <x:c r="O304" s="42" t="str">
        <x:v>Lowlands Island</x:v>
      </x:c>
      <x:c r="P304" s="42" t="str"/>
      <x:c r="Q304" s="42" t="str">
        <x:v>BULK CARRIER</x:v>
      </x:c>
      <x:c r="R304" s="42" t="str"/>
      <x:c r="S304" s="42" t="str">
        <x:v>While underway, four perpetrators were sighted in the engine room. One of the perpetrators carried a knife, and another perpetrator a gun-like object and knife. The ship's general alarm was activated and crew mustered. After conducting a search onboard, master confirmed there was no further sighting of the perpetrators and some engine spares were stolen. All crew members were accounted for, with no injuries reported. The incident was reported to Singapore VTIS. Safety broadcast on anti-piracy watch was carried out to warn all vessels to maintain a vigilant watch at all times in the SS. The RSN and SPCG were notified of the incident. Information was shared with the Indonesian authority. The SPCG boarded the ship for security checks at Singapore anchorage, with no perpetrators found onboard.</x:v>
      </x:c>
      <x:c r="T304" s="42" t="str"/>
      <x:c r="U304" s="42" t="str"/>
      <x:c r="V304" s="42" t="str"/>
      <x:c r="W304" s="42" t="str">
        <x:v>While Sailing</x:v>
      </x:c>
      <x:c r="X304" s="42" t="str"/>
      <x:c r="Y304" s="42" t="str"/>
      <x:c r="Z304" s="42" t="str"/>
      <x:c r="AA304" s="42" t="str">
        <x:v>https://www.recaap.org/alerts</x:v>
      </x:c>
      <x:c r="AB304" s="42" t="str">
        <x:v>Needs canonical event resolution</x:v>
      </x:c>
      <x:c r="AC304" s="42" t="str">
        <x:v>Flag: PANAMA</x:v>
      </x:c>
    </x:row>
    <x:row r="305">
      <x:c r="A305" s="42" t="str">
        <x:v>OBS_000304</x:v>
      </x:c>
      <x:c r="B305" s="42" t="str"/>
      <x:c r="C305" s="42" t="str">
        <x:v>recaap_incidents_2024_2026</x:v>
      </x:c>
      <x:c r="D305" s="42" t="str">
        <x:v>2026-29</x:v>
      </x:c>
      <x:c r="E305" s="42" t="str">
        <x:v>2026-03-28</x:v>
      </x:c>
      <x:c r="F305" s="42" t="str">
        <x:v>Maritime Crime</x:v>
      </x:c>
      <x:c r="G305" s="42" t="str">
        <x:v>Robbery/ Theft</x:v>
      </x:c>
      <x:c r="H305" s="42" t="str">
        <x:v>4</x:v>
      </x:c>
      <x:c r="I305" s="42" t="str">
        <x:v>Maritime</x:v>
      </x:c>
      <x:c r="J305" s="42" t="str">
        <x:v>Philippines (Ports/Anchorages)</x:v>
      </x:c>
      <x:c r="K305" s="42" t="str"/>
      <x:c r="L305" s="42" t="str">
        <x:v>Manila North Anchorage, Philippines</x:v>
      </x:c>
      <x:c r="M305" s="42" t="str">
        <x:v>14.595</x:v>
      </x:c>
      <x:c r="N305" s="42" t="str">
        <x:v>120.861667</x:v>
      </x:c>
      <x:c r="O305" s="42" t="str">
        <x:v>ALS Vesta</x:v>
      </x:c>
      <x:c r="P305" s="42" t="str"/>
      <x:c r="Q305" s="42" t="str">
        <x:v>CONTAINER SHIP</x:v>
      </x:c>
      <x:c r="R305" s="42" t="str"/>
      <x:c r="S305" s="42" t="str">
        <x:v>At Anchor While at anchor, three perpetrators were sighted onboard by the deck watch. Upon noticing the approaching crew, the perpetrators jumped overboard. The perpetrators gained access by climbing the anchor chain, passing through the hawse pipe via a small gap, and pushing the hawse pipe cover open. A thorough inspection was carried out and confirmed that no items were stolen. The perpetrators were not armed. The crew were not injured. The incident was reported to MPA (flag State).</x:v>
      </x:c>
      <x:c r="T305" s="42" t="str"/>
      <x:c r="U305" s="42" t="str"/>
      <x:c r="V305" s="42" t="str"/>
      <x:c r="W305" s="42" t="str"/>
      <x:c r="X305" s="42" t="str"/>
      <x:c r="Y305" s="42" t="str"/>
      <x:c r="Z305" s="42" t="str"/>
      <x:c r="AA305" s="42" t="str">
        <x:v>https://www.recaap.org/alerts</x:v>
      </x:c>
      <x:c r="AB305" s="42" t="str">
        <x:v>Needs canonical event resolution</x:v>
      </x:c>
      <x:c r="AC305" s="42" t="str">
        <x:v>Flag: SINGAPORE</x:v>
      </x:c>
    </x:row>
    <x:row r="306">
      <x:c r="A306" s="42" t="str">
        <x:v>OBS_000305</x:v>
      </x:c>
      <x:c r="B306" s="42" t="str"/>
      <x:c r="C306" s="42" t="str">
        <x:v>recaap_incidents_2024_2026</x:v>
      </x:c>
      <x:c r="D306" s="42" t="str">
        <x:v>2026-31</x:v>
      </x:c>
      <x:c r="E306" s="42" t="str">
        <x:v>2026-03-19</x:v>
      </x:c>
      <x:c r="F306" s="42" t="str">
        <x:v>Maritime Crime</x:v>
      </x:c>
      <x:c r="G306" s="42" t="str">
        <x:v>Robbery/ Theft</x:v>
      </x:c>
      <x:c r="H306" s="42" t="str">
        <x:v>3</x:v>
      </x:c>
      <x:c r="I306" s="42" t="str">
        <x:v>Maritime</x:v>
      </x:c>
      <x:c r="J306" s="42" t="str">
        <x:v>Straits of Malacca &amp; Singapore</x:v>
      </x:c>
      <x:c r="K306" s="42" t="str"/>
      <x:c r="L306" s="42" t="str">
        <x:v>Approximately 5.7 nm off Pulau Cula (Indonesia), in the eastbound lane of the TSS</x:v>
      </x:c>
      <x:c r="M306" s="42" t="str">
        <x:v>1.060167</x:v>
      </x:c>
      <x:c r="N306" s="42" t="str">
        <x:v>103.627667</x:v>
      </x:c>
      <x:c r="O306" s="42" t="str">
        <x:v>Hellasship</x:v>
      </x:c>
      <x:c r="P306" s="42" t="str"/>
      <x:c r="Q306" s="42" t="str">
        <x:v>BULK CARRIER</x:v>
      </x:c>
      <x:c r="R306" s="42" t="str"/>
      <x:c r="S306" s="42" t="str">
        <x:v>While underway, four perpetrators armed with long knives were sighted in the steering gear room. The ship's general alarm was activated and crew mustered. After conducting a search onboard, master confirmed there was no further sighting of the perpetrators and nothing was stolen. A crew was slightly injured by the perpetrators with a minor laceration to his head, and the agent arranged for shore medical follow up. The incident was reported to Singapore VTIS. Safety broadcast on anti-piracy watch was carried out to warn all vessels to maintain a vigilant watch at all times in the SS. The RSN and SPCG were notified of the incident. Information was shared with the Indonesian authority. The SPCG boarded the ship at Eastern Boarding Ground “B” (PEBGB) and conducted a search and investigation.</x:v>
      </x:c>
      <x:c r="T306" s="42" t="str"/>
      <x:c r="U306" s="42" t="str"/>
      <x:c r="V306" s="42" t="str"/>
      <x:c r="W306" s="42" t="str">
        <x:v>While Sailing</x:v>
      </x:c>
      <x:c r="X306" s="42" t="str"/>
      <x:c r="Y306" s="42" t="str"/>
      <x:c r="Z306" s="42" t="str"/>
      <x:c r="AA306" s="42" t="str">
        <x:v>https://www.recaap.org/alerts</x:v>
      </x:c>
      <x:c r="AB306" s="42" t="str">
        <x:v>Needs canonical event resolution</x:v>
      </x:c>
      <x:c r="AC306" s="42" t="str">
        <x:v>Flag: LIBERIA</x:v>
      </x:c>
    </x:row>
    <x:row r="307">
      <x:c r="A307" s="42" t="str">
        <x:v>OBS_000306</x:v>
      </x:c>
      <x:c r="B307" s="42" t="str"/>
      <x:c r="C307" s="42" t="str">
        <x:v>recaap_incidents_2024_2026</x:v>
      </x:c>
      <x:c r="D307" s="42" t="str">
        <x:v>2026-30</x:v>
      </x:c>
      <x:c r="E307" s="42" t="str">
        <x:v>2026-03-19</x:v>
      </x:c>
      <x:c r="F307" s="42" t="str">
        <x:v>Maritime Crime</x:v>
      </x:c>
      <x:c r="G307" s="42" t="str">
        <x:v>Robbery/ Theft</x:v>
      </x:c>
      <x:c r="H307" s="42" t="str">
        <x:v>3</x:v>
      </x:c>
      <x:c r="I307" s="42" t="str">
        <x:v>Maritime</x:v>
      </x:c>
      <x:c r="J307" s="42" t="str">
        <x:v>Straits of Malacca &amp; Singapore</x:v>
      </x:c>
      <x:c r="K307" s="42" t="str"/>
      <x:c r="L307" s="42" t="str">
        <x:v>Approximately 5.1 nm off Pulau Cula (Indonesia), in the eastbound lane of the TSS</x:v>
      </x:c>
      <x:c r="M307" s="42" t="str">
        <x:v>1.048333</x:v>
      </x:c>
      <x:c r="N307" s="42" t="str">
        <x:v>103.628333</x:v>
      </x:c>
      <x:c r="O307" s="42" t="str">
        <x:v>Aristoteles Graecia</x:v>
      </x:c>
      <x:c r="P307" s="42" t="str"/>
      <x:c r="Q307" s="42" t="str">
        <x:v>BULK CARRIER</x:v>
      </x:c>
      <x:c r="R307" s="42" t="str"/>
      <x:c r="S307" s="42" t="str">
        <x:v>While underway, four perpetrators were sighted in the engine room. One of the perpetrators was armed with a long knife. The ship's general alarm was activated and crew mustered. After conducting a search onboard, master confirmed there was no further sighting of the perpetrators and some engine spares were stolen. All crew members were safe and accounted for. The incident was reported to Singapore VTIS. Safety broadcast on anti-piracy watch was carried out to warn all vessels to maintain a vigilant watch at all times in the SS. The RSN and SPCG were notified of the incident. Information was shared with the Indonesian authority. The SPCG boarded the ship at Eastern Holding B Anchorage (AEHB) and conducted a search and investigation.</x:v>
      </x:c>
      <x:c r="T307" s="42" t="str"/>
      <x:c r="U307" s="42" t="str"/>
      <x:c r="V307" s="42" t="str"/>
      <x:c r="W307" s="42" t="str">
        <x:v>While Sailing</x:v>
      </x:c>
      <x:c r="X307" s="42" t="str"/>
      <x:c r="Y307" s="42" t="str"/>
      <x:c r="Z307" s="42" t="str"/>
      <x:c r="AA307" s="42" t="str">
        <x:v>https://www.recaap.org/alerts</x:v>
      </x:c>
      <x:c r="AB307" s="42" t="str">
        <x:v>Needs canonical event resolution</x:v>
      </x:c>
      <x:c r="AC307" s="42" t="str">
        <x:v>Flag: CYPRUS</x:v>
      </x:c>
    </x:row>
    <x:row r="308">
      <x:c r="A308" s="42" t="str">
        <x:v>OBS_000307</x:v>
      </x:c>
      <x:c r="B308" s="42" t="str"/>
      <x:c r="C308" s="42" t="str">
        <x:v>recaap_incidents_2024_2026</x:v>
      </x:c>
      <x:c r="D308" s="42" t="str">
        <x:v>2026-32</x:v>
      </x:c>
      <x:c r="E308" s="42" t="str">
        <x:v>2026-03-18</x:v>
      </x:c>
      <x:c r="F308" s="42" t="str">
        <x:v>Maritime Crime</x:v>
      </x:c>
      <x:c r="G308" s="42" t="str">
        <x:v>Robbery/ Theft</x:v>
      </x:c>
      <x:c r="H308" s="42" t="str">
        <x:v>4</x:v>
      </x:c>
      <x:c r="I308" s="42" t="str">
        <x:v>Maritime</x:v>
      </x:c>
      <x:c r="J308" s="42" t="str">
        <x:v>Straits of Malacca &amp; Singapore</x:v>
      </x:c>
      <x:c r="K308" s="42" t="str"/>
      <x:c r="L308" s="42" t="str">
        <x:v>Approximately 6.5 nm off Pulau Cula (Indonesia), in the eastbound lane of the TSS</x:v>
      </x:c>
      <x:c r="M308" s="42" t="str">
        <x:v>1.066667</x:v>
      </x:c>
      <x:c r="N308" s="42" t="str">
        <x:v>103.6</x:v>
      </x:c>
      <x:c r="O308" s="42" t="str">
        <x:v>Darya Tiana</x:v>
      </x:c>
      <x:c r="P308" s="42" t="str"/>
      <x:c r="Q308" s="42" t="str">
        <x:v>BULK CARRIER</x:v>
      </x:c>
      <x:c r="R308" s="42" t="str"/>
      <x:c r="S308" s="42" t="str">
        <x:v>While underway, four perpetrators (not armed) were sighted at the starboard gangway. The ship's general alarm was activated and crew mustered. After conducting a search onboard, master confirmed there was no further sighting of the perpetrators and nothing was stolen. There was no confrontation between the perpetrators and crew; and all crew members were safe and accounted for. The incident was reported to Singapore VTIS. Safety broadcast on anti-piracy watch was carried out to warn all vessels to maintain a vigilant watch at all times in the SS. The RSN and SPCG were notified of the incident. Information was shared with the Indonesian authority.</x:v>
      </x:c>
      <x:c r="T308" s="42" t="str"/>
      <x:c r="U308" s="42" t="str"/>
      <x:c r="V308" s="42" t="str"/>
      <x:c r="W308" s="42" t="str">
        <x:v>While Sailing</x:v>
      </x:c>
      <x:c r="X308" s="42" t="str"/>
      <x:c r="Y308" s="42" t="str"/>
      <x:c r="Z308" s="42" t="str"/>
      <x:c r="AA308" s="42" t="str">
        <x:v>https://www.recaap.org/alerts</x:v>
      </x:c>
      <x:c r="AB308" s="42" t="str">
        <x:v>Needs canonical event resolution</x:v>
      </x:c>
      <x:c r="AC308" s="42" t="str">
        <x:v>Flag: HONG KONG, CHINA</x:v>
      </x:c>
    </x:row>
    <x:row r="309">
      <x:c r="A309" s="42" t="str">
        <x:v>OBS_000308</x:v>
      </x:c>
      <x:c r="B309" s="42" t="str"/>
      <x:c r="C309" s="42" t="str">
        <x:v>recaap_incidents_2024_2026</x:v>
      </x:c>
      <x:c r="D309" s="42" t="str">
        <x:v>2026-33</x:v>
      </x:c>
      <x:c r="E309" s="42" t="str">
        <x:v>2026-03-07</x:v>
      </x:c>
      <x:c r="F309" s="42" t="str">
        <x:v>Maritime Crime</x:v>
      </x:c>
      <x:c r="G309" s="42" t="str">
        <x:v>Robbery/ Theft</x:v>
      </x:c>
      <x:c r="H309" s="42" t="str">
        <x:v>3</x:v>
      </x:c>
      <x:c r="I309" s="42" t="str">
        <x:v>Maritime</x:v>
      </x:c>
      <x:c r="J309" s="42" t="str">
        <x:v>Straits of Malacca &amp; Singapore</x:v>
      </x:c>
      <x:c r="K309" s="42" t="str"/>
      <x:c r="L309" s="42" t="str">
        <x:v>Approximately 2.38 nm off Pulau Cula (Indonesia), in the eastbound lane of the TSS</x:v>
      </x:c>
      <x:c r="M309" s="42" t="str">
        <x:v>1.038333</x:v>
      </x:c>
      <x:c r="N309" s="42" t="str">
        <x:v>103.67</x:v>
      </x:c>
      <x:c r="O309" s="42" t="str">
        <x:v>Ocean Radiance</x:v>
      </x:c>
      <x:c r="P309" s="42" t="str"/>
      <x:c r="Q309" s="42" t="str">
        <x:v>LPG TANKER</x:v>
      </x:c>
      <x:c r="R309" s="42" t="str"/>
      <x:c r="S309" s="42" t="str">
        <x:v>While underway, seven perpetrators armed with knives were sighted in the engine room. There was no confrontation with the crew. The master raised the general alarm and crew mustered. A search was carried out onboard with no further sightings of perpetrators. The crew were not injured. The incident was reported to Singapore VTIS. Safety broadcast on anti-piracy watch was carried out to warn all vessels to maintain a vigilant watch at all times in the SS. The RSN and SPCG were notified of the incident. Information was shared with the Indonesian authority.</x:v>
      </x:c>
      <x:c r="T309" s="42" t="str"/>
      <x:c r="U309" s="42" t="str"/>
      <x:c r="V309" s="42" t="str"/>
      <x:c r="W309" s="42" t="str">
        <x:v>While Sailing</x:v>
      </x:c>
      <x:c r="X309" s="42" t="str"/>
      <x:c r="Y309" s="42" t="str"/>
      <x:c r="Z309" s="42" t="str"/>
      <x:c r="AA309" s="42" t="str">
        <x:v>https://www.recaap.org/alerts</x:v>
      </x:c>
      <x:c r="AB309" s="42" t="str">
        <x:v>Needs canonical event resolution</x:v>
      </x:c>
      <x:c r="AC309" s="42" t="str">
        <x:v>Flag: PALAU</x:v>
      </x:c>
    </x:row>
    <x:row r="310">
      <x:c r="A310" s="42" t="str">
        <x:v>OBS_000309</x:v>
      </x:c>
      <x:c r="B310" s="42" t="str"/>
      <x:c r="C310" s="42" t="str">
        <x:v>recaap_incidents_2024_2026</x:v>
      </x:c>
      <x:c r="D310" s="42" t="str">
        <x:v>2026-34</x:v>
      </x:c>
      <x:c r="E310" s="42" t="str">
        <x:v>2026-02-28</x:v>
      </x:c>
      <x:c r="F310" s="42" t="str">
        <x:v>Maritime Crime</x:v>
      </x:c>
      <x:c r="G310" s="42" t="str">
        <x:v>Robbery/ Theft</x:v>
      </x:c>
      <x:c r="H310" s="42" t="str">
        <x:v>4</x:v>
      </x:c>
      <x:c r="I310" s="42" t="str">
        <x:v>Maritime</x:v>
      </x:c>
      <x:c r="J310" s="42" t="str">
        <x:v>Straits of Malacca &amp; Singapore</x:v>
      </x:c>
      <x:c r="K310" s="42" t="str"/>
      <x:c r="L310" s="42" t="str">
        <x:v>Approximately 13.2 nm off Pulau Cula (Indonesia), in the eastbound lane of the TSS</x:v>
      </x:c>
      <x:c r="M310" s="42" t="str">
        <x:v>1.0955</x:v>
      </x:c>
      <x:c r="N310" s="42" t="str">
        <x:v>103.55</x:v>
      </x:c>
      <x:c r="O310" s="42" t="str">
        <x:v>Nord Auriga</x:v>
      </x:c>
      <x:c r="P310" s="42" t="str"/>
      <x:c r="Q310" s="42" t="str">
        <x:v>BULK CARRIER</x:v>
      </x:c>
      <x:c r="R310" s="42" t="str"/>
      <x:c r="S310" s="42" t="str">
        <x:v>While underway, three unarmed perpetrators were sighted on board the ship. The master initiated a security search with no perpetrators found onboard. The crew were not injured. Nothing was stolen. The incident was reported to Singapore POCC. The SPCG boarded the ship at Eastern Bunkering B Anchorage (AEBB) and conducted a search and investigation.</x:v>
      </x:c>
      <x:c r="T310" s="42" t="str"/>
      <x:c r="U310" s="42" t="str"/>
      <x:c r="V310" s="42" t="str"/>
      <x:c r="W310" s="42" t="str">
        <x:v>While Sailing</x:v>
      </x:c>
      <x:c r="X310" s="42" t="str"/>
      <x:c r="Y310" s="42" t="str"/>
      <x:c r="Z310" s="42" t="str"/>
      <x:c r="AA310" s="42" t="str">
        <x:v>https://www.recaap.org/alerts</x:v>
      </x:c>
      <x:c r="AB310" s="42" t="str">
        <x:v>Needs canonical event resolution</x:v>
      </x:c>
      <x:c r="AC310" s="42" t="str">
        <x:v>Flag: SINGAPORE</x:v>
      </x:c>
    </x:row>
    <x:row r="311">
      <x:c r="A311" s="42" t="str">
        <x:v>OBS_000310</x:v>
      </x:c>
      <x:c r="B311" s="42" t="str"/>
      <x:c r="C311" s="42" t="str">
        <x:v>recaap_incidents_2024_2026</x:v>
      </x:c>
      <x:c r="D311" s="42" t="str">
        <x:v>2026-35</x:v>
      </x:c>
      <x:c r="E311" s="42" t="str">
        <x:v>2026-02-27</x:v>
      </x:c>
      <x:c r="F311" s="42" t="str">
        <x:v>Maritime Crime</x:v>
      </x:c>
      <x:c r="G311" s="42" t="str">
        <x:v>Robbery/ Theft</x:v>
      </x:c>
      <x:c r="H311" s="42" t="str">
        <x:v>2</x:v>
      </x:c>
      <x:c r="I311" s="42" t="str">
        <x:v>Maritime</x:v>
      </x:c>
      <x:c r="J311" s="42" t="str">
        <x:v>Straits of Malacca &amp; Singapore</x:v>
      </x:c>
      <x:c r="K311" s="42" t="str"/>
      <x:c r="L311" s="42" t="str">
        <x:v>Approximately 3.2 nm off Pulau Cula (Indonesia), in the eastbound lane of the TSS</x:v>
      </x:c>
      <x:c r="M311" s="42" t="str">
        <x:v>1.041167</x:v>
      </x:c>
      <x:c r="N311" s="42" t="str">
        <x:v>103.655333</x:v>
      </x:c>
      <x:c r="O311" s="42" t="str">
        <x:v>Taz</x:v>
      </x:c>
      <x:c r="P311" s="42" t="str"/>
      <x:c r="Q311" s="42" t="str">
        <x:v>BULK CARRIER</x:v>
      </x:c>
      <x:c r="R311" s="42" t="str"/>
      <x:c r="S311" s="42" t="str">
        <x:v>While underway, five perpetrators boarded the ship. One of the perpetrators was armed with a knife. The ship’s general alarm was raised and crew mustered and accounted for. A search was carried out onboard with no further sightings of perpetrators. The crew were not injured. One crew’s mobile phone was stolen. The incident was reported to Safety Singapore VTIS. broadcast on anti-piracy watch was carried out to warn all vessels to maintain a vigilant watch at all times in the SS. The RSN and SPCG were notified of the incident. Information was shared with the Indonesian authority.</x:v>
      </x:c>
      <x:c r="T311" s="42" t="str"/>
      <x:c r="U311" s="42" t="str"/>
      <x:c r="V311" s="42" t="str"/>
      <x:c r="W311" s="42" t="str">
        <x:v>While Sailing</x:v>
      </x:c>
      <x:c r="X311" s="42" t="str"/>
      <x:c r="Y311" s="42" t="str"/>
      <x:c r="Z311" s="42" t="str"/>
      <x:c r="AA311" s="42" t="str">
        <x:v>https://www.recaap.org/alerts</x:v>
      </x:c>
      <x:c r="AB311" s="42" t="str">
        <x:v>Needs canonical event resolution</x:v>
      </x:c>
      <x:c r="AC311" s="42" t="str">
        <x:v>Flag: MARSHALL ISLANDS</x:v>
      </x:c>
    </x:row>
    <x:row r="312">
      <x:c r="A312" s="42" t="str">
        <x:v>OBS_000311</x:v>
      </x:c>
      <x:c r="B312" s="42" t="str"/>
      <x:c r="C312" s="42" t="str">
        <x:v>recaap_incidents_2024_2026</x:v>
      </x:c>
      <x:c r="D312" s="42" t="str">
        <x:v>2026-36</x:v>
      </x:c>
      <x:c r="E312" s="42" t="str">
        <x:v>2026-02-20</x:v>
      </x:c>
      <x:c r="F312" s="42" t="str">
        <x:v>Maritime Crime</x:v>
      </x:c>
      <x:c r="G312" s="42" t="str">
        <x:v>Robbery/ Theft</x:v>
      </x:c>
      <x:c r="H312" s="42" t="str">
        <x:v>4</x:v>
      </x:c>
      <x:c r="I312" s="42" t="str">
        <x:v>Maritime</x:v>
      </x:c>
      <x:c r="J312" s="42" t="str">
        <x:v>Philippines (Ports/Anchorages)</x:v>
      </x:c>
      <x:c r="K312" s="42" t="str"/>
      <x:c r="L312" s="42" t="str">
        <x:v>Manila International Container Terminal (MICT) Anchorage Area, Philippines</x:v>
      </x:c>
      <x:c r="M312" s="42" t="str">
        <x:v>14.562833</x:v>
      </x:c>
      <x:c r="N312" s="42" t="str">
        <x:v>120.8275</x:v>
      </x:c>
      <x:c r="O312" s="42" t="str">
        <x:v>AS Nora</x:v>
      </x:c>
      <x:c r="P312" s="42" t="str"/>
      <x:c r="Q312" s="42" t="str">
        <x:v>CONTAINER SHIP</x:v>
      </x:c>
      <x:c r="R312" s="42" t="str"/>
      <x:c r="S312" s="42" t="str">
        <x:v>At Anchor While at anchor, the duty crew noted that the cover of the hawse pipe of the starboard anchor was opened. After informing the 2nd officer, the general alarm, including the typhoon alarm was raised. A search was conducted with no perpetrators found on board. Subsequently, the master ordered an inventory and inspection of the deck equipment. The crew were not injured. Some ship property/stores were stolen. The incident was reported to VTMS Corregidor and CGS Manila. CGS Manila immediately directed the duty maritime patrol (MARPAT) team to verify the incident, and advised the Master to strengthen onboard security measures and increase roving duties to prevent similar incidents.</x:v>
      </x:c>
      <x:c r="T312" s="42" t="str"/>
      <x:c r="U312" s="42" t="str"/>
      <x:c r="V312" s="42" t="str"/>
      <x:c r="W312" s="42" t="str"/>
      <x:c r="X312" s="42" t="str"/>
      <x:c r="Y312" s="42" t="str"/>
      <x:c r="Z312" s="42" t="str"/>
      <x:c r="AA312" s="42" t="str">
        <x:v>https://www.recaap.org/alerts</x:v>
      </x:c>
      <x:c r="AB312" s="42" t="str">
        <x:v>Needs canonical event resolution</x:v>
      </x:c>
      <x:c r="AC312" s="42" t="str">
        <x:v>Flag: MARSHALL ISLANDS</x:v>
      </x:c>
    </x:row>
    <x:row r="313">
      <x:c r="A313" s="42" t="str">
        <x:v>OBS_000312</x:v>
      </x:c>
      <x:c r="B313" s="42" t="str"/>
      <x:c r="C313" s="42" t="str">
        <x:v>recaap_incidents_2024_2026</x:v>
      </x:c>
      <x:c r="D313" s="42" t="str">
        <x:v>2026-37</x:v>
      </x:c>
      <x:c r="E313" s="42" t="str">
        <x:v>2026-01-26</x:v>
      </x:c>
      <x:c r="F313" s="42" t="str">
        <x:v>Maritime Crime</x:v>
      </x:c>
      <x:c r="G313" s="42" t="str">
        <x:v>Robbery/ Theft</x:v>
      </x:c>
      <x:c r="H313" s="42" t="str">
        <x:v>3</x:v>
      </x:c>
      <x:c r="I313" s="42" t="str">
        <x:v>Maritime</x:v>
      </x:c>
      <x:c r="J313" s="42" t="str">
        <x:v>Philippines (Ports/Anchorages)</x:v>
      </x:c>
      <x:c r="K313" s="42" t="str"/>
      <x:c r="L313" s="42" t="str">
        <x:v>Manila Bay Anchorage, Philippines</x:v>
      </x:c>
      <x:c r="M313" s="42" t="str">
        <x:v>14.551667</x:v>
      </x:c>
      <x:c r="N313" s="42" t="str">
        <x:v>120.828333</x:v>
      </x:c>
      <x:c r="O313" s="42" t="str">
        <x:v>Maersk Cap Jackson</x:v>
      </x:c>
      <x:c r="P313" s="42" t="str"/>
      <x:c r="Q313" s="42" t="str">
        <x:v>CONTAINER SHIP</x:v>
      </x:c>
      <x:c r="R313" s="42" t="str"/>
      <x:c r="S313" s="42" t="str">
        <x:v>At Anchor While at anchor, a crew member was confronted by six perpetrators, reportedly armed with knives, at Bay 02 on the forward part of the ship. He was threatened, ordered to located remain silent, and confined in the bosun store beneath the forward mooring station. The crew member later freed himself and activated the fire alarm. The perpetrators briefly returned but were unable to gain entry, and subsequently escaped from the ship via the deck leading overboard. An immediate search of the vessel was conducted, with no perpetrators found onboard. Subsequent investigation by the ship’s crew revealed that the padlock and securing arrangement of the bosun store door had been tampered with, indicating forced entry. The stern access to the engineer’s passageway was also found to have been tampered with. A walkie-talkie and two hydrant caps were reported stolen. The company was notified, and the incident was reported to the local coast guard and customs authorities through the local agent.</x:v>
      </x:c>
      <x:c r="T313" s="42" t="str"/>
      <x:c r="U313" s="42" t="str"/>
      <x:c r="V313" s="42" t="str"/>
      <x:c r="W313" s="42" t="str"/>
      <x:c r="X313" s="42" t="str"/>
      <x:c r="Y313" s="42" t="str"/>
      <x:c r="Z313" s="42" t="str"/>
      <x:c r="AA313" s="42" t="str">
        <x:v>https://www.recaap.org/alerts</x:v>
      </x:c>
      <x:c r="AB313" s="42" t="str">
        <x:v>Needs canonical event resolution</x:v>
      </x:c>
      <x:c r="AC313" s="42" t="str">
        <x:v>Flag: SINGAPORE</x:v>
      </x:c>
    </x:row>
    <x:row r="314">
      <x:c r="A314" s="42" t="str">
        <x:v>OBS_000313</x:v>
      </x:c>
      <x:c r="B314" s="42" t="str"/>
      <x:c r="C314" s="42" t="str">
        <x:v>recaap_incidents_2024_2026</x:v>
      </x:c>
      <x:c r="D314" s="42" t="str">
        <x:v>2026-38</x:v>
      </x:c>
      <x:c r="E314" s="42" t="str">
        <x:v>2026-01-25</x:v>
      </x:c>
      <x:c r="F314" s="42" t="str">
        <x:v>Maritime Crime</x:v>
      </x:c>
      <x:c r="G314" s="42" t="str">
        <x:v>Robbery/ Theft</x:v>
      </x:c>
      <x:c r="H314" s="42" t="str">
        <x:v>4</x:v>
      </x:c>
      <x:c r="I314" s="42" t="str">
        <x:v>Maritime</x:v>
      </x:c>
      <x:c r="J314" s="42" t="str">
        <x:v>Philippines (Ports/Anchorages)</x:v>
      </x:c>
      <x:c r="K314" s="42" t="str"/>
      <x:c r="L314" s="42" t="str">
        <x:v>Vicinity Waters off Cavite City, Philippines</x:v>
      </x:c>
      <x:c r="M314" s="42" t="str">
        <x:v>14.518</x:v>
      </x:c>
      <x:c r="N314" s="42" t="str">
        <x:v>120.7905</x:v>
      </x:c>
      <x:c r="O314" s="42" t="str">
        <x:v>Maersk Vilnius</x:v>
      </x:c>
      <x:c r="P314" s="42" t="str"/>
      <x:c r="Q314" s="42" t="str">
        <x:v>CONTAINER SHIP</x:v>
      </x:c>
      <x:c r="R314" s="42" t="str"/>
      <x:c r="S314" s="42" t="str">
        <x:v>At Anchor While at anchor, the crew noticed that several items, namely cable wires and parts of the ship's beam, were missing from the ship. The master subsequently confirmed that no other losses or damages were sustained, and that no further assistance was required. The crew were not injured. Upon receipt of the report, CGS Manila immediately directed CGSS Cavite City to conduct MARPAT operations and establish contact with the ship. Thereafter, all CGSS within the Cavite area were directed to conduct shore patrols and maintain heightened vigilance, particularly for possible sightings or recovery of the stolen items.</x:v>
      </x:c>
      <x:c r="T314" s="42" t="str"/>
      <x:c r="U314" s="42" t="str"/>
      <x:c r="V314" s="42" t="str"/>
      <x:c r="W314" s="42" t="str"/>
      <x:c r="X314" s="42" t="str"/>
      <x:c r="Y314" s="42" t="str"/>
      <x:c r="Z314" s="42" t="str"/>
      <x:c r="AA314" s="42" t="str">
        <x:v>https://www.recaap.org/alerts</x:v>
      </x:c>
      <x:c r="AB314" s="42" t="str">
        <x:v>Needs canonical event resolution</x:v>
      </x:c>
      <x:c r="AC314" s="42" t="str">
        <x:v>Flag: INDIA</x:v>
      </x:c>
    </x:row>
    <x:row r="315">
      <x:c r="A315" s="42" t="str">
        <x:v>OBS_000314</x:v>
      </x:c>
      <x:c r="B315" s="42" t="str"/>
      <x:c r="C315" s="42" t="str">
        <x:v>recaap_incidents_2024_2026</x:v>
      </x:c>
      <x:c r="D315" s="42" t="str">
        <x:v>2026-39</x:v>
      </x:c>
      <x:c r="E315" s="42" t="str">
        <x:v>2026-01-22</x:v>
      </x:c>
      <x:c r="F315" s="42" t="str">
        <x:v>Maritime Crime</x:v>
      </x:c>
      <x:c r="G315" s="42" t="str">
        <x:v>Robbery/ Theft</x:v>
      </x:c>
      <x:c r="H315" s="42" t="str">
        <x:v>3</x:v>
      </x:c>
      <x:c r="I315" s="42" t="str">
        <x:v>Maritime</x:v>
      </x:c>
      <x:c r="J315" s="42" t="str">
        <x:v>Philippines (Ports/Anchorages)</x:v>
      </x:c>
      <x:c r="K315" s="42" t="str"/>
      <x:c r="L315" s="42" t="str">
        <x:v>Vicinity waters off Bauan, Batangas, Philippines</x:v>
      </x:c>
      <x:c r="M315" s="42" t="str">
        <x:v>13.894833</x:v>
      </x:c>
      <x:c r="N315" s="42" t="str">
        <x:v>120.766667</x:v>
      </x:c>
      <x:c r="O315" s="42" t="str">
        <x:v>Super Shuttle RoRo 9</x:v>
      </x:c>
      <x:c r="P315" s="42" t="str"/>
      <x:c r="Q315" s="42" t="str">
        <x:v>RORO CARGO SHIP</x:v>
      </x:c>
      <x:c r="R315" s="42" t="str"/>
      <x:c r="S315" s="42" t="str">
        <x:v>At Anchor While at anchor, a seaborne patrol personnel of CGSS Bauan saw one of the perpetrators climbing the ship from an unnamed motor banca. The Philippine Coast Guard team immediately apprehended the perpetrator, and found a knife onboard the motor banca. A comprehensive search of the ship was conducted by the combined teams of CGSS Bauan and Special Operations Group Southern Tagalog. Three additional perpetrators were found onboard the ship, and all four perpetrators were turned over to the Investigation and Detection Unit - Southern Tagalog. Nothing was stolen.</x:v>
      </x:c>
      <x:c r="T315" s="42" t="str"/>
      <x:c r="U315" s="42" t="str"/>
      <x:c r="V315" s="42" t="str"/>
      <x:c r="W315" s="42" t="str"/>
      <x:c r="X315" s="42" t="str"/>
      <x:c r="Y315" s="42" t="str"/>
      <x:c r="Z315" s="42" t="str"/>
      <x:c r="AA315" s="42" t="str">
        <x:v>https://www.recaap.org/alerts</x:v>
      </x:c>
      <x:c r="AB315" s="42" t="str">
        <x:v>Needs canonical event resolution</x:v>
      </x:c>
      <x:c r="AC315" s="42" t="str">
        <x:v>Flag: PANAMA</x:v>
      </x:c>
    </x:row>
    <x:row r="316">
      <x:c r="A316" s="42" t="str">
        <x:v>OBS_000315</x:v>
      </x:c>
      <x:c r="B316" s="42" t="str"/>
      <x:c r="C316" s="42" t="str">
        <x:v>recaap_incidents_2024_2026</x:v>
      </x:c>
      <x:c r="D316" s="42" t="str">
        <x:v>2026-40</x:v>
      </x:c>
      <x:c r="E316" s="42" t="str">
        <x:v>2026-01-19</x:v>
      </x:c>
      <x:c r="F316" s="42" t="str">
        <x:v>Maritime Crime</x:v>
      </x:c>
      <x:c r="G316" s="42" t="str">
        <x:v>Robbery/ Theft</x:v>
      </x:c>
      <x:c r="H316" s="42" t="str">
        <x:v>4</x:v>
      </x:c>
      <x:c r="I316" s="42" t="str">
        <x:v>Maritime</x:v>
      </x:c>
      <x:c r="J316" s="42" t="str">
        <x:v>Straits of Malacca &amp; Singapore</x:v>
      </x:c>
      <x:c r="K316" s="42" t="str"/>
      <x:c r="L316" s="42" t="str">
        <x:v>Approximately 6 nm off Pulau Nongsa (Indonesia), in the eastbound lane of the TSS</x:v>
      </x:c>
      <x:c r="M316" s="42" t="str">
        <x:v>1.266333</x:v>
      </x:c>
      <x:c r="N316" s="42" t="str">
        <x:v>104.153667</x:v>
      </x:c>
      <x:c r="O316" s="42" t="str">
        <x:v>Hub 21 &amp; Manyplus 5</x:v>
      </x:c>
      <x:c r="P316" s="42" t="str"/>
      <x:c r="Q316" s="42" t="str">
        <x:v>TUG BOAT &amp; BARGE</x:v>
      </x:c>
      <x:c r="R316" s="42" t="str"/>
      <x:c r="S316" s="42" t="str">
        <x:v>While underway, the master of the tug boat observed three sampans around the barge and three perpetrators on the barge taking scrap metals from the barge. About half an hour later, the perpetrators were sighted leaving in the sampans. The tug boat and barge continued their voyage and no assistance was required. All crew members were accounted for and without injury. Some scrap metals were stolen. The master reported the incident to Singapore VTIS. Safety broadcasts on anti-piracy watch were initiated to remind all vessels to maintain vigilant watch at all times in the SS. RSN and SPCG were notified of the incident. Information of the incident was also shared with Indonesian Authority.</x:v>
      </x:c>
      <x:c r="T316" s="42" t="str"/>
      <x:c r="U316" s="42" t="str"/>
      <x:c r="V316" s="42" t="str"/>
      <x:c r="W316" s="42" t="str">
        <x:v>While Sailing</x:v>
      </x:c>
      <x:c r="X316" s="42" t="str"/>
      <x:c r="Y316" s="42" t="str"/>
      <x:c r="Z316" s="42" t="str"/>
      <x:c r="AA316" s="42" t="str">
        <x:v>https://www.recaap.org/alerts</x:v>
      </x:c>
      <x:c r="AB316" s="42" t="str">
        <x:v>Needs canonical event resolution</x:v>
      </x:c>
      <x:c r="AC316" s="42" t="str">
        <x:v>Flag: MALAYSIA</x:v>
      </x:c>
    </x:row>
    <x:row r="317">
      <x:c r="A317" s="42" t="str">
        <x:v>OBS_000316</x:v>
      </x:c>
      <x:c r="B317" s="42" t="str"/>
      <x:c r="C317" s="42" t="str">
        <x:v>recaap_incidents_2024_2026</x:v>
      </x:c>
      <x:c r="D317" s="42" t="str">
        <x:v>2026-41</x:v>
      </x:c>
      <x:c r="E317" s="42" t="str">
        <x:v>2026-01-17</x:v>
      </x:c>
      <x:c r="F317" s="42" t="str">
        <x:v>Maritime Crime</x:v>
      </x:c>
      <x:c r="G317" s="42" t="str">
        <x:v>Robbery/ Theft</x:v>
      </x:c>
      <x:c r="H317" s="42" t="str">
        <x:v>3</x:v>
      </x:c>
      <x:c r="I317" s="42" t="str">
        <x:v>Maritime</x:v>
      </x:c>
      <x:c r="J317" s="42" t="str">
        <x:v>Straits of Malacca &amp; Singapore</x:v>
      </x:c>
      <x:c r="K317" s="42" t="str"/>
      <x:c r="L317" s="42" t="str">
        <x:v>Approximately 2.6 nm off Pulau Cula (Indonesia), in the eastbound lane of the TSS</x:v>
      </x:c>
      <x:c r="M317" s="42" t="str">
        <x:v>1.0725</x:v>
      </x:c>
      <x:c r="N317" s="42" t="str">
        <x:v>103.681333</x:v>
      </x:c>
      <x:c r="O317" s="42" t="str">
        <x:v>Empress Zonda</x:v>
      </x:c>
      <x:c r="P317" s="42" t="str"/>
      <x:c r="Q317" s="42" t="str">
        <x:v>BULK CARRIER</x:v>
      </x:c>
      <x:c r="R317" s="42" t="str"/>
      <x:c r="S317" s="42" t="str">
        <x:v>While underway, six perpetrators armed with knives were sighted at the steering gear room. The ship’s general alarm was raised. All crew members mustered and were accounted for. A search was carried out with no perpetrators found onboard. The crew members were not injured and some engine spares were stolen. The master reported the incident to Singapore VTIS. Safety broadcasts on anti-piracy watch were initiated to remind all vessels to maintain vigilant watch at all times in the SS. RSN and SPCG were notified of the incident. SPCG boarded the vessel for security check at Singapore Anchorage but did not find any perpetrators on board. Information of the incident was also shared with Indonesian Authority.</x:v>
      </x:c>
      <x:c r="T317" s="42" t="str"/>
      <x:c r="U317" s="42" t="str"/>
      <x:c r="V317" s="42" t="str"/>
      <x:c r="W317" s="42" t="str">
        <x:v>While Sailing</x:v>
      </x:c>
      <x:c r="X317" s="42" t="str"/>
      <x:c r="Y317" s="42" t="str"/>
      <x:c r="Z317" s="42" t="str"/>
      <x:c r="AA317" s="42" t="str">
        <x:v>https://www.recaap.org/alerts</x:v>
      </x:c>
      <x:c r="AB317" s="42" t="str">
        <x:v>Needs canonical event resolution</x:v>
      </x:c>
      <x:c r="AC317" s="42" t="str">
        <x:v>Flag: PANAMA</x:v>
      </x:c>
    </x:row>
    <x:row r="318">
      <x:c r="A318" s="42" t="str">
        <x:v>OBS_000317</x:v>
      </x:c>
      <x:c r="B318" s="42" t="str"/>
      <x:c r="C318" s="42" t="str">
        <x:v>recaap_incidents_2024_2026</x:v>
      </x:c>
      <x:c r="D318" s="42" t="str">
        <x:v>2026-43</x:v>
      </x:c>
      <x:c r="E318" s="42" t="str">
        <x:v>2026-01-16</x:v>
      </x:c>
      <x:c r="F318" s="42" t="str">
        <x:v>Maritime Crime</x:v>
      </x:c>
      <x:c r="G318" s="42" t="str">
        <x:v>Robbery/ Theft</x:v>
      </x:c>
      <x:c r="H318" s="42" t="str">
        <x:v>4</x:v>
      </x:c>
      <x:c r="I318" s="42" t="str">
        <x:v>Maritime</x:v>
      </x:c>
      <x:c r="J318" s="42" t="str">
        <x:v>Philippines (Ports/Anchorages)</x:v>
      </x:c>
      <x:c r="K318" s="42" t="str"/>
      <x:c r="L318" s="42" t="str">
        <x:v>Batangas Anchorage, southeast of Brgy San Pedro, Bauan, Batangas, Philippines</x:v>
      </x:c>
      <x:c r="M318" s="42" t="str">
        <x:v>13.7585</x:v>
      </x:c>
      <x:c r="N318" s="42" t="str">
        <x:v>120.972667</x:v>
      </x:c>
      <x:c r="O318" s="42" t="str">
        <x:v>Sakizaya Wisdom</x:v>
      </x:c>
      <x:c r="P318" s="42" t="str"/>
      <x:c r="Q318" s="42" t="str">
        <x:v>BULK CARRIER</x:v>
      </x:c>
      <x:c r="R318" s="42" t="str"/>
      <x:c r="S318" s="42" t="str">
        <x:v>at anchor, several firefighting equipment and shipboard fittings were found missing from the open deck areas during a safety security round of the ship. It is believed that perpetrators boarded the ship during night time and stole the items. The incident was reported to the company, local agents, and VTMS Batangas. Additional security rounds were implemented, and all remaining bronze were removed from the open deck and secured on board as a preventive measure. CGS Batangas directed CGSS Bauan and CGSS Mabini to intensify seaborne patrols and conduct periodic radio announcements to all nearby ships in anchorage area to remain vigilant against illegal activities.</x:v>
      </x:c>
      <x:c r="T318" s="42" t="str"/>
      <x:c r="U318" s="42" t="str"/>
      <x:c r="V318" s="42" t="str"/>
      <x:c r="W318" s="42" t="str">
        <x:v>At Anchor While</x:v>
      </x:c>
      <x:c r="X318" s="42" t="str"/>
      <x:c r="Y318" s="42" t="str"/>
      <x:c r="Z318" s="42" t="str"/>
      <x:c r="AA318" s="42" t="str">
        <x:v>https://www.recaap.org/alerts</x:v>
      </x:c>
      <x:c r="AB318" s="42" t="str">
        <x:v>Needs canonical event resolution</x:v>
      </x:c>
      <x:c r="AC318" s="42" t="str">
        <x:v>Flag: PANAMA</x:v>
      </x:c>
    </x:row>
    <x:row r="319">
      <x:c r="A319" s="42" t="str">
        <x:v>OBS_000318</x:v>
      </x:c>
      <x:c r="B319" s="42" t="str"/>
      <x:c r="C319" s="42" t="str">
        <x:v>recaap_incidents_2024_2026</x:v>
      </x:c>
      <x:c r="D319" s="42" t="str">
        <x:v>2026-42</x:v>
      </x:c>
      <x:c r="E319" s="42" t="str">
        <x:v>2026-01-16</x:v>
      </x:c>
      <x:c r="F319" s="42" t="str">
        <x:v>Maritime Crime</x:v>
      </x:c>
      <x:c r="G319" s="42" t="str">
        <x:v>Robbery/ Theft</x:v>
      </x:c>
      <x:c r="H319" s="42" t="str">
        <x:v>4</x:v>
      </x:c>
      <x:c r="I319" s="42" t="str">
        <x:v>Maritime</x:v>
      </x:c>
      <x:c r="J319" s="42" t="str">
        <x:v>Straits of Malacca &amp; Singapore</x:v>
      </x:c>
      <x:c r="K319" s="42" t="str"/>
      <x:c r="L319" s="42" t="str">
        <x:v>Approximately 3.8 nm off Pulau Nongsa Beacon (Indonesia), in the eastbound lane of the TSS</x:v>
      </x:c>
      <x:c r="M319" s="42" t="str">
        <x:v>1.260667</x:v>
      </x:c>
      <x:c r="N319" s="42" t="str">
        <x:v>104.103167</x:v>
      </x:c>
      <x:c r="O319" s="42" t="str">
        <x:v>HK Tug 8 &amp; LKH 2882</x:v>
      </x:c>
      <x:c r="P319" s="42" t="str"/>
      <x:c r="Q319" s="42" t="str">
        <x:v>TUG BOAT &amp; BARGE</x:v>
      </x:c>
      <x:c r="R319" s="42" t="str"/>
      <x:c r="S319" s="42" t="str">
        <x:v>While underway, the master of the tug boat observed one sampan alongside the barge with approximately five perpetrators sighted on the barge taking scrap metals. About 40 minutes later, the perpetrators were sighted left in the sampans. The tug boat and barge continued their voyage and no assistance was required. All crew members were accounted for and without injury. Some scrap metals were stolen. The master reported the incident to Singapore VTIS. Safety broadcasts on anti-piracy watch were initiated to remind all vessels to maintain vigilance.</x:v>
      </x:c>
      <x:c r="T319" s="42" t="str"/>
      <x:c r="U319" s="42" t="str"/>
      <x:c r="V319" s="42" t="str"/>
      <x:c r="W319" s="42" t="str">
        <x:v>While Sailing</x:v>
      </x:c>
      <x:c r="X319" s="42" t="str"/>
      <x:c r="Y319" s="42" t="str"/>
      <x:c r="Z319" s="42" t="str"/>
      <x:c r="AA319" s="42" t="str">
        <x:v>https://www.recaap.org/alerts</x:v>
      </x:c>
      <x:c r="AB319" s="42" t="str">
        <x:v>Needs canonical event resolution</x:v>
      </x:c>
      <x:c r="AC319" s="42" t="str">
        <x:v>Flag: SINGAPORE</x:v>
      </x:c>
    </x:row>
    <x:row r="320">
      <x:c r="A320" s="42" t="str">
        <x:v>OBS_000319</x:v>
      </x:c>
      <x:c r="B320" s="42" t="str"/>
      <x:c r="C320" s="42" t="str">
        <x:v>recaap_incidents_2024_2026</x:v>
      </x:c>
      <x:c r="D320" s="42" t="str">
        <x:v>2026-44</x:v>
      </x:c>
      <x:c r="E320" s="42" t="str">
        <x:v>2026-01-05</x:v>
      </x:c>
      <x:c r="F320" s="42" t="str">
        <x:v>Maritime Crime</x:v>
      </x:c>
      <x:c r="G320" s="42" t="str">
        <x:v>Robbery/ Theft</x:v>
      </x:c>
      <x:c r="H320" s="42" t="str">
        <x:v>4</x:v>
      </x:c>
      <x:c r="I320" s="42" t="str">
        <x:v>Maritime</x:v>
      </x:c>
      <x:c r="J320" s="42" t="str">
        <x:v>Straits of Malacca &amp; Singapore</x:v>
      </x:c>
      <x:c r="K320" s="42" t="str"/>
      <x:c r="L320" s="42" t="str">
        <x:v>Approximately 4.1 nm off Pulau Nongsa Beacon (Indonesia), in the eastbound lane of the TSS</x:v>
      </x:c>
      <x:c r="M320" s="42" t="str">
        <x:v>1.260667</x:v>
      </x:c>
      <x:c r="N320" s="42" t="str">
        <x:v>104.078833</x:v>
      </x:c>
      <x:c r="O320" s="42" t="str">
        <x:v>HK Tug 9 &amp; LKH 7887</x:v>
      </x:c>
      <x:c r="P320" s="42" t="str"/>
      <x:c r="Q320" s="42" t="str">
        <x:v>TUG BOAT &amp; BARGE</x:v>
      </x:c>
      <x:c r="R320" s="42" t="str"/>
      <x:c r="S320" s="42" t="str">
        <x:v>While underway, approximately six perpetrators were sighted onboard the barge with three sampans alongside. At 1410 hrs, the master updated that the perpetrators escaped from the barge, and all three sampans departed from the area. Some scrap metals were reported stolen. The tug boat and barge continued their voyage and no assistance was required. All crew members were accounted for and without injury. The master reported the incident to Singapore VTIS. Safety broadcasts on anti-piracy watch were initiated to remind all vessels to maintain vigilance.</x:v>
      </x:c>
      <x:c r="T320" s="42" t="str"/>
      <x:c r="U320" s="42" t="str"/>
      <x:c r="V320" s="42" t="str"/>
      <x:c r="W320" s="42" t="str">
        <x:v>While Sailing</x:v>
      </x:c>
      <x:c r="X320" s="42" t="str"/>
      <x:c r="Y320" s="42" t="str"/>
      <x:c r="Z320" s="42" t="str"/>
      <x:c r="AA320" s="42" t="str">
        <x:v>https://www.recaap.org/alerts</x:v>
      </x:c>
      <x:c r="AB320" s="42" t="str">
        <x:v>Needs canonical event resolution</x:v>
      </x:c>
      <x:c r="AC320" s="42" t="str">
        <x:v>Flag: SINGAPORE</x:v>
      </x:c>
    </x:row>
    <x:row r="321">
      <x:c r="A321" s="42" t="str">
        <x:v>OBS_000320</x:v>
      </x:c>
      <x:c r="B321" s="42" t="str"/>
      <x:c r="C321" s="42" t="str">
        <x:v>recaap_incidents_2024_2026</x:v>
      </x:c>
      <x:c r="D321" s="42" t="str">
        <x:v>2026-45</x:v>
      </x:c>
      <x:c r="E321" s="42" t="str">
        <x:v>2026-01-03</x:v>
      </x:c>
      <x:c r="F321" s="42" t="str">
        <x:v>Maritime Crime</x:v>
      </x:c>
      <x:c r="G321" s="42" t="str">
        <x:v>Robbery/ Theft</x:v>
      </x:c>
      <x:c r="H321" s="42" t="str">
        <x:v>4</x:v>
      </x:c>
      <x:c r="I321" s="42" t="str">
        <x:v>Maritime</x:v>
      </x:c>
      <x:c r="J321" s="42" t="str">
        <x:v>Philippines (Ports/Anchorages)</x:v>
      </x:c>
      <x:c r="K321" s="42" t="str"/>
      <x:c r="L321" s="42" t="str">
        <x:v>Batangas Anchorage, Philippines</x:v>
      </x:c>
      <x:c r="M321" s="42" t="str">
        <x:v>13.766667</x:v>
      </x:c>
      <x:c r="N321" s="42" t="str">
        <x:v>120.983333</x:v>
      </x:c>
      <x:c r="O321" s="42" t="str">
        <x:v>Super Shuttle RoRo 9</x:v>
      </x:c>
      <x:c r="P321" s="42" t="str"/>
      <x:c r="Q321" s="42" t="str">
        <x:v>RORO CARGO SHIP</x:v>
      </x:c>
      <x:c r="R321" s="42" t="str"/>
      <x:c r="S321" s="42" t="str">
        <x:v>At Anchor While at anchor, perpetrators from one motor banca boarded the ship and stole some cables. The incident was reported to PCG Substation Bauan. The PCG apprehended one perpetrator onboard the motor banca and conducted comprehensive search onboard and apprehended another four perpetrators. The perpetrators were charged under Violation of Article 122 of the revised Penal Code as Amended by R.A 7659- Piracy in General and Mutiny on the High Seas or in Philippine waters.</x:v>
      </x:c>
      <x:c r="T321" s="42" t="str"/>
      <x:c r="U321" s="42" t="str"/>
      <x:c r="V321" s="42" t="str"/>
      <x:c r="W321" s="42" t="str"/>
      <x:c r="X321" s="42" t="str"/>
      <x:c r="Y321" s="42" t="str"/>
      <x:c r="Z321" s="42" t="str"/>
      <x:c r="AA321" s="42" t="str">
        <x:v>https://www.recaap.org/alerts</x:v>
      </x:c>
      <x:c r="AB321" s="42" t="str">
        <x:v>Needs canonical event resolution</x:v>
      </x:c>
      <x:c r="AC321" s="42" t="str">
        <x:v>Flag: PANAMA</x:v>
      </x:c>
    </x:row>
    <x:row r="322">
      <x:c r="A322" s="42" t="str">
        <x:v>OBS_000321</x:v>
      </x:c>
      <x:c r="B322" s="42" t="str"/>
      <x:c r="C322" s="42" t="str">
        <x:v>recaap_incidents_2024_2026</x:v>
      </x:c>
      <x:c r="D322" s="42" t="str">
        <x:v>2025-1</x:v>
      </x:c>
      <x:c r="E322" s="42" t="str">
        <x:v>2025-12-25</x:v>
      </x:c>
      <x:c r="F322" s="42" t="str">
        <x:v>Maritime Crime</x:v>
      </x:c>
      <x:c r="G322" s="42" t="str">
        <x:v>Robbery/ Theft</x:v>
      </x:c>
      <x:c r="H322" s="42" t="str">
        <x:v>4</x:v>
      </x:c>
      <x:c r="I322" s="42" t="str">
        <x:v>Maritime</x:v>
      </x:c>
      <x:c r="J322" s="42" t="str">
        <x:v>Straits of Malacca &amp; Singapore</x:v>
      </x:c>
      <x:c r="K322" s="42" t="str"/>
      <x:c r="L322" s="42" t="str">
        <x:v>In the eastbound lane of the Traffic Separation Scheme (TSS)</x:v>
      </x:c>
      <x:c r="M322" s="42" t="str">
        <x:v>1.206333</x:v>
      </x:c>
      <x:c r="N322" s="42" t="str">
        <x:v>103.914667</x:v>
      </x:c>
      <x:c r="O322" s="42" t="str">
        <x:v>HK Tug 8 &amp; LKH 2882</x:v>
      </x:c>
      <x:c r="P322" s="42" t="str"/>
      <x:c r="Q322" s="42" t="str">
        <x:v>TUG BOAT &amp; BARGE</x:v>
      </x:c>
      <x:c r="R322" s="42" t="str"/>
      <x:c r="S322" s="42" t="str">
        <x:v>While underway, nine perpetrators from three sampans were sighted alongside the barge removing scrap metals while the tug and barge were enroute from Singapore to Vietnam. After observing that all nine perpetrators had departed the barge, the master resumed the eastbound passage. At 1510 hrs, three sampans with nine perpetrators were again observed alongside barge taking scrap metals. At 1525 hrs, the three sampans departed from the barge. The crew was not injured. The master reported the incident to Singapore Vessel Traffic Information System (VTIS). Safety broadcast on anti-piracy watch was initiated to remind all vessels to maintain vigilance.</x:v>
      </x:c>
      <x:c r="T322" s="42" t="str"/>
      <x:c r="U322" s="42" t="str"/>
      <x:c r="V322" s="42" t="str"/>
      <x:c r="W322" s="42" t="str">
        <x:v>While Sailing</x:v>
      </x:c>
      <x:c r="X322" s="42" t="str"/>
      <x:c r="Y322" s="42" t="str"/>
      <x:c r="Z322" s="42" t="str"/>
      <x:c r="AA322" s="42" t="str">
        <x:v>https://www.recaap.org/alerts</x:v>
      </x:c>
      <x:c r="AB322" s="42" t="str">
        <x:v>Needs canonical event resolution</x:v>
      </x:c>
      <x:c r="AC322" s="42" t="str">
        <x:v>Flag: SINGAPORE</x:v>
      </x:c>
    </x:row>
    <x:row r="323">
      <x:c r="A323" s="42" t="str">
        <x:v>OBS_000322</x:v>
      </x:c>
      <x:c r="B323" s="42" t="str"/>
      <x:c r="C323" s="42" t="str">
        <x:v>recaap_incidents_2024_2026</x:v>
      </x:c>
      <x:c r="D323" s="42" t="str">
        <x:v>2025-2</x:v>
      </x:c>
      <x:c r="E323" s="42" t="str">
        <x:v>2025-12-22</x:v>
      </x:c>
      <x:c r="F323" s="42" t="str">
        <x:v>Maritime Crime</x:v>
      </x:c>
      <x:c r="G323" s="42" t="str">
        <x:v>Robbery/ Theft</x:v>
      </x:c>
      <x:c r="H323" s="42" t="str">
        <x:v>3</x:v>
      </x:c>
      <x:c r="I323" s="42" t="str">
        <x:v>Maritime</x:v>
      </x:c>
      <x:c r="J323" s="42" t="str">
        <x:v>Indonesia (Ports/Anchorages)</x:v>
      </x:c>
      <x:c r="K323" s="42" t="str"/>
      <x:c r="L323" s="42" t="str">
        <x:v>Tangkil Island Anchorage, Indonesia</x:v>
      </x:c>
      <x:c r="M323" s="42" t="str">
        <x:v>-5.52</x:v>
      </x:c>
      <x:c r="N323" s="42" t="str">
        <x:v>105.288167</x:v>
      </x:c>
      <x:c r="O323" s="42" t="str">
        <x:v>Saphira</x:v>
      </x:c>
      <x:c r="P323" s="42" t="str"/>
      <x:c r="Q323" s="42" t="str">
        <x:v>BULK CARRIER</x:v>
      </x:c>
      <x:c r="R323" s="42" t="str"/>
      <x:c r="S323" s="42" t="str">
        <x:v>At Anchor While at anchor, the duty crew on routine rounds spotted ropes attached with hooks on the poop deck railings and immediately informed the bridge. Alarm was raised and crew mustered. Four perpetrators armed with knives were sighted escaping with stolen engine spares. The crew members were not injured. The incident was reported to port authority through local agent. PRC relayed the message to Indonesia Marine Police HQ.</x:v>
      </x:c>
      <x:c r="T323" s="42" t="str"/>
      <x:c r="U323" s="42" t="str"/>
      <x:c r="V323" s="42" t="str"/>
      <x:c r="W323" s="42" t="str"/>
      <x:c r="X323" s="42" t="str"/>
      <x:c r="Y323" s="42" t="str"/>
      <x:c r="Z323" s="42" t="str"/>
      <x:c r="AA323" s="42" t="str">
        <x:v>https://www.recaap.org/alerts</x:v>
      </x:c>
      <x:c r="AB323" s="42" t="str">
        <x:v>Needs canonical event resolution</x:v>
      </x:c>
      <x:c r="AC323" s="42" t="str">
        <x:v>Flag: LIBERIA</x:v>
      </x:c>
    </x:row>
    <x:row r="324">
      <x:c r="A324" s="42" t="str">
        <x:v>OBS_000323</x:v>
      </x:c>
      <x:c r="B324" s="42" t="str"/>
      <x:c r="C324" s="42" t="str">
        <x:v>recaap_incidents_2024_2026</x:v>
      </x:c>
      <x:c r="D324" s="42" t="str">
        <x:v>2025-3</x:v>
      </x:c>
      <x:c r="E324" s="42" t="str">
        <x:v>2025-12-21</x:v>
      </x:c>
      <x:c r="F324" s="42" t="str">
        <x:v>Maritime Crime</x:v>
      </x:c>
      <x:c r="G324" s="42" t="str">
        <x:v>Robbery/ Theft</x:v>
      </x:c>
      <x:c r="H324" s="42" t="str">
        <x:v>4</x:v>
      </x:c>
      <x:c r="I324" s="42" t="str">
        <x:v>Maritime</x:v>
      </x:c>
      <x:c r="J324" s="42" t="str">
        <x:v>Straits of Malacca &amp; Singapore</x:v>
      </x:c>
      <x:c r="K324" s="42" t="str"/>
      <x:c r="L324" s="42" t="str">
        <x:v>Approximately 2.66 nm from Pulau Ramunia (Malaysia), in the westbound lane of the TSS</x:v>
      </x:c>
      <x:c r="M324" s="42" t="str">
        <x:v>1.3085</x:v>
      </x:c>
      <x:c r="N324" s="42" t="str">
        <x:v>104.251167</x:v>
      </x:c>
      <x:c r="O324" s="42" t="str">
        <x:v>Jin Hwa 47 &amp; Jin Hwa 48</x:v>
      </x:c>
      <x:c r="P324" s="42" t="str"/>
      <x:c r="Q324" s="42" t="str">
        <x:v>TUG BOAT &amp; BARGE</x:v>
      </x:c>
      <x:c r="R324" s="42" t="str"/>
      <x:c r="S324" s="42" t="str">
        <x:v>While underway, the master reported that two motorised small boats with five perpetrators onboard came alongside the barge. Four perpetrators were sighted stealing iron scrap from the barge. One of the small boats came alongside for a second time with three perpetrators and transferred scrap metals to the sampan. The master immediately mustered the crew and reported the incident to the shipping company and Singapore Police Coast Guard (PCG). Singapore PCG arrived at the spot and assisted by shadowing the barge. There was no confrontation with the perpetrators and no injuries to the crew. Some scrap metals were reported stolen.</x:v>
      </x:c>
      <x:c r="T324" s="42" t="str"/>
      <x:c r="U324" s="42" t="str"/>
      <x:c r="V324" s="42" t="str"/>
      <x:c r="W324" s="42" t="str">
        <x:v>While Sailing</x:v>
      </x:c>
      <x:c r="X324" s="42" t="str"/>
      <x:c r="Y324" s="42" t="str"/>
      <x:c r="Z324" s="42" t="str"/>
      <x:c r="AA324" s="42" t="str">
        <x:v>https://www.recaap.org/alerts</x:v>
      </x:c>
      <x:c r="AB324" s="42" t="str">
        <x:v>Needs canonical event resolution</x:v>
      </x:c>
      <x:c r="AC324" s="42" t="str">
        <x:v>Flag: MALAYSIA</x:v>
      </x:c>
    </x:row>
    <x:row r="325">
      <x:c r="A325" s="42" t="str">
        <x:v>OBS_000324</x:v>
      </x:c>
      <x:c r="B325" s="42" t="str"/>
      <x:c r="C325" s="42" t="str">
        <x:v>recaap_incidents_2024_2026</x:v>
      </x:c>
      <x:c r="D325" s="42" t="str">
        <x:v>2025-4</x:v>
      </x:c>
      <x:c r="E325" s="42" t="str">
        <x:v>2025-12-17</x:v>
      </x:c>
      <x:c r="F325" s="42" t="str">
        <x:v>Maritime Crime</x:v>
      </x:c>
      <x:c r="G325" s="42" t="str">
        <x:v>Robbery/ Theft</x:v>
      </x:c>
      <x:c r="H325" s="42" t="str">
        <x:v>3</x:v>
      </x:c>
      <x:c r="I325" s="42" t="str">
        <x:v>Maritime</x:v>
      </x:c>
      <x:c r="J325" s="42" t="str">
        <x:v>Straits of Malacca &amp; Singapore</x:v>
      </x:c>
      <x:c r="K325" s="42" t="str"/>
      <x:c r="L325" s="42" t="str">
        <x:v>Approximately 5.4 nm from Pulau Cula (Indonesia), in the eastbound lane of the TSS</x:v>
      </x:c>
      <x:c r="M325" s="42" t="str">
        <x:v>1.055333</x:v>
      </x:c>
      <x:c r="N325" s="42" t="str">
        <x:v>103.623</x:v>
      </x:c>
      <x:c r="O325" s="42" t="str">
        <x:v>Eco Diagon Alley</x:v>
      </x:c>
      <x:c r="P325" s="42" t="str"/>
      <x:c r="Q325" s="42" t="str">
        <x:v>BULK CARRIER</x:v>
      </x:c>
      <x:c r="R325" s="42" t="str"/>
      <x:c r="S325" s="42" t="str">
        <x:v>While underway, the master reported that three perpetrators with batons were sighted in the engine room. The ship’s general alarm was activated and the crew mustered. A search was conducted with no perpetrators found onboard. All crew members were accounted for and without injury. Some engine spare parts were reported stolen. The master reported the incident to Singapore VTIS. Safety broadcast on anti-piracy watch was initiated to remind all vessels to maintain vigilance. The Republic of Singapore Navy’s (RSN) Maritime Security Task Force (MSTF) and Singapore PCG were notified of the incident. Information of the incident was shared with the Indonesian authorities. Upon arrival in Singapore, Singapore PCG boarded the vessel for security check with no perpetrators found.</x:v>
      </x:c>
      <x:c r="T325" s="42" t="str"/>
      <x:c r="U325" s="42" t="str"/>
      <x:c r="V325" s="42" t="str"/>
      <x:c r="W325" s="42" t="str">
        <x:v>While Sailing</x:v>
      </x:c>
      <x:c r="X325" s="42" t="str"/>
      <x:c r="Y325" s="42" t="str"/>
      <x:c r="Z325" s="42" t="str"/>
      <x:c r="AA325" s="42" t="str">
        <x:v>https://www.recaap.org/alerts</x:v>
      </x:c>
      <x:c r="AB325" s="42" t="str">
        <x:v>Needs canonical event resolution</x:v>
      </x:c>
      <x:c r="AC325" s="42" t="str">
        <x:v>Flag: LIBERIA</x:v>
      </x:c>
    </x:row>
    <x:row r="326">
      <x:c r="A326" s="42" t="str">
        <x:v>OBS_000325</x:v>
      </x:c>
      <x:c r="B326" s="42" t="str"/>
      <x:c r="C326" s="42" t="str">
        <x:v>recaap_incidents_2024_2026</x:v>
      </x:c>
      <x:c r="D326" s="42" t="str">
        <x:v>2025-5</x:v>
      </x:c>
      <x:c r="E326" s="42" t="str">
        <x:v>2025-12-15</x:v>
      </x:c>
      <x:c r="F326" s="42" t="str">
        <x:v>Maritime Crime</x:v>
      </x:c>
      <x:c r="G326" s="42" t="str">
        <x:v>Robbery/ Theft</x:v>
      </x:c>
      <x:c r="H326" s="42" t="str">
        <x:v>3</x:v>
      </x:c>
      <x:c r="I326" s="42" t="str">
        <x:v>Maritime</x:v>
      </x:c>
      <x:c r="J326" s="42" t="str">
        <x:v>Straits of Malacca &amp; Singapore</x:v>
      </x:c>
      <x:c r="K326" s="42" t="str"/>
      <x:c r="L326" s="42" t="str">
        <x:v>Approximately 2.74 nm from Pulau Cula (Indonesia), in the eastbound lane of the TSS</x:v>
      </x:c>
      <x:c r="M326" s="42" t="str">
        <x:v>1.071333</x:v>
      </x:c>
      <x:c r="N326" s="42" t="str">
        <x:v>103.6775</x:v>
      </x:c>
      <x:c r="O326" s="42" t="str">
        <x:v>Bulk Sydney</x:v>
      </x:c>
      <x:c r="P326" s="42" t="str"/>
      <x:c r="Q326" s="42" t="str">
        <x:v>BULK CARRIER</x:v>
      </x:c>
      <x:c r="R326" s="42" t="str"/>
      <x:c r="S326" s="42" t="str">
        <x:v>While underway, the 2nd engineer sighted four perpetrators the steering gear room without armed with knives at confrontation. The ship alarm was raised and deck lighting was switched on. A search was conducted with no perpetrators found onboard. All crew members were accounted for and without injury. Some engine spare parts were stolen. The master reported the incident to Singapore VTIS. Safety broadcast on anti-piracy watch was initiated to warn all vessels to always maintain a vigilant watch in the Singapore Strait (SS). The RSN and Singapore PCG were notified of the incident. Singapore PCG boarded the vessel for security check at Singapore Anchorage with no sighting of perpetrators. Information of the incident was shared with the Indonesian authority.</x:v>
      </x:c>
      <x:c r="T326" s="42" t="str"/>
      <x:c r="U326" s="42" t="str"/>
      <x:c r="V326" s="42" t="str"/>
      <x:c r="W326" s="42" t="str">
        <x:v>While Sailing</x:v>
      </x:c>
      <x:c r="X326" s="42" t="str"/>
      <x:c r="Y326" s="42" t="str"/>
      <x:c r="Z326" s="42" t="str"/>
      <x:c r="AA326" s="42" t="str">
        <x:v>https://www.recaap.org/alerts</x:v>
      </x:c>
      <x:c r="AB326" s="42" t="str">
        <x:v>Needs canonical event resolution</x:v>
      </x:c>
      <x:c r="AC326" s="42" t="str">
        <x:v>Flag: LIBERIA</x:v>
      </x:c>
    </x:row>
    <x:row r="327">
      <x:c r="A327" s="42" t="str">
        <x:v>OBS_000326</x:v>
      </x:c>
      <x:c r="B327" s="42" t="str"/>
      <x:c r="C327" s="42" t="str">
        <x:v>recaap_incidents_2024_2026</x:v>
      </x:c>
      <x:c r="D327" s="42" t="str">
        <x:v>2025-6</x:v>
      </x:c>
      <x:c r="E327" s="42" t="str">
        <x:v>2025-12-13</x:v>
      </x:c>
      <x:c r="F327" s="42" t="str">
        <x:v>Maritime Crime</x:v>
      </x:c>
      <x:c r="G327" s="42" t="str">
        <x:v>Robbery/ Theft</x:v>
      </x:c>
      <x:c r="H327" s="42" t="str">
        <x:v>4</x:v>
      </x:c>
      <x:c r="I327" s="42" t="str">
        <x:v>Maritime</x:v>
      </x:c>
      <x:c r="J327" s="42" t="str">
        <x:v>Straits of Malacca &amp; Singapore</x:v>
      </x:c>
      <x:c r="K327" s="42" t="str"/>
      <x:c r="L327" s="42" t="str">
        <x:v>Approximately 4.8 nm from Batu Behanti beacon (Indonesia), in the eastbound lane of the TSS</x:v>
      </x:c>
      <x:c r="M327" s="42" t="str">
        <x:v>1.2275</x:v>
      </x:c>
      <x:c r="N327" s="42" t="str">
        <x:v>103.984667</x:v>
      </x:c>
      <x:c r="O327" s="42" t="str">
        <x:v>Highline 59 &amp; Highline 58</x:v>
      </x:c>
      <x:c r="P327" s="42" t="str"/>
      <x:c r="Q327" s="42" t="str">
        <x:v>TUG BOAT &amp; BARGE</x:v>
      </x:c>
      <x:c r="R327" s="42" t="str"/>
      <x:c r="S327" s="42" t="str">
        <x:v>While underway, two sampans were sighted alongside the towing barge and about 15 to 20 perpetrators were onboard the barge. The perpetrators then left the barge with some scrap metals. All crew members were accounted for with no injuries and no assistance required. The master immediately reported the incident to Singapore VTIS. Safety broadcast on anti-piracy watch was initiated to remind all vessels to maintain vigilance.</x:v>
      </x:c>
      <x:c r="T327" s="42" t="str"/>
      <x:c r="U327" s="42" t="str"/>
      <x:c r="V327" s="42" t="str"/>
      <x:c r="W327" s="42" t="str">
        <x:v>While Sailing</x:v>
      </x:c>
      <x:c r="X327" s="42" t="str"/>
      <x:c r="Y327" s="42" t="str"/>
      <x:c r="Z327" s="42" t="str"/>
      <x:c r="AA327" s="42" t="str">
        <x:v>https://www.recaap.org/alerts</x:v>
      </x:c>
      <x:c r="AB327" s="42" t="str">
        <x:v>Needs canonical event resolution</x:v>
      </x:c>
      <x:c r="AC327" s="42" t="str">
        <x:v>Flag: MALAYSIA</x:v>
      </x:c>
    </x:row>
    <x:row r="328">
      <x:c r="A328" s="42" t="str">
        <x:v>OBS_000327</x:v>
      </x:c>
      <x:c r="B328" s="42" t="str"/>
      <x:c r="C328" s="42" t="str">
        <x:v>recaap_incidents_2024_2026</x:v>
      </x:c>
      <x:c r="D328" s="42" t="str">
        <x:v>2025-7</x:v>
      </x:c>
      <x:c r="E328" s="42" t="str">
        <x:v>2025-11-27</x:v>
      </x:c>
      <x:c r="F328" s="42" t="str">
        <x:v>Maritime Crime</x:v>
      </x:c>
      <x:c r="G328" s="42" t="str">
        <x:v>Robbery/ Theft</x:v>
      </x:c>
      <x:c r="H328" s="42" t="str">
        <x:v>4</x:v>
      </x:c>
      <x:c r="I328" s="42" t="str">
        <x:v>Maritime</x:v>
      </x:c>
      <x:c r="J328" s="42" t="str">
        <x:v>Straits of Malacca &amp; Singapore</x:v>
      </x:c>
      <x:c r="K328" s="42" t="str"/>
      <x:c r="L328" s="42" t="str">
        <x:v>Off Batu Berhanti (Indonesia), in the eastbound lane of the TSS</x:v>
      </x:c>
      <x:c r="M328" s="42" t="str">
        <x:v>1.204</x:v>
      </x:c>
      <x:c r="N328" s="42" t="str">
        <x:v>103.908667</x:v>
      </x:c>
      <x:c r="O328" s="42" t="str">
        <x:v>HK Tug 8 &amp; LKH 2882</x:v>
      </x:c>
      <x:c r="P328" s="42" t="str"/>
      <x:c r="Q328" s="42" t="str">
        <x:v>TUG BOAT &amp; BARGE</x:v>
      </x:c>
      <x:c r="R328" s="42" t="str"/>
      <x:c r="S328" s="42" t="str">
        <x:v>While the tug boat towing barge was underway, the master reported to Singapore VTIS that a small boat with four to five perpetrators was alongside the barge and were removing the scrap metal on the barge. Over the next hour, several other small boats arrived and departed in phases, with a peak of seven boats engaged in In total, removing the scrap metal from the barge. approximately 45 perpetrators in 11 small boats were observed. Singapore VTIS was kept updated and crew safety was confirmed throughout. The company subsequently instructed the master to cross towards Singapore. The small boats later dispersed upon the approach of a Singapore PCG vessel. A small boat tried to return but escaped following the intervention of the Singapore PCG vessel. The tug boat and barge subsequently resumed their voyage to Vietnam. All crew members were accounted for, with no injuries reported. Safety broadcasts on anti-piracy watch were issued to remind all vessels to maintain vigilance.</x:v>
      </x:c>
      <x:c r="T328" s="42" t="str"/>
      <x:c r="U328" s="42" t="str"/>
      <x:c r="V328" s="42" t="str"/>
      <x:c r="W328" s="42" t="str">
        <x:v>While Sailing</x:v>
      </x:c>
      <x:c r="X328" s="42" t="str"/>
      <x:c r="Y328" s="42" t="str"/>
      <x:c r="Z328" s="42" t="str"/>
      <x:c r="AA328" s="42" t="str">
        <x:v>https://www.recaap.org/alerts</x:v>
      </x:c>
      <x:c r="AB328" s="42" t="str">
        <x:v>Needs canonical event resolution</x:v>
      </x:c>
      <x:c r="AC328" s="42" t="str">
        <x:v>Flag: SINGAPORE</x:v>
      </x:c>
    </x:row>
    <x:row r="329">
      <x:c r="A329" s="42" t="str">
        <x:v>OBS_000328</x:v>
      </x:c>
      <x:c r="B329" s="42" t="str"/>
      <x:c r="C329" s="42" t="str">
        <x:v>recaap_incidents_2024_2026</x:v>
      </x:c>
      <x:c r="D329" s="42" t="str">
        <x:v>2025-8</x:v>
      </x:c>
      <x:c r="E329" s="42" t="str">
        <x:v>2025-11-24</x:v>
      </x:c>
      <x:c r="F329" s="42" t="str">
        <x:v>Maritime Crime</x:v>
      </x:c>
      <x:c r="G329" s="42" t="str">
        <x:v>Robbery/ Theft</x:v>
      </x:c>
      <x:c r="H329" s="42" t="str">
        <x:v>3</x:v>
      </x:c>
      <x:c r="I329" s="42" t="str">
        <x:v>Maritime</x:v>
      </x:c>
      <x:c r="J329" s="42" t="str">
        <x:v>Straits of Malacca &amp; Singapore</x:v>
      </x:c>
      <x:c r="K329" s="42" t="str"/>
      <x:c r="L329" s="42" t="str">
        <x:v>Approximately 1.8 nm off Pulau Cula (Indonesia), in the eastbound lane of the TSS</x:v>
      </x:c>
      <x:c r="M329" s="42" t="str">
        <x:v>1.0665</x:v>
      </x:c>
      <x:c r="N329" s="42" t="str">
        <x:v>103.696833</x:v>
      </x:c>
      <x:c r="O329" s="42" t="str">
        <x:v>Fyla</x:v>
      </x:c>
      <x:c r="P329" s="42" t="str"/>
      <x:c r="Q329" s="42" t="str">
        <x:v>BULK CARRIER</x:v>
      </x:c>
      <x:c r="R329" s="42" t="str"/>
      <x:c r="S329" s="42" t="str">
        <x:v>While underway, two perpetrators armed with knives were sighted at the accommodation deck. The master raised the general alarm and mustered all crew. The perpetrators escaped upon being discovered. The master conducted a search and found no sighting of the perpetrators. All crew were accounted for and with no injury. Nothing was stolen. The master reported the incident to Singapore VTIS West. Safety broadcast on anti-piracy watch was initiated to warn all vessels to maintain a vigilant watch at all times in the SS. The RSN’s MSTF and Singapore PCG were notified of the incident. Information of the incident was shared with the Indonesian authorities. Upon arrival in Singapore, the PCG boarded the ship to conduct investigation. No sighting of perpetrators.</x:v>
      </x:c>
      <x:c r="T329" s="42" t="str"/>
      <x:c r="U329" s="42" t="str"/>
      <x:c r="V329" s="42" t="str"/>
      <x:c r="W329" s="42" t="str">
        <x:v>While Sailing</x:v>
      </x:c>
      <x:c r="X329" s="42" t="str"/>
      <x:c r="Y329" s="42" t="str"/>
      <x:c r="Z329" s="42" t="str"/>
      <x:c r="AA329" s="42" t="str">
        <x:v>https://www.recaap.org/alerts</x:v>
      </x:c>
      <x:c r="AB329" s="42" t="str">
        <x:v>Needs canonical event resolution</x:v>
      </x:c>
      <x:c r="AC329" s="42" t="str">
        <x:v>Flag: CYPRUS</x:v>
      </x:c>
    </x:row>
    <x:row r="330">
      <x:c r="A330" s="42" t="str">
        <x:v>OBS_000329</x:v>
      </x:c>
      <x:c r="B330" s="42" t="str"/>
      <x:c r="C330" s="42" t="str">
        <x:v>recaap_incidents_2024_2026</x:v>
      </x:c>
      <x:c r="D330" s="42" t="str">
        <x:v>2025-9</x:v>
      </x:c>
      <x:c r="E330" s="42" t="str">
        <x:v>2025-11-20</x:v>
      </x:c>
      <x:c r="F330" s="42" t="str">
        <x:v>Maritime Crime</x:v>
      </x:c>
      <x:c r="G330" s="42" t="str">
        <x:v>Robbery/ Theft</x:v>
      </x:c>
      <x:c r="H330" s="42" t="str">
        <x:v>4</x:v>
      </x:c>
      <x:c r="I330" s="42" t="str">
        <x:v>Maritime</x:v>
      </x:c>
      <x:c r="J330" s="42" t="str">
        <x:v>Straits of Malacca &amp; Singapore</x:v>
      </x:c>
      <x:c r="K330" s="42" t="str"/>
      <x:c r="L330" s="42" t="str">
        <x:v>Approximately 4 nm off Tanjung Sengkuang (Indonesia), in the eastbound lane of the TSS</x:v>
      </x:c>
      <x:c r="M330" s="42" t="str">
        <x:v>1.236</x:v>
      </x:c>
      <x:c r="N330" s="42" t="str">
        <x:v>103.974333</x:v>
      </x:c>
      <x:c r="O330" s="42" t="str">
        <x:v>HK Tug 9 &amp; LKH 7887</x:v>
      </x:c>
      <x:c r="P330" s="42" t="str"/>
      <x:c r="Q330" s="42" t="str">
        <x:v>TUG BOAT &amp; BARGE</x:v>
      </x:c>
      <x:c r="R330" s="42" t="str"/>
      <x:c r="S330" s="42" t="str">
        <x:v>While the tug boat towing barge was underway, three perpetrators in four sampans came alongside and removed scrap metal from the towed barge. The crew was not injured, and no assistance was required. The tug boat and barge were en route from Singapore to Vietnam. Safety broadcast on anti-piracy watch was initiated to warn all vessels to maintain a vigilant watch at all times in the SS. The RSN’s MSTF and Singapore PCG were notified of the incident.</x:v>
      </x:c>
      <x:c r="T330" s="42" t="str"/>
      <x:c r="U330" s="42" t="str"/>
      <x:c r="V330" s="42" t="str"/>
      <x:c r="W330" s="42" t="str">
        <x:v>While Sailing</x:v>
      </x:c>
      <x:c r="X330" s="42" t="str"/>
      <x:c r="Y330" s="42" t="str"/>
      <x:c r="Z330" s="42" t="str"/>
      <x:c r="AA330" s="42" t="str">
        <x:v>https://www.recaap.org/alerts</x:v>
      </x:c>
      <x:c r="AB330" s="42" t="str">
        <x:v>Needs canonical event resolution</x:v>
      </x:c>
      <x:c r="AC330" s="42" t="str">
        <x:v>Flag: SINGAPORE</x:v>
      </x:c>
    </x:row>
    <x:row r="331">
      <x:c r="A331" s="42" t="str">
        <x:v>OBS_000330</x:v>
      </x:c>
      <x:c r="B331" s="42" t="str"/>
      <x:c r="C331" s="42" t="str">
        <x:v>recaap_incidents_2024_2026</x:v>
      </x:c>
      <x:c r="D331" s="42" t="str">
        <x:v>2025-11</x:v>
      </x:c>
      <x:c r="E331" s="42" t="str">
        <x:v>2025-11-16</x:v>
      </x:c>
      <x:c r="F331" s="42" t="str">
        <x:v>Maritime Crime</x:v>
      </x:c>
      <x:c r="G331" s="42" t="str">
        <x:v>Robbery/ Theft</x:v>
      </x:c>
      <x:c r="H331" s="42" t="str">
        <x:v>4</x:v>
      </x:c>
      <x:c r="I331" s="42" t="str">
        <x:v>Maritime</x:v>
      </x:c>
      <x:c r="J331" s="42" t="str">
        <x:v>Straits of Malacca &amp; Singapore</x:v>
      </x:c>
      <x:c r="K331" s="42" t="str"/>
      <x:c r="L331" s="42" t="str">
        <x:v>Approximately 6 nm off Pulau Cula (Indonesia), in the eastbound lane of the TSS</x:v>
      </x:c>
      <x:c r="M331" s="42" t="str">
        <x:v>1.067667</x:v>
      </x:c>
      <x:c r="N331" s="42" t="str">
        <x:v>103.614167</x:v>
      </x:c>
      <x:c r="O331" s="42" t="str">
        <x:v>Pedhoulas Fighter</x:v>
      </x:c>
      <x:c r="P331" s="42" t="str"/>
      <x:c r="Q331" s="42" t="str">
        <x:v>BULK CARRIER</x:v>
      </x:c>
      <x:c r="R331" s="42" t="str"/>
      <x:c r="S331" s="42" t="str">
        <x:v>While underway, the crew discovered that the padlock leading to the engine room store was found broken. Some footprints were also sighted in the engine room. A search onboard was conducted, with no sighting of perpetrators. All crew members were accounted for, with no injury reported. Some engine spare parts and fire hydrant nozzles were stolen from the engine room store. The ship subsequently anchored at Eastern Bunkering Bravo and the master reported the incident to Singapore VTIS. Safety broadcast on anti-piracy watch was initiated to alert all mariners. The RSN’s MSTF and Singapore PCG were notified of the incident. Information of the incident was shared with the Indonesian authorities. Singapore PCG subsequently boarded the ship for security search, with no perpetrators found onboard.</x:v>
      </x:c>
      <x:c r="T331" s="42" t="str"/>
      <x:c r="U331" s="42" t="str"/>
      <x:c r="V331" s="42" t="str"/>
      <x:c r="W331" s="42" t="str">
        <x:v>While Sailing</x:v>
      </x:c>
      <x:c r="X331" s="42" t="str"/>
      <x:c r="Y331" s="42" t="str"/>
      <x:c r="Z331" s="42" t="str"/>
      <x:c r="AA331" s="42" t="str">
        <x:v>https://www.recaap.org/alerts</x:v>
      </x:c>
      <x:c r="AB331" s="42" t="str">
        <x:v>Needs canonical event resolution</x:v>
      </x:c>
      <x:c r="AC331" s="42" t="str">
        <x:v>Flag: CYPRUS</x:v>
      </x:c>
    </x:row>
    <x:row r="332">
      <x:c r="A332" s="42" t="str">
        <x:v>OBS_000331</x:v>
      </x:c>
      <x:c r="B332" s="42" t="str"/>
      <x:c r="C332" s="42" t="str">
        <x:v>recaap_incidents_2024_2026</x:v>
      </x:c>
      <x:c r="D332" s="42" t="str">
        <x:v>2025-10</x:v>
      </x:c>
      <x:c r="E332" s="42" t="str">
        <x:v>2025-11-16</x:v>
      </x:c>
      <x:c r="F332" s="42" t="str">
        <x:v>Maritime Crime</x:v>
      </x:c>
      <x:c r="G332" s="42" t="str">
        <x:v>Robbery/ Theft</x:v>
      </x:c>
      <x:c r="H332" s="42" t="str">
        <x:v>3</x:v>
      </x:c>
      <x:c r="I332" s="42" t="str">
        <x:v>Maritime</x:v>
      </x:c>
      <x:c r="J332" s="42" t="str">
        <x:v>Straits of Malacca &amp; Singapore</x:v>
      </x:c>
      <x:c r="K332" s="42" t="str"/>
      <x:c r="L332" s="42" t="str">
        <x:v>Approximately 2.4 nm off Pulau Cula (Indonesia), in the eastbound lane of the TSS</x:v>
      </x:c>
      <x:c r="M332" s="42" t="str">
        <x:v>1.075</x:v>
      </x:c>
      <x:c r="N332" s="42" t="str">
        <x:v>103.708333</x:v>
      </x:c>
      <x:c r="O332" s="42" t="str">
        <x:v>Fairchem Mako</x:v>
      </x:c>
      <x:c r="P332" s="42" t="str"/>
      <x:c r="Q332" s="42" t="str">
        <x:v>CHEMICAL TANKER</x:v>
      </x:c>
      <x:c r="R332" s="42" t="str"/>
      <x:c r="S332" s="42" t="str">
        <x:v>While underway, two perpetrators armed with swords were sighted by ship crew in the engine room. Upon seeing the crew, the perpetrators immediately ran out to the poop deck and escaped. The master raised the general alarm and ship crew was mustered. A search onboard was conducted, with no further sighting of perpetrators. All crew members were accounted for, with no injury reported. Some auxiliary further engine spare parts were reported missing. No assistance was required. The master reported the incident to Singapore VTIS. Safety broadcast on anti-piracy watch was initiated to alert all mariners. The RSN’s MSTF and Singapore PCG were notified of the incident. Information of the incident was shared with the Indonesian authorities.</x:v>
      </x:c>
      <x:c r="T332" s="42" t="str"/>
      <x:c r="U332" s="42" t="str"/>
      <x:c r="V332" s="42" t="str"/>
      <x:c r="W332" s="42" t="str">
        <x:v>While Sailing</x:v>
      </x:c>
      <x:c r="X332" s="42" t="str"/>
      <x:c r="Y332" s="42" t="str"/>
      <x:c r="Z332" s="42" t="str"/>
      <x:c r="AA332" s="42" t="str">
        <x:v>https://www.recaap.org/alerts</x:v>
      </x:c>
      <x:c r="AB332" s="42" t="str">
        <x:v>Needs canonical event resolution</x:v>
      </x:c>
      <x:c r="AC332" s="42" t="str">
        <x:v>Flag: MARSHALL ISLANDS</x:v>
      </x:c>
    </x:row>
    <x:row r="333">
      <x:c r="A333" s="42" t="str">
        <x:v>OBS_000332</x:v>
      </x:c>
      <x:c r="B333" s="42" t="str"/>
      <x:c r="C333" s="42" t="str">
        <x:v>recaap_incidents_2024_2026</x:v>
      </x:c>
      <x:c r="D333" s="42" t="str">
        <x:v>2025-12</x:v>
      </x:c>
      <x:c r="E333" s="42" t="str">
        <x:v>2025-11-14</x:v>
      </x:c>
      <x:c r="F333" s="42" t="str">
        <x:v>Maritime Crime</x:v>
      </x:c>
      <x:c r="G333" s="42" t="str">
        <x:v>Robbery/ Theft</x:v>
      </x:c>
      <x:c r="H333" s="42" t="str">
        <x:v>4</x:v>
      </x:c>
      <x:c r="I333" s="42" t="str">
        <x:v>Maritime</x:v>
      </x:c>
      <x:c r="J333" s="42" t="str">
        <x:v>Indonesia (Ports/Anchorages)</x:v>
      </x:c>
      <x:c r="K333" s="42" t="str"/>
      <x:c r="L333" s="42" t="str">
        <x:v>Belawan Anchorage, Indonesia</x:v>
      </x:c>
      <x:c r="M333" s="42" t="str">
        <x:v>3.931667</x:v>
      </x:c>
      <x:c r="N333" s="42" t="str">
        <x:v>98.753333</x:v>
      </x:c>
      <x:c r="O333" s="42" t="str">
        <x:v>Solar Roma</x:v>
      </x:c>
      <x:c r="P333" s="42" t="str"/>
      <x:c r="Q333" s="42" t="str">
        <x:v>CHEMICAL TANKER</x:v>
      </x:c>
      <x:c r="R333" s="42" t="str"/>
      <x:c r="S333" s="42" t="str">
        <x:v>At Anchor While at anchor, the Officer of the Watch (OOW) was on the bridge conducting routine anchorage checks, when he sighted three unauthorised persons exiting the Bosun's store. The OOW raised the alarm and the crew was mustered, resulting in the perpetrators escaping. The perpetrators were dressed fully in black, one of them was wearing white gloves. They appear to be slim, athletic build and descended easily using rope to disembark from the ship. The crew conducted a search and it was discovered that the padlock of the Bosun's Store had been broken and the store accessed. Some of the ship’s stores were stolen. The crew was not injured.</x:v>
      </x:c>
      <x:c r="T333" s="42" t="str"/>
      <x:c r="U333" s="42" t="str"/>
      <x:c r="V333" s="42" t="str"/>
      <x:c r="W333" s="42" t="str"/>
      <x:c r="X333" s="42" t="str"/>
      <x:c r="Y333" s="42" t="str"/>
      <x:c r="Z333" s="42" t="str"/>
      <x:c r="AA333" s="42" t="str">
        <x:v>https://www.recaap.org/alerts</x:v>
      </x:c>
      <x:c r="AB333" s="42" t="str">
        <x:v>Needs canonical event resolution</x:v>
      </x:c>
      <x:c r="AC333" s="42" t="str">
        <x:v>Flag: LIBERIA</x:v>
      </x:c>
    </x:row>
    <x:row r="334">
      <x:c r="A334" s="42" t="str">
        <x:v>OBS_000333</x:v>
      </x:c>
      <x:c r="B334" s="42" t="str"/>
      <x:c r="C334" s="42" t="str">
        <x:v>recaap_incidents_2024_2026</x:v>
      </x:c>
      <x:c r="D334" s="42" t="str">
        <x:v>2025-13</x:v>
      </x:c>
      <x:c r="E334" s="42" t="str">
        <x:v>2025-10-16</x:v>
      </x:c>
      <x:c r="F334" s="42" t="str">
        <x:v>Maritime Crime</x:v>
      </x:c>
      <x:c r="G334" s="42" t="str">
        <x:v>Robbery/ Theft</x:v>
      </x:c>
      <x:c r="H334" s="42" t="str">
        <x:v>3</x:v>
      </x:c>
      <x:c r="I334" s="42" t="str">
        <x:v>Maritime</x:v>
      </x:c>
      <x:c r="J334" s="42" t="str">
        <x:v>Straits of Malacca &amp; Singapore</x:v>
      </x:c>
      <x:c r="K334" s="42" t="str"/>
      <x:c r="L334" s="42" t="str">
        <x:v>Approximately 7.3 nm off Pulau Cula (Indonesia), in the eastbound lane of the TSS</x:v>
      </x:c>
      <x:c r="M334" s="42" t="str">
        <x:v>1.075</x:v>
      </x:c>
      <x:c r="N334" s="42" t="str">
        <x:v>103.595</x:v>
      </x:c>
      <x:c r="O334" s="42" t="str">
        <x:v>Power Globe</x:v>
      </x:c>
      <x:c r="P334" s="42" t="str"/>
      <x:c r="Q334" s="42" t="str">
        <x:v>BULK CARRIER</x:v>
      </x:c>
      <x:c r="R334" s="42" t="str"/>
      <x:c r="S334" s="42" t="str">
        <x:v>While underway, two perpetrators armed with knives were sighted by the crew in the steering gear room. Upon seeing the crew, the perpetrators escaped immediately. The master raised the general alarm and the crew was mustered. A search onboard was conducted, with no perpetrators found onboard. All crew members were accounted for, with no injury reported. No further assistance was required. The master reported the incident to Singapore VTIS West. Safety broadcast on anti-piracy watch was initiated to warn all vessels to maintain a vigilant watch at all times in the SS. The RSN’s MSTF and Singapore PCG were notified of the incident. Information of the incident was shared with the Indonesian authorities. Singapore PCG subsequently boarded the ship for investigation and security search. Some engine spares were reported missing.</x:v>
      </x:c>
      <x:c r="T334" s="42" t="str"/>
      <x:c r="U334" s="42" t="str"/>
      <x:c r="V334" s="42" t="str"/>
      <x:c r="W334" s="42" t="str">
        <x:v>While Sailing</x:v>
      </x:c>
      <x:c r="X334" s="42" t="str"/>
      <x:c r="Y334" s="42" t="str"/>
      <x:c r="Z334" s="42" t="str"/>
      <x:c r="AA334" s="42" t="str">
        <x:v>https://www.recaap.org/alerts</x:v>
      </x:c>
      <x:c r="AB334" s="42" t="str">
        <x:v>Needs canonical event resolution</x:v>
      </x:c>
      <x:c r="AC334" s="42" t="str">
        <x:v>Flag: CYPRUS</x:v>
      </x:c>
    </x:row>
    <x:row r="335">
      <x:c r="A335" s="42" t="str">
        <x:v>OBS_000334</x:v>
      </x:c>
      <x:c r="B335" s="42" t="str"/>
      <x:c r="C335" s="42" t="str">
        <x:v>recaap_incidents_2024_2026</x:v>
      </x:c>
      <x:c r="D335" s="42" t="str">
        <x:v>2025-14</x:v>
      </x:c>
      <x:c r="E335" s="42" t="str">
        <x:v>2025-09-30</x:v>
      </x:c>
      <x:c r="F335" s="42" t="str">
        <x:v>Maritime Crime</x:v>
      </x:c>
      <x:c r="G335" s="42" t="str">
        <x:v>Robbery/ Theft</x:v>
      </x:c>
      <x:c r="H335" s="42" t="str">
        <x:v>3</x:v>
      </x:c>
      <x:c r="I335" s="42" t="str">
        <x:v>Maritime</x:v>
      </x:c>
      <x:c r="J335" s="42" t="str">
        <x:v>Straits of Malacca &amp; Singapore</x:v>
      </x:c>
      <x:c r="K335" s="42" t="str"/>
      <x:c r="L335" s="42" t="str">
        <x:v>Approximately 4.4 nm off Pulau Cula (Indonesia), in the eastbound lane of the TSS</x:v>
      </x:c>
      <x:c r="M335" s="42" t="str">
        <x:v>1.055833</x:v>
      </x:c>
      <x:c r="N335" s="42" t="str">
        <x:v>103.6405</x:v>
      </x:c>
      <x:c r="O335" s="42" t="str">
        <x:v>Delta Maria</x:v>
      </x:c>
      <x:c r="P335" s="42" t="str"/>
      <x:c r="Q335" s="42" t="str">
        <x:v>CRUDE OIL TANKER</x:v>
      </x:c>
      <x:c r="R335" s="42" t="str"/>
      <x:c r="S335" s="42" t="str">
        <x:v>While underway, three perpetrators had tied up the oiler in the engine room, who witnessed that the perpetrators took some engine spares before they escaped. The oiler managed to free himself and notified the master. The master raised general alarm and mustered all crew. A search was conducted without finding any perpetrators. All crew were accounted for and safe. Some engine spares were stolen. The master reported the incident to Singapore VTIS West. Safety broadcast on anti-piracy watch was initiated to warn all vessels to maintain a vigilant watch at all times in the SS. The RSN and Singapore PCG were notified of the incident. Information of the incident was shared with the Indonesian authorities.</x:v>
      </x:c>
      <x:c r="T335" s="42" t="str"/>
      <x:c r="U335" s="42" t="str"/>
      <x:c r="V335" s="42" t="str"/>
      <x:c r="W335" s="42" t="str">
        <x:v>While Sailing</x:v>
      </x:c>
      <x:c r="X335" s="42" t="str"/>
      <x:c r="Y335" s="42" t="str"/>
      <x:c r="Z335" s="42" t="str"/>
      <x:c r="AA335" s="42" t="str">
        <x:v>https://www.recaap.org/alerts</x:v>
      </x:c>
      <x:c r="AB335" s="42" t="str">
        <x:v>Needs canonical event resolution</x:v>
      </x:c>
      <x:c r="AC335" s="42" t="str">
        <x:v>Flag: MALTA</x:v>
      </x:c>
    </x:row>
    <x:row r="336">
      <x:c r="A336" s="42" t="str">
        <x:v>OBS_000335</x:v>
      </x:c>
      <x:c r="B336" s="42" t="str"/>
      <x:c r="C336" s="42" t="str">
        <x:v>recaap_incidents_2024_2026</x:v>
      </x:c>
      <x:c r="D336" s="42" t="str">
        <x:v>2025-15</x:v>
      </x:c>
      <x:c r="E336" s="42" t="str">
        <x:v>2025-09-23</x:v>
      </x:c>
      <x:c r="F336" s="42" t="str">
        <x:v>Maritime Crime</x:v>
      </x:c>
      <x:c r="G336" s="42" t="str">
        <x:v>Robbery/ Theft</x:v>
      </x:c>
      <x:c r="H336" s="42" t="str">
        <x:v>4</x:v>
      </x:c>
      <x:c r="I336" s="42" t="str">
        <x:v>Maritime</x:v>
      </x:c>
      <x:c r="J336" s="42" t="str">
        <x:v>Philippines (Ports/Anchorages)</x:v>
      </x:c>
      <x:c r="K336" s="42" t="str"/>
      <x:c r="L336" s="42" t="str">
        <x:v>Batangas Anchorage, Philippines</x:v>
      </x:c>
      <x:c r="M336" s="42" t="str">
        <x:v>13.762667</x:v>
      </x:c>
      <x:c r="N336" s="42" t="str">
        <x:v>120.984167</x:v>
      </x:c>
      <x:c r="O336" s="42" t="str">
        <x:v>Vivit Arabia LNG</x:v>
      </x:c>
      <x:c r="P336" s="42" t="str"/>
      <x:c r="Q336" s="42" t="str">
        <x:v>LNG</x:v>
      </x:c>
      <x:c r="R336" s="42" t="str"/>
      <x:c r="S336" s="42" t="str">
        <x:v>crew on patrol spotted two perpetrators near the forecastle area and reported to the bridge immediately. Upon being discovered, the perpetrators escaped from the ship. A subsequent inspection revealed that two fire hoses and two portable embarkation ladder lights were stolen. The crew was not injured. The master reported the incident to the Philippine VTIS. Upon reviewing the CCTV footage, it was confirmed that the two perpetrators had boarded the ship through the anchor hawse pipe. After boarding, they remained in the forecastle area, where they stole the equipment.</x:v>
      </x:c>
      <x:c r="T336" s="42" t="str"/>
      <x:c r="U336" s="42" t="str"/>
      <x:c r="V336" s="42" t="str"/>
      <x:c r="W336" s="42" t="str">
        <x:v>At Anchor While at anchor, a deck</x:v>
      </x:c>
      <x:c r="X336" s="42" t="str"/>
      <x:c r="Y336" s="42" t="str"/>
      <x:c r="Z336" s="42" t="str"/>
      <x:c r="AA336" s="42" t="str">
        <x:v>https://www.recaap.org/alerts</x:v>
      </x:c>
      <x:c r="AB336" s="42" t="str">
        <x:v>Needs canonical event resolution</x:v>
      </x:c>
      <x:c r="AC336" s="42" t="str">
        <x:v>Flag: LIBERIA</x:v>
      </x:c>
    </x:row>
    <x:row r="337">
      <x:c r="A337" s="42" t="str">
        <x:v>OBS_000336</x:v>
      </x:c>
      <x:c r="B337" s="42" t="str"/>
      <x:c r="C337" s="42" t="str">
        <x:v>recaap_incidents_2024_2026</x:v>
      </x:c>
      <x:c r="D337" s="42" t="str">
        <x:v>2025-16</x:v>
      </x:c>
      <x:c r="E337" s="42" t="str">
        <x:v>2025-09-19</x:v>
      </x:c>
      <x:c r="F337" s="42" t="str">
        <x:v>Maritime Crime</x:v>
      </x:c>
      <x:c r="G337" s="42" t="str">
        <x:v>Robbery/ Theft</x:v>
      </x:c>
      <x:c r="H337" s="42" t="str">
        <x:v>3</x:v>
      </x:c>
      <x:c r="I337" s="42" t="str">
        <x:v>Maritime</x:v>
      </x:c>
      <x:c r="J337" s="42" t="str">
        <x:v>Indonesia (Ports/Anchorages)</x:v>
      </x:c>
      <x:c r="K337" s="42" t="str"/>
      <x:c r="L337" s="42" t="str">
        <x:v>Tanjung Priok Port, Indonesia</x:v>
      </x:c>
      <x:c r="M337" s="42" t="str">
        <x:v>-6.1</x:v>
      </x:c>
      <x:c r="N337" s="42" t="str">
        <x:v>106.883333</x:v>
      </x:c>
      <x:c r="O337" s="42" t="str">
        <x:v>Ken Ann</x:v>
      </x:c>
      <x:c r="P337" s="42" t="str"/>
      <x:c r="Q337" s="42" t="str">
        <x:v>BULK CARRIER</x:v>
      </x:c>
      <x:c r="R337" s="42" t="str"/>
      <x:c r="S337" s="42" t="str">
        <x:v>While at berth, a crew member was patrolling the deck when he saw three perpetrators armed with knives emerging onto the deck. The crew member sounded the alarm immediately and notified the local authorities. Upon realising the crew was alerted, the perpetrators escaped immediately. A search was conducted onboard and two padlocks on the weather tight doors were found broken. Generator parts were stolen. The crew was not injured. It was later confirmed that another three perpetrators had also boarded the ship, and stole several pieces of timber lashing materials from the deck crane store. These were later recovered and returned to the ship by the authorities, who also arrested three of the perpetrators.</x:v>
      </x:c>
      <x:c r="T337" s="42" t="str"/>
      <x:c r="U337" s="42" t="str"/>
      <x:c r="V337" s="42" t="str"/>
      <x:c r="W337" s="42" t="str">
        <x:v>At Berth</x:v>
      </x:c>
      <x:c r="X337" s="42" t="str"/>
      <x:c r="Y337" s="42" t="str"/>
      <x:c r="Z337" s="42" t="str"/>
      <x:c r="AA337" s="42" t="str">
        <x:v>https://www.recaap.org/alerts</x:v>
      </x:c>
      <x:c r="AB337" s="42" t="str">
        <x:v>Needs canonical event resolution</x:v>
      </x:c>
      <x:c r="AC337" s="42" t="str">
        <x:v>Flag: PANAMA</x:v>
      </x:c>
    </x:row>
    <x:row r="338">
      <x:c r="A338" s="42" t="str">
        <x:v>OBS_000337</x:v>
      </x:c>
      <x:c r="B338" s="42" t="str"/>
      <x:c r="C338" s="42" t="str">
        <x:v>recaap_incidents_2024_2026</x:v>
      </x:c>
      <x:c r="D338" s="42" t="str">
        <x:v>2025-17</x:v>
      </x:c>
      <x:c r="E338" s="42" t="str">
        <x:v>2025-09-17</x:v>
      </x:c>
      <x:c r="F338" s="42" t="str">
        <x:v>Maritime Crime</x:v>
      </x:c>
      <x:c r="G338" s="42" t="str">
        <x:v>Robbery/ Theft</x:v>
      </x:c>
      <x:c r="H338" s="42" t="str">
        <x:v>4</x:v>
      </x:c>
      <x:c r="I338" s="42" t="str">
        <x:v>Maritime</x:v>
      </x:c>
      <x:c r="J338" s="42" t="str">
        <x:v>Indonesia (Ports/Anchorages)</x:v>
      </x:c>
      <x:c r="K338" s="42" t="str"/>
      <x:c r="L338" s="42" t="str">
        <x:v>Balongan Anchorage, Indonesia</x:v>
      </x:c>
      <x:c r="M338" s="42" t="str">
        <x:v>-6.215</x:v>
      </x:c>
      <x:c r="N338" s="42" t="str">
        <x:v>108.461667</x:v>
      </x:c>
      <x:c r="O338" s="42" t="str">
        <x:v>Athens Spirit</x:v>
      </x:c>
      <x:c r="P338" s="42" t="str"/>
      <x:c r="Q338" s="42" t="str">
        <x:v>TANKER</x:v>
      </x:c>
      <x:c r="R338" s="42" t="str"/>
      <x:c r="S338" s="42" t="str">
        <x:v>At Anchor While at anchor, the 1st Assistant Engineer observed three unidentified individuals exiting the engine room through the internal door leading to the steering gear room. The Duty watchkeeper then notified the Master who raised the general alarm. The intruders then fled the vessel by jumping overboard from the poop deck and escaped via a high speed craft. All crew were mustered and a comprehensive inspection was conducted onboard the vessel. There was no injury to crew but some stores were stolen.</x:v>
      </x:c>
      <x:c r="T338" s="42" t="str"/>
      <x:c r="U338" s="42" t="str"/>
      <x:c r="V338" s="42" t="str"/>
      <x:c r="W338" s="42" t="str"/>
      <x:c r="X338" s="42" t="str"/>
      <x:c r="Y338" s="42" t="str"/>
      <x:c r="Z338" s="42" t="str"/>
      <x:c r="AA338" s="42" t="str">
        <x:v>https://www.recaap.org/alerts</x:v>
      </x:c>
      <x:c r="AB338" s="42" t="str">
        <x:v>Needs canonical event resolution</x:v>
      </x:c>
      <x:c r="AC338" s="42" t="str">
        <x:v>Flag: BAHAMAS</x:v>
      </x:c>
    </x:row>
    <x:row r="339">
      <x:c r="A339" s="42" t="str">
        <x:v>OBS_000338</x:v>
      </x:c>
      <x:c r="B339" s="42" t="str"/>
      <x:c r="C339" s="42" t="str">
        <x:v>recaap_incidents_2024_2026</x:v>
      </x:c>
      <x:c r="D339" s="42" t="str">
        <x:v>2025-18</x:v>
      </x:c>
      <x:c r="E339" s="42" t="str">
        <x:v>2025-09-14</x:v>
      </x:c>
      <x:c r="F339" s="42" t="str">
        <x:v>Maritime Crime</x:v>
      </x:c>
      <x:c r="G339" s="42" t="str">
        <x:v>Robbery/ Theft</x:v>
      </x:c>
      <x:c r="H339" s="42" t="str">
        <x:v>4</x:v>
      </x:c>
      <x:c r="I339" s="42" t="str">
        <x:v>Maritime</x:v>
      </x:c>
      <x:c r="J339" s="42" t="str">
        <x:v>Philippines (Ports/Anchorages)</x:v>
      </x:c>
      <x:c r="K339" s="42" t="str"/>
      <x:c r="L339" s="42" t="str">
        <x:v>Vicinity waters off Barangay Wawa, Batangas City, Philippines</x:v>
      </x:c>
      <x:c r="M339" s="42" t="str">
        <x:v>13.733333</x:v>
      </x:c>
      <x:c r="N339" s="42" t="str">
        <x:v>121.039667</x:v>
      </x:c>
      <x:c r="O339" s="42" t="str">
        <x:v>Super Shuttle Ferry 18</x:v>
      </x:c>
      <x:c r="P339" s="42" t="str"/>
      <x:c r="Q339" s="42" t="str">
        <x:v>PASSENGER VESSEL</x:v>
      </x:c>
      <x:c r="R339" s="42" t="str"/>
      <x:c r="S339" s="42" t="str">
        <x:v>At Anchor While at anchor, the ship Master reported to Philippine Coast Guard (PCG) and Coast Guard Station (CGS) Batangas that unidentified men were seen boarding the vessel. CGS Batangas in coordination with Philippine National Police Maritime Group (PNP-MG) immediately responded to the distress call by the ship Master. While in the area, the Team intercepted a fishing banca with two individuals on board. The individuals were found in possession of the emergency generator spare parts, which had been originally located on the vessel's first deck. The two individuals were immediately apprehended. CGS Batangas together with Coast Guard Investigation and Detection Management Service, and representative from the Asian Marine Transport Corporation proceeded to the city prosecutor's office, and promptly coordinated with the city prosecutor for filing of the perpetrators.</x:v>
      </x:c>
      <x:c r="T339" s="42" t="str"/>
      <x:c r="U339" s="42" t="str"/>
      <x:c r="V339" s="42" t="str"/>
      <x:c r="W339" s="42" t="str"/>
      <x:c r="X339" s="42" t="str"/>
      <x:c r="Y339" s="42" t="str"/>
      <x:c r="Z339" s="42" t="str"/>
      <x:c r="AA339" s="42" t="str">
        <x:v>https://www.recaap.org/alerts</x:v>
      </x:c>
      <x:c r="AB339" s="42" t="str">
        <x:v>Needs canonical event resolution</x:v>
      </x:c>
      <x:c r="AC339" s="42" t="str">
        <x:v>Flag: PHILIPPINES</x:v>
      </x:c>
    </x:row>
    <x:row r="340">
      <x:c r="A340" s="42" t="str">
        <x:v>OBS_000339</x:v>
      </x:c>
      <x:c r="B340" s="42" t="str"/>
      <x:c r="C340" s="42" t="str">
        <x:v>recaap_incidents_2024_2026</x:v>
      </x:c>
      <x:c r="D340" s="42" t="str">
        <x:v>2025-19</x:v>
      </x:c>
      <x:c r="E340" s="42" t="str">
        <x:v>2025-09-10</x:v>
      </x:c>
      <x:c r="F340" s="42" t="str">
        <x:v>Maritime Crime</x:v>
      </x:c>
      <x:c r="G340" s="42" t="str">
        <x:v>Robbery/ Theft</x:v>
      </x:c>
      <x:c r="H340" s="42" t="str">
        <x:v>4</x:v>
      </x:c>
      <x:c r="I340" s="42" t="str">
        <x:v>Maritime</x:v>
      </x:c>
      <x:c r="J340" s="42" t="str">
        <x:v>Malaysia (Ports/Anchorages)</x:v>
      </x:c>
      <x:c r="K340" s="42" t="str"/>
      <x:c r="L340" s="42" t="str">
        <x:v>Sepangar Bay Anchorage, Kota Kinabalu Port, Malaysia</x:v>
      </x:c>
      <x:c r="M340" s="42" t="str">
        <x:v>6.027833</x:v>
      </x:c>
      <x:c r="N340" s="42" t="str">
        <x:v>116.066833</x:v>
      </x:c>
      <x:c r="O340" s="42" t="str">
        <x:v>Verity</x:v>
      </x:c>
      <x:c r="P340" s="42" t="str"/>
      <x:c r="Q340" s="42" t="str">
        <x:v>PETROLEUM/ CHEMICAL TANKER</x:v>
      </x:c>
      <x:c r="R340" s="42" t="str"/>
      <x:c r="S340" s="42" t="str">
        <x:v>At Anchor While at anchor, the duty A/B noticed one perpetrator at the main deck forward port near the paint store area. The duty A/B alerted the bridge, and the alarm was raised and crew mustered. Realising the crew was alerted, the perpetrator jumped back to a small boat with motor engine, which was piloted by another perpetrator, and escaped. The crew was safe with no injuries reported. Nothing was stolen. The master reported to Kota Kinabalu Port Control and the Malaysia Coast Guard conducted an investigation on the incident.</x:v>
      </x:c>
      <x:c r="T340" s="42" t="str"/>
      <x:c r="U340" s="42" t="str"/>
      <x:c r="V340" s="42" t="str"/>
      <x:c r="W340" s="42" t="str"/>
      <x:c r="X340" s="42" t="str"/>
      <x:c r="Y340" s="42" t="str"/>
      <x:c r="Z340" s="42" t="str"/>
      <x:c r="AA340" s="42" t="str">
        <x:v>https://www.recaap.org/alerts</x:v>
      </x:c>
      <x:c r="AB340" s="42" t="str">
        <x:v>Needs canonical event resolution</x:v>
      </x:c>
      <x:c r="AC340" s="42" t="str">
        <x:v>Flag: MALAYSIA</x:v>
      </x:c>
    </x:row>
    <x:row r="341">
      <x:c r="A341" s="42" t="str">
        <x:v>OBS_000340</x:v>
      </x:c>
      <x:c r="B341" s="42" t="str"/>
      <x:c r="C341" s="42" t="str">
        <x:v>recaap_incidents_2024_2026</x:v>
      </x:c>
      <x:c r="D341" s="42" t="str">
        <x:v>2025-20</x:v>
      </x:c>
      <x:c r="E341" s="42" t="str">
        <x:v>2025-08-28</x:v>
      </x:c>
      <x:c r="F341" s="42" t="str">
        <x:v>Maritime Crime</x:v>
      </x:c>
      <x:c r="G341" s="42" t="str">
        <x:v>Robbery/ Theft</x:v>
      </x:c>
      <x:c r="H341" s="42" t="str">
        <x:v>4</x:v>
      </x:c>
      <x:c r="I341" s="42" t="str">
        <x:v>Maritime</x:v>
      </x:c>
      <x:c r="J341" s="42" t="str">
        <x:v>Straits of Malacca &amp; Singapore</x:v>
      </x:c>
      <x:c r="K341" s="42" t="str"/>
      <x:c r="L341" s="42" t="str">
        <x:v>Approximately 4.2 nm off Pulau Cula (Indonesia), in the eastbound lane of the TSS</x:v>
      </x:c>
      <x:c r="M341" s="42" t="str">
        <x:v>1.051</x:v>
      </x:c>
      <x:c r="N341" s="42" t="str">
        <x:v>103.642167</x:v>
      </x:c>
      <x:c r="O341" s="42" t="str">
        <x:v>Georgitsi</x:v>
      </x:c>
      <x:c r="P341" s="42" t="str"/>
      <x:c r="Q341" s="42" t="str">
        <x:v>BULK CARRIER</x:v>
      </x:c>
      <x:c r="R341" s="42" t="str"/>
      <x:c r="S341" s="42" t="str">
        <x:v>While underway, three unarmed perpetrators were sighted in the engine room. The ship’s general alarm was activated and the crew mustered. The perpetrators escaped upon being discovered. A security search was conducted, with no perpetrators found onboard and nothing was stolen. All crew members were accounted for, with no injury reported. The ship was en route from Brazil to Singapore. The incident was reported to Singapore VTIS West. Safety broadcasts on anti-piracy watch were initiated to warn all vessels to maintain a vigilant watch at all times in the SS. The RSN's MSTF and Singapore PCG were notified of the incident. Information of the incident was shared with the Indonesian authorities. Upon arrival in Singapore, Singapore PCG boarded the ship for investigation, with no perpetrators found onboard.</x:v>
      </x:c>
      <x:c r="T341" s="42" t="str"/>
      <x:c r="U341" s="42" t="str"/>
      <x:c r="V341" s="42" t="str"/>
      <x:c r="W341" s="42" t="str">
        <x:v>While Sailing</x:v>
      </x:c>
      <x:c r="X341" s="42" t="str"/>
      <x:c r="Y341" s="42" t="str"/>
      <x:c r="Z341" s="42" t="str"/>
      <x:c r="AA341" s="42" t="str">
        <x:v>https://www.recaap.org/alerts</x:v>
      </x:c>
      <x:c r="AB341" s="42" t="str">
        <x:v>Needs canonical event resolution</x:v>
      </x:c>
      <x:c r="AC341" s="42" t="str">
        <x:v>Flag: MARSHALL ISLANDS</x:v>
      </x:c>
    </x:row>
    <x:row r="342">
      <x:c r="A342" s="42" t="str">
        <x:v>OBS_000341</x:v>
      </x:c>
      <x:c r="B342" s="42" t="str"/>
      <x:c r="C342" s="42" t="str">
        <x:v>recaap_incidents_2024_2026</x:v>
      </x:c>
      <x:c r="D342" s="42" t="str">
        <x:v>2025-21</x:v>
      </x:c>
      <x:c r="E342" s="42" t="str">
        <x:v>2025-08-03</x:v>
      </x:c>
      <x:c r="F342" s="42" t="str">
        <x:v>Maritime Crime</x:v>
      </x:c>
      <x:c r="G342" s="42" t="str">
        <x:v>Robbery/ Theft</x:v>
      </x:c>
      <x:c r="H342" s="42" t="str">
        <x:v>4</x:v>
      </x:c>
      <x:c r="I342" s="42" t="str">
        <x:v>Maritime</x:v>
      </x:c>
      <x:c r="J342" s="42" t="str">
        <x:v>Straits of Malacca &amp; Singapore</x:v>
      </x:c>
      <x:c r="K342" s="42" t="str"/>
      <x:c r="L342" s="42" t="str">
        <x:v>Approximately 3 nm off Pulau Nongsa (Indonesia), in the eastbound lane of the TSS</x:v>
      </x:c>
      <x:c r="M342" s="42" t="str">
        <x:v>1.223167</x:v>
      </x:c>
      <x:c r="N342" s="42" t="str">
        <x:v>103.987833</x:v>
      </x:c>
      <x:c r="O342" s="42" t="str">
        <x:v>HK Tug 8 &amp; LKH 2882</x:v>
      </x:c>
      <x:c r="P342" s="42" t="str"/>
      <x:c r="Q342" s="42" t="str">
        <x:v>TUG BOAT &amp; BARGE</x:v>
      </x:c>
      <x:c r="R342" s="42" t="str"/>
      <x:c r="S342" s="42" t="str">
        <x:v>While the tug boat towing barge loaded with scrap metal was underway, 10 perpetrators in nine sampans came alongside the barge and removed some scrap metal from its deck. The crew was not injured. The tug boat and barge were en route from Singapore to Phu My, Vietnam. The incident was reported to Singapore VTIS East.</x:v>
      </x:c>
      <x:c r="T342" s="42" t="str"/>
      <x:c r="U342" s="42" t="str"/>
      <x:c r="V342" s="42" t="str"/>
      <x:c r="W342" s="42" t="str">
        <x:v>While Sailing</x:v>
      </x:c>
      <x:c r="X342" s="42" t="str"/>
      <x:c r="Y342" s="42" t="str"/>
      <x:c r="Z342" s="42" t="str"/>
      <x:c r="AA342" s="42" t="str">
        <x:v>https://www.recaap.org/alerts</x:v>
      </x:c>
      <x:c r="AB342" s="42" t="str">
        <x:v>Needs canonical event resolution</x:v>
      </x:c>
      <x:c r="AC342" s="42" t="str">
        <x:v>Flag: SINGAPORE</x:v>
      </x:c>
    </x:row>
    <x:row r="343">
      <x:c r="A343" s="42" t="str">
        <x:v>OBS_000342</x:v>
      </x:c>
      <x:c r="B343" s="42" t="str"/>
      <x:c r="C343" s="42" t="str">
        <x:v>recaap_incidents_2024_2026</x:v>
      </x:c>
      <x:c r="D343" s="42" t="str">
        <x:v>2025-22</x:v>
      </x:c>
      <x:c r="E343" s="42" t="str">
        <x:v>2025-07-10</x:v>
      </x:c>
      <x:c r="F343" s="42" t="str">
        <x:v>Maritime Crime</x:v>
      </x:c>
      <x:c r="G343" s="42" t="str">
        <x:v>Robbery/ Theft</x:v>
      </x:c>
      <x:c r="H343" s="42" t="str">
        <x:v>4</x:v>
      </x:c>
      <x:c r="I343" s="42" t="str">
        <x:v>Maritime</x:v>
      </x:c>
      <x:c r="J343" s="42" t="str">
        <x:v>Bangladesh (Ports/Anchorages)</x:v>
      </x:c>
      <x:c r="K343" s="42" t="str"/>
      <x:c r="L343" s="42" t="str">
        <x:v>Chittagong 'C' Anchorage, Bangladesh</x:v>
      </x:c>
      <x:c r="M343" s="42" t="str">
        <x:v>22.133333</x:v>
      </x:c>
      <x:c r="N343" s="42" t="str">
        <x:v>91.73</x:v>
      </x:c>
      <x:c r="O343" s="42" t="str">
        <x:v>MV Kalolimnos</x:v>
      </x:c>
      <x:c r="P343" s="42" t="str"/>
      <x:c r="Q343" s="42" t="str">
        <x:v>LPG</x:v>
      </x:c>
      <x:c r="R343" s="42" t="str"/>
      <x:c r="S343" s="42" t="str">
        <x:v>At Anchor While at anchor, six to seven perpetrators boarded the ship via climbing the rope and attempted to enter the bosun store in forecastle area. Upon noticing the perpetrators, the watchman sounded the general alarm and all crew members were mustered. The perpetrators then escaped empty- handed in a boat. Bangladesh Coast Guard (BCG) later arrested the perpetrators and handed them over to the local police. BCG verified that no items were stolen and the crew was not injured.</x:v>
      </x:c>
      <x:c r="T343" s="42" t="str"/>
      <x:c r="U343" s="42" t="str"/>
      <x:c r="V343" s="42" t="str"/>
      <x:c r="W343" s="42" t="str"/>
      <x:c r="X343" s="42" t="str"/>
      <x:c r="Y343" s="42" t="str"/>
      <x:c r="Z343" s="42" t="str"/>
      <x:c r="AA343" s="42" t="str">
        <x:v>https://www.recaap.org/alerts</x:v>
      </x:c>
      <x:c r="AB343" s="42" t="str">
        <x:v>Needs canonical event resolution</x:v>
      </x:c>
      <x:c r="AC343" s="42" t="str">
        <x:v>Flag: LIBERIA</x:v>
      </x:c>
    </x:row>
    <x:row r="344">
      <x:c r="A344" s="42" t="str">
        <x:v>OBS_000343</x:v>
      </x:c>
      <x:c r="B344" s="42" t="str"/>
      <x:c r="C344" s="42" t="str">
        <x:v>recaap_incidents_2024_2026</x:v>
      </x:c>
      <x:c r="D344" s="42" t="str">
        <x:v>2025-23</x:v>
      </x:c>
      <x:c r="E344" s="42" t="str">
        <x:v>2025-07-09</x:v>
      </x:c>
      <x:c r="F344" s="42" t="str">
        <x:v>Maritime Crime</x:v>
      </x:c>
      <x:c r="G344" s="42" t="str">
        <x:v>Robbery/ Theft</x:v>
      </x:c>
      <x:c r="H344" s="42" t="str">
        <x:v>4</x:v>
      </x:c>
      <x:c r="I344" s="42" t="str">
        <x:v>Maritime</x:v>
      </x:c>
      <x:c r="J344" s="42" t="str">
        <x:v>Straits of Malacca &amp; Singapore</x:v>
      </x:c>
      <x:c r="K344" s="42" t="str"/>
      <x:c r="L344" s="42" t="str">
        <x:v>Approximately 1.8 nm off Pulau Cula (Indonesia), in the eastbound lane of the TSS</x:v>
      </x:c>
      <x:c r="M344" s="42" t="str">
        <x:v>1.06</x:v>
      </x:c>
      <x:c r="N344" s="42" t="str">
        <x:v>103.688667</x:v>
      </x:c>
      <x:c r="O344" s="42" t="str">
        <x:v>Torm Elizabeth</x:v>
      </x:c>
      <x:c r="P344" s="42" t="str"/>
      <x:c r="Q344" s="42" t="str">
        <x:v>TANKER</x:v>
      </x:c>
      <x:c r="R344" s="42" t="str"/>
      <x:c r="S344" s="42" t="str">
        <x:v>While underway, the crew spotted a blue wooden boat alongside port quarter of ship. The master raised the alarm and the crew mustered. Upon hearing the alarm, six perpetrators were observed escaping into the boat. A security search was conducted, with no perpetrators found onboard. The padlocks for the deck store, steering gear room and engine casing were found broken. Some items of ship stores were stolen. The crew was not injured. The incident was reported to Singapore Port Operations Control Centre (POCC). Safety broadcasts on anti-piracy watch were initiated to warn all vessels to maintain a vigilant watch at all times in the SS. The RSN’s MSTF was notified of the incident. Information of the incident was shared with the Indonesian authority.</x:v>
      </x:c>
      <x:c r="T344" s="42" t="str"/>
      <x:c r="U344" s="42" t="str"/>
      <x:c r="V344" s="42" t="str"/>
      <x:c r="W344" s="42" t="str">
        <x:v>While Sailing</x:v>
      </x:c>
      <x:c r="X344" s="42" t="str"/>
      <x:c r="Y344" s="42" t="str"/>
      <x:c r="Z344" s="42" t="str"/>
      <x:c r="AA344" s="42" t="str">
        <x:v>https://www.recaap.org/alerts</x:v>
      </x:c>
      <x:c r="AB344" s="42" t="str">
        <x:v>Needs canonical event resolution</x:v>
      </x:c>
      <x:c r="AC344" s="42" t="str">
        <x:v>Flag: DENMARK</x:v>
      </x:c>
    </x:row>
    <x:row r="345">
      <x:c r="A345" s="42" t="str">
        <x:v>OBS_000344</x:v>
      </x:c>
      <x:c r="B345" s="42" t="str"/>
      <x:c r="C345" s="42" t="str">
        <x:v>recaap_incidents_2024_2026</x:v>
      </x:c>
      <x:c r="D345" s="42" t="str">
        <x:v>2025-24</x:v>
      </x:c>
      <x:c r="E345" s="42" t="str">
        <x:v>2025-07-08</x:v>
      </x:c>
      <x:c r="F345" s="42" t="str">
        <x:v>Maritime Crime</x:v>
      </x:c>
      <x:c r="G345" s="42" t="str">
        <x:v>Robbery/ Theft</x:v>
      </x:c>
      <x:c r="H345" s="42" t="str">
        <x:v>4</x:v>
      </x:c>
      <x:c r="I345" s="42" t="str">
        <x:v>Maritime</x:v>
      </x:c>
      <x:c r="J345" s="42" t="str">
        <x:v>Straits of Malacca &amp; Singapore</x:v>
      </x:c>
      <x:c r="K345" s="42" t="str"/>
      <x:c r="L345" s="42" t="str">
        <x:v>Approximately 1.8 nm off Batu Berhanti Light (Indonesia), in the eastbound lane of the TSS</x:v>
      </x:c>
      <x:c r="M345" s="42" t="str">
        <x:v>1.182667</x:v>
      </x:c>
      <x:c r="N345" s="42" t="str">
        <x:v>103.854</x:v>
      </x:c>
      <x:c r="O345" s="42" t="str">
        <x:v>Tasco Sakorn</x:v>
      </x:c>
      <x:c r="P345" s="42" t="str"/>
      <x:c r="Q345" s="42" t="str">
        <x:v>TANKER</x:v>
      </x:c>
      <x:c r="R345" s="42" t="str"/>
      <x:c r="S345" s="42" t="str">
        <x:v>While underway, the 2nd Engineer discovered the aft door behind the galley was ajar. Upon entering the engine room, he found that engine stores and spare parts were missing. The crew did a thorough security search, but no perpetrators were found onboard, and no suspicious crafts sighted in the vicinity. All crew members were accounted for, with no Internal investigation suggests that injury reported. perpetrators may have boarded the ship via the skylight hatch located at the poop deck portside provision hatch, and escaped through the aft door. The incident was reported to Maritime and Port Authority of Singapore (MPA).</x:v>
      </x:c>
      <x:c r="T345" s="42" t="str"/>
      <x:c r="U345" s="42" t="str"/>
      <x:c r="V345" s="42" t="str"/>
      <x:c r="W345" s="42" t="str">
        <x:v>While Sailing</x:v>
      </x:c>
      <x:c r="X345" s="42" t="str"/>
      <x:c r="Y345" s="42" t="str"/>
      <x:c r="Z345" s="42" t="str"/>
      <x:c r="AA345" s="42" t="str">
        <x:v>https://www.recaap.org/alerts</x:v>
      </x:c>
      <x:c r="AB345" s="42" t="str">
        <x:v>Needs canonical event resolution</x:v>
      </x:c>
      <x:c r="AC345" s="42" t="str">
        <x:v>Flag: SINGAPORE</x:v>
      </x:c>
    </x:row>
    <x:row r="346">
      <x:c r="A346" s="42" t="str">
        <x:v>OBS_000345</x:v>
      </x:c>
      <x:c r="B346" s="42" t="str"/>
      <x:c r="C346" s="42" t="str">
        <x:v>recaap_incidents_2024_2026</x:v>
      </x:c>
      <x:c r="D346" s="42" t="str">
        <x:v>2025-26</x:v>
      </x:c>
      <x:c r="E346" s="42" t="str">
        <x:v>2025-07-07</x:v>
      </x:c>
      <x:c r="F346" s="42" t="str">
        <x:v>Maritime Crime</x:v>
      </x:c>
      <x:c r="G346" s="42" t="str">
        <x:v>Robbery/ Theft</x:v>
      </x:c>
      <x:c r="H346" s="42" t="str">
        <x:v>4</x:v>
      </x:c>
      <x:c r="I346" s="42" t="str">
        <x:v>Maritime</x:v>
      </x:c>
      <x:c r="J346" s="42" t="str">
        <x:v>Straits of Malacca &amp; Singapore</x:v>
      </x:c>
      <x:c r="K346" s="42" t="str"/>
      <x:c r="L346" s="42" t="str">
        <x:v>Approximately 2.5 nm off Pulau Cula (Indonesia), in the eastbound lane of the TSS</x:v>
      </x:c>
      <x:c r="M346" s="42" t="str">
        <x:v>1.0635</x:v>
      </x:c>
      <x:c r="N346" s="42" t="str">
        <x:v>103.682833</x:v>
      </x:c>
      <x:c r="O346" s="42" t="str">
        <x:v>CMA CGM Fort James</x:v>
      </x:c>
      <x:c r="P346" s="42" t="str"/>
      <x:c r="Q346" s="42" t="str">
        <x:v>CONTAINER SHIP</x:v>
      </x:c>
      <x:c r="R346" s="42" t="str"/>
      <x:c r="S346" s="42" t="str">
        <x:v>While underway, the A/B was doing his security patrol when he noticed the padlock on aft station starboard side was damaged. A search was conducted, with no perpetrators found onboard. Subsequent review of CCTV footage revealed that six perpetrators had boarded the ship from starboard aft station. They escaped from the ship about 10 min later. The incident was reported to Singapore POCC. Safety broadcasts on anti-piracy watch were initiated to warn all vessels to maintain a vigilant watch at all times in the SS. The RSN’s MSTF and Singapore PCG were notified of the incident. Information of the incident was shared with the Indonesian authority. Singapore PCG boarded the ship for investigation, and confirmed that all crew members were accounted for, with no injury reported, and nothing was stolen.</x:v>
      </x:c>
      <x:c r="T346" s="42" t="str"/>
      <x:c r="U346" s="42" t="str"/>
      <x:c r="V346" s="42" t="str"/>
      <x:c r="W346" s="42" t="str">
        <x:v>While Sailing</x:v>
      </x:c>
      <x:c r="X346" s="42" t="str"/>
      <x:c r="Y346" s="42" t="str"/>
      <x:c r="Z346" s="42" t="str"/>
      <x:c r="AA346" s="42" t="str">
        <x:v>https://www.recaap.org/alerts</x:v>
      </x:c>
      <x:c r="AB346" s="42" t="str">
        <x:v>Needs canonical event resolution</x:v>
      </x:c>
      <x:c r="AC346" s="42" t="str">
        <x:v>Flag: FRANCE</x:v>
      </x:c>
    </x:row>
    <x:row r="347">
      <x:c r="A347" s="42" t="str">
        <x:v>OBS_000346</x:v>
      </x:c>
      <x:c r="B347" s="42" t="str"/>
      <x:c r="C347" s="42" t="str">
        <x:v>recaap_incidents_2024_2026</x:v>
      </x:c>
      <x:c r="D347" s="42" t="str">
        <x:v>2025-25</x:v>
      </x:c>
      <x:c r="E347" s="42" t="str">
        <x:v>2025-07-07</x:v>
      </x:c>
      <x:c r="F347" s="42" t="str">
        <x:v>Maritime Crime</x:v>
      </x:c>
      <x:c r="G347" s="42" t="str">
        <x:v>Robbery/ Theft</x:v>
      </x:c>
      <x:c r="H347" s="42" t="str">
        <x:v>4</x:v>
      </x:c>
      <x:c r="I347" s="42" t="str">
        <x:v>Maritime</x:v>
      </x:c>
      <x:c r="J347" s="42" t="str">
        <x:v>Straits of Malacca &amp; Singapore</x:v>
      </x:c>
      <x:c r="K347" s="42" t="str"/>
      <x:c r="L347" s="42" t="str">
        <x:v>Approximately 4.9 nm off Pulau Cula (Indonesia), in the eastbound lane of the TSS</x:v>
      </x:c>
      <x:c r="M347" s="42" t="str">
        <x:v>1.063167</x:v>
      </x:c>
      <x:c r="N347" s="42" t="str">
        <x:v>103.633333</x:v>
      </x:c>
      <x:c r="O347" s="42" t="str">
        <x:v>Star Laura</x:v>
      </x:c>
      <x:c r="P347" s="42" t="str"/>
      <x:c r="Q347" s="42" t="str">
        <x:v>BULK CARRIER</x:v>
      </x:c>
      <x:c r="R347" s="42" t="str"/>
      <x:c r="S347" s="42" t="str">
        <x:v>While underway, three perpetrators were sighted in the engine room. The ship’s general alarm was activated and crew mustered. Upon realising the crew was alerted, the perpetrators escaped immediately. A search was conducted, with no perpetrators found onboard. All crew members were safe, with no injury reported. The ship was en route from Brazil to Singapore. The incident was reported to Singapore VTIS West. Safety broadcasts on anti-piracy watch were initiated to warn all vessels to maintain a vigilant watch at all times in the SS. The RSN’s MSTF and Singapore PCG were notified of the incident. Information of the incident was shared with the Indonesian authority. Upon arrival in Singapore, Singapore PCG boarded the ship for investigation and confirmed that nothing was stolen.</x:v>
      </x:c>
      <x:c r="T347" s="42" t="str"/>
      <x:c r="U347" s="42" t="str"/>
      <x:c r="V347" s="42" t="str"/>
      <x:c r="W347" s="42" t="str">
        <x:v>While Sailing</x:v>
      </x:c>
      <x:c r="X347" s="42" t="str"/>
      <x:c r="Y347" s="42" t="str"/>
      <x:c r="Z347" s="42" t="str"/>
      <x:c r="AA347" s="42" t="str">
        <x:v>https://www.recaap.org/alerts</x:v>
      </x:c>
      <x:c r="AB347" s="42" t="str">
        <x:v>Needs canonical event resolution</x:v>
      </x:c>
      <x:c r="AC347" s="42" t="str">
        <x:v>Flag: MARSHALL ISLANDS</x:v>
      </x:c>
    </x:row>
    <x:row r="348">
      <x:c r="A348" s="42" t="str">
        <x:v>OBS_000347</x:v>
      </x:c>
      <x:c r="B348" s="42" t="str"/>
      <x:c r="C348" s="42" t="str">
        <x:v>recaap_incidents_2024_2026</x:v>
      </x:c>
      <x:c r="D348" s="42" t="str">
        <x:v>2025-29</x:v>
      </x:c>
      <x:c r="E348" s="42" t="str">
        <x:v>2025-07-06</x:v>
      </x:c>
      <x:c r="F348" s="42" t="str">
        <x:v>Maritime Crime</x:v>
      </x:c>
      <x:c r="G348" s="42" t="str">
        <x:v>Robbery/ Theft</x:v>
      </x:c>
      <x:c r="H348" s="42" t="str">
        <x:v>3</x:v>
      </x:c>
      <x:c r="I348" s="42" t="str">
        <x:v>Maritime</x:v>
      </x:c>
      <x:c r="J348" s="42" t="str">
        <x:v>Straits of Malacca &amp; Singapore</x:v>
      </x:c>
      <x:c r="K348" s="42" t="str"/>
      <x:c r="L348" s="42" t="str">
        <x:v>Approximately 3.2 nm off Pulau Cula (Indonesia), in the eastbound lane of the TSS</x:v>
      </x:c>
      <x:c r="M348" s="42" t="str">
        <x:v>1.046833</x:v>
      </x:c>
      <x:c r="N348" s="42" t="str">
        <x:v>103.658833</x:v>
      </x:c>
      <x:c r="O348" s="42" t="str">
        <x:v>AL Lulu</x:v>
      </x:c>
      <x:c r="P348" s="42" t="str"/>
      <x:c r="Q348" s="42" t="str">
        <x:v>BULK CARRIER</x:v>
      </x:c>
      <x:c r="R348" s="42" t="str"/>
      <x:c r="S348" s="42" t="str">
        <x:v>While underway, five perpetrators, of which four were armed with knives and one was armed with a gun-like object, were sighted in the engine room. The ship’s general alarm was activated and crew mustered. A search was conducted, with no perpetrators found onboard. All crew members were accounted for and safe, with no injury reported. The master confirmed no further assistance was required, and resumed its voyage to Singapore. The incident was reported to Singapore VTIS West. Safety broadcasts on anti-piracy watch were initiated to warn all vessels to maintain a vigilant watch at all times in the SS. The RSN’s MSTF and Singapore PCG were notified of the incident. Information of the incident was shared with the Indonesian authority. Upon arrival in Singapore, Singapore PCG boarded the ship for investigation and confirmed that some engine spare parts were stolen.</x:v>
      </x:c>
      <x:c r="T348" s="42" t="str"/>
      <x:c r="U348" s="42" t="str"/>
      <x:c r="V348" s="42" t="str"/>
      <x:c r="W348" s="42" t="str">
        <x:v>While Sailing</x:v>
      </x:c>
      <x:c r="X348" s="42" t="str"/>
      <x:c r="Y348" s="42" t="str"/>
      <x:c r="Z348" s="42" t="str"/>
      <x:c r="AA348" s="42" t="str">
        <x:v>https://www.recaap.org/alerts</x:v>
      </x:c>
      <x:c r="AB348" s="42" t="str">
        <x:v>Needs canonical event resolution</x:v>
      </x:c>
      <x:c r="AC348" s="42" t="str">
        <x:v>Flag: MARSHALL ISLANDS</x:v>
      </x:c>
    </x:row>
    <x:row r="349">
      <x:c r="A349" s="42" t="str">
        <x:v>OBS_000348</x:v>
      </x:c>
      <x:c r="B349" s="42" t="str"/>
      <x:c r="C349" s="42" t="str">
        <x:v>recaap_incidents_2024_2026</x:v>
      </x:c>
      <x:c r="D349" s="42" t="str">
        <x:v>2025-28</x:v>
      </x:c>
      <x:c r="E349" s="42" t="str">
        <x:v>2025-07-06</x:v>
      </x:c>
      <x:c r="F349" s="42" t="str">
        <x:v>Maritime Crime</x:v>
      </x:c>
      <x:c r="G349" s="42" t="str">
        <x:v>Robbery/ Theft</x:v>
      </x:c>
      <x:c r="H349" s="42" t="str">
        <x:v>4</x:v>
      </x:c>
      <x:c r="I349" s="42" t="str">
        <x:v>Maritime</x:v>
      </x:c>
      <x:c r="J349" s="42" t="str">
        <x:v>Straits of Malacca &amp; Singapore</x:v>
      </x:c>
      <x:c r="K349" s="42" t="str"/>
      <x:c r="L349" s="42" t="str">
        <x:v>Approximately 3.7 nm off Pulau Cula (Indonesia), in the eastbound lane of the TSS</x:v>
      </x:c>
      <x:c r="M349" s="42" t="str">
        <x:v>1.045</x:v>
      </x:c>
      <x:c r="N349" s="42" t="str">
        <x:v>103.655</x:v>
      </x:c>
      <x:c r="O349" s="42" t="str">
        <x:v>Kota Nabil</x:v>
      </x:c>
      <x:c r="P349" s="42" t="str"/>
      <x:c r="Q349" s="42" t="str">
        <x:v>CONTAINER SHIP</x:v>
      </x:c>
      <x:c r="R349" s="42" t="str"/>
      <x:c r="S349" s="42" t="str">
        <x:v>While underway, three perpetrators were sighted near Bay 34 on the port side of the ship. The ship’s general alarm was activated and crew mustered promptly. Upon realising the crew was alerted, the perpetrators escaped immediately. A search was conducted, with no perpetrators found onboard. Subsequent review of CCTV footage revealed that four perpetrators had broken the padlock leading to the steering gear room. Nothing was stolen. The incident was reported to Singapore POCC. Safety broadcasts on anti-piracy watch were initiated to warn all vessels to maintain a vigilant watch at all times in the SS. The RSN’s MSTF and Singapore PCG were notified of the incident. Singapore PCG boarded the ship for investigation, and confirmed that all crew members were accounted for, with no injury reported.</x:v>
      </x:c>
      <x:c r="T349" s="42" t="str"/>
      <x:c r="U349" s="42" t="str"/>
      <x:c r="V349" s="42" t="str"/>
      <x:c r="W349" s="42" t="str">
        <x:v>While Sailing</x:v>
      </x:c>
      <x:c r="X349" s="42" t="str"/>
      <x:c r="Y349" s="42" t="str"/>
      <x:c r="Z349" s="42" t="str"/>
      <x:c r="AA349" s="42" t="str">
        <x:v>https://www.recaap.org/alerts</x:v>
      </x:c>
      <x:c r="AB349" s="42" t="str">
        <x:v>Needs canonical event resolution</x:v>
      </x:c>
      <x:c r="AC349" s="42" t="str">
        <x:v>Flag: SINGAPORE</x:v>
      </x:c>
    </x:row>
    <x:row r="350">
      <x:c r="A350" s="42" t="str">
        <x:v>OBS_000349</x:v>
      </x:c>
      <x:c r="B350" s="42" t="str"/>
      <x:c r="C350" s="42" t="str">
        <x:v>recaap_incidents_2024_2026</x:v>
      </x:c>
      <x:c r="D350" s="42" t="str">
        <x:v>2025-27</x:v>
      </x:c>
      <x:c r="E350" s="42" t="str">
        <x:v>2025-07-06</x:v>
      </x:c>
      <x:c r="F350" s="42" t="str">
        <x:v>Maritime Crime</x:v>
      </x:c>
      <x:c r="G350" s="42" t="str">
        <x:v>Attempted</x:v>
      </x:c>
      <x:c r="H350" s="42" t="str">
        <x:v>NA</x:v>
      </x:c>
      <x:c r="I350" s="42" t="str">
        <x:v>Maritime</x:v>
      </x:c>
      <x:c r="J350" s="42" t="str">
        <x:v>Straits of Malacca &amp; Singapore</x:v>
      </x:c>
      <x:c r="K350" s="42" t="str"/>
      <x:c r="L350" s="42" t="str">
        <x:v>Approximately 5.6 nm off Pulau Cula (Indonesia), in the eastbound lane of the TSS</x:v>
      </x:c>
      <x:c r="M350" s="42" t="str">
        <x:v>1.062833</x:v>
      </x:c>
      <x:c r="N350" s="42" t="str">
        <x:v>103.622167</x:v>
      </x:c>
      <x:c r="O350" s="42" t="str">
        <x:v>AL Salmi</x:v>
      </x:c>
      <x:c r="P350" s="42" t="str"/>
      <x:c r="Q350" s="42" t="str">
        <x:v>TANKER</x:v>
      </x:c>
      <x:c r="R350" s="42" t="str"/>
      <x:c r="S350" s="42" t="str">
        <x:v>While underway, three perpetrators were sighted attempting to board the ship from the starboard quarter. The ship’s general alarm was activated, deck lights switched on, and search light shone at the perpetrators. Upon realising the crew was alerted, the perpetrators aborted their attempt and escaped. A search was conducted, with no perpetrators found onboard. There was no confrontation with the crew and all crew members were accounted for, with no injury reported. Nothing was stolen. No assistance was required, and the ship resumed its voyage. The incident was reported to Singapore VTIS West. Safety broadcasts on anti-piracy watch were initiated to warn all vessels to maintain a vigilant watch at all times in the SS. The RSN’s MSTF and Singapore PCG were notified of the incident. Information of the incident was shared with the Indonesian authorities.</x:v>
      </x:c>
      <x:c r="T350" s="42" t="str"/>
      <x:c r="U350" s="42" t="str"/>
      <x:c r="V350" s="42" t="str"/>
      <x:c r="W350" s="42" t="str">
        <x:v>While Sailing</x:v>
      </x:c>
      <x:c r="X350" s="42" t="str"/>
      <x:c r="Y350" s="42" t="str"/>
      <x:c r="Z350" s="42" t="str"/>
      <x:c r="AA350" s="42" t="str">
        <x:v>https://www.recaap.org/alerts</x:v>
      </x:c>
      <x:c r="AB350" s="42" t="str">
        <x:v>Needs canonical event resolution</x:v>
      </x:c>
      <x:c r="AC350" s="42" t="str">
        <x:v>Flag: KUWAIT</x:v>
      </x:c>
    </x:row>
    <x:row r="351">
      <x:c r="A351" s="42" t="str">
        <x:v>OBS_000350</x:v>
      </x:c>
      <x:c r="B351" s="42" t="str"/>
      <x:c r="C351" s="42" t="str">
        <x:v>recaap_incidents_2024_2026</x:v>
      </x:c>
      <x:c r="D351" s="42" t="str">
        <x:v>2025-33</x:v>
      </x:c>
      <x:c r="E351" s="42" t="str">
        <x:v>2025-07-04</x:v>
      </x:c>
      <x:c r="F351" s="42" t="str">
        <x:v>Maritime Crime</x:v>
      </x:c>
      <x:c r="G351" s="42" t="str">
        <x:v>Robbery/ Theft</x:v>
      </x:c>
      <x:c r="H351" s="42" t="str">
        <x:v>4</x:v>
      </x:c>
      <x:c r="I351" s="42" t="str">
        <x:v>Maritime</x:v>
      </x:c>
      <x:c r="J351" s="42" t="str">
        <x:v>Straits of Malacca &amp; Singapore</x:v>
      </x:c>
      <x:c r="K351" s="42" t="str"/>
      <x:c r="L351" s="42" t="str">
        <x:v>Approximately 5 nm off Pulau Cula (Indonesia), in the eastbound lane of the TSS</x:v>
      </x:c>
      <x:c r="M351" s="42" t="str">
        <x:v>1.1155</x:v>
      </x:c>
      <x:c r="N351" s="42" t="str">
        <x:v>103.749167</x:v>
      </x:c>
      <x:c r="O351" s="42" t="str">
        <x:v>Stellata</x:v>
      </x:c>
      <x:c r="P351" s="42" t="str"/>
      <x:c r="Q351" s="42" t="str">
        <x:v>TANKER</x:v>
      </x:c>
      <x:c r="R351" s="42" t="str"/>
      <x:c r="S351" s="42" t="str">
        <x:v>While underway, six perpetrators were sighted at the poop deck. The master raised the general alarm and mustered the crew. Upon hearing the alarm, the perpetrators jumped overboard and escaped. A search was conducted, with no perpetrators found onboard. All crew members were The master accounted for, with no injury reported. confirmed no further assistance was required, and resumed its voyage to Singapore. The incident was reported to Singapore VTIS Central. Safety broadcasts on anti-piracy watch were initiated to warn all vessels to maintain a vigilant watch at all times in the SS. The RSN’s MSTF and Singapore PCG were notified of the incident. Information of the incident was shared with the Indonesian authority. Upon arrival in Singapore, Singapore PCG boarded the ship for investigation and confirmed that nothing was stolen.</x:v>
      </x:c>
      <x:c r="T351" s="42" t="str"/>
      <x:c r="U351" s="42" t="str"/>
      <x:c r="V351" s="42" t="str"/>
      <x:c r="W351" s="42" t="str">
        <x:v>While Sailing</x:v>
      </x:c>
      <x:c r="X351" s="42" t="str"/>
      <x:c r="Y351" s="42" t="str"/>
      <x:c r="Z351" s="42" t="str"/>
      <x:c r="AA351" s="42" t="str">
        <x:v>https://www.recaap.org/alerts</x:v>
      </x:c>
      <x:c r="AB351" s="42" t="str">
        <x:v>Needs canonical event resolution</x:v>
      </x:c>
      <x:c r="AC351" s="42" t="str">
        <x:v>Flag: MALTA</x:v>
      </x:c>
    </x:row>
    <x:row r="352">
      <x:c r="A352" s="42" t="str">
        <x:v>OBS_000351</x:v>
      </x:c>
      <x:c r="B352" s="42" t="str"/>
      <x:c r="C352" s="42" t="str">
        <x:v>recaap_incidents_2024_2026</x:v>
      </x:c>
      <x:c r="D352" s="42" t="str">
        <x:v>2025-32</x:v>
      </x:c>
      <x:c r="E352" s="42" t="str">
        <x:v>2025-07-04</x:v>
      </x:c>
      <x:c r="F352" s="42" t="str">
        <x:v>Maritime Crime</x:v>
      </x:c>
      <x:c r="G352" s="42" t="str">
        <x:v>Robbery/ Theft</x:v>
      </x:c>
      <x:c r="H352" s="42" t="str">
        <x:v>2</x:v>
      </x:c>
      <x:c r="I352" s="42" t="str">
        <x:v>Maritime</x:v>
      </x:c>
      <x:c r="J352" s="42" t="str">
        <x:v>Indonesia (Ports/Anchorages)</x:v>
      </x:c>
      <x:c r="K352" s="42" t="str"/>
      <x:c r="L352" s="42" t="str">
        <x:v>Belawan Port Anchorage, Indonesia</x:v>
      </x:c>
      <x:c r="M352" s="42" t="str">
        <x:v>3.9</x:v>
      </x:c>
      <x:c r="N352" s="42" t="str">
        <x:v>98.766667</x:v>
      </x:c>
      <x:c r="O352" s="42" t="str">
        <x:v>Nordseraphinea</x:v>
      </x:c>
      <x:c r="P352" s="42" t="str"/>
      <x:c r="Q352" s="42" t="str">
        <x:v>CONTAINER SHIP</x:v>
      </x:c>
      <x:c r="R352" s="42" t="str"/>
      <x:c r="S352" s="42" t="str">
        <x:v>At Anchor While at anchor, the forward watchman did not report to the bridge as instructed. The 3rd officer tried to call him but there was no reply. The 3rd officer then sent another watchman to check, who discovered that the forward watchman was threatened by four perpetrators with knife, tied up and put under mooring platform. As the second watchman went forward, the perpetrators caught and tied him too. The master raised the general alarm and crew mustered in the mess hall. Upon realising the crew was alerted, the perpetrators escaped with personal belongings of the watchmen and some ship stores. After the perpetrators left the ship, one of the watchmen managed to untie himself and help the other watchman to get free. A search onboard the ship was conducted. The crew was not injured. The master reported the incident to VTS. Two navy officers later went onboard the ship for investigation.</x:v>
      </x:c>
      <x:c r="T352" s="42" t="str"/>
      <x:c r="U352" s="42" t="str"/>
      <x:c r="V352" s="42" t="str"/>
      <x:c r="W352" s="42" t="str"/>
      <x:c r="X352" s="42" t="str"/>
      <x:c r="Y352" s="42" t="str"/>
      <x:c r="Z352" s="42" t="str"/>
      <x:c r="AA352" s="42" t="str">
        <x:v>https://www.recaap.org/alerts</x:v>
      </x:c>
      <x:c r="AB352" s="42" t="str">
        <x:v>Needs canonical event resolution</x:v>
      </x:c>
      <x:c r="AC352" s="42" t="str">
        <x:v>Flag: CYPRUS</x:v>
      </x:c>
    </x:row>
    <x:row r="353">
      <x:c r="A353" s="42" t="str">
        <x:v>OBS_000352</x:v>
      </x:c>
      <x:c r="B353" s="42" t="str"/>
      <x:c r="C353" s="42" t="str">
        <x:v>recaap_incidents_2024_2026</x:v>
      </x:c>
      <x:c r="D353" s="42" t="str">
        <x:v>2025-30</x:v>
      </x:c>
      <x:c r="E353" s="42" t="str">
        <x:v>2025-07-04</x:v>
      </x:c>
      <x:c r="F353" s="42" t="str">
        <x:v>Maritime Crime</x:v>
      </x:c>
      <x:c r="G353" s="42" t="str">
        <x:v>Robbery/ Theft</x:v>
      </x:c>
      <x:c r="H353" s="42" t="str">
        <x:v>3</x:v>
      </x:c>
      <x:c r="I353" s="42" t="str">
        <x:v>Maritime</x:v>
      </x:c>
      <x:c r="J353" s="42" t="str">
        <x:v>Straits of Malacca &amp; Singapore</x:v>
      </x:c>
      <x:c r="K353" s="42" t="str"/>
      <x:c r="L353" s="42" t="str">
        <x:v>Approximately 2.5 nm off Pulau Cula (Indonesia), in the eastbound lane of the TSS</x:v>
      </x:c>
      <x:c r="M353" s="42" t="str">
        <x:v>1.080833</x:v>
      </x:c>
      <x:c r="N353" s="42" t="str">
        <x:v>103.715667</x:v>
      </x:c>
      <x:c r="O353" s="42" t="str">
        <x:v>Modigliani</x:v>
      </x:c>
      <x:c r="P353" s="42" t="str"/>
      <x:c r="Q353" s="42" t="str">
        <x:v>BULK CARRIER</x:v>
      </x:c>
      <x:c r="R353" s="42" t="str"/>
      <x:c r="S353" s="42" t="str">
        <x:v>While underway, five perpetrators armed with gun-like objects were sighted at the poop deck. The ship’s general alarm was activated and crew mustered. Upon realising the crew was alerted, the perpetrators escaped immediately. A search was conducted, with no perpetrators found onboard. All crew members were accounted for, with no injury reported. The master confirmed no further assistance was required, and resumed its voyage to Singapore. The incident was reported to Singapore VTIS West. Safety broadcasts on anti-piracy watch were initiated to warn all vessels to maintain a vigilant watch at all times in the SS. The RSN’s MSTF and Singapore PCG were notified of the incident. Information of the incident was shared with the Indonesian authority. Upon arrival in Singapore, Singapore PCG boarded the ship for investigation and confirmed that nothing was stolen.</x:v>
      </x:c>
      <x:c r="T353" s="42" t="str"/>
      <x:c r="U353" s="42" t="str"/>
      <x:c r="V353" s="42" t="str"/>
      <x:c r="W353" s="42" t="str">
        <x:v>While Sailing</x:v>
      </x:c>
      <x:c r="X353" s="42" t="str"/>
      <x:c r="Y353" s="42" t="str"/>
      <x:c r="Z353" s="42" t="str"/>
      <x:c r="AA353" s="42" t="str">
        <x:v>https://www.recaap.org/alerts</x:v>
      </x:c>
      <x:c r="AB353" s="42" t="str">
        <x:v>Needs canonical event resolution</x:v>
      </x:c>
      <x:c r="AC353" s="42" t="str">
        <x:v>Flag: LIBERIA</x:v>
      </x:c>
    </x:row>
    <x:row r="354">
      <x:c r="A354" s="42" t="str">
        <x:v>OBS_000353</x:v>
      </x:c>
      <x:c r="B354" s="42" t="str"/>
      <x:c r="C354" s="42" t="str">
        <x:v>recaap_incidents_2024_2026</x:v>
      </x:c>
      <x:c r="D354" s="42" t="str">
        <x:v>2025-34</x:v>
      </x:c>
      <x:c r="E354" s="42" t="str">
        <x:v>2025-07-02</x:v>
      </x:c>
      <x:c r="F354" s="42" t="str">
        <x:v>Maritime Crime</x:v>
      </x:c>
      <x:c r="G354" s="42" t="str">
        <x:v>Robbery/ Theft</x:v>
      </x:c>
      <x:c r="H354" s="42" t="str">
        <x:v>3</x:v>
      </x:c>
      <x:c r="I354" s="42" t="str">
        <x:v>Maritime</x:v>
      </x:c>
      <x:c r="J354" s="42" t="str">
        <x:v>Straits of Malacca &amp; Singapore</x:v>
      </x:c>
      <x:c r="K354" s="42" t="str"/>
      <x:c r="L354" s="42" t="str">
        <x:v>Approximately 3.5 nm off Pulau Cula (Indonesia), in the eastbound lane of the TSS</x:v>
      </x:c>
      <x:c r="M354" s="42" t="str">
        <x:v>1.041667</x:v>
      </x:c>
      <x:c r="N354" s="42" t="str">
        <x:v>103.6525</x:v>
      </x:c>
      <x:c r="O354" s="42" t="str">
        <x:v>Beagle</x:v>
      </x:c>
      <x:c r="P354" s="42" t="str"/>
      <x:c r="Q354" s="42" t="str">
        <x:v>BULK CARRIER</x:v>
      </x:c>
      <x:c r="R354" s="42" t="str"/>
      <x:c r="S354" s="42" t="str">
        <x:v>While underway, four perpetrators armed with knives were sighted at the starboard quarter. The master raised the alarm and crew was mustered. A security search was conducted, with no perpetrators found onboard. All crew members were The master accounted for, with no injury reported. confirmed no further assistance was required, and resumed its voyage to Singapore. The incident was reported to Singapore VTIS West. Safety broadcasts on anti-piracy watch were initiated to warn all vessels to maintain a vigilant watch at all times in the SS. The RSN’s MSTF and Singapore PCG were notified of the incident. Information of the incident was shared with the Indonesian authority. Upon arrival in Singapore, Singapore PCG boarded the ship for investigation and confirmed that nothing was stolen.</x:v>
      </x:c>
      <x:c r="T354" s="42" t="str"/>
      <x:c r="U354" s="42" t="str"/>
      <x:c r="V354" s="42" t="str"/>
      <x:c r="W354" s="42" t="str">
        <x:v>While Sailing</x:v>
      </x:c>
      <x:c r="X354" s="42" t="str"/>
      <x:c r="Y354" s="42" t="str"/>
      <x:c r="Z354" s="42" t="str"/>
      <x:c r="AA354" s="42" t="str">
        <x:v>https://www.recaap.org/alerts</x:v>
      </x:c>
      <x:c r="AB354" s="42" t="str">
        <x:v>Needs canonical event resolution</x:v>
      </x:c>
      <x:c r="AC354" s="42" t="str">
        <x:v>Flag: LIBERIA</x:v>
      </x:c>
    </x:row>
    <x:row r="355">
      <x:c r="A355" s="42" t="str">
        <x:v>OBS_000354</x:v>
      </x:c>
      <x:c r="B355" s="42" t="str"/>
      <x:c r="C355" s="42" t="str">
        <x:v>recaap_incidents_2024_2026</x:v>
      </x:c>
      <x:c r="D355" s="42" t="str">
        <x:v>2025-37</x:v>
      </x:c>
      <x:c r="E355" s="42" t="str">
        <x:v>2025-07-01</x:v>
      </x:c>
      <x:c r="F355" s="42" t="str">
        <x:v>Maritime Crime</x:v>
      </x:c>
      <x:c r="G355" s="42" t="str">
        <x:v>Robbery/ Theft</x:v>
      </x:c>
      <x:c r="H355" s="42" t="str">
        <x:v>3</x:v>
      </x:c>
      <x:c r="I355" s="42" t="str">
        <x:v>Maritime</x:v>
      </x:c>
      <x:c r="J355" s="42" t="str">
        <x:v>Straits of Malacca &amp; Singapore</x:v>
      </x:c>
      <x:c r="K355" s="42" t="str"/>
      <x:c r="L355" s="42" t="str">
        <x:v>Approximately 8.5 nm off Pulau Cula (Indonesia), in the eastbound lane of the TSS</x:v>
      </x:c>
      <x:c r="M355" s="42" t="str">
        <x:v>1.0845</x:v>
      </x:c>
      <x:c r="N355" s="42" t="str">
        <x:v>103.577333</x:v>
      </x:c>
      <x:c r="O355" s="42" t="str">
        <x:v>Galateia</x:v>
      </x:c>
      <x:c r="P355" s="42" t="str"/>
      <x:c r="Q355" s="42" t="str">
        <x:v>BULK CARRIER</x:v>
      </x:c>
      <x:c r="R355" s="42" t="str"/>
      <x:c r="S355" s="42" t="str">
        <x:v>While underway, five perpetrators armed with gun-like sighted in the engine room. The master objects were immediately raised the general alarm and crew mustered for safety. Upon hearing the alarm, the perpetrators escaped immediately. A search was conducted, with no perpetrators found onboard. The crew was not injured. Some engine spare parts were stolen. The ship was en route from Brazil to Singapore. The incident was reported to Singapore VTIS West. Safety broadcasts on anti-piracy watch were initiated to warn all vessels to maintain a vigilant watch at all times in the SS. The RSN’s MSTF and Singapore PCG were notified of the incident. Information of the incident was shared with the Indonesian authority. Upon arrival in Singapore, Singapore PCG boarded the ship, conducted a search, and confirmed no perpetrators were onboard.</x:v>
      </x:c>
      <x:c r="T355" s="42" t="str"/>
      <x:c r="U355" s="42" t="str"/>
      <x:c r="V355" s="42" t="str"/>
      <x:c r="W355" s="42" t="str">
        <x:v>While Sailing</x:v>
      </x:c>
      <x:c r="X355" s="42" t="str"/>
      <x:c r="Y355" s="42" t="str"/>
      <x:c r="Z355" s="42" t="str"/>
      <x:c r="AA355" s="42" t="str">
        <x:v>https://www.recaap.org/alerts</x:v>
      </x:c>
      <x:c r="AB355" s="42" t="str">
        <x:v>Needs canonical event resolution</x:v>
      </x:c>
      <x:c r="AC355" s="42" t="str">
        <x:v>Flag: LIBERIA</x:v>
      </x:c>
    </x:row>
    <x:row r="356">
      <x:c r="A356" s="42" t="str">
        <x:v>OBS_000355</x:v>
      </x:c>
      <x:c r="B356" s="42" t="str"/>
      <x:c r="C356" s="42" t="str">
        <x:v>recaap_incidents_2024_2026</x:v>
      </x:c>
      <x:c r="D356" s="42" t="str">
        <x:v>2025-36</x:v>
      </x:c>
      <x:c r="E356" s="42" t="str">
        <x:v>2025-07-01</x:v>
      </x:c>
      <x:c r="F356" s="42" t="str">
        <x:v>Maritime Crime</x:v>
      </x:c>
      <x:c r="G356" s="42" t="str">
        <x:v>Robbery/ Theft</x:v>
      </x:c>
      <x:c r="H356" s="42" t="str">
        <x:v>4</x:v>
      </x:c>
      <x:c r="I356" s="42" t="str">
        <x:v>Maritime</x:v>
      </x:c>
      <x:c r="J356" s="42" t="str">
        <x:v>Straits of Malacca &amp; Singapore</x:v>
      </x:c>
      <x:c r="K356" s="42" t="str"/>
      <x:c r="L356" s="42" t="str">
        <x:v>Approximately 5.3 nm off Pulau Cula (Indonesia), in the eastbound lane of the TSS</x:v>
      </x:c>
      <x:c r="M356" s="42" t="str">
        <x:v>1.054833</x:v>
      </x:c>
      <x:c r="N356" s="42" t="str">
        <x:v>103.625167</x:v>
      </x:c>
      <x:c r="O356" s="42" t="str">
        <x:v>Jal Kalash</x:v>
      </x:c>
      <x:c r="P356" s="42" t="str"/>
      <x:c r="Q356" s="42" t="str">
        <x:v>BULK CARRIER</x:v>
      </x:c>
      <x:c r="R356" s="42" t="str"/>
      <x:c r="S356" s="42" t="str">
        <x:v>While underway, four perpetrators were spotted at the Port Quarter. The master immediately raised the general alarm and crew mustered for safety. The perpetrators escaped immediately upon hearing the general alarm. A search was conducted, with no perpetrators found onboard. All crew members were safe and accounted for, with no injury reported. Nothing was stolen.</x:v>
      </x:c>
      <x:c r="T356" s="42" t="str"/>
      <x:c r="U356" s="42" t="str"/>
      <x:c r="V356" s="42" t="str"/>
      <x:c r="W356" s="42" t="str">
        <x:v>While Sailing</x:v>
      </x:c>
      <x:c r="X356" s="42" t="str"/>
      <x:c r="Y356" s="42" t="str"/>
      <x:c r="Z356" s="42" t="str"/>
      <x:c r="AA356" s="42" t="str">
        <x:v>https://www.recaap.org/alerts</x:v>
      </x:c>
      <x:c r="AB356" s="42" t="str">
        <x:v>Needs canonical event resolution</x:v>
      </x:c>
      <x:c r="AC356" s="42" t="str">
        <x:v>Flag: SINGAPORE</x:v>
      </x:c>
    </x:row>
    <x:row r="357">
      <x:c r="A357" s="42" t="str">
        <x:v>OBS_000356</x:v>
      </x:c>
      <x:c r="B357" s="42" t="str"/>
      <x:c r="C357" s="42" t="str">
        <x:v>recaap_incidents_2024_2026</x:v>
      </x:c>
      <x:c r="D357" s="42" t="str">
        <x:v>2025-35</x:v>
      </x:c>
      <x:c r="E357" s="42" t="str">
        <x:v>2025-07-01</x:v>
      </x:c>
      <x:c r="F357" s="42" t="str">
        <x:v>Maritime Crime</x:v>
      </x:c>
      <x:c r="G357" s="42" t="str">
        <x:v>Attempted</x:v>
      </x:c>
      <x:c r="H357" s="42" t="str">
        <x:v>NA</x:v>
      </x:c>
      <x:c r="I357" s="42" t="str">
        <x:v>Maritime</x:v>
      </x:c>
      <x:c r="J357" s="42" t="str">
        <x:v>Straits of Malacca &amp; Singapore</x:v>
      </x:c>
      <x:c r="K357" s="42" t="str"/>
      <x:c r="L357" s="42" t="str">
        <x:v>Approximately 3.9 nm off Pulau Cula (Indonesia), in the eastbound lane of the TSS</x:v>
      </x:c>
      <x:c r="M357" s="42" t="str">
        <x:v>1.048</x:v>
      </x:c>
      <x:c r="N357" s="42" t="str">
        <x:v>103.646167</x:v>
      </x:c>
      <x:c r="O357" s="42" t="str">
        <x:v>Cape Race</x:v>
      </x:c>
      <x:c r="P357" s="42" t="str"/>
      <x:c r="Q357" s="42" t="str">
        <x:v>BULK CARRIER</x:v>
      </x:c>
      <x:c r="R357" s="42" t="str"/>
      <x:c r="S357" s="42" t="str">
        <x:v>While underway, four perpetrators were sighted at the stern, attempting to board the ship. The master immediately raised the general alarm and switched on the deck lights. Upon realising the crew had been alerted, the perpetrators escaped immediately in their boat. The crew was mustered and a search was conducted, with no perpetrators found onboard. The ship was en route from Mauritius to Singapore. The incident was reported to Singapore VTIS West. Safety broadcasts on anti-piracy watch were initiated to warn all vessels to maintain a vigilant watch at all times in the SS. The RSN’s MSTF and Singapore PCG were notified of the incident. Upon arrival in Singapore, Singapore PCG boarded the ship, conducted a search, and confirmed no perpetrators were onboard.</x:v>
      </x:c>
      <x:c r="T357" s="42" t="str"/>
      <x:c r="U357" s="42" t="str"/>
      <x:c r="V357" s="42" t="str"/>
      <x:c r="W357" s="42" t="str">
        <x:v>While Sailing</x:v>
      </x:c>
      <x:c r="X357" s="42" t="str"/>
      <x:c r="Y357" s="42" t="str"/>
      <x:c r="Z357" s="42" t="str"/>
      <x:c r="AA357" s="42" t="str">
        <x:v>https://www.recaap.org/alerts</x:v>
      </x:c>
      <x:c r="AB357" s="42" t="str">
        <x:v>Needs canonical event resolution</x:v>
      </x:c>
      <x:c r="AC357" s="42" t="str">
        <x:v>Flag: CYPRUS</x:v>
      </x:c>
    </x:row>
    <x:row r="358">
      <x:c r="A358" s="42" t="str">
        <x:v>OBS_000357</x:v>
      </x:c>
      <x:c r="B358" s="42" t="str"/>
      <x:c r="C358" s="42" t="str">
        <x:v>recaap_incidents_2024_2026</x:v>
      </x:c>
      <x:c r="D358" s="42" t="str">
        <x:v>2025-38</x:v>
      </x:c>
      <x:c r="E358" s="42" t="str">
        <x:v>2025-06-28</x:v>
      </x:c>
      <x:c r="F358" s="42" t="str">
        <x:v>Maritime Crime</x:v>
      </x:c>
      <x:c r="G358" s="42" t="str">
        <x:v>Robbery/ Theft</x:v>
      </x:c>
      <x:c r="H358" s="42" t="str">
        <x:v>3</x:v>
      </x:c>
      <x:c r="I358" s="42" t="str">
        <x:v>Maritime</x:v>
      </x:c>
      <x:c r="J358" s="42" t="str">
        <x:v>Straits of Malacca &amp; Singapore</x:v>
      </x:c>
      <x:c r="K358" s="42" t="str"/>
      <x:c r="L358" s="42" t="str">
        <x:v>Approximately 2.5 nm off Pulau Cula (Indonesia), in the eastbound lane of the TSS</x:v>
      </x:c>
      <x:c r="M358" s="42" t="str">
        <x:v>1.0815</x:v>
      </x:c>
      <x:c r="N358" s="42" t="str">
        <x:v>103.7155</x:v>
      </x:c>
      <x:c r="O358" s="42" t="str">
        <x:v>CMA CGM Africa Three</x:v>
      </x:c>
      <x:c r="P358" s="42" t="str"/>
      <x:c r="Q358" s="42" t="str">
        <x:v>CONTAINER SHIP</x:v>
      </x:c>
      <x:c r="R358" s="42" t="str"/>
      <x:c r="S358" s="42" t="str">
        <x:v>While underway, the crew sighted five perpetrators armed in the engine room via shipboard CCTV. The with knives master raised the alarm and a security search was conducted, with no perpetrators found onboard. All crew members were accounted for, with no injury reported. The incident was reported to Singapore VTIS. Safety broadcasts on anti-piracy watch were initiated to warn all vessels to maintain a vigilant watch at all times in the SS. The RSN’s MSTF and Singapore PCG were notified of the incident. Information of the incident was shared with the Indonesian authority. Singapore PCG boarded the ship for investigation and confirmed that some engine spares were stolen.</x:v>
      </x:c>
      <x:c r="T358" s="42" t="str"/>
      <x:c r="U358" s="42" t="str"/>
      <x:c r="V358" s="42" t="str"/>
      <x:c r="W358" s="42" t="str">
        <x:v>While Sailing</x:v>
      </x:c>
      <x:c r="X358" s="42" t="str"/>
      <x:c r="Y358" s="42" t="str"/>
      <x:c r="Z358" s="42" t="str"/>
      <x:c r="AA358" s="42" t="str">
        <x:v>https://www.recaap.org/alerts</x:v>
      </x:c>
      <x:c r="AB358" s="42" t="str">
        <x:v>Needs canonical event resolution</x:v>
      </x:c>
      <x:c r="AC358" s="42" t="str">
        <x:v>Flag: BAHAMAS</x:v>
      </x:c>
    </x:row>
    <x:row r="359">
      <x:c r="A359" s="42" t="str">
        <x:v>OBS_000358</x:v>
      </x:c>
      <x:c r="B359" s="42" t="str"/>
      <x:c r="C359" s="42" t="str">
        <x:v>recaap_incidents_2024_2026</x:v>
      </x:c>
      <x:c r="D359" s="42" t="str">
        <x:v>2025-39</x:v>
      </x:c>
      <x:c r="E359" s="42" t="str">
        <x:v>2025-06-27</x:v>
      </x:c>
      <x:c r="F359" s="42" t="str">
        <x:v>Maritime Crime</x:v>
      </x:c>
      <x:c r="G359" s="42" t="str">
        <x:v>Robbery/ Theft</x:v>
      </x:c>
      <x:c r="H359" s="42" t="str">
        <x:v>3</x:v>
      </x:c>
      <x:c r="I359" s="42" t="str">
        <x:v>Maritime</x:v>
      </x:c>
      <x:c r="J359" s="42" t="str">
        <x:v>Straits of Malacca &amp; Singapore</x:v>
      </x:c>
      <x:c r="K359" s="42" t="str"/>
      <x:c r="L359" s="42" t="str">
        <x:v>Approximately 3.9 nm off Pulau Cula (Indonesia), in the eastbound lane of the TSS</x:v>
      </x:c>
      <x:c r="M359" s="42" t="str">
        <x:v>1.095</x:v>
      </x:c>
      <x:c r="N359" s="42" t="str">
        <x:v>103.730833</x:v>
      </x:c>
      <x:c r="O359" s="42" t="str">
        <x:v>Tulip</x:v>
      </x:c>
      <x:c r="P359" s="42" t="str"/>
      <x:c r="Q359" s="42" t="str">
        <x:v>LPG</x:v>
      </x:c>
      <x:c r="R359" s="42" t="str"/>
      <x:c r="S359" s="42" t="str">
        <x:v>While underway, the crew sighted four perpetrators armed with gun-like objects in the engine room. The master raised the alarm and mustered the crew to conduct a security search. The search was completed with no perpetrators found onboard. All crew members were safe and accounted for, with no injury reported. Some engine spare parts were stolen. The master indicated that no further assistance was required, and continued her voyage to Hainan, China. The incident was reported to Singapore VTIS West. Safety broadcasts on anti-piracy watch were initiated to warn all vessels to maintain a vigilant watch at all times in the SS. The RSN’s MSTF and Singapore PCG were notified of the incident. Information of the incident was shared with the Indonesian authority.</x:v>
      </x:c>
      <x:c r="T359" s="42" t="str"/>
      <x:c r="U359" s="42" t="str"/>
      <x:c r="V359" s="42" t="str"/>
      <x:c r="W359" s="42" t="str">
        <x:v>While Sailing</x:v>
      </x:c>
      <x:c r="X359" s="42" t="str"/>
      <x:c r="Y359" s="42" t="str"/>
      <x:c r="Z359" s="42" t="str"/>
      <x:c r="AA359" s="42" t="str">
        <x:v>https://www.recaap.org/alerts</x:v>
      </x:c>
      <x:c r="AB359" s="42" t="str">
        <x:v>Needs canonical event resolution</x:v>
      </x:c>
      <x:c r="AC359" s="42" t="str">
        <x:v>Flag: CAMEROON</x:v>
      </x:c>
    </x:row>
    <x:row r="360">
      <x:c r="A360" s="42" t="str">
        <x:v>OBS_000359</x:v>
      </x:c>
      <x:c r="B360" s="42" t="str"/>
      <x:c r="C360" s="42" t="str">
        <x:v>recaap_incidents_2024_2026</x:v>
      </x:c>
      <x:c r="D360" s="42" t="str">
        <x:v>2025-40</x:v>
      </x:c>
      <x:c r="E360" s="42" t="str">
        <x:v>2025-06-23</x:v>
      </x:c>
      <x:c r="F360" s="42" t="str">
        <x:v>Maritime Crime</x:v>
      </x:c>
      <x:c r="G360" s="42" t="str">
        <x:v>Robbery/ Theft</x:v>
      </x:c>
      <x:c r="H360" s="42" t="str">
        <x:v>3</x:v>
      </x:c>
      <x:c r="I360" s="42" t="str">
        <x:v>Maritime</x:v>
      </x:c>
      <x:c r="J360" s="42" t="str">
        <x:v>Straits of Malacca &amp; Singapore</x:v>
      </x:c>
      <x:c r="K360" s="42" t="str"/>
      <x:c r="L360" s="42" t="str">
        <x:v>Approximately 2.5 nm off Pulau Cula (Indonesia), in the eastbound lane of the TSS</x:v>
      </x:c>
      <x:c r="M360" s="42" t="str">
        <x:v>1.06</x:v>
      </x:c>
      <x:c r="N360" s="42" t="str">
        <x:v>103.683333</x:v>
      </x:c>
      <x:c r="O360" s="42" t="str">
        <x:v>Theresa</x:v>
      </x:c>
      <x:c r="P360" s="42" t="str"/>
      <x:c r="Q360" s="42" t="str">
        <x:v>PETROLEUM/ CHEMICAL TANKER</x:v>
      </x:c>
      <x:c r="R360" s="42" t="str"/>
      <x:c r="S360" s="42" t="str">
        <x:v>While underway, four perpetrators armed with knives were sighted in the engine room. The ship’s general alarm was immediately activated and a search was conducted, with no perpetrators found onboard. All crew members were safe and accounted for, with no injury reported. Three paint drums were stolen. The incident was reported to Singapore POCC. Upon arrival in Singapore, Singapore PCG boarded the ship, conducted a search and confirmed no perpetrators were onboard.</x:v>
      </x:c>
      <x:c r="T360" s="42" t="str"/>
      <x:c r="U360" s="42" t="str"/>
      <x:c r="V360" s="42" t="str"/>
      <x:c r="W360" s="42" t="str">
        <x:v>While Sailing</x:v>
      </x:c>
      <x:c r="X360" s="42" t="str"/>
      <x:c r="Y360" s="42" t="str"/>
      <x:c r="Z360" s="42" t="str"/>
      <x:c r="AA360" s="42" t="str">
        <x:v>https://www.recaap.org/alerts</x:v>
      </x:c>
      <x:c r="AB360" s="42" t="str">
        <x:v>Needs canonical event resolution</x:v>
      </x:c>
      <x:c r="AC360" s="42" t="str">
        <x:v>Flag: SINGAPORE</x:v>
      </x:c>
    </x:row>
    <x:row r="361">
      <x:c r="A361" s="42" t="str">
        <x:v>OBS_000360</x:v>
      </x:c>
      <x:c r="B361" s="42" t="str"/>
      <x:c r="C361" s="42" t="str">
        <x:v>recaap_incidents_2024_2026</x:v>
      </x:c>
      <x:c r="D361" s="42" t="str">
        <x:v>2025-41</x:v>
      </x:c>
      <x:c r="E361" s="42" t="str">
        <x:v>2025-06-19</x:v>
      </x:c>
      <x:c r="F361" s="42" t="str">
        <x:v>Maritime Crime</x:v>
      </x:c>
      <x:c r="G361" s="42" t="str">
        <x:v>Robbery/ Theft</x:v>
      </x:c>
      <x:c r="H361" s="42" t="str">
        <x:v>4</x:v>
      </x:c>
      <x:c r="I361" s="42" t="str">
        <x:v>Maritime</x:v>
      </x:c>
      <x:c r="J361" s="42" t="str">
        <x:v>India (Ports/Anchorages)</x:v>
      </x:c>
      <x:c r="K361" s="42" t="str"/>
      <x:c r="L361" s="42" t="str">
        <x:v>Kakinada Anchorage, India</x:v>
      </x:c>
      <x:c r="M361" s="42" t="str">
        <x:v>17.005</x:v>
      </x:c>
      <x:c r="N361" s="42" t="str">
        <x:v>82.325167</x:v>
      </x:c>
      <x:c r="O361" s="42" t="str">
        <x:v>MV GH Pathfinder</x:v>
      </x:c>
      <x:c r="P361" s="42" t="str"/>
      <x:c r="Q361" s="42" t="str">
        <x:v>OFFSHORE SUPPLY VESSEL</x:v>
      </x:c>
      <x:c r="R361" s="42" t="str"/>
      <x:c r="S361" s="42" t="str">
        <x:v>At Anchor While at anchor, 12 unarmed perpetrators boarded the ship via a fishing boat. The crew was not injured and nothing was stolen. The incident was reported to the coastal State and an Indian Coast Guard ship was deployed. Five perpetrators were apprehended and handed over to local Port Police Station.</x:v>
      </x:c>
      <x:c r="T361" s="42" t="str"/>
      <x:c r="U361" s="42" t="str"/>
      <x:c r="V361" s="42" t="str"/>
      <x:c r="W361" s="42" t="str"/>
      <x:c r="X361" s="42" t="str"/>
      <x:c r="Y361" s="42" t="str"/>
      <x:c r="Z361" s="42" t="str"/>
      <x:c r="AA361" s="42" t="str">
        <x:v>https://www.recaap.org/alerts</x:v>
      </x:c>
      <x:c r="AB361" s="42" t="str">
        <x:v>Needs canonical event resolution</x:v>
      </x:c>
      <x:c r="AC361" s="42" t="str">
        <x:v>Flag: ANTIGUA &amp; BARBUDA</x:v>
      </x:c>
    </x:row>
    <x:row r="362">
      <x:c r="A362" s="42" t="str">
        <x:v>OBS_000361</x:v>
      </x:c>
      <x:c r="B362" s="42" t="str"/>
      <x:c r="C362" s="42" t="str">
        <x:v>recaap_incidents_2024_2026</x:v>
      </x:c>
      <x:c r="D362" s="42" t="str">
        <x:v>2025-42</x:v>
      </x:c>
      <x:c r="E362" s="42" t="str">
        <x:v>2025-06-18</x:v>
      </x:c>
      <x:c r="F362" s="42" t="str">
        <x:v>Maritime Crime</x:v>
      </x:c>
      <x:c r="G362" s="42" t="str">
        <x:v>Robbery/ Theft</x:v>
      </x:c>
      <x:c r="H362" s="42" t="str">
        <x:v>4</x:v>
      </x:c>
      <x:c r="I362" s="42" t="str">
        <x:v>Maritime</x:v>
      </x:c>
      <x:c r="J362" s="42" t="str">
        <x:v>Straits of Malacca &amp; Singapore</x:v>
      </x:c>
      <x:c r="K362" s="42" t="str"/>
      <x:c r="L362" s="42" t="str">
        <x:v>Approximately 1.18 nm off Helen Mar Reef, Racon M (Indonesia), in the eastbound lane of the TSS</x:v>
      </x:c>
      <x:c r="M362" s="42" t="str">
        <x:v>1.135</x:v>
      </x:c>
      <x:c r="N362" s="42" t="str">
        <x:v>103.758333</x:v>
      </x:c>
      <x:c r="O362" s="42" t="str">
        <x:v>Queen</x:v>
      </x:c>
      <x:c r="P362" s="42" t="str"/>
      <x:c r="Q362" s="42" t="str">
        <x:v>BULK CARRIER</x:v>
      </x:c>
      <x:c r="R362" s="42" t="str"/>
      <x:c r="S362" s="42" t="str">
        <x:v>While underway, the crew sighted five perpetrators on the stern deck. The master immediately raised the general alarm and mustered all crew. A search was conducted, with no perpetrators found onboard. All crew members were accounted for, with no injury reported. Nothing was stolen. The ship was scheduled to arrive at Singapore Pilot Eastern Boarding Ground “B” (PEBGB) to anchor at Eastern Bunkering B Anchorage (AEBB). The incident was reported to Singapore VTIS. Safety broadcasts on anti-piracy watch were initiated to warn all vessels to maintain a vigilant watch at all times in the SS. The RSN’s MSTF and Singapore PCG were notified of the incident. Information of the incident was shared with the Indonesian authority. Upon arrival at anchorage, Singapore PCG boarded the ship, conducted a search and confirmed no perpetrators were onboard. The crew reported that the starboard concertina wires were cut and was a possible entry point for the perpetrators.</x:v>
      </x:c>
      <x:c r="T362" s="42" t="str"/>
      <x:c r="U362" s="42" t="str"/>
      <x:c r="V362" s="42" t="str"/>
      <x:c r="W362" s="42" t="str">
        <x:v>While Sailing</x:v>
      </x:c>
      <x:c r="X362" s="42" t="str"/>
      <x:c r="Y362" s="42" t="str"/>
      <x:c r="Z362" s="42" t="str"/>
      <x:c r="AA362" s="42" t="str">
        <x:v>https://www.recaap.org/alerts</x:v>
      </x:c>
      <x:c r="AB362" s="42" t="str">
        <x:v>Needs canonical event resolution</x:v>
      </x:c>
      <x:c r="AC362" s="42" t="str">
        <x:v>Flag: MARSHALL ISLANDS</x:v>
      </x:c>
    </x:row>
    <x:row r="363">
      <x:c r="A363" s="42" t="str">
        <x:v>OBS_000362</x:v>
      </x:c>
      <x:c r="B363" s="42" t="str"/>
      <x:c r="C363" s="42" t="str">
        <x:v>recaap_incidents_2024_2026</x:v>
      </x:c>
      <x:c r="D363" s="42" t="str">
        <x:v>2025-43</x:v>
      </x:c>
      <x:c r="E363" s="42" t="str">
        <x:v>2025-06-17</x:v>
      </x:c>
      <x:c r="F363" s="42" t="str">
        <x:v>Maritime Crime</x:v>
      </x:c>
      <x:c r="G363" s="42" t="str">
        <x:v>Robbery/ Theft</x:v>
      </x:c>
      <x:c r="H363" s="42" t="str">
        <x:v>4</x:v>
      </x:c>
      <x:c r="I363" s="42" t="str">
        <x:v>Maritime</x:v>
      </x:c>
      <x:c r="J363" s="42" t="str">
        <x:v>Straits of Malacca &amp; Singapore</x:v>
      </x:c>
      <x:c r="K363" s="42" t="str"/>
      <x:c r="L363" s="42" t="str">
        <x:v>Approximately 2.4 nm off Pulau Cula (Indonesia), in the eastbound lane of the TSS</x:v>
      </x:c>
      <x:c r="M363" s="42" t="str">
        <x:v>1.053667</x:v>
      </x:c>
      <x:c r="N363" s="42" t="str">
        <x:v>103.673</x:v>
      </x:c>
      <x:c r="O363" s="42" t="str">
        <x:v>Lirica</x:v>
      </x:c>
      <x:c r="P363" s="42" t="str"/>
      <x:c r="Q363" s="42" t="str">
        <x:v>TANKER</x:v>
      </x:c>
      <x:c r="R363" s="42" t="str"/>
      <x:c r="S363" s="42" t="str">
        <x:v>While underway, four perpetrators were sighted on the stern deck. A search was conducted, with no perpetrators found onboard. All crew members were accounted for, with no injury reported. Nothing was stolen. No further assistance was required, and the ship resumed its voyage to Singapore PEBGB. The incident was reported to Singapore VTIS West. Safety broadcasts on anti-piracy watch were initiated to warn all vessels to maintain a vigilant watch at all times in the SS. The RSN’s MSTF and Singapore PCG were notified of the incident. Information of the incident was shared with the Indonesian authority. Upon arrival at anchorage, Singapore PCG boarded the ship, conducted a search and confirmed no perpetrators were onboard.</x:v>
      </x:c>
      <x:c r="T363" s="42" t="str"/>
      <x:c r="U363" s="42" t="str"/>
      <x:c r="V363" s="42" t="str"/>
      <x:c r="W363" s="42" t="str">
        <x:v>While Sailing</x:v>
      </x:c>
      <x:c r="X363" s="42" t="str"/>
      <x:c r="Y363" s="42" t="str"/>
      <x:c r="Z363" s="42" t="str"/>
      <x:c r="AA363" s="42" t="str">
        <x:v>https://www.recaap.org/alerts</x:v>
      </x:c>
      <x:c r="AB363" s="42" t="str">
        <x:v>Needs canonical event resolution</x:v>
      </x:c>
      <x:c r="AC363" s="42" t="str">
        <x:v>Flag: LIBERIA</x:v>
      </x:c>
    </x:row>
    <x:row r="364">
      <x:c r="A364" s="42" t="str">
        <x:v>OBS_000363</x:v>
      </x:c>
      <x:c r="B364" s="42" t="str"/>
      <x:c r="C364" s="42" t="str">
        <x:v>recaap_incidents_2024_2026</x:v>
      </x:c>
      <x:c r="D364" s="42" t="str">
        <x:v>2025-44</x:v>
      </x:c>
      <x:c r="E364" s="42" t="str">
        <x:v>2025-06-16</x:v>
      </x:c>
      <x:c r="F364" s="42" t="str">
        <x:v>Maritime Crime</x:v>
      </x:c>
      <x:c r="G364" s="42" t="str">
        <x:v>Robbery/ Theft</x:v>
      </x:c>
      <x:c r="H364" s="42" t="str">
        <x:v>4</x:v>
      </x:c>
      <x:c r="I364" s="42" t="str">
        <x:v>Maritime</x:v>
      </x:c>
      <x:c r="J364" s="42" t="str">
        <x:v>Straits of Malacca &amp; Singapore</x:v>
      </x:c>
      <x:c r="K364" s="42" t="str"/>
      <x:c r="L364" s="42" t="str">
        <x:v>Approximately 2.1 nm off Pulau Iyu Kecil (Indonesia), in the eastbound lane of the TSS</x:v>
      </x:c>
      <x:c r="M364" s="42" t="str">
        <x:v>1.202333</x:v>
      </x:c>
      <x:c r="N364" s="42" t="str">
        <x:v>103.385667</x:v>
      </x:c>
      <x:c r="O364" s="42" t="str">
        <x:v>Sinar Sigli</x:v>
      </x:c>
      <x:c r="P364" s="42" t="str"/>
      <x:c r="Q364" s="42" t="str">
        <x:v>CONTAINER SHIP</x:v>
      </x:c>
      <x:c r="R364" s="42" t="str"/>
      <x:c r="S364" s="42" t="str">
        <x:v>While underway, the bosun discovered that the lock on the deck store was broken. A search was conducted, with no perpetrators found on board. All crew members were accounted for, with no injury reported. Some ship stores including one set of Self Contained Breathing Apparatus (SCBA), one unit of compressor for SCBA bottle recharge and two units of radio transceiver were missing. The master reported the incident to Singapore POCC via email on 17 Jun 2025. The ship was en route from Port Klang, Malaysia to Laem Chabang, Thailand.</x:v>
      </x:c>
      <x:c r="T364" s="42" t="str"/>
      <x:c r="U364" s="42" t="str"/>
      <x:c r="V364" s="42" t="str"/>
      <x:c r="W364" s="42" t="str">
        <x:v>While Sailing</x:v>
      </x:c>
      <x:c r="X364" s="42" t="str"/>
      <x:c r="Y364" s="42" t="str"/>
      <x:c r="Z364" s="42" t="str"/>
      <x:c r="AA364" s="42" t="str">
        <x:v>https://www.recaap.org/alerts</x:v>
      </x:c>
      <x:c r="AB364" s="42" t="str">
        <x:v>Needs canonical event resolution</x:v>
      </x:c>
      <x:c r="AC364" s="42" t="str">
        <x:v>Flag: LIBERIA</x:v>
      </x:c>
    </x:row>
    <x:row r="365">
      <x:c r="A365" s="42" t="str">
        <x:v>OBS_000364</x:v>
      </x:c>
      <x:c r="B365" s="42" t="str"/>
      <x:c r="C365" s="42" t="str">
        <x:v>recaap_incidents_2024_2026</x:v>
      </x:c>
      <x:c r="D365" s="42" t="str">
        <x:v>2025-46</x:v>
      </x:c>
      <x:c r="E365" s="42" t="str">
        <x:v>2025-06-15</x:v>
      </x:c>
      <x:c r="F365" s="42" t="str">
        <x:v>Maritime Crime</x:v>
      </x:c>
      <x:c r="G365" s="42" t="str">
        <x:v>Robbery/ Theft</x:v>
      </x:c>
      <x:c r="H365" s="42" t="str">
        <x:v>3</x:v>
      </x:c>
      <x:c r="I365" s="42" t="str">
        <x:v>Maritime</x:v>
      </x:c>
      <x:c r="J365" s="42" t="str">
        <x:v>Straits of Malacca &amp; Singapore</x:v>
      </x:c>
      <x:c r="K365" s="42" t="str"/>
      <x:c r="L365" s="42" t="str">
        <x:v>Approximately 5.1 nm off Pulau Cula (Indonesia), in the eastbound lane of the TSS</x:v>
      </x:c>
      <x:c r="M365" s="42" t="str">
        <x:v>1.053833</x:v>
      </x:c>
      <x:c r="N365" s="42" t="str">
        <x:v>103.628</x:v>
      </x:c>
      <x:c r="O365" s="42" t="str">
        <x:v>Greek Seas</x:v>
      </x:c>
      <x:c r="P365" s="42" t="str"/>
      <x:c r="Q365" s="42" t="str">
        <x:v>BULK CARRIER</x:v>
      </x:c>
      <x:c r="R365" s="42" t="str"/>
      <x:c r="S365" s="42" t="str">
        <x:v>While underway, six perpetrators armed with knives and a gun-like object were sighted in the engine room. The master raised the general alarm and crew mustered for safety. Upon hearing the alarm, the perpetrators escaped immediately. A search was conducted, with no perpetrators found onboard. The ship was en route from Mozambique to Singapore. The incident was reported to Singapore VTIS West. Safety broadcasts on anti-piracy watch were initiated to warn all vessels to maintain a vigilant watch at all times in the SS. The RSN’s MSTF and Singapore PCG were notified of the incident. Information of the incident was shared with the Indonesian authority. Upon arrival in port, Singapore PCG boarded the ship, conducted a search and confirmed no perpetrators were onboard. All crew members were safe and accounted for, and nothing was stolen.</x:v>
      </x:c>
      <x:c r="T365" s="42" t="str"/>
      <x:c r="U365" s="42" t="str"/>
      <x:c r="V365" s="42" t="str"/>
      <x:c r="W365" s="42" t="str">
        <x:v>While Sailing</x:v>
      </x:c>
      <x:c r="X365" s="42" t="str"/>
      <x:c r="Y365" s="42" t="str"/>
      <x:c r="Z365" s="42" t="str"/>
      <x:c r="AA365" s="42" t="str">
        <x:v>https://www.recaap.org/alerts</x:v>
      </x:c>
      <x:c r="AB365" s="42" t="str">
        <x:v>Needs canonical event resolution</x:v>
      </x:c>
      <x:c r="AC365" s="42" t="str">
        <x:v>Flag: LIBERIA</x:v>
      </x:c>
    </x:row>
    <x:row r="366">
      <x:c r="A366" s="42" t="str">
        <x:v>OBS_000365</x:v>
      </x:c>
      <x:c r="B366" s="42" t="str"/>
      <x:c r="C366" s="42" t="str">
        <x:v>recaap_incidents_2024_2026</x:v>
      </x:c>
      <x:c r="D366" s="42" t="str">
        <x:v>2025-45</x:v>
      </x:c>
      <x:c r="E366" s="42" t="str">
        <x:v>2025-06-14</x:v>
      </x:c>
      <x:c r="F366" s="42" t="str">
        <x:v>Maritime Crime</x:v>
      </x:c>
      <x:c r="G366" s="42" t="str">
        <x:v>Robbery/ Theft</x:v>
      </x:c>
      <x:c r="H366" s="42" t="str">
        <x:v>3</x:v>
      </x:c>
      <x:c r="I366" s="42" t="str">
        <x:v>Maritime</x:v>
      </x:c>
      <x:c r="J366" s="42" t="str">
        <x:v>Straits of Malacca &amp; Singapore</x:v>
      </x:c>
      <x:c r="K366" s="42" t="str"/>
      <x:c r="L366" s="42" t="str">
        <x:v>Approximately 8.6 nm off Pulau Iyu Kecil (Indonesia), in the eastbound lane of the TSS</x:v>
      </x:c>
      <x:c r="M366" s="42" t="str">
        <x:v>1.138</x:v>
      </x:c>
      <x:c r="N366" s="42" t="str">
        <x:v>103.4865</x:v>
      </x:c>
      <x:c r="O366" s="42" t="str">
        <x:v>Aanya</x:v>
      </x:c>
      <x:c r="P366" s="42" t="str"/>
      <x:c r="Q366" s="42" t="str">
        <x:v>BULK CARRIER</x:v>
      </x:c>
      <x:c r="R366" s="42" t="str"/>
      <x:c r="S366" s="42" t="str">
        <x:v>While underway, five perpetrators armed with long knives boarded the ship. The crew only realised that the ship was boarded after reviewing its security footage on 17 Jun 2025 at 1300 hrs as part of routine inspection. One portable SCBA compressor was reported stolen.</x:v>
      </x:c>
      <x:c r="T366" s="42" t="str"/>
      <x:c r="U366" s="42" t="str"/>
      <x:c r="V366" s="42" t="str"/>
      <x:c r="W366" s="42" t="str">
        <x:v>While Sailing</x:v>
      </x:c>
      <x:c r="X366" s="42" t="str"/>
      <x:c r="Y366" s="42" t="str"/>
      <x:c r="Z366" s="42" t="str"/>
      <x:c r="AA366" s="42" t="str">
        <x:v>https://www.recaap.org/alerts</x:v>
      </x:c>
      <x:c r="AB366" s="42" t="str">
        <x:v>Needs canonical event resolution</x:v>
      </x:c>
      <x:c r="AC366" s="42" t="str">
        <x:v>Flag: PANAMA</x:v>
      </x:c>
    </x:row>
    <x:row r="367">
      <x:c r="A367" s="42" t="str">
        <x:v>OBS_000366</x:v>
      </x:c>
      <x:c r="B367" s="42" t="str"/>
      <x:c r="C367" s="42" t="str">
        <x:v>recaap_incidents_2024_2026</x:v>
      </x:c>
      <x:c r="D367" s="42" t="str">
        <x:v>2025-48</x:v>
      </x:c>
      <x:c r="E367" s="42" t="str">
        <x:v>2025-06-13</x:v>
      </x:c>
      <x:c r="F367" s="42" t="str">
        <x:v>Maritime Crime</x:v>
      </x:c>
      <x:c r="G367" s="42" t="str">
        <x:v>Robbery/ Theft</x:v>
      </x:c>
      <x:c r="H367" s="42" t="str">
        <x:v>3</x:v>
      </x:c>
      <x:c r="I367" s="42" t="str">
        <x:v>Maritime</x:v>
      </x:c>
      <x:c r="J367" s="42" t="str">
        <x:v>Straits of Malacca &amp; Singapore</x:v>
      </x:c>
      <x:c r="K367" s="42" t="str"/>
      <x:c r="L367" s="42" t="str">
        <x:v>Approximately 4.3 nm off Pulau Cula (Indonesia), in the eastbound lane of the TSS</x:v>
      </x:c>
      <x:c r="M367" s="42" t="str">
        <x:v>1.108333</x:v>
      </x:c>
      <x:c r="N367" s="42" t="str">
        <x:v>103.735</x:v>
      </x:c>
      <x:c r="O367" s="42" t="str">
        <x:v>KSL Seattle</x:v>
      </x:c>
      <x:c r="P367" s="42" t="str"/>
      <x:c r="Q367" s="42" t="str">
        <x:v>BULK CARRIER</x:v>
      </x:c>
      <x:c r="R367" s="42" t="str"/>
      <x:c r="S367" s="42" t="str">
        <x:v>While underway, three perpetrators armed with knives were sighted in the engine room. The crew conducted a search, with no perpetrators found onboard. The crew was not injured. Nothing was stolen. The incident was reported to Singapore VTIS Central. Safety broadcasts on anti-piracy watch were initiated to warn all vessels to maintain a vigilant watch at all times in the SS. The RSN’s MSTF and Singapore PCG were notified of the incident. Information of the incident was shared with the Indonesian authority.</x:v>
      </x:c>
      <x:c r="T367" s="42" t="str"/>
      <x:c r="U367" s="42" t="str"/>
      <x:c r="V367" s="42" t="str"/>
      <x:c r="W367" s="42" t="str">
        <x:v>While Sailing</x:v>
      </x:c>
      <x:c r="X367" s="42" t="str"/>
      <x:c r="Y367" s="42" t="str"/>
      <x:c r="Z367" s="42" t="str"/>
      <x:c r="AA367" s="42" t="str">
        <x:v>https://www.recaap.org/alerts</x:v>
      </x:c>
      <x:c r="AB367" s="42" t="str">
        <x:v>Needs canonical event resolution</x:v>
      </x:c>
      <x:c r="AC367" s="42" t="str">
        <x:v>Flag: HONG KONG, CHINA</x:v>
      </x:c>
    </x:row>
    <x:row r="368">
      <x:c r="A368" s="42" t="str">
        <x:v>OBS_000367</x:v>
      </x:c>
      <x:c r="B368" s="42" t="str"/>
      <x:c r="C368" s="42" t="str">
        <x:v>recaap_incidents_2024_2026</x:v>
      </x:c>
      <x:c r="D368" s="42" t="str">
        <x:v>2025-47</x:v>
      </x:c>
      <x:c r="E368" s="42" t="str">
        <x:v>2025-06-13</x:v>
      </x:c>
      <x:c r="F368" s="42" t="str">
        <x:v>Maritime Crime</x:v>
      </x:c>
      <x:c r="G368" s="42" t="str">
        <x:v>Robbery/ Theft</x:v>
      </x:c>
      <x:c r="H368" s="42" t="str">
        <x:v>3</x:v>
      </x:c>
      <x:c r="I368" s="42" t="str">
        <x:v>Maritime</x:v>
      </x:c>
      <x:c r="J368" s="42" t="str">
        <x:v>Straits of Malacca &amp; Singapore</x:v>
      </x:c>
      <x:c r="K368" s="42" t="str"/>
      <x:c r="L368" s="42" t="str">
        <x:v>Approximately 2.2 nm off Pulau Cula (Indonesia), in the eastbound lane of the TSS</x:v>
      </x:c>
      <x:c r="M368" s="42" t="str">
        <x:v>1.076667</x:v>
      </x:c>
      <x:c r="N368" s="42" t="str">
        <x:v>103.706667</x:v>
      </x:c>
      <x:c r="O368" s="42" t="str">
        <x:v>Themir</x:v>
      </x:c>
      <x:c r="P368" s="42" t="str"/>
      <x:c r="Q368" s="42" t="str">
        <x:v>CHEMICAL TANKER</x:v>
      </x:c>
      <x:c r="R368" s="42" t="str"/>
      <x:c r="S368" s="42" t="str">
        <x:v>While underway, eight perpetrators armed with knives were sighted in the engine room. The general alarm was raised and crew mustered on the bridge. A search was conducted, with no perpetrators found onboard. The crew was not injured. Nothing was stolen. No assistance was required, and the ship resumed her voyage to China. The incident was reported to Singapore VTIS. Safety broadcasts on anti-piracy watch were initiated to warn all vessels to maintain a vigilant watch at all times in the SS. The RSN’s MSTF and Singapore PCG were notified of the incident. Information of the incident was shared with the Indonesian authority.</x:v>
      </x:c>
      <x:c r="T368" s="42" t="str"/>
      <x:c r="U368" s="42" t="str"/>
      <x:c r="V368" s="42" t="str"/>
      <x:c r="W368" s="42" t="str">
        <x:v>While Sailing</x:v>
      </x:c>
      <x:c r="X368" s="42" t="str"/>
      <x:c r="Y368" s="42" t="str"/>
      <x:c r="Z368" s="42" t="str"/>
      <x:c r="AA368" s="42" t="str">
        <x:v>https://www.recaap.org/alerts</x:v>
      </x:c>
      <x:c r="AB368" s="42" t="str">
        <x:v>Needs canonical event resolution</x:v>
      </x:c>
      <x:c r="AC368" s="42" t="str">
        <x:v>Flag: PANAMA</x:v>
      </x:c>
    </x:row>
    <x:row r="369">
      <x:c r="A369" s="42" t="str">
        <x:v>OBS_000368</x:v>
      </x:c>
      <x:c r="B369" s="42" t="str"/>
      <x:c r="C369" s="42" t="str">
        <x:v>recaap_incidents_2024_2026</x:v>
      </x:c>
      <x:c r="D369" s="42" t="str">
        <x:v>2025-49</x:v>
      </x:c>
      <x:c r="E369" s="42" t="str">
        <x:v>2025-06-12</x:v>
      </x:c>
      <x:c r="F369" s="42" t="str">
        <x:v>Maritime Crime</x:v>
      </x:c>
      <x:c r="G369" s="42" t="str">
        <x:v>Robbery/ Theft</x:v>
      </x:c>
      <x:c r="H369" s="42" t="str">
        <x:v>3</x:v>
      </x:c>
      <x:c r="I369" s="42" t="str">
        <x:v>Maritime</x:v>
      </x:c>
      <x:c r="J369" s="42" t="str">
        <x:v>Straits of Malacca &amp; Singapore</x:v>
      </x:c>
      <x:c r="K369" s="42" t="str"/>
      <x:c r="L369" s="42" t="str">
        <x:v>Approximately 4.2 nm off Pulau Cula (Indonesia), in the eastbound lane of the TSS</x:v>
      </x:c>
      <x:c r="M369" s="42" t="str">
        <x:v>1.105</x:v>
      </x:c>
      <x:c r="N369" s="42" t="str">
        <x:v>103.746667</x:v>
      </x:c>
      <x:c r="O369" s="42" t="str">
        <x:v>Bonneville</x:v>
      </x:c>
      <x:c r="P369" s="42" t="str"/>
      <x:c r="Q369" s="42" t="str">
        <x:v>BULK CARRIER</x:v>
      </x:c>
      <x:c r="R369" s="42" t="str"/>
      <x:c r="S369" s="42" t="str">
        <x:v>While underway, six perpetrators armed with knives and gun-like objects were sighted in the engine room. The general alarm was raised, crew mustered, and a search was conducted, with no perpetrators found onboard. The incident was reported to Singapore VTIS. Safety broadcasts on anti-piracy watch were initiated to warn all vessels to maintain a vigilant watch at all times in the SS. The RSN’s MSTF and Singapore PCG were notified of the incident. Information of the incident was shared with the Indonesian authority. Singapore PCG boarded the ship upon its arrival, conducted a search and confirmed no perpetrators were onboard. The crew was not injured. Some engine spares were reported stolen.</x:v>
      </x:c>
      <x:c r="T369" s="42" t="str"/>
      <x:c r="U369" s="42" t="str"/>
      <x:c r="V369" s="42" t="str"/>
      <x:c r="W369" s="42" t="str">
        <x:v>While Sailing</x:v>
      </x:c>
      <x:c r="X369" s="42" t="str"/>
      <x:c r="Y369" s="42" t="str"/>
      <x:c r="Z369" s="42" t="str"/>
      <x:c r="AA369" s="42" t="str">
        <x:v>https://www.recaap.org/alerts</x:v>
      </x:c>
      <x:c r="AB369" s="42" t="str">
        <x:v>Needs canonical event resolution</x:v>
      </x:c>
      <x:c r="AC369" s="42" t="str">
        <x:v>Flag: MARSHALL ISLANDS</x:v>
      </x:c>
    </x:row>
    <x:row r="370">
      <x:c r="A370" s="42" t="str">
        <x:v>OBS_000369</x:v>
      </x:c>
      <x:c r="B370" s="42" t="str"/>
      <x:c r="C370" s="42" t="str">
        <x:v>recaap_incidents_2024_2026</x:v>
      </x:c>
      <x:c r="D370" s="42" t="str">
        <x:v>2025-50</x:v>
      </x:c>
      <x:c r="E370" s="42" t="str">
        <x:v>2025-06-07</x:v>
      </x:c>
      <x:c r="F370" s="42" t="str">
        <x:v>Maritime Crime</x:v>
      </x:c>
      <x:c r="G370" s="42" t="str">
        <x:v>Robbery/ Theft</x:v>
      </x:c>
      <x:c r="H370" s="42" t="str">
        <x:v>4</x:v>
      </x:c>
      <x:c r="I370" s="42" t="str">
        <x:v>Maritime</x:v>
      </x:c>
      <x:c r="J370" s="42" t="str">
        <x:v>Straits of Malacca &amp; Singapore</x:v>
      </x:c>
      <x:c r="K370" s="42" t="str"/>
      <x:c r="L370" s="42" t="str">
        <x:v>Approximately 3.8 nm off Pulau Nongsa (Indonesia), in the eastbound lane of the TSS</x:v>
      </x:c>
      <x:c r="M370" s="42" t="str">
        <x:v>1.2435</x:v>
      </x:c>
      <x:c r="N370" s="42" t="str">
        <x:v>104.031333</x:v>
      </x:c>
      <x:c r="O370" s="42" t="str">
        <x:v>HK Tug 9 &amp; LKH 7887</x:v>
      </x:c>
      <x:c r="P370" s="42" t="str"/>
      <x:c r="Q370" s="42" t="str">
        <x:v>TUG BOAT &amp; BARGE</x:v>
      </x:c>
      <x:c r="R370" s="42" t="str"/>
      <x:c r="S370" s="42" t="str">
        <x:v>While underway, the crew of the tug boat saw three boats on the port side of barge, four boats on the starboard side, and one boat at the rear. Each boat had three to four perpetrators, with approximately 14 perpetrators boarding the barge. The perpetrators escaped when the general alarm was raised. Some scrap metal was reported stolen. All crew members were accounted for and not injuries reported. The incident was reported to Singapore POCC.</x:v>
      </x:c>
      <x:c r="T370" s="42" t="str"/>
      <x:c r="U370" s="42" t="str"/>
      <x:c r="V370" s="42" t="str"/>
      <x:c r="W370" s="42" t="str">
        <x:v>While Sailing</x:v>
      </x:c>
      <x:c r="X370" s="42" t="str"/>
      <x:c r="Y370" s="42" t="str"/>
      <x:c r="Z370" s="42" t="str"/>
      <x:c r="AA370" s="42" t="str">
        <x:v>https://www.recaap.org/alerts</x:v>
      </x:c>
      <x:c r="AB370" s="42" t="str">
        <x:v>Needs canonical event resolution</x:v>
      </x:c>
      <x:c r="AC370" s="42" t="str">
        <x:v>Flag: SINGAPORE</x:v>
      </x:c>
    </x:row>
    <x:row r="371">
      <x:c r="A371" s="42" t="str">
        <x:v>OBS_000370</x:v>
      </x:c>
      <x:c r="B371" s="42" t="str"/>
      <x:c r="C371" s="42" t="str">
        <x:v>recaap_incidents_2024_2026</x:v>
      </x:c>
      <x:c r="D371" s="42" t="str">
        <x:v>2025-54</x:v>
      </x:c>
      <x:c r="E371" s="42" t="str">
        <x:v>2025-06-05</x:v>
      </x:c>
      <x:c r="F371" s="42" t="str">
        <x:v>Maritime Crime</x:v>
      </x:c>
      <x:c r="G371" s="42" t="str">
        <x:v>Robbery/ Theft</x:v>
      </x:c>
      <x:c r="H371" s="42" t="str">
        <x:v>4</x:v>
      </x:c>
      <x:c r="I371" s="42" t="str">
        <x:v>Maritime</x:v>
      </x:c>
      <x:c r="J371" s="42" t="str">
        <x:v>Straits of Malacca &amp; Singapore</x:v>
      </x:c>
      <x:c r="K371" s="42" t="str"/>
      <x:c r="L371" s="42" t="str">
        <x:v>Approximately 5.3 nm off Pulau Cula (Indonesia), in the eastbound lane of the TSS</x:v>
      </x:c>
      <x:c r="M371" s="42" t="str">
        <x:v>1.0575</x:v>
      </x:c>
      <x:c r="N371" s="42" t="str">
        <x:v>103.624667</x:v>
      </x:c>
      <x:c r="O371" s="42" t="str">
        <x:v>Ausone</x:v>
      </x:c>
      <x:c r="P371" s="42" t="str"/>
      <x:c r="Q371" s="42" t="str">
        <x:v>BULK CARRIER</x:v>
      </x:c>
      <x:c r="R371" s="42" t="str"/>
      <x:c r="S371" s="42" t="str">
        <x:v>While underway, three perpetrators were sighted at the aft station. The general alarm was raised and the crew mustered. Realising that the crew had been alerted, the perpetrators escaped immediately. A thorough search was conducted, with no perpetrators found onboard. All crew members were accounted for, with no injury reported. Nothing was stolen. The incident was reported to Singapore VTIS. Safety broadcasts on anti-piracy watch were initiated to warn all vessels to maintain a vigilant watch at all times in the SS. The RSN’s MSTF and Singapore PCG were notified of the incident. Information of the incident was shared with the Indonesian authority.</x:v>
      </x:c>
      <x:c r="T371" s="42" t="str"/>
      <x:c r="U371" s="42" t="str"/>
      <x:c r="V371" s="42" t="str"/>
      <x:c r="W371" s="42" t="str">
        <x:v>While Sailing</x:v>
      </x:c>
      <x:c r="X371" s="42" t="str"/>
      <x:c r="Y371" s="42" t="str"/>
      <x:c r="Z371" s="42" t="str"/>
      <x:c r="AA371" s="42" t="str">
        <x:v>https://www.recaap.org/alerts</x:v>
      </x:c>
      <x:c r="AB371" s="42" t="str">
        <x:v>Needs canonical event resolution</x:v>
      </x:c>
      <x:c r="AC371" s="42" t="str">
        <x:v>Flag: MARSHALL ISLANDS</x:v>
      </x:c>
    </x:row>
    <x:row r="372">
      <x:c r="A372" s="42" t="str">
        <x:v>OBS_000371</x:v>
      </x:c>
      <x:c r="B372" s="42" t="str"/>
      <x:c r="C372" s="42" t="str">
        <x:v>recaap_incidents_2024_2026</x:v>
      </x:c>
      <x:c r="D372" s="42" t="str">
        <x:v>2025-53</x:v>
      </x:c>
      <x:c r="E372" s="42" t="str">
        <x:v>2025-06-05</x:v>
      </x:c>
      <x:c r="F372" s="42" t="str">
        <x:v>Maritime Crime</x:v>
      </x:c>
      <x:c r="G372" s="42" t="str">
        <x:v>Robbery/ Theft</x:v>
      </x:c>
      <x:c r="H372" s="42" t="str">
        <x:v>2</x:v>
      </x:c>
      <x:c r="I372" s="42" t="str">
        <x:v>Maritime</x:v>
      </x:c>
      <x:c r="J372" s="42" t="str">
        <x:v>Straits of Malacca &amp; Singapore</x:v>
      </x:c>
      <x:c r="K372" s="42" t="str"/>
      <x:c r="L372" s="42" t="str">
        <x:v>Approximately 5.2 nm off Pulau Cula (Indonesia), in the eastbound lane of the TSS</x:v>
      </x:c>
      <x:c r="M372" s="42" t="str">
        <x:v>1.065167</x:v>
      </x:c>
      <x:c r="N372" s="42" t="str">
        <x:v>103.628333</x:v>
      </x:c>
      <x:c r="O372" s="42" t="str">
        <x:v>Densa Shark</x:v>
      </x:c>
      <x:c r="P372" s="42" t="str"/>
      <x:c r="Q372" s="42" t="str">
        <x:v>BULK CARRIER</x:v>
      </x:c>
      <x:c r="R372" s="42" t="str"/>
      <x:c r="S372" s="42" t="str">
        <x:v>While underway, an engineer officer sighted seven perpetrators, with at least one armed with a long knife, in the engine room. The general alarm was raised immediately and all crew members mustered in the engine control room. All crew members were accounted for, with no injury reported. The incident was reported to Singapore VTIS West. Safety broadcasts on anti-piracy watch were initiated to warn all vessels to maintain a vigilant watch at all times in the SS. The RSN’s MSTF and Singapore PCG were notified of the incident. Information of the incident was shared with the Indonesian authority. The Singapore PCG boarded the ship off AEBB and conducted a search, with no perpetrators found onboard. Investigation revealed that generator spare parts were stolen, and a crew member had been restrained by the perpetrators during the incident.</x:v>
      </x:c>
      <x:c r="T372" s="42" t="str"/>
      <x:c r="U372" s="42" t="str"/>
      <x:c r="V372" s="42" t="str"/>
      <x:c r="W372" s="42" t="str">
        <x:v>While Sailing</x:v>
      </x:c>
      <x:c r="X372" s="42" t="str"/>
      <x:c r="Y372" s="42" t="str"/>
      <x:c r="Z372" s="42" t="str"/>
      <x:c r="AA372" s="42" t="str">
        <x:v>https://www.recaap.org/alerts</x:v>
      </x:c>
      <x:c r="AB372" s="42" t="str">
        <x:v>Needs canonical event resolution</x:v>
      </x:c>
      <x:c r="AC372" s="42" t="str">
        <x:v>Flag: MALTA</x:v>
      </x:c>
    </x:row>
    <x:row r="373">
      <x:c r="A373" s="42" t="str">
        <x:v>OBS_000372</x:v>
      </x:c>
      <x:c r="B373" s="42" t="str"/>
      <x:c r="C373" s="42" t="str">
        <x:v>recaap_incidents_2024_2026</x:v>
      </x:c>
      <x:c r="D373" s="42" t="str">
        <x:v>2025-56</x:v>
      </x:c>
      <x:c r="E373" s="42" t="str">
        <x:v>2025-06-03</x:v>
      </x:c>
      <x:c r="F373" s="42" t="str">
        <x:v>Maritime Crime</x:v>
      </x:c>
      <x:c r="G373" s="42" t="str">
        <x:v>Robbery/ Theft</x:v>
      </x:c>
      <x:c r="H373" s="42" t="str">
        <x:v>4</x:v>
      </x:c>
      <x:c r="I373" s="42" t="str">
        <x:v>Maritime</x:v>
      </x:c>
      <x:c r="J373" s="42" t="str">
        <x:v>Straits of Malacca &amp; Singapore</x:v>
      </x:c>
      <x:c r="K373" s="42" t="str"/>
      <x:c r="L373" s="42" t="str">
        <x:v>Approximately 3.3 nm off Pulau Cula (Indonesia), in the eastbound lane of the TSS</x:v>
      </x:c>
      <x:c r="M373" s="42" t="str">
        <x:v>1.066667</x:v>
      </x:c>
      <x:c r="N373" s="42" t="str">
        <x:v>103.668333</x:v>
      </x:c>
      <x:c r="O373" s="42" t="str">
        <x:v>Cape Elianto</x:v>
      </x:c>
      <x:c r="P373" s="42" t="str"/>
      <x:c r="Q373" s="42" t="str">
        <x:v>BULK CARRIER</x:v>
      </x:c>
      <x:c r="R373" s="42" t="str"/>
      <x:c r="S373" s="42" t="str">
        <x:v>While underway, the crew on patrol sighted a perpetrator boarding the ship through the barb wire on the aft deck. The crew alerted the bridge and general alarm was raised. The perpetrator immediately jumped overboard and escaped in a boat, with another five perpetrators. A search was conducted, with no perpetrator found onboard. All crew members were safe and accounted for. Nothing was stolen.</x:v>
      </x:c>
      <x:c r="T373" s="42" t="str"/>
      <x:c r="U373" s="42" t="str"/>
      <x:c r="V373" s="42" t="str"/>
      <x:c r="W373" s="42" t="str">
        <x:v>While Sailing</x:v>
      </x:c>
      <x:c r="X373" s="42" t="str"/>
      <x:c r="Y373" s="42" t="str"/>
      <x:c r="Z373" s="42" t="str"/>
      <x:c r="AA373" s="42" t="str">
        <x:v>https://www.recaap.org/alerts</x:v>
      </x:c>
      <x:c r="AB373" s="42" t="str">
        <x:v>Needs canonical event resolution</x:v>
      </x:c>
      <x:c r="AC373" s="42" t="str">
        <x:v>Flag: SINGAPORE</x:v>
      </x:c>
    </x:row>
    <x:row r="374">
      <x:c r="A374" s="42" t="str">
        <x:v>OBS_000373</x:v>
      </x:c>
      <x:c r="B374" s="42" t="str"/>
      <x:c r="C374" s="42" t="str">
        <x:v>recaap_incidents_2024_2026</x:v>
      </x:c>
      <x:c r="D374" s="42" t="str">
        <x:v>2025-55</x:v>
      </x:c>
      <x:c r="E374" s="42" t="str">
        <x:v>2025-06-03</x:v>
      </x:c>
      <x:c r="F374" s="42" t="str">
        <x:v>Maritime Crime</x:v>
      </x:c>
      <x:c r="G374" s="42" t="str">
        <x:v>Robbery/ Theft</x:v>
      </x:c>
      <x:c r="H374" s="42" t="str">
        <x:v>3</x:v>
      </x:c>
      <x:c r="I374" s="42" t="str">
        <x:v>Maritime</x:v>
      </x:c>
      <x:c r="J374" s="42" t="str">
        <x:v>Straits of Malacca &amp; Singapore</x:v>
      </x:c>
      <x:c r="K374" s="42" t="str"/>
      <x:c r="L374" s="42" t="str">
        <x:v>Approximately 9 nm off Pulau Cula (Indonesia), in the eastbound lane of the TSS</x:v>
      </x:c>
      <x:c r="M374" s="42" t="str">
        <x:v>1.084833</x:v>
      </x:c>
      <x:c r="N374" s="42" t="str">
        <x:v>103.5675</x:v>
      </x:c>
      <x:c r="O374" s="42" t="str">
        <x:v>Successor</x:v>
      </x:c>
      <x:c r="P374" s="42" t="str"/>
      <x:c r="Q374" s="42" t="str">
        <x:v>BULK CARRIER</x:v>
      </x:c>
      <x:c r="R374" s="42" t="str"/>
      <x:c r="S374" s="42" t="str">
        <x:v>While underway, six perpetrators armed with knives were sighted in the engine room. The master immediately raised the general alarm and mustered the crew for safety. A thorough search was conducted with no further sighting of the perpetrators onboard. The crew was not injured. Nothing was reported stolen. The incident was reported to Singapore VTIS Central. Safety broadcasts on anti-piracy watch were initiated to warn all vessels to maintain a vigilant watch at all times in the SS. The RSN’s MSTF and Singapore PCG were notified of the incident. Information of the incident was shared with the Indonesian authorities.</x:v>
      </x:c>
      <x:c r="T374" s="42" t="str"/>
      <x:c r="U374" s="42" t="str"/>
      <x:c r="V374" s="42" t="str"/>
      <x:c r="W374" s="42" t="str">
        <x:v>While Sailing</x:v>
      </x:c>
      <x:c r="X374" s="42" t="str"/>
      <x:c r="Y374" s="42" t="str"/>
      <x:c r="Z374" s="42" t="str"/>
      <x:c r="AA374" s="42" t="str">
        <x:v>https://www.recaap.org/alerts</x:v>
      </x:c>
      <x:c r="AB374" s="42" t="str">
        <x:v>Needs canonical event resolution</x:v>
      </x:c>
      <x:c r="AC374" s="42" t="str">
        <x:v>Flag: CYPRUS</x:v>
      </x:c>
    </x:row>
    <x:row r="375">
      <x:c r="A375" s="42" t="str">
        <x:v>OBS_000374</x:v>
      </x:c>
      <x:c r="B375" s="42" t="str"/>
      <x:c r="C375" s="42" t="str">
        <x:v>recaap_incidents_2024_2026</x:v>
      </x:c>
      <x:c r="D375" s="42" t="str">
        <x:v>2025-57</x:v>
      </x:c>
      <x:c r="E375" s="42" t="str">
        <x:v>2025-06-01</x:v>
      </x:c>
      <x:c r="F375" s="42" t="str">
        <x:v>Maritime Crime</x:v>
      </x:c>
      <x:c r="G375" s="42" t="str">
        <x:v>Robbery/ Theft</x:v>
      </x:c>
      <x:c r="H375" s="42" t="str">
        <x:v>2</x:v>
      </x:c>
      <x:c r="I375" s="42" t="str">
        <x:v>Maritime</x:v>
      </x:c>
      <x:c r="J375" s="42" t="str">
        <x:v>Bangladesh (Ports/Anchorages)</x:v>
      </x:c>
      <x:c r="K375" s="42" t="str"/>
      <x:c r="L375" s="42" t="str">
        <x:v>Chittagong Anchorage B, Bangladesh</x:v>
      </x:c>
      <x:c r="M375" s="42" t="str">
        <x:v>22.221833</x:v>
      </x:c>
      <x:c r="N375" s="42" t="str">
        <x:v>91.74</x:v>
      </x:c>
      <x:c r="O375" s="42" t="str">
        <x:v>Name withheld</x:v>
      </x:c>
      <x:c r="P375" s="42" t="str"/>
      <x:c r="Q375" s="42" t="str">
        <x:v>BULK CARRIER</x:v>
      </x:c>
      <x:c r="R375" s="42" t="str"/>
      <x:c r="S375" s="42" t="str">
        <x:v>At Anchor While at anchor, 10 perpetrators armed with knives boarded the ship, and entered the forward storeroom. The alarm was raised and crew mustered. Hearing the alarm and seeing the crew's alertness, the perpetrators escaped with stolen ship incident was stores. The crew members were safe. The reported to port control.</x:v>
      </x:c>
      <x:c r="T375" s="42" t="str"/>
      <x:c r="U375" s="42" t="str"/>
      <x:c r="V375" s="42" t="str"/>
      <x:c r="W375" s="42" t="str"/>
      <x:c r="X375" s="42" t="str"/>
      <x:c r="Y375" s="42" t="str"/>
      <x:c r="Z375" s="42" t="str"/>
      <x:c r="AA375" s="42" t="str">
        <x:v>https://www.recaap.org/alerts</x:v>
      </x:c>
      <x:c r="AB375" s="42" t="str">
        <x:v>Needs canonical event resolution</x:v>
      </x:c>
      <x:c r="AC375" s="42" t="str">
        <x:v>Flag: LIBERIA</x:v>
      </x:c>
    </x:row>
    <x:row r="376">
      <x:c r="A376" s="42" t="str">
        <x:v>OBS_000375</x:v>
      </x:c>
      <x:c r="B376" s="42" t="str"/>
      <x:c r="C376" s="42" t="str">
        <x:v>recaap_incidents_2024_2026</x:v>
      </x:c>
      <x:c r="D376" s="42" t="str">
        <x:v>2025-59</x:v>
      </x:c>
      <x:c r="E376" s="42" t="str">
        <x:v>2025-05-30</x:v>
      </x:c>
      <x:c r="F376" s="42" t="str">
        <x:v>Maritime Crime</x:v>
      </x:c>
      <x:c r="G376" s="42" t="str">
        <x:v>Robbery/ Theft</x:v>
      </x:c>
      <x:c r="H376" s="42" t="str">
        <x:v>4</x:v>
      </x:c>
      <x:c r="I376" s="42" t="str">
        <x:v>Maritime</x:v>
      </x:c>
      <x:c r="J376" s="42" t="str">
        <x:v>Straits of Malacca &amp; Singapore</x:v>
      </x:c>
      <x:c r="K376" s="42" t="str"/>
      <x:c r="L376" s="42" t="str">
        <x:v>Approximately 6.4 nm off Tanjung Tondong (Indonesia), in the eastbound lane of the TSS</x:v>
      </x:c>
      <x:c r="M376" s="42" t="str">
        <x:v>1.261667</x:v>
      </x:c>
      <x:c r="N376" s="42" t="str">
        <x:v>104.238333</x:v>
      </x:c>
      <x:c r="O376" s="42" t="str">
        <x:v>Jin Hwa 47 &amp; Jin Hwa 48</x:v>
      </x:c>
      <x:c r="P376" s="42" t="str"/>
      <x:c r="Q376" s="42" t="str">
        <x:v>TUG BOAT &amp; BARGE</x:v>
      </x:c>
      <x:c r="R376" s="42" t="str"/>
      <x:c r="S376" s="42" t="str">
        <x:v>While underway, the master of the tug boat reported that one perpetrator had boarded the barge it was towing from a small boat. The master requested assistance from Singapore PCG to assist with the search of their barge. Singapore PCG later boarded and searched the barge, with no perpetrator found onboard. All crew members were accounted for, with no injury reported. The crew of the tug boat was unable to determine whether anything was stolen. The incident was reported to Singapore POCC. Safety broadcasts on anti-piracy watch were initiated to warn all vessels to maintain a vigilant watch at all times in the SS. The RSN’s MSTF and Singapore PCG was notified of the incident. Information of the incident was shared with the Indonesian authority.</x:v>
      </x:c>
      <x:c r="T376" s="42" t="str"/>
      <x:c r="U376" s="42" t="str"/>
      <x:c r="V376" s="42" t="str"/>
      <x:c r="W376" s="42" t="str">
        <x:v>While Sailing</x:v>
      </x:c>
      <x:c r="X376" s="42" t="str"/>
      <x:c r="Y376" s="42" t="str"/>
      <x:c r="Z376" s="42" t="str"/>
      <x:c r="AA376" s="42" t="str">
        <x:v>https://www.recaap.org/alerts</x:v>
      </x:c>
      <x:c r="AB376" s="42" t="str">
        <x:v>Needs canonical event resolution</x:v>
      </x:c>
      <x:c r="AC376" s="42" t="str">
        <x:v>Flag: MALAYSIA</x:v>
      </x:c>
    </x:row>
    <x:row r="377">
      <x:c r="A377" s="42" t="str">
        <x:v>OBS_000376</x:v>
      </x:c>
      <x:c r="B377" s="42" t="str"/>
      <x:c r="C377" s="42" t="str">
        <x:v>recaap_incidents_2024_2026</x:v>
      </x:c>
      <x:c r="D377" s="42" t="str">
        <x:v>2025-58</x:v>
      </x:c>
      <x:c r="E377" s="42" t="str">
        <x:v>2025-05-30</x:v>
      </x:c>
      <x:c r="F377" s="42" t="str">
        <x:v>Maritime Crime</x:v>
      </x:c>
      <x:c r="G377" s="42" t="str">
        <x:v>Robbery/ Theft</x:v>
      </x:c>
      <x:c r="H377" s="42" t="str">
        <x:v>4</x:v>
      </x:c>
      <x:c r="I377" s="42" t="str">
        <x:v>Maritime</x:v>
      </x:c>
      <x:c r="J377" s="42" t="str">
        <x:v>Indonesia (Seas/Straits)</x:v>
      </x:c>
      <x:c r="K377" s="42" t="str"/>
      <x:c r="L377" s="42" t="str">
        <x:v>Approximately 12 nm off Jakarta, Indonesia</x:v>
      </x:c>
      <x:c r="M377" s="42" t="str">
        <x:v>-5.876667</x:v>
      </x:c>
      <x:c r="N377" s="42" t="str">
        <x:v>106.806667</x:v>
      </x:c>
      <x:c r="O377" s="42" t="str">
        <x:v>Powan</x:v>
      </x:c>
      <x:c r="P377" s="42" t="str"/>
      <x:c r="Q377" s="42" t="str">
        <x:v>BULK CARRIER</x:v>
      </x:c>
      <x:c r="R377" s="42" t="str"/>
      <x:c r="S377" s="42" t="str">
        <x:v>A review of CCTV footage revealed that, while drifting, three unarmed perpetrators boarded the ship from the aft port side without being noticed. The perpetrators broke into the emergency escape trunk, the steering gear room, and entered the engine room. They left the ship with some engine spares via the same route. The AB reported that the padlocks for the Emergency Escape Trunk and Steering Gear Room were broken and missing, and the Steering Gear Room door was found open. The duty officer immediately raised the alarm and the crew mustered for a security search. No perpetrators were found onboard. The crew was not injured.</x:v>
      </x:c>
      <x:c r="T377" s="42" t="str"/>
      <x:c r="U377" s="42" t="str"/>
      <x:c r="V377" s="42" t="str"/>
      <x:c r="W377" s="42" t="str">
        <x:v>While Sailing</x:v>
      </x:c>
      <x:c r="X377" s="42" t="str"/>
      <x:c r="Y377" s="42" t="str"/>
      <x:c r="Z377" s="42" t="str"/>
      <x:c r="AA377" s="42" t="str">
        <x:v>https://www.recaap.org/alerts</x:v>
      </x:c>
      <x:c r="AB377" s="42" t="str">
        <x:v>Needs canonical event resolution</x:v>
      </x:c>
      <x:c r="AC377" s="42" t="str">
        <x:v>Flag: HONG KONG, CHINA</x:v>
      </x:c>
    </x:row>
    <x:row r="378">
      <x:c r="A378" s="42" t="str">
        <x:v>OBS_000377</x:v>
      </x:c>
      <x:c r="B378" s="42" t="str"/>
      <x:c r="C378" s="42" t="str">
        <x:v>recaap_incidents_2024_2026</x:v>
      </x:c>
      <x:c r="D378" s="42" t="str">
        <x:v>2025-61</x:v>
      </x:c>
      <x:c r="E378" s="42" t="str">
        <x:v>2025-05-28</x:v>
      </x:c>
      <x:c r="F378" s="42" t="str">
        <x:v>Maritime Crime</x:v>
      </x:c>
      <x:c r="G378" s="42" t="str">
        <x:v>Robbery/ Theft</x:v>
      </x:c>
      <x:c r="H378" s="42" t="str">
        <x:v>2</x:v>
      </x:c>
      <x:c r="I378" s="42" t="str">
        <x:v>Maritime</x:v>
      </x:c>
      <x:c r="J378" s="42" t="str">
        <x:v>Bangladesh (Ports/Anchorages)</x:v>
      </x:c>
      <x:c r="K378" s="42" t="str"/>
      <x:c r="L378" s="42" t="str">
        <x:v>Chittagong Inner Anchorage B, Bangladesh</x:v>
      </x:c>
      <x:c r="M378" s="42" t="str">
        <x:v>22.255</x:v>
      </x:c>
      <x:c r="N378" s="42" t="str">
        <x:v>91.716667</x:v>
      </x:c>
      <x:c r="O378" s="42" t="str">
        <x:v>Mount ASO</x:v>
      </x:c>
      <x:c r="P378" s="42" t="str"/>
      <x:c r="Q378" s="42" t="str">
        <x:v>BULK CARRIER</x:v>
      </x:c>
      <x:c r="R378" s="42" t="str"/>
      <x:c r="S378" s="42" t="str">
        <x:v>At Anchor While at anchor, five perpetrators armed with long knives boarded the ship from astern and another two perpetrators waited in a small wooden boat (unlit). The perpetrators broke the padlock of the oxygen cylinder room and stole six oxygen cylinders. The duty crew was threatened by the perpetrator with metal. No injury was reported. The ship enhanced the security watch and hardened all deck mast house with additional welding. The master reported the incident to the local authority through the agents.</x:v>
      </x:c>
      <x:c r="T378" s="42" t="str"/>
      <x:c r="U378" s="42" t="str"/>
      <x:c r="V378" s="42" t="str"/>
      <x:c r="W378" s="42" t="str"/>
      <x:c r="X378" s="42" t="str"/>
      <x:c r="Y378" s="42" t="str"/>
      <x:c r="Z378" s="42" t="str"/>
      <x:c r="AA378" s="42" t="str">
        <x:v>https://www.recaap.org/alerts</x:v>
      </x:c>
      <x:c r="AB378" s="42" t="str">
        <x:v>Needs canonical event resolution</x:v>
      </x:c>
      <x:c r="AC378" s="42" t="str">
        <x:v>Flag: HONG KONG, CHINA</x:v>
      </x:c>
    </x:row>
    <x:row r="379">
      <x:c r="A379" s="42" t="str">
        <x:v>OBS_000378</x:v>
      </x:c>
      <x:c r="B379" s="42" t="str"/>
      <x:c r="C379" s="42" t="str">
        <x:v>recaap_incidents_2024_2026</x:v>
      </x:c>
      <x:c r="D379" s="42" t="str">
        <x:v>2025-60</x:v>
      </x:c>
      <x:c r="E379" s="42" t="str">
        <x:v>2025-05-28</x:v>
      </x:c>
      <x:c r="F379" s="42" t="str">
        <x:v>Maritime Crime</x:v>
      </x:c>
      <x:c r="G379" s="42" t="str">
        <x:v>Robbery/ Theft</x:v>
      </x:c>
      <x:c r="H379" s="42" t="str">
        <x:v>4</x:v>
      </x:c>
      <x:c r="I379" s="42" t="str">
        <x:v>Maritime</x:v>
      </x:c>
      <x:c r="J379" s="42" t="str">
        <x:v>Vietnam (Ports/Anchorages)</x:v>
      </x:c>
      <x:c r="K379" s="42" t="str"/>
      <x:c r="L379" s="42" t="str">
        <x:v>Ho Chi Minh I- 19 Anchorage, Vietnam</x:v>
      </x:c>
      <x:c r="M379" s="42" t="str">
        <x:v>10.218333</x:v>
      </x:c>
      <x:c r="N379" s="42" t="str">
        <x:v>107.011667</x:v>
      </x:c>
      <x:c r="O379" s="42" t="str">
        <x:v>KMTC Singapore</x:v>
      </x:c>
      <x:c r="P379" s="42" t="str"/>
      <x:c r="Q379" s="42" t="str">
        <x:v>CONTAINER SHIP</x:v>
      </x:c>
      <x:c r="R379" s="42" t="str"/>
      <x:c r="S379" s="42" t="str">
        <x:v>At Anchor While at anchor, two perpetrators were sighted near the forecastle. Noted that they had been discovered, the perpetrators escaped quickly by climbing down via a rope. The crew was not injured. Some unsecured items (fire nozzles, fire hydrant caps, fire hoses and deck air-valve caps) were stolen.</x:v>
      </x:c>
      <x:c r="T379" s="42" t="str"/>
      <x:c r="U379" s="42" t="str"/>
      <x:c r="V379" s="42" t="str"/>
      <x:c r="W379" s="42" t="str"/>
      <x:c r="X379" s="42" t="str"/>
      <x:c r="Y379" s="42" t="str"/>
      <x:c r="Z379" s="42" t="str"/>
      <x:c r="AA379" s="42" t="str">
        <x:v>https://www.recaap.org/alerts</x:v>
      </x:c>
      <x:c r="AB379" s="42" t="str">
        <x:v>Needs canonical event resolution</x:v>
      </x:c>
      <x:c r="AC379" s="42" t="str">
        <x:v>Flag: REPUBLIC OF KOREA</x:v>
      </x:c>
    </x:row>
    <x:row r="380">
      <x:c r="A380" s="42" t="str">
        <x:v>OBS_000379</x:v>
      </x:c>
      <x:c r="B380" s="42" t="str"/>
      <x:c r="C380" s="42" t="str">
        <x:v>recaap_incidents_2024_2026</x:v>
      </x:c>
      <x:c r="D380" s="42" t="str">
        <x:v>2025-63</x:v>
      </x:c>
      <x:c r="E380" s="42" t="str">
        <x:v>2025-05-27</x:v>
      </x:c>
      <x:c r="F380" s="42" t="str">
        <x:v>Maritime Crime</x:v>
      </x:c>
      <x:c r="G380" s="42" t="str">
        <x:v>Robbery/ Theft</x:v>
      </x:c>
      <x:c r="H380" s="42" t="str">
        <x:v>2</x:v>
      </x:c>
      <x:c r="I380" s="42" t="str">
        <x:v>Maritime</x:v>
      </x:c>
      <x:c r="J380" s="42" t="str">
        <x:v>Straits of Malacca &amp; Singapore</x:v>
      </x:c>
      <x:c r="K380" s="42" t="str"/>
      <x:c r="L380" s="42" t="str">
        <x:v>Approximately 1.5 nm off Pulau Cula (Indonesia), in the eastbound lane of the TSS</x:v>
      </x:c>
      <x:c r="M380" s="42" t="str">
        <x:v>1.058333</x:v>
      </x:c>
      <x:c r="N380" s="42" t="str">
        <x:v>103.695</x:v>
      </x:c>
      <x:c r="O380" s="42" t="str">
        <x:v>Strandja</x:v>
      </x:c>
      <x:c r="P380" s="42" t="str"/>
      <x:c r="Q380" s="42" t="str">
        <x:v>BULK CARRIER</x:v>
      </x:c>
      <x:c r="R380" s="42" t="str"/>
      <x:c r="S380" s="42" t="str">
        <x:v>While underway, four perpetrators, three armed with knives and one armed with a pistol, were sighted in the engine room. The master immediately raised the general alarm and crew mustered for safety. A search was conducted, with no further sighting of the perpetrators onboard. One crew member was reported with minor head injury. Nothing was stolen. The incident was reported to Singapore VTIS West. Safety broadcasts on anti-piracy watch were initiated to warn all vessels to maintain a vigilant watch at all times in the SS. The RSN’s MSTF and Singapore PCG were notified of the incident. Information of the incident was shared with the Indonesian authorities. Singapore PCG boarded the ship upon her arrival and conducted a search, with no perpetrators found onboard.</x:v>
      </x:c>
      <x:c r="T380" s="42" t="str"/>
      <x:c r="U380" s="42" t="str"/>
      <x:c r="V380" s="42" t="str"/>
      <x:c r="W380" s="42" t="str">
        <x:v>While Sailing</x:v>
      </x:c>
      <x:c r="X380" s="42" t="str"/>
      <x:c r="Y380" s="42" t="str"/>
      <x:c r="Z380" s="42" t="str"/>
      <x:c r="AA380" s="42" t="str">
        <x:v>https://www.recaap.org/alerts</x:v>
      </x:c>
      <x:c r="AB380" s="42" t="str">
        <x:v>Needs canonical event resolution</x:v>
      </x:c>
      <x:c r="AC380" s="42" t="str">
        <x:v>Flag: MALTA</x:v>
      </x:c>
    </x:row>
    <x:row r="381">
      <x:c r="A381" s="42" t="str">
        <x:v>OBS_000380</x:v>
      </x:c>
      <x:c r="B381" s="42" t="str"/>
      <x:c r="C381" s="42" t="str">
        <x:v>recaap_incidents_2024_2026</x:v>
      </x:c>
      <x:c r="D381" s="42" t="str">
        <x:v>2025-62</x:v>
      </x:c>
      <x:c r="E381" s="42" t="str">
        <x:v>2025-05-27</x:v>
      </x:c>
      <x:c r="F381" s="42" t="str">
        <x:v>Maritime Crime</x:v>
      </x:c>
      <x:c r="G381" s="42" t="str">
        <x:v>Robbery/ Theft</x:v>
      </x:c>
      <x:c r="H381" s="42" t="str">
        <x:v>4</x:v>
      </x:c>
      <x:c r="I381" s="42" t="str">
        <x:v>Maritime</x:v>
      </x:c>
      <x:c r="J381" s="42" t="str">
        <x:v>Vietnam (Ports/Anchorages)</x:v>
      </x:c>
      <x:c r="K381" s="42" t="str"/>
      <x:c r="L381" s="42" t="str">
        <x:v>Phu My I18 Anchorage, Vietnam</x:v>
      </x:c>
      <x:c r="M381" s="42" t="str">
        <x:v>10.212</x:v>
      </x:c>
      <x:c r="N381" s="42" t="str">
        <x:v>107.006</x:v>
      </x:c>
      <x:c r="O381" s="42" t="str">
        <x:v>Silver Lake</x:v>
      </x:c>
      <x:c r="P381" s="42" t="str"/>
      <x:c r="Q381" s="42" t="str">
        <x:v>BULK CARRIER</x:v>
      </x:c>
      <x:c r="R381" s="42" t="str"/>
      <x:c r="S381" s="42" t="str">
        <x:v>At Anchor While at anchor, the duty deck watch heard a loud noise from the ship’s port side and saw a perpetrator. After being shouted at by the duty deck watch, the perpetrator jumped overboard and escaped. The ship enhanced her security watches and measures. The crew was not injured. 300 liters of paint were stolen. The incident was reported to Vietnam Coast Guard through the ship’s agent.</x:v>
      </x:c>
      <x:c r="T381" s="42" t="str"/>
      <x:c r="U381" s="42" t="str"/>
      <x:c r="V381" s="42" t="str"/>
      <x:c r="W381" s="42" t="str"/>
      <x:c r="X381" s="42" t="str"/>
      <x:c r="Y381" s="42" t="str"/>
      <x:c r="Z381" s="42" t="str"/>
      <x:c r="AA381" s="42" t="str">
        <x:v>https://www.recaap.org/alerts</x:v>
      </x:c>
      <x:c r="AB381" s="42" t="str">
        <x:v>Needs canonical event resolution</x:v>
      </x:c>
      <x:c r="AC381" s="42" t="str">
        <x:v>Flag: HONG KONG, CHINA</x:v>
      </x:c>
    </x:row>
    <x:row r="382">
      <x:c r="A382" s="42" t="str">
        <x:v>OBS_000381</x:v>
      </x:c>
      <x:c r="B382" s="42" t="str"/>
      <x:c r="C382" s="42" t="str">
        <x:v>recaap_incidents_2024_2026</x:v>
      </x:c>
      <x:c r="D382" s="42" t="str">
        <x:v>2025-64</x:v>
      </x:c>
      <x:c r="E382" s="42" t="str">
        <x:v>2025-05-25</x:v>
      </x:c>
      <x:c r="F382" s="42" t="str">
        <x:v>Maritime Crime</x:v>
      </x:c>
      <x:c r="G382" s="42" t="str">
        <x:v>Robbery/ Theft</x:v>
      </x:c>
      <x:c r="H382" s="42" t="str">
        <x:v>4</x:v>
      </x:c>
      <x:c r="I382" s="42" t="str">
        <x:v>Maritime</x:v>
      </x:c>
      <x:c r="J382" s="42" t="str">
        <x:v>Straits of Malacca &amp; Singapore</x:v>
      </x:c>
      <x:c r="K382" s="42" t="str"/>
      <x:c r="L382" s="42" t="str">
        <x:v>Approximately 0.6 nm off Helen Mar Racon (Indonesia), in the eastbound lane of the TSS</x:v>
      </x:c>
      <x:c r="M382" s="42" t="str">
        <x:v>1.132667</x:v>
      </x:c>
      <x:c r="N382" s="42" t="str">
        <x:v>103.7665</x:v>
      </x:c>
      <x:c r="O382" s="42" t="str">
        <x:v>Ligari</x:v>
      </x:c>
      <x:c r="P382" s="42" t="str"/>
      <x:c r="Q382" s="42" t="str">
        <x:v>BULK CARRIER</x:v>
      </x:c>
      <x:c r="R382" s="42" t="str"/>
      <x:c r="S382" s="42" t="str">
        <x:v>While underway, three unarmed perpetrators were sighted at the poop deck. The master immediately raised the general alarm and crew mustered for safety. Upon being spotted, the perpetrators escaped from the ship. A search was conducted with no perpetrators found onboard. All crew members were accounted for, with no injury reported. Nothing was stolen. The incident was reported to Singapore VTIS Central. Safety broadcasts on anti-piracy watch were initiated to warn all vessels to maintain a vigilant watch at all times in the SS. The RSN’s MSTF and Singapore PCG were notified of the incident. Information of the incident was shared with the Indonesian authority.</x:v>
      </x:c>
      <x:c r="T382" s="42" t="str"/>
      <x:c r="U382" s="42" t="str"/>
      <x:c r="V382" s="42" t="str"/>
      <x:c r="W382" s="42" t="str">
        <x:v>While Sailing</x:v>
      </x:c>
      <x:c r="X382" s="42" t="str"/>
      <x:c r="Y382" s="42" t="str"/>
      <x:c r="Z382" s="42" t="str"/>
      <x:c r="AA382" s="42" t="str">
        <x:v>https://www.recaap.org/alerts</x:v>
      </x:c>
      <x:c r="AB382" s="42" t="str">
        <x:v>Needs canonical event resolution</x:v>
      </x:c>
      <x:c r="AC382" s="42" t="str">
        <x:v>Flag: MALTA</x:v>
      </x:c>
    </x:row>
    <x:row r="383">
      <x:c r="A383" s="42" t="str">
        <x:v>OBS_000382</x:v>
      </x:c>
      <x:c r="B383" s="42" t="str"/>
      <x:c r="C383" s="42" t="str">
        <x:v>recaap_incidents_2024_2026</x:v>
      </x:c>
      <x:c r="D383" s="42" t="str">
        <x:v>2025-66</x:v>
      </x:c>
      <x:c r="E383" s="42" t="str">
        <x:v>2025-05-23</x:v>
      </x:c>
      <x:c r="F383" s="42" t="str">
        <x:v>Maritime Crime</x:v>
      </x:c>
      <x:c r="G383" s="42" t="str">
        <x:v>Robbery/ Theft</x:v>
      </x:c>
      <x:c r="H383" s="42" t="str">
        <x:v>3</x:v>
      </x:c>
      <x:c r="I383" s="42" t="str">
        <x:v>Maritime</x:v>
      </x:c>
      <x:c r="J383" s="42" t="str">
        <x:v>Straits of Malacca &amp; Singapore</x:v>
      </x:c>
      <x:c r="K383" s="42" t="str"/>
      <x:c r="L383" s="42" t="str">
        <x:v>Approximately 1.8 nm off Pulau Cula (Indonesia), in the eastbound lane of the TSS</x:v>
      </x:c>
      <x:c r="M383" s="42" t="str">
        <x:v>1.058833</x:v>
      </x:c>
      <x:c r="N383" s="42" t="str">
        <x:v>103.6885</x:v>
      </x:c>
      <x:c r="O383" s="42" t="str">
        <x:v>Aeolian Grace</x:v>
      </x:c>
      <x:c r="P383" s="42" t="str"/>
      <x:c r="Q383" s="42" t="str">
        <x:v>BULK CARRIER</x:v>
      </x:c>
      <x:c r="R383" s="42" t="str"/>
      <x:c r="S383" s="42" t="str">
        <x:v>While underway, five perpetrators armed with long pipes were sighted in the engine room. The master raised the general alarm and mustered the crew for safety. A search was conducted, with no further sighting of the perpetrators onboard. All crew members were accounted for, with no injury reported. Some engine spares were stolen. The incident was reported to Singapore VTIS. Safety broadcast on anti-piracy watch was initiated to warn all vessels to maintain a vigilant watch at all times in the SS. The RSN’s MSTF and Singapore PCG were notified of the incident. The Singapore PCG boarded the ship to conduct a search with no perpetrators found. Information of the incident was shared with the Indonesian authorities.</x:v>
      </x:c>
      <x:c r="T383" s="42" t="str"/>
      <x:c r="U383" s="42" t="str"/>
      <x:c r="V383" s="42" t="str"/>
      <x:c r="W383" s="42" t="str">
        <x:v>While Sailing</x:v>
      </x:c>
      <x:c r="X383" s="42" t="str"/>
      <x:c r="Y383" s="42" t="str"/>
      <x:c r="Z383" s="42" t="str"/>
      <x:c r="AA383" s="42" t="str">
        <x:v>https://www.recaap.org/alerts</x:v>
      </x:c>
      <x:c r="AB383" s="42" t="str">
        <x:v>Needs canonical event resolution</x:v>
      </x:c>
      <x:c r="AC383" s="42" t="str">
        <x:v>Flag: MARSHALL ISLANDS</x:v>
      </x:c>
    </x:row>
    <x:row r="384">
      <x:c r="A384" s="42" t="str">
        <x:v>OBS_000383</x:v>
      </x:c>
      <x:c r="B384" s="42" t="str"/>
      <x:c r="C384" s="42" t="str">
        <x:v>recaap_incidents_2024_2026</x:v>
      </x:c>
      <x:c r="D384" s="42" t="str">
        <x:v>2025-65</x:v>
      </x:c>
      <x:c r="E384" s="42" t="str">
        <x:v>2025-05-23</x:v>
      </x:c>
      <x:c r="F384" s="42" t="str">
        <x:v>Maritime Crime</x:v>
      </x:c>
      <x:c r="G384" s="42" t="str">
        <x:v>Robbery/ Theft</x:v>
      </x:c>
      <x:c r="H384" s="42" t="str">
        <x:v>3</x:v>
      </x:c>
      <x:c r="I384" s="42" t="str">
        <x:v>Maritime</x:v>
      </x:c>
      <x:c r="J384" s="42" t="str">
        <x:v>Straits of Malacca &amp; Singapore</x:v>
      </x:c>
      <x:c r="K384" s="42" t="str"/>
      <x:c r="L384" s="42" t="str">
        <x:v>Approximately 1.8 nm off Helen Mar Racon (Indonesia), in the eastbound lane of the TSS</x:v>
      </x:c>
      <x:c r="M384" s="42" t="str">
        <x:v>1.115</x:v>
      </x:c>
      <x:c r="N384" s="42" t="str">
        <x:v>103.746</x:v>
      </x:c>
      <x:c r="O384" s="42" t="str">
        <x:v>Petrel Pacific</x:v>
      </x:c>
      <x:c r="P384" s="42" t="str"/>
      <x:c r="Q384" s="42" t="str">
        <x:v>TANKER</x:v>
      </x:c>
      <x:c r="R384" s="42" t="str"/>
      <x:c r="S384" s="42" t="str">
        <x:v>While underway, the 2nd Engineer sighted four perpetrators in the engine room, one of whom was armed with a knife. The 2nd Engineer immediately informed the master and raised the general alarm. The crew mustered for safety and conducted a search, with no perpetrators found onboard. Some engine spares were stolen. The crew was not injured. The incident was reported to Singapore POCC and PCG. The Singapore PCG boarded the ship upon arrival in Singapore waters to conduct a search, with no perpetrators found.</x:v>
      </x:c>
      <x:c r="T384" s="42" t="str"/>
      <x:c r="U384" s="42" t="str"/>
      <x:c r="V384" s="42" t="str"/>
      <x:c r="W384" s="42" t="str">
        <x:v>While Sailing</x:v>
      </x:c>
      <x:c r="X384" s="42" t="str"/>
      <x:c r="Y384" s="42" t="str"/>
      <x:c r="Z384" s="42" t="str"/>
      <x:c r="AA384" s="42" t="str">
        <x:v>https://www.recaap.org/alerts</x:v>
      </x:c>
      <x:c r="AB384" s="42" t="str">
        <x:v>Needs canonical event resolution</x:v>
      </x:c>
      <x:c r="AC384" s="42" t="str">
        <x:v>Flag: SINGAPORE</x:v>
      </x:c>
    </x:row>
    <x:row r="385">
      <x:c r="A385" s="42" t="str">
        <x:v>OBS_000384</x:v>
      </x:c>
      <x:c r="B385" s="42" t="str"/>
      <x:c r="C385" s="42" t="str">
        <x:v>recaap_incidents_2024_2026</x:v>
      </x:c>
      <x:c r="D385" s="42" t="str">
        <x:v>2025-68</x:v>
      </x:c>
      <x:c r="E385" s="42" t="str">
        <x:v>2025-05-22</x:v>
      </x:c>
      <x:c r="F385" s="42" t="str">
        <x:v>Maritime Crime</x:v>
      </x:c>
      <x:c r="G385" s="42" t="str">
        <x:v>Robbery/ Theft</x:v>
      </x:c>
      <x:c r="H385" s="42" t="str">
        <x:v>3</x:v>
      </x:c>
      <x:c r="I385" s="42" t="str">
        <x:v>Maritime</x:v>
      </x:c>
      <x:c r="J385" s="42" t="str">
        <x:v>Straits of Malacca &amp; Singapore</x:v>
      </x:c>
      <x:c r="K385" s="42" t="str"/>
      <x:c r="L385" s="42" t="str">
        <x:v>Approximately 3.5 nm off Pulau Cula (Indonesia), in the eastbound lane of the TSS</x:v>
      </x:c>
      <x:c r="M385" s="42" t="str">
        <x:v>1.059667</x:v>
      </x:c>
      <x:c r="N385" s="42" t="str">
        <x:v>103.656333</x:v>
      </x:c>
      <x:c r="O385" s="42" t="str">
        <x:v>Alpha Peace</x:v>
      </x:c>
      <x:c r="P385" s="42" t="str"/>
      <x:c r="Q385" s="42" t="str">
        <x:v>BULK CARRIER</x:v>
      </x:c>
      <x:c r="R385" s="42" t="str"/>
      <x:c r="S385" s="42" t="str">
        <x:v>While underway, four perpetrators armed with knives were sighted at starboard quarter deck. The perpetrators immediately jumped into the water upon seeing the alerted crew. The master raised the general alarm and crew mustered for safety. A search was conducted, with no further sighting of the perpetrators onboard. All crew were accounted for, with no injury reported. Nothing was stolen. The ship resumed its voyage to Vietnam. The incident was reported to Singapore VTIS. Safety broadcasts on anti-piracy watch were initiated to warn all vessels to maintain a vigilant watch at all times in the SS. The RSN's MSTF and Singapore PCG were notified of the incident. Information of the incident was shared with the Indonesian authority.</x:v>
      </x:c>
      <x:c r="T385" s="42" t="str"/>
      <x:c r="U385" s="42" t="str"/>
      <x:c r="V385" s="42" t="str"/>
      <x:c r="W385" s="42" t="str">
        <x:v>While Sailing</x:v>
      </x:c>
      <x:c r="X385" s="42" t="str"/>
      <x:c r="Y385" s="42" t="str"/>
      <x:c r="Z385" s="42" t="str"/>
      <x:c r="AA385" s="42" t="str">
        <x:v>https://www.recaap.org/alerts</x:v>
      </x:c>
      <x:c r="AB385" s="42" t="str">
        <x:v>Needs canonical event resolution</x:v>
      </x:c>
      <x:c r="AC385" s="42" t="str">
        <x:v>Flag: LIBERIA</x:v>
      </x:c>
    </x:row>
    <x:row r="386">
      <x:c r="A386" s="42" t="str">
        <x:v>OBS_000385</x:v>
      </x:c>
      <x:c r="B386" s="42" t="str"/>
      <x:c r="C386" s="42" t="str">
        <x:v>recaap_incidents_2024_2026</x:v>
      </x:c>
      <x:c r="D386" s="42" t="str">
        <x:v>2025-67</x:v>
      </x:c>
      <x:c r="E386" s="42" t="str">
        <x:v>2025-05-22</x:v>
      </x:c>
      <x:c r="F386" s="42" t="str">
        <x:v>Maritime Crime</x:v>
      </x:c>
      <x:c r="G386" s="42" t="str">
        <x:v>Robbery/ Theft</x:v>
      </x:c>
      <x:c r="H386" s="42" t="str">
        <x:v>3</x:v>
      </x:c>
      <x:c r="I386" s="42" t="str">
        <x:v>Maritime</x:v>
      </x:c>
      <x:c r="J386" s="42" t="str">
        <x:v>Straits of Malacca &amp; Singapore</x:v>
      </x:c>
      <x:c r="K386" s="42" t="str"/>
      <x:c r="L386" s="42" t="str">
        <x:v>Approximately 4.8 nm off Pulau Cula (Indonesia), in the eastbound lane of the TSS</x:v>
      </x:c>
      <x:c r="M386" s="42" t="str">
        <x:v>1.057167</x:v>
      </x:c>
      <x:c r="N386" s="42" t="str">
        <x:v>103.633333</x:v>
      </x:c>
      <x:c r="O386" s="42" t="str">
        <x:v>Peace</x:v>
      </x:c>
      <x:c r="P386" s="42" t="str"/>
      <x:c r="Q386" s="42" t="str">
        <x:v>BULK CARRIER</x:v>
      </x:c>
      <x:c r="R386" s="42" t="str"/>
      <x:c r="S386" s="42" t="str">
        <x:v>While underway, the crew sighted one perpetrator armed with gun-like object at the starboard quarter deck. The perpetrator immediately jumped into the water upon seeing the alerted crew. In addition, the oiler sighted another four perpetrators (not armed) in the engine room. The master raised the general alarm and mustered the crew for safety. A search was conducted, with no further sighting of the perpetrators onboard. All crew members were accounted for, with no injury reported. Nothing was stolen. No further assistance was required, and the ship resumed its voyage to Singapore. The incident was reported to Singapore VTIS. Safety broadcasts on anti-piracy watch were initiated to warn all vessels to maintain a vigilant watch at all times in the SS. The RSN’s MSTF and Singapore PCG were notified of the incident. Information of the incident was shared with the Indonesian authority. Upon arrival in Singapore anchorage, Singapore PCG boarded the ship and conducted a search, with no perpetrators found onboard.</x:v>
      </x:c>
      <x:c r="T386" s="42" t="str"/>
      <x:c r="U386" s="42" t="str"/>
      <x:c r="V386" s="42" t="str"/>
      <x:c r="W386" s="42" t="str">
        <x:v>While Sailing</x:v>
      </x:c>
      <x:c r="X386" s="42" t="str"/>
      <x:c r="Y386" s="42" t="str"/>
      <x:c r="Z386" s="42" t="str"/>
      <x:c r="AA386" s="42" t="str">
        <x:v>https://www.recaap.org/alerts</x:v>
      </x:c>
      <x:c r="AB386" s="42" t="str">
        <x:v>Needs canonical event resolution</x:v>
      </x:c>
      <x:c r="AC386" s="42" t="str">
        <x:v>Flag: CYPRUS</x:v>
      </x:c>
    </x:row>
    <x:row r="387">
      <x:c r="A387" s="42" t="str">
        <x:v>OBS_000386</x:v>
      </x:c>
      <x:c r="B387" s="42" t="str"/>
      <x:c r="C387" s="42" t="str">
        <x:v>recaap_incidents_2024_2026</x:v>
      </x:c>
      <x:c r="D387" s="42" t="str">
        <x:v>2025-69</x:v>
      </x:c>
      <x:c r="E387" s="42" t="str">
        <x:v>2025-05-20</x:v>
      </x:c>
      <x:c r="F387" s="42" t="str">
        <x:v>Maritime Crime</x:v>
      </x:c>
      <x:c r="G387" s="42" t="str">
        <x:v>Robbery/ Theft</x:v>
      </x:c>
      <x:c r="H387" s="42" t="str">
        <x:v>3</x:v>
      </x:c>
      <x:c r="I387" s="42" t="str">
        <x:v>Maritime</x:v>
      </x:c>
      <x:c r="J387" s="42" t="str">
        <x:v>Straits of Malacca &amp; Singapore</x:v>
      </x:c>
      <x:c r="K387" s="42" t="str"/>
      <x:c r="L387" s="42" t="str">
        <x:v>Approximately 4.4 nm off Pulau Cula (Indonesia), in the eastbound lane of the TSS</x:v>
      </x:c>
      <x:c r="M387" s="42" t="str">
        <x:v>1.056667</x:v>
      </x:c>
      <x:c r="N387" s="42" t="str">
        <x:v>103.639667</x:v>
      </x:c>
      <x:c r="O387" s="42" t="str">
        <x:v>Plata South</x:v>
      </x:c>
      <x:c r="P387" s="42" t="str"/>
      <x:c r="Q387" s="42" t="str">
        <x:v>TANKER</x:v>
      </x:c>
      <x:c r="R387" s="42" t="str"/>
      <x:c r="S387" s="42" t="str">
        <x:v>While underway, the 2nd Engineer sighted five perpetrators in the engine room. Three perpetrators were armed with knives, and one perpetrator was armed with a gun-like object. The 2nd Engineer alerted the master, and the general alarm was immediately raised. The crew mustered for safety and conducted a search, with no perpetrators found onboard. Three lube oil drums and some engine spares parts were stolen. The crew was not injured. No further assistance was required, and the ship resumed its voyage to China. The incident was reported to Singapore VTIS. Safety broadcasts on anti-piracy watch were initiated to warn all vessels to maintain a vigilant watch at all times in the SS. The RSN's MSTF and Singapore PCG were notified of the incident. Information of the incident was shared with the Indonesian authorities.</x:v>
      </x:c>
      <x:c r="T387" s="42" t="str"/>
      <x:c r="U387" s="42" t="str"/>
      <x:c r="V387" s="42" t="str"/>
      <x:c r="W387" s="42" t="str">
        <x:v>While Sailing</x:v>
      </x:c>
      <x:c r="X387" s="42" t="str"/>
      <x:c r="Y387" s="42" t="str"/>
      <x:c r="Z387" s="42" t="str"/>
      <x:c r="AA387" s="42" t="str">
        <x:v>https://www.recaap.org/alerts</x:v>
      </x:c>
      <x:c r="AB387" s="42" t="str">
        <x:v>Needs canonical event resolution</x:v>
      </x:c>
      <x:c r="AC387" s="42" t="str">
        <x:v>Flag: MARSHALL ISLANDS</x:v>
      </x:c>
    </x:row>
    <x:row r="388">
      <x:c r="A388" s="42" t="str">
        <x:v>OBS_000387</x:v>
      </x:c>
      <x:c r="B388" s="42" t="str"/>
      <x:c r="C388" s="42" t="str">
        <x:v>recaap_incidents_2024_2026</x:v>
      </x:c>
      <x:c r="D388" s="42" t="str">
        <x:v>2025-70</x:v>
      </x:c>
      <x:c r="E388" s="42" t="str">
        <x:v>2025-05-17</x:v>
      </x:c>
      <x:c r="F388" s="42" t="str">
        <x:v>Maritime Crime</x:v>
      </x:c>
      <x:c r="G388" s="42" t="str">
        <x:v>Robbery/ Theft</x:v>
      </x:c>
      <x:c r="H388" s="42" t="str">
        <x:v>3</x:v>
      </x:c>
      <x:c r="I388" s="42" t="str">
        <x:v>Maritime</x:v>
      </x:c>
      <x:c r="J388" s="42" t="str">
        <x:v>Straits of Malacca &amp; Singapore</x:v>
      </x:c>
      <x:c r="K388" s="42" t="str"/>
      <x:c r="L388" s="42" t="str">
        <x:v>Approximately 4.9 nm off Pulau Cula, (Indonesia), in the eastbound lane of the TSS</x:v>
      </x:c>
      <x:c r="M388" s="42" t="str">
        <x:v>1.116667</x:v>
      </x:c>
      <x:c r="N388" s="42" t="str">
        <x:v>103.741333</x:v>
      </x:c>
      <x:c r="O388" s="42" t="str">
        <x:v>Thalassini Avra</x:v>
      </x:c>
      <x:c r="P388" s="42" t="str"/>
      <x:c r="Q388" s="42" t="str">
        <x:v>BULK CARRIER</x:v>
      </x:c>
      <x:c r="R388" s="42" t="str"/>
      <x:c r="S388" s="42" t="str">
        <x:v>While underway, five perpetrators armed with knives were sighted at the poop deck. The master immediately raised the general alarm and crew mustered for safety. The perpetrators then escaped. A search was conducted, with no perpetrators found onboard. The crew was not injured and nothing was stolen. The incident was reported to Singapore VTIS. Safety broadcasts on anti-piracy watch were initiated to warn all vessels to maintain a vigilant watch at all times in the SS. The RSN’s MSTF and Singapore PCG were notified of the incident. Upon arrival at Singapore port, Singapore PCG boarded the ship and conducted a security search, with no perpetrators found onboard. Information of the incident was shared with the Indonesian authority.</x:v>
      </x:c>
      <x:c r="T388" s="42" t="str"/>
      <x:c r="U388" s="42" t="str"/>
      <x:c r="V388" s="42" t="str"/>
      <x:c r="W388" s="42" t="str">
        <x:v>While Sailing</x:v>
      </x:c>
      <x:c r="X388" s="42" t="str"/>
      <x:c r="Y388" s="42" t="str"/>
      <x:c r="Z388" s="42" t="str"/>
      <x:c r="AA388" s="42" t="str">
        <x:v>https://www.recaap.org/alerts</x:v>
      </x:c>
      <x:c r="AB388" s="42" t="str">
        <x:v>Needs canonical event resolution</x:v>
      </x:c>
      <x:c r="AC388" s="42" t="str">
        <x:v>Flag: MALTA</x:v>
      </x:c>
    </x:row>
    <x:row r="389">
      <x:c r="A389" s="42" t="str">
        <x:v>OBS_000388</x:v>
      </x:c>
      <x:c r="B389" s="42" t="str"/>
      <x:c r="C389" s="42" t="str">
        <x:v>recaap_incidents_2024_2026</x:v>
      </x:c>
      <x:c r="D389" s="42" t="str">
        <x:v>2025-71</x:v>
      </x:c>
      <x:c r="E389" s="42" t="str">
        <x:v>2025-05-14</x:v>
      </x:c>
      <x:c r="F389" s="42" t="str">
        <x:v>Maritime Crime</x:v>
      </x:c>
      <x:c r="G389" s="42" t="str">
        <x:v>Robbery/ Theft</x:v>
      </x:c>
      <x:c r="H389" s="42" t="str">
        <x:v>4</x:v>
      </x:c>
      <x:c r="I389" s="42" t="str">
        <x:v>Maritime</x:v>
      </x:c>
      <x:c r="J389" s="42" t="str">
        <x:v>Straits of Malacca &amp; Singapore</x:v>
      </x:c>
      <x:c r="K389" s="42" t="str"/>
      <x:c r="L389" s="42" t="str">
        <x:v>Approximately 5.4 nm off Pulau Cula (Indonesia), in the eastbound lane of the TSS</x:v>
      </x:c>
      <x:c r="M389" s="42" t="str">
        <x:v>1.12</x:v>
      </x:c>
      <x:c r="N389" s="42" t="str">
        <x:v>103.755</x:v>
      </x:c>
      <x:c r="O389" s="42" t="str">
        <x:v>Dioni</x:v>
      </x:c>
      <x:c r="P389" s="42" t="str"/>
      <x:c r="Q389" s="42" t="str">
        <x:v>BULK CARRIER</x:v>
      </x:c>
      <x:c r="R389" s="42" t="str"/>
      <x:c r="S389" s="42" t="str">
        <x:v>While underway, three perpetrators were sighted at the poop deck of the ship. The master immediately raised the general alarm and crew mustered for safety. The perpetrators then escaped. A search was conducted, with no perpetrators found onboard. All crew were accounted for with no injuries reported. Some engine spares were stolen. The incident was reported to Singapore VTIS. Safety broadcasts on anti-piracy watch were initiated to warn all vessels to maintain a vigilant watch at all times in the SS. The RSN’s MSTF and Singapore PCG were notified of the incident. PCG boarded the ship and conducted a security search with no perpetrators found while some auxiliary engine spares were stolen. Information of the incident was shared with the Indonesian authorities.</x:v>
      </x:c>
      <x:c r="T389" s="42" t="str"/>
      <x:c r="U389" s="42" t="str"/>
      <x:c r="V389" s="42" t="str"/>
      <x:c r="W389" s="42" t="str">
        <x:v>While Sailing</x:v>
      </x:c>
      <x:c r="X389" s="42" t="str"/>
      <x:c r="Y389" s="42" t="str"/>
      <x:c r="Z389" s="42" t="str"/>
      <x:c r="AA389" s="42" t="str">
        <x:v>https://www.recaap.org/alerts</x:v>
      </x:c>
      <x:c r="AB389" s="42" t="str">
        <x:v>Needs canonical event resolution</x:v>
      </x:c>
      <x:c r="AC389" s="42" t="str">
        <x:v>Flag: PORTUGAL</x:v>
      </x:c>
    </x:row>
    <x:row r="390">
      <x:c r="A390" s="42" t="str">
        <x:v>OBS_000389</x:v>
      </x:c>
      <x:c r="B390" s="42" t="str"/>
      <x:c r="C390" s="42" t="str">
        <x:v>recaap_incidents_2024_2026</x:v>
      </x:c>
      <x:c r="D390" s="42" t="str">
        <x:v>2025-72</x:v>
      </x:c>
      <x:c r="E390" s="42" t="str">
        <x:v>2025-05-08</x:v>
      </x:c>
      <x:c r="F390" s="42" t="str">
        <x:v>Maritime Crime</x:v>
      </x:c>
      <x:c r="G390" s="42" t="str">
        <x:v>Robbery/ Theft</x:v>
      </x:c>
      <x:c r="H390" s="42" t="str">
        <x:v>4</x:v>
      </x:c>
      <x:c r="I390" s="42" t="str">
        <x:v>Maritime</x:v>
      </x:c>
      <x:c r="J390" s="42" t="str">
        <x:v>Straits of Malacca &amp; Singapore</x:v>
      </x:c>
      <x:c r="K390" s="42" t="str"/>
      <x:c r="L390" s="42" t="str">
        <x:v>Approximately 7.6 nm off Pulau Karimun Besar (Indonesia), in the eastbound lane of the TSS</x:v>
      </x:c>
      <x:c r="M390" s="42" t="str">
        <x:v>1.1225</x:v>
      </x:c>
      <x:c r="N390" s="42" t="str">
        <x:v>103.507167</x:v>
      </x:c>
      <x:c r="O390" s="42" t="str">
        <x:v>Jin Hwa 45 &amp; Jin Hwa 37</x:v>
      </x:c>
      <x:c r="P390" s="42" t="str"/>
      <x:c r="Q390" s="42" t="str">
        <x:v>TUG BOAT &amp; BARGE</x:v>
      </x:c>
      <x:c r="R390" s="42" t="str"/>
      <x:c r="S390" s="42" t="str">
        <x:v>While the tug boat towing barge was underway, three perpetrators boarded the barge, stole items such as manhole covers, rope, turnbuckles and solar lights, and escaped.</x:v>
      </x:c>
      <x:c r="T390" s="42" t="str"/>
      <x:c r="U390" s="42" t="str"/>
      <x:c r="V390" s="42" t="str"/>
      <x:c r="W390" s="42" t="str">
        <x:v>While Sailing</x:v>
      </x:c>
      <x:c r="X390" s="42" t="str"/>
      <x:c r="Y390" s="42" t="str"/>
      <x:c r="Z390" s="42" t="str"/>
      <x:c r="AA390" s="42" t="str">
        <x:v>https://www.recaap.org/alerts</x:v>
      </x:c>
      <x:c r="AB390" s="42" t="str">
        <x:v>Needs canonical event resolution</x:v>
      </x:c>
      <x:c r="AC390" s="42" t="str">
        <x:v>Flag: MALAYSIA</x:v>
      </x:c>
    </x:row>
    <x:row r="391">
      <x:c r="A391" s="42" t="str">
        <x:v>OBS_000390</x:v>
      </x:c>
      <x:c r="B391" s="42" t="str"/>
      <x:c r="C391" s="42" t="str">
        <x:v>recaap_incidents_2024_2026</x:v>
      </x:c>
      <x:c r="D391" s="42" t="str">
        <x:v>2025-75</x:v>
      </x:c>
      <x:c r="E391" s="42" t="str">
        <x:v>2025-05-07</x:v>
      </x:c>
      <x:c r="F391" s="42" t="str">
        <x:v>Maritime Crime</x:v>
      </x:c>
      <x:c r="G391" s="42" t="str">
        <x:v>Robbery/ Theft</x:v>
      </x:c>
      <x:c r="H391" s="42" t="str">
        <x:v>3</x:v>
      </x:c>
      <x:c r="I391" s="42" t="str">
        <x:v>Maritime</x:v>
      </x:c>
      <x:c r="J391" s="42" t="str">
        <x:v>Straits of Malacca &amp; Singapore</x:v>
      </x:c>
      <x:c r="K391" s="42" t="str"/>
      <x:c r="L391" s="42" t="str">
        <x:v>Approximately 2.2 nm off Pulau Cula (Indonesia), in the eastbound lane of the TSS</x:v>
      </x:c>
      <x:c r="M391" s="42" t="str">
        <x:v>1.059667</x:v>
      </x:c>
      <x:c r="N391" s="42" t="str">
        <x:v>103.68</x:v>
      </x:c>
      <x:c r="O391" s="42" t="str">
        <x:v>Hui Shun No. 1</x:v>
      </x:c>
      <x:c r="P391" s="42" t="str"/>
      <x:c r="Q391" s="42" t="str">
        <x:v>BULK CARRIER</x:v>
      </x:c>
      <x:c r="R391" s="42" t="str"/>
      <x:c r="S391" s="42" t="str">
        <x:v>While underway, two perpetrators armed with knives were sighted at the aft deck of the ship. The master immediately raised the general alarm and crew mustered for safety. A search was conducted, with no perpetrators found onboard. All crew were accounted for with no injuries reported. Nothing was stolen. The ship was enroute from Port Klang, Malaysia to China. The incident was reported to Singapore VTIS. Safety broadcasts on anti-piracy watch were initiated to warn all vessels to maintain a vigilant watch at all times in the SS. The RSN’s MSTF and Singapore PCG were notified of the incident. Information of the incident was shared with the Indonesian authority.</x:v>
      </x:c>
      <x:c r="T391" s="42" t="str"/>
      <x:c r="U391" s="42" t="str"/>
      <x:c r="V391" s="42" t="str"/>
      <x:c r="W391" s="42" t="str">
        <x:v>While Sailing</x:v>
      </x:c>
      <x:c r="X391" s="42" t="str"/>
      <x:c r="Y391" s="42" t="str"/>
      <x:c r="Z391" s="42" t="str"/>
      <x:c r="AA391" s="42" t="str">
        <x:v>https://www.recaap.org/alerts</x:v>
      </x:c>
      <x:c r="AB391" s="42" t="str">
        <x:v>Needs canonical event resolution</x:v>
      </x:c>
      <x:c r="AC391" s="42" t="str">
        <x:v>Flag: HONG KONG, CHINA</x:v>
      </x:c>
    </x:row>
    <x:row r="392">
      <x:c r="A392" s="42" t="str">
        <x:v>OBS_000391</x:v>
      </x:c>
      <x:c r="B392" s="42" t="str"/>
      <x:c r="C392" s="42" t="str">
        <x:v>recaap_incidents_2024_2026</x:v>
      </x:c>
      <x:c r="D392" s="42" t="str">
        <x:v>2025-74</x:v>
      </x:c>
      <x:c r="E392" s="42" t="str">
        <x:v>2025-05-07</x:v>
      </x:c>
      <x:c r="F392" s="42" t="str">
        <x:v>Maritime Crime</x:v>
      </x:c>
      <x:c r="G392" s="42" t="str">
        <x:v>Robbery/ Theft</x:v>
      </x:c>
      <x:c r="H392" s="42" t="str">
        <x:v>4</x:v>
      </x:c>
      <x:c r="I392" s="42" t="str">
        <x:v>Maritime</x:v>
      </x:c>
      <x:c r="J392" s="42" t="str">
        <x:v>Straits of Malacca &amp; Singapore</x:v>
      </x:c>
      <x:c r="K392" s="42" t="str"/>
      <x:c r="L392" s="42" t="str">
        <x:v>Approximately 7.9 nm off Pulau Cula (Indonesia), in the eastbound lane of the TSS</x:v>
      </x:c>
      <x:c r="M392" s="42" t="str">
        <x:v>1.088667</x:v>
      </x:c>
      <x:c r="N392" s="42" t="str">
        <x:v>103.588333</x:v>
      </x:c>
      <x:c r="O392" s="42" t="str">
        <x:v>Elm Galaxy</x:v>
      </x:c>
      <x:c r="P392" s="42" t="str"/>
      <x:c r="Q392" s="42" t="str">
        <x:v>CHEMICAL TANKER</x:v>
      </x:c>
      <x:c r="R392" s="42" t="str"/>
      <x:c r="S392" s="42" t="str">
        <x:v>While underway, one perpetrator was sighted at the aft deck of the ship. The master immediately raised the general alarm and crew mustered for safety. A search was conducted, with no perpetrators found onboard. All crew were accounted for with no injuries reported. Nothing was stolen. The ship was enroute from Singapore Port to Thailand. The incident was reported to Singapore VTIS. Safety broadcasts on anti-piracy watch were initiated to warn all vessels to maintain a vigilant watch at all times in the SS. The RSN’s MSTF and Singapore PCG were notified of the incident. Information of the incident was shared with the Indonesian authority.</x:v>
      </x:c>
      <x:c r="T392" s="42" t="str"/>
      <x:c r="U392" s="42" t="str"/>
      <x:c r="V392" s="42" t="str"/>
      <x:c r="W392" s="42" t="str">
        <x:v>While Sailing</x:v>
      </x:c>
      <x:c r="X392" s="42" t="str"/>
      <x:c r="Y392" s="42" t="str"/>
      <x:c r="Z392" s="42" t="str"/>
      <x:c r="AA392" s="42" t="str">
        <x:v>https://www.recaap.org/alerts</x:v>
      </x:c>
      <x:c r="AB392" s="42" t="str">
        <x:v>Needs canonical event resolution</x:v>
      </x:c>
      <x:c r="AC392" s="42" t="str">
        <x:v>Flag: PANAMA</x:v>
      </x:c>
    </x:row>
    <x:row r="393">
      <x:c r="A393" s="42" t="str">
        <x:v>OBS_000392</x:v>
      </x:c>
      <x:c r="B393" s="42" t="str"/>
      <x:c r="C393" s="42" t="str">
        <x:v>recaap_incidents_2024_2026</x:v>
      </x:c>
      <x:c r="D393" s="42" t="str">
        <x:v>2025-73</x:v>
      </x:c>
      <x:c r="E393" s="42" t="str">
        <x:v>2025-05-07</x:v>
      </x:c>
      <x:c r="F393" s="42" t="str">
        <x:v>Maritime Crime</x:v>
      </x:c>
      <x:c r="G393" s="42" t="str">
        <x:v>Robbery/ Theft</x:v>
      </x:c>
      <x:c r="H393" s="42" t="str">
        <x:v>3</x:v>
      </x:c>
      <x:c r="I393" s="42" t="str">
        <x:v>Maritime</x:v>
      </x:c>
      <x:c r="J393" s="42" t="str">
        <x:v>Straits of Malacca &amp; Singapore</x:v>
      </x:c>
      <x:c r="K393" s="42" t="str"/>
      <x:c r="L393" s="42" t="str">
        <x:v>Approximately 8.9 nm off Pulau Iyu Kechil, (Indonesia), in the eastbound lane of the TSS</x:v>
      </x:c>
      <x:c r="M393" s="42" t="str">
        <x:v>1.1355</x:v>
      </x:c>
      <x:c r="N393" s="42" t="str">
        <x:v>103.488667</x:v>
      </x:c>
      <x:c r="O393" s="42" t="str">
        <x:v>Virgo</x:v>
      </x:c>
      <x:c r="P393" s="42" t="str"/>
      <x:c r="Q393" s="42" t="str">
        <x:v>BULK CARRIER</x:v>
      </x:c>
      <x:c r="R393" s="42" t="str"/>
      <x:c r="S393" s="42" t="str">
        <x:v>While underway, five perpetrators were sighted in the engine room, of which two of them carried gun-like objects. The master immediately raised the general alarm and crew mustered for safety. A search was conducted, with no perpetrators found onboard. All crew were accounted for with no injuries reported. The ship was enroute from India to Singapore port. The incident was reported to Singapore VTIS. Safety broadcasts on anti-piracy watch were initiated to warn all vessels to maintain a vigilant watch at all times in the SS. The RSN’s MSTF and Singapore PCG were notified of the incident. Information of the incident was shared with the Indonesian authority. Upon arrival at Singapore port, Singapore PCG boarded the ship and conducted a security search, with no perpetrators found onboard and some engine spares were reported missing.</x:v>
      </x:c>
      <x:c r="T393" s="42" t="str"/>
      <x:c r="U393" s="42" t="str"/>
      <x:c r="V393" s="42" t="str"/>
      <x:c r="W393" s="42" t="str">
        <x:v>While Sailing</x:v>
      </x:c>
      <x:c r="X393" s="42" t="str"/>
      <x:c r="Y393" s="42" t="str"/>
      <x:c r="Z393" s="42" t="str"/>
      <x:c r="AA393" s="42" t="str">
        <x:v>https://www.recaap.org/alerts</x:v>
      </x:c>
      <x:c r="AB393" s="42" t="str">
        <x:v>Needs canonical event resolution</x:v>
      </x:c>
      <x:c r="AC393" s="42" t="str">
        <x:v>Flag: MARSHALL ISLANDS</x:v>
      </x:c>
    </x:row>
    <x:row r="394">
      <x:c r="A394" s="42" t="str">
        <x:v>OBS_000393</x:v>
      </x:c>
      <x:c r="B394" s="42" t="str"/>
      <x:c r="C394" s="42" t="str">
        <x:v>recaap_incidents_2024_2026</x:v>
      </x:c>
      <x:c r="D394" s="42" t="str">
        <x:v>2025-76</x:v>
      </x:c>
      <x:c r="E394" s="42" t="str">
        <x:v>2025-05-05</x:v>
      </x:c>
      <x:c r="F394" s="42" t="str">
        <x:v>Maritime Crime</x:v>
      </x:c>
      <x:c r="G394" s="42" t="str">
        <x:v>Robbery/ Theft</x:v>
      </x:c>
      <x:c r="H394" s="42" t="str">
        <x:v>4</x:v>
      </x:c>
      <x:c r="I394" s="42" t="str">
        <x:v>Maritime</x:v>
      </x:c>
      <x:c r="J394" s="42" t="str">
        <x:v>Straits of Malacca &amp; Singapore</x:v>
      </x:c>
      <x:c r="K394" s="42" t="str"/>
      <x:c r="L394" s="42" t="str">
        <x:v>Approximately 5.1 nm off Pulau Cula (Indonesia), in the eastbound lane of the TSS</x:v>
      </x:c>
      <x:c r="M394" s="42" t="str">
        <x:v>1.116667</x:v>
      </x:c>
      <x:c r="N394" s="42" t="str">
        <x:v>103.75</x:v>
      </x:c>
      <x:c r="O394" s="42" t="str">
        <x:v>SW Legend</x:v>
      </x:c>
      <x:c r="P394" s="42" t="str"/>
      <x:c r="Q394" s="42" t="str">
        <x:v>BULK CARRIER</x:v>
      </x:c>
      <x:c r="R394" s="42" t="str"/>
      <x:c r="S394" s="42" t="str">
        <x:v>While underway, two perpetrators were sighted at the port quarter of the stern deck. The master immediately raised the general alarm, switched on the deck lights and the crew mustered for safety. Upon realising the crew was alerted, the immediately. A security search was perpetrators escaped conducted with no perpetrators found onboard. The crew was not injured and nothing was stolen. The incident was reported to Singapore VTIS. Safety broadcasts on anti-piracy watch were initiated to warn all vessels to maintain a vigilant watch at all times in the SS. The RSN’s MSTF and Singapore PCG were notified of the incident. Information of the incident was shared with the Indonesian authorities.</x:v>
      </x:c>
      <x:c r="T394" s="42" t="str"/>
      <x:c r="U394" s="42" t="str"/>
      <x:c r="V394" s="42" t="str"/>
      <x:c r="W394" s="42" t="str">
        <x:v>While Sailing</x:v>
      </x:c>
      <x:c r="X394" s="42" t="str"/>
      <x:c r="Y394" s="42" t="str"/>
      <x:c r="Z394" s="42" t="str"/>
      <x:c r="AA394" s="42" t="str">
        <x:v>https://www.recaap.org/alerts</x:v>
      </x:c>
      <x:c r="AB394" s="42" t="str">
        <x:v>Needs canonical event resolution</x:v>
      </x:c>
      <x:c r="AC394" s="42" t="str">
        <x:v>Flag: PANAMA</x:v>
      </x:c>
    </x:row>
    <x:row r="395">
      <x:c r="A395" s="42" t="str">
        <x:v>OBS_000394</x:v>
      </x:c>
      <x:c r="B395" s="42" t="str"/>
      <x:c r="C395" s="42" t="str">
        <x:v>recaap_incidents_2024_2026</x:v>
      </x:c>
      <x:c r="D395" s="42" t="str">
        <x:v>2025-77</x:v>
      </x:c>
      <x:c r="E395" s="42" t="str">
        <x:v>2025-05-04</x:v>
      </x:c>
      <x:c r="F395" s="42" t="str">
        <x:v>Maritime Crime</x:v>
      </x:c>
      <x:c r="G395" s="42" t="str">
        <x:v>Robbery/ Theft</x:v>
      </x:c>
      <x:c r="H395" s="42" t="str">
        <x:v>4</x:v>
      </x:c>
      <x:c r="I395" s="42" t="str">
        <x:v>Maritime</x:v>
      </x:c>
      <x:c r="J395" s="42" t="str">
        <x:v>Indonesia (Ports/Anchorages)</x:v>
      </x:c>
      <x:c r="K395" s="42" t="str"/>
      <x:c r="L395" s="42" t="str">
        <x:v>Jakarta Anchorage, Indonesia</x:v>
      </x:c>
      <x:c r="M395" s="42" t="str">
        <x:v>-5.979833</x:v>
      </x:c>
      <x:c r="N395" s="42" t="str">
        <x:v>106.915833</x:v>
      </x:c>
      <x:c r="O395" s="42" t="str">
        <x:v>ALS Juno</x:v>
      </x:c>
      <x:c r="P395" s="42" t="str"/>
      <x:c r="Q395" s="42" t="str">
        <x:v>CONTAINER SHIP</x:v>
      </x:c>
      <x:c r="R395" s="42" t="str"/>
      <x:c r="S395" s="42" t="str">
        <x:v>At Anchor While at anchor, three to four perpetrators boarded the ship at the aft mooring station when the crew was occupied at the forecastle with weighing anchor for departure from anchorage to the port. As all entry doors to restricted areas were locked and secured, the perpetrators stole one heaving line and cut the cables of door sensors (to passageways and steering gear room) before they escaped. The crew was not injured.</x:v>
      </x:c>
      <x:c r="T395" s="42" t="str"/>
      <x:c r="U395" s="42" t="str"/>
      <x:c r="V395" s="42" t="str"/>
      <x:c r="W395" s="42" t="str"/>
      <x:c r="X395" s="42" t="str"/>
      <x:c r="Y395" s="42" t="str"/>
      <x:c r="Z395" s="42" t="str"/>
      <x:c r="AA395" s="42" t="str">
        <x:v>https://www.recaap.org/alerts</x:v>
      </x:c>
      <x:c r="AB395" s="42" t="str">
        <x:v>Needs canonical event resolution</x:v>
      </x:c>
      <x:c r="AC395" s="42" t="str">
        <x:v>Flag: PORTUGAL</x:v>
      </x:c>
    </x:row>
    <x:row r="396">
      <x:c r="A396" s="42" t="str">
        <x:v>OBS_000395</x:v>
      </x:c>
      <x:c r="B396" s="42" t="str"/>
      <x:c r="C396" s="42" t="str">
        <x:v>recaap_incidents_2024_2026</x:v>
      </x:c>
      <x:c r="D396" s="42" t="str">
        <x:v>2025-79</x:v>
      </x:c>
      <x:c r="E396" s="42" t="str">
        <x:v>2025-05-02</x:v>
      </x:c>
      <x:c r="F396" s="42" t="str">
        <x:v>Maritime Crime</x:v>
      </x:c>
      <x:c r="G396" s="42" t="str">
        <x:v>Robbery/ Theft</x:v>
      </x:c>
      <x:c r="H396" s="42" t="str">
        <x:v>4</x:v>
      </x:c>
      <x:c r="I396" s="42" t="str">
        <x:v>Maritime</x:v>
      </x:c>
      <x:c r="J396" s="42" t="str">
        <x:v>Straits of Malacca &amp; Singapore</x:v>
      </x:c>
      <x:c r="K396" s="42" t="str"/>
      <x:c r="L396" s="42" t="str">
        <x:v>Approximately 4.8 nm off Pulau Cula (Indonesia), in the eastbound lane of the TSS</x:v>
      </x:c>
      <x:c r="M396" s="42" t="str">
        <x:v>1.054667</x:v>
      </x:c>
      <x:c r="N396" s="42" t="str">
        <x:v>103.6325</x:v>
      </x:c>
      <x:c r="O396" s="42" t="str">
        <x:v>S M A</x:v>
      </x:c>
      <x:c r="P396" s="42" t="str"/>
      <x:c r="Q396" s="42" t="str">
        <x:v>CHEMICAL TANKER</x:v>
      </x:c>
      <x:c r="R396" s="42" t="str"/>
      <x:c r="S396" s="42" t="str">
        <x:v>While underway, four perpetrators holding unknown objects were sighted on deck and in the engine room. The emergency general alarm was raised, and the crew conducted a search with no perpetrators found onboard. The master confirmed there was no confrontation with the perpetrators but the 3rd Engineer and one AB suffered minor hand injuries in the darkness. Engine spare parts were reported stolen. The incident was reported to Singapore VTIS. Safety broadcasts on anti-piracy watch were initiated to warn all vessels to maintain a vigilant watch at all times in the SS. The RSN’s MSTF and Singapore PCG were notified of the incident. Information of the incident was shared with the Indonesian authorities.</x:v>
      </x:c>
      <x:c r="T396" s="42" t="str"/>
      <x:c r="U396" s="42" t="str"/>
      <x:c r="V396" s="42" t="str"/>
      <x:c r="W396" s="42" t="str">
        <x:v>While Sailing</x:v>
      </x:c>
      <x:c r="X396" s="42" t="str"/>
      <x:c r="Y396" s="42" t="str"/>
      <x:c r="Z396" s="42" t="str"/>
      <x:c r="AA396" s="42" t="str">
        <x:v>https://www.recaap.org/alerts</x:v>
      </x:c>
      <x:c r="AB396" s="42" t="str">
        <x:v>Needs canonical event resolution</x:v>
      </x:c>
      <x:c r="AC396" s="42" t="str">
        <x:v>Flag: COOK ISLANDS</x:v>
      </x:c>
    </x:row>
    <x:row r="397">
      <x:c r="A397" s="42" t="str">
        <x:v>OBS_000396</x:v>
      </x:c>
      <x:c r="B397" s="42" t="str"/>
      <x:c r="C397" s="42" t="str">
        <x:v>recaap_incidents_2024_2026</x:v>
      </x:c>
      <x:c r="D397" s="42" t="str">
        <x:v>2025-78</x:v>
      </x:c>
      <x:c r="E397" s="42" t="str">
        <x:v>2025-05-02</x:v>
      </x:c>
      <x:c r="F397" s="42" t="str">
        <x:v>Maritime Crime</x:v>
      </x:c>
      <x:c r="G397" s="42" t="str">
        <x:v>Robbery/ Theft</x:v>
      </x:c>
      <x:c r="H397" s="42" t="str">
        <x:v>4</x:v>
      </x:c>
      <x:c r="I397" s="42" t="str">
        <x:v>Maritime</x:v>
      </x:c>
      <x:c r="J397" s="42" t="str">
        <x:v>Straits of Malacca &amp; Singapore</x:v>
      </x:c>
      <x:c r="K397" s="42" t="str"/>
      <x:c r="L397" s="42" t="str">
        <x:v>Approximately 6 nm off Pulau Cula (Indonesia), in the eastbound lane of the TSS</x:v>
      </x:c>
      <x:c r="M397" s="42" t="str">
        <x:v>1.063</x:v>
      </x:c>
      <x:c r="N397" s="42" t="str">
        <x:v>103.614167</x:v>
      </x:c>
      <x:c r="O397" s="42" t="str">
        <x:v>Culture</x:v>
      </x:c>
      <x:c r="P397" s="42" t="str"/>
      <x:c r="Q397" s="42" t="str">
        <x:v>TANKER</x:v>
      </x:c>
      <x:c r="R397" s="42" t="str"/>
      <x:c r="S397" s="42" t="str">
        <x:v>While underway, five perpetrators were sighted on deck. The master immediately raised the general alarm, and the crew mustered for safety. Upon realising the crew was alerted, the perpetrators escaped immediately. The crew was not injured and nothing was stolen. The incident was reported to Singapore VTIS. Safety broadcasts on anti-piracy watch were initiated to warn all vessels to maintain a vigilant watch at all times in the SS. The RSN’s MSTF and Singapore PCG were notified of the incident. Information of the incident was shared with the Indonesian authorities.</x:v>
      </x:c>
      <x:c r="T397" s="42" t="str"/>
      <x:c r="U397" s="42" t="str"/>
      <x:c r="V397" s="42" t="str"/>
      <x:c r="W397" s="42" t="str">
        <x:v>While Sailing</x:v>
      </x:c>
      <x:c r="X397" s="42" t="str"/>
      <x:c r="Y397" s="42" t="str"/>
      <x:c r="Z397" s="42" t="str"/>
      <x:c r="AA397" s="42" t="str">
        <x:v>https://www.recaap.org/alerts</x:v>
      </x:c>
      <x:c r="AB397" s="42" t="str">
        <x:v>Needs canonical event resolution</x:v>
      </x:c>
      <x:c r="AC397" s="42" t="str">
        <x:v>Flag: MARSHALL ISLANDS</x:v>
      </x:c>
    </x:row>
    <x:row r="398">
      <x:c r="A398" s="42" t="str">
        <x:v>OBS_000397</x:v>
      </x:c>
      <x:c r="B398" s="42" t="str"/>
      <x:c r="C398" s="42" t="str">
        <x:v>recaap_incidents_2024_2026</x:v>
      </x:c>
      <x:c r="D398" s="42" t="str">
        <x:v>2025-80</x:v>
      </x:c>
      <x:c r="E398" s="42" t="str">
        <x:v>2025-04-25</x:v>
      </x:c>
      <x:c r="F398" s="42" t="str">
        <x:v>Maritime Crime</x:v>
      </x:c>
      <x:c r="G398" s="42" t="str">
        <x:v>Robbery/ Theft</x:v>
      </x:c>
      <x:c r="H398" s="42" t="str">
        <x:v>4</x:v>
      </x:c>
      <x:c r="I398" s="42" t="str">
        <x:v>Maritime</x:v>
      </x:c>
      <x:c r="J398" s="42" t="str">
        <x:v>Straits of Malacca &amp; Singapore</x:v>
      </x:c>
      <x:c r="K398" s="42" t="str"/>
      <x:c r="L398" s="42" t="str">
        <x:v>Approximately 3.5 nm off Pulau Cula (Indonesia), in the eastbound lane of the TSS</x:v>
      </x:c>
      <x:c r="M398" s="42" t="str">
        <x:v>1.038333</x:v>
      </x:c>
      <x:c r="N398" s="42" t="str">
        <x:v>103.651667</x:v>
      </x:c>
      <x:c r="O398" s="42" t="str">
        <x:v>ASL Trinity</x:v>
      </x:c>
      <x:c r="P398" s="42" t="str"/>
      <x:c r="Q398" s="42" t="str">
        <x:v>BULK CARRIER</x:v>
      </x:c>
      <x:c r="R398" s="42" t="str"/>
      <x:c r="S398" s="42" t="str">
        <x:v>While underway, unknown number of perpetrators boarded the ship without been noticed by the crew. After security search, it is found that the steering gear room booby hatch security nut was broken and condition door in opening condition. Bare footprints of the perpetrators were also found on poop deck. Some generator spare parts were reported stolen. The crew was not injured. The incident was reported to Singapore VTIS via email after anchored.</x:v>
      </x:c>
      <x:c r="T398" s="42" t="str"/>
      <x:c r="U398" s="42" t="str"/>
      <x:c r="V398" s="42" t="str"/>
      <x:c r="W398" s="42" t="str">
        <x:v>While Sailing</x:v>
      </x:c>
      <x:c r="X398" s="42" t="str"/>
      <x:c r="Y398" s="42" t="str"/>
      <x:c r="Z398" s="42" t="str"/>
      <x:c r="AA398" s="42" t="str">
        <x:v>https://www.recaap.org/alerts</x:v>
      </x:c>
      <x:c r="AB398" s="42" t="str">
        <x:v>Needs canonical event resolution</x:v>
      </x:c>
      <x:c r="AC398" s="42" t="str">
        <x:v>Flag: LIBERIA</x:v>
      </x:c>
    </x:row>
    <x:row r="399">
      <x:c r="A399" s="42" t="str">
        <x:v>OBS_000398</x:v>
      </x:c>
      <x:c r="B399" s="42" t="str"/>
      <x:c r="C399" s="42" t="str">
        <x:v>recaap_incidents_2024_2026</x:v>
      </x:c>
      <x:c r="D399" s="42" t="str">
        <x:v>2025-81</x:v>
      </x:c>
      <x:c r="E399" s="42" t="str">
        <x:v>2025-04-22</x:v>
      </x:c>
      <x:c r="F399" s="42" t="str">
        <x:v>Maritime Crime</x:v>
      </x:c>
      <x:c r="G399" s="42" t="str">
        <x:v>Robbery/ Theft</x:v>
      </x:c>
      <x:c r="H399" s="42" t="str">
        <x:v>2</x:v>
      </x:c>
      <x:c r="I399" s="42" t="str">
        <x:v>Maritime</x:v>
      </x:c>
      <x:c r="J399" s="42" t="str">
        <x:v>Straits of Malacca &amp; Singapore</x:v>
      </x:c>
      <x:c r="K399" s="42" t="str"/>
      <x:c r="L399" s="42" t="str">
        <x:v>Approximately 8.8 nm off Pulau Cula (Indonesia), in the eastbound lane of the TSS</x:v>
      </x:c>
      <x:c r="M399" s="42" t="str">
        <x:v>1.09</x:v>
      </x:c>
      <x:c r="N399" s="42" t="str">
        <x:v>103.573667</x:v>
      </x:c>
      <x:c r="O399" s="42" t="str">
        <x:v>Panagia Force</x:v>
      </x:c>
      <x:c r="P399" s="42" t="str"/>
      <x:c r="Q399" s="42" t="str">
        <x:v>BULK CARRIER</x:v>
      </x:c>
      <x:c r="R399" s="42" t="str"/>
      <x:c r="S399" s="42" t="str">
        <x:v>While underway, four perpetrators armed with knives were sighted in the engine room. The emergency general alarm was raised, and the crew conducted a search onboard, with no further sighting of perpetrators. Three crew members were found tied up in the engine room, but they were not injured. The ship was arriving from Brazil and bound for Singapore Anchorage. The incident was reported to Singapore VTIS. Safety broadcasts on anti-piracy watch were initiated to warn all vessels to maintain a vigilant watch at all times in the SS. The RSN’s MSTF and Singapore PCG were notified of the incident. Information of the incident was shared with the Indonesian authorities. The Singapore PCG boarded the ship at anchorage and confirmed that no perpetrators were found onboard. Engine spare parts and personal belongings were confirmed stolen.</x:v>
      </x:c>
      <x:c r="T399" s="42" t="str"/>
      <x:c r="U399" s="42" t="str"/>
      <x:c r="V399" s="42" t="str"/>
      <x:c r="W399" s="42" t="str">
        <x:v>While Sailing</x:v>
      </x:c>
      <x:c r="X399" s="42" t="str"/>
      <x:c r="Y399" s="42" t="str"/>
      <x:c r="Z399" s="42" t="str"/>
      <x:c r="AA399" s="42" t="str">
        <x:v>https://www.recaap.org/alerts</x:v>
      </x:c>
      <x:c r="AB399" s="42" t="str">
        <x:v>Needs canonical event resolution</x:v>
      </x:c>
      <x:c r="AC399" s="42" t="str">
        <x:v>Flag: MARSHALL ISLANDS</x:v>
      </x:c>
    </x:row>
    <x:row r="400">
      <x:c r="A400" s="42" t="str">
        <x:v>OBS_000399</x:v>
      </x:c>
      <x:c r="B400" s="42" t="str"/>
      <x:c r="C400" s="42" t="str">
        <x:v>recaap_incidents_2024_2026</x:v>
      </x:c>
      <x:c r="D400" s="42" t="str">
        <x:v>2025-83</x:v>
      </x:c>
      <x:c r="E400" s="42" t="str">
        <x:v>2025-04-21</x:v>
      </x:c>
      <x:c r="F400" s="42" t="str">
        <x:v>Maritime Crime</x:v>
      </x:c>
      <x:c r="G400" s="42" t="str">
        <x:v>Robbery/ Theft</x:v>
      </x:c>
      <x:c r="H400" s="42" t="str">
        <x:v>3</x:v>
      </x:c>
      <x:c r="I400" s="42" t="str">
        <x:v>Maritime</x:v>
      </x:c>
      <x:c r="J400" s="42" t="str">
        <x:v>Straits of Malacca &amp; Singapore</x:v>
      </x:c>
      <x:c r="K400" s="42" t="str"/>
      <x:c r="L400" s="42" t="str">
        <x:v>Approximately 2.5 nm off Pulau Cula (Indonesia), in the eastbound lane of the TSS</x:v>
      </x:c>
      <x:c r="M400" s="42" t="str">
        <x:v>1.082167</x:v>
      </x:c>
      <x:c r="N400" s="42" t="str">
        <x:v>103.705667</x:v>
      </x:c>
      <x:c r="O400" s="42" t="str">
        <x:v>Aquaris</x:v>
      </x:c>
      <x:c r="P400" s="42" t="str"/>
      <x:c r="Q400" s="42" t="str">
        <x:v>TANKER</x:v>
      </x:c>
      <x:c r="R400" s="42" t="str"/>
      <x:c r="S400" s="42" t="str">
        <x:v>While underway, three perpetrators armed with knives were sighted in the Engine Control Room. The master raised the general alarm immediately, mustered the crew for safety and conducted a search onboard. All crew were accounted for with no injuries reported. Nothing was stolen. The ship was bound for Tompok, Malaysia. The incident was reported to Singapore VTIS via VHF. Safety broadcasts on anti-piracy watch were initiated to warn all vessels to maintain a vigilant watch at all times in the SS. The RSN’s MSTF and Singapore PCG were notified of the incident. Information of the incident was shared with the Indonesian and Malaysian authorities.</x:v>
      </x:c>
      <x:c r="T400" s="42" t="str"/>
      <x:c r="U400" s="42" t="str"/>
      <x:c r="V400" s="42" t="str"/>
      <x:c r="W400" s="42" t="str">
        <x:v>While Sailing</x:v>
      </x:c>
      <x:c r="X400" s="42" t="str"/>
      <x:c r="Y400" s="42" t="str"/>
      <x:c r="Z400" s="42" t="str"/>
      <x:c r="AA400" s="42" t="str">
        <x:v>https://www.recaap.org/alerts</x:v>
      </x:c>
      <x:c r="AB400" s="42" t="str">
        <x:v>Needs canonical event resolution</x:v>
      </x:c>
      <x:c r="AC400" s="42" t="str">
        <x:v>Flag: PANAMA</x:v>
      </x:c>
    </x:row>
    <x:row r="401">
      <x:c r="A401" s="42" t="str">
        <x:v>OBS_000400</x:v>
      </x:c>
      <x:c r="B401" s="42" t="str"/>
      <x:c r="C401" s="42" t="str">
        <x:v>recaap_incidents_2024_2026</x:v>
      </x:c>
      <x:c r="D401" s="42" t="str">
        <x:v>2025-82</x:v>
      </x:c>
      <x:c r="E401" s="42" t="str">
        <x:v>2025-04-21</x:v>
      </x:c>
      <x:c r="F401" s="42" t="str">
        <x:v>Maritime Crime</x:v>
      </x:c>
      <x:c r="G401" s="42" t="str">
        <x:v>Robbery/ Theft</x:v>
      </x:c>
      <x:c r="H401" s="42" t="str">
        <x:v>4</x:v>
      </x:c>
      <x:c r="I401" s="42" t="str">
        <x:v>Maritime</x:v>
      </x:c>
      <x:c r="J401" s="42" t="str">
        <x:v>Straits of Malacca &amp; Singapore</x:v>
      </x:c>
      <x:c r="K401" s="42" t="str"/>
      <x:c r="L401" s="42" t="str">
        <x:v>Approximately 10.1 nm off Pulau Cula (Indonesia), in the eastbound lane of the TSS</x:v>
      </x:c>
      <x:c r="M401" s="42" t="str">
        <x:v>1.166</x:v>
      </x:c>
      <x:c r="N401" s="42" t="str">
        <x:v>103.821667</x:v>
      </x:c>
      <x:c r="O401" s="42" t="str">
        <x:v>Jin Hwa 49 &amp; Jin Hwa 39</x:v>
      </x:c>
      <x:c r="P401" s="42" t="str"/>
      <x:c r="Q401" s="42" t="str">
        <x:v>TUG BOAT &amp; BARGE</x:v>
      </x:c>
      <x:c r="R401" s="42" t="str"/>
      <x:c r="S401" s="42" t="str">
        <x:v>When the tug boat was towing barge from Port Klang, Malaysia to Kuching, Malaysia, the crew discovered that properties from the barge were missing during a routine inspection. The Singapore PCG was notified of the incident on 29 Apr 2025.</x:v>
      </x:c>
      <x:c r="T401" s="42" t="str"/>
      <x:c r="U401" s="42" t="str"/>
      <x:c r="V401" s="42" t="str"/>
      <x:c r="W401" s="42" t="str">
        <x:v>While Sailing</x:v>
      </x:c>
      <x:c r="X401" s="42" t="str"/>
      <x:c r="Y401" s="42" t="str"/>
      <x:c r="Z401" s="42" t="str"/>
      <x:c r="AA401" s="42" t="str">
        <x:v>https://www.recaap.org/alerts</x:v>
      </x:c>
      <x:c r="AB401" s="42" t="str">
        <x:v>Needs canonical event resolution</x:v>
      </x:c>
      <x:c r="AC401" s="42" t="str">
        <x:v>Flag: MALAYSIA</x:v>
      </x:c>
    </x:row>
    <x:row r="402">
      <x:c r="A402" s="42" t="str">
        <x:v>OBS_000401</x:v>
      </x:c>
      <x:c r="B402" s="42" t="str"/>
      <x:c r="C402" s="42" t="str">
        <x:v>recaap_incidents_2024_2026</x:v>
      </x:c>
      <x:c r="D402" s="42" t="str">
        <x:v>2025-84</x:v>
      </x:c>
      <x:c r="E402" s="42" t="str">
        <x:v>2025-04-20</x:v>
      </x:c>
      <x:c r="F402" s="42" t="str">
        <x:v>Maritime Crime</x:v>
      </x:c>
      <x:c r="G402" s="42" t="str">
        <x:v>Robbery/ Theft</x:v>
      </x:c>
      <x:c r="H402" s="42" t="str">
        <x:v>3</x:v>
      </x:c>
      <x:c r="I402" s="42" t="str">
        <x:v>Maritime</x:v>
      </x:c>
      <x:c r="J402" s="42" t="str">
        <x:v>Straits of Malacca &amp; Singapore</x:v>
      </x:c>
      <x:c r="K402" s="42" t="str"/>
      <x:c r="L402" s="42" t="str">
        <x:v>Approximately 5.6 nm off Pulau Cula (Indonesia), in the eastbound lane of the TSS</x:v>
      </x:c>
      <x:c r="M402" s="42" t="str">
        <x:v>1.053333</x:v>
      </x:c>
      <x:c r="N402" s="42" t="str">
        <x:v>103.618833</x:v>
      </x:c>
      <x:c r="O402" s="42" t="str">
        <x:v>MSC Tara III</x:v>
      </x:c>
      <x:c r="P402" s="42" t="str"/>
      <x:c r="Q402" s="42" t="str">
        <x:v>CONTAINER SHIP</x:v>
      </x:c>
      <x:c r="R402" s="42" t="str"/>
      <x:c r="S402" s="42" t="str">
        <x:v>While underway, three perpetrators were sighted at the upper deck. A crew member ran away after seeing a perpetrator carrying a gun-like object. The master raised the general alarm immediately, mustered the crew for safety and conducted a search onboard. All crew members were accounted for with no injuries reported. Nothing was stolen. The incident was reported to Singapore VTIS via VHF. Safety broadcasts on anti-piracy watch were initiated to warn all vessels to maintain a vigilant watch at all times in the SS. The RSN’s MSTF and Singapore PCG were notified of the incident. Singapore PCG boarded the ship upon her arrival in Singapore. Information of the incident was shared with the Indonesian authorities.</x:v>
      </x:c>
      <x:c r="T402" s="42" t="str"/>
      <x:c r="U402" s="42" t="str"/>
      <x:c r="V402" s="42" t="str"/>
      <x:c r="W402" s="42" t="str">
        <x:v>While Sailing</x:v>
      </x:c>
      <x:c r="X402" s="42" t="str"/>
      <x:c r="Y402" s="42" t="str"/>
      <x:c r="Z402" s="42" t="str"/>
      <x:c r="AA402" s="42" t="str">
        <x:v>https://www.recaap.org/alerts</x:v>
      </x:c>
      <x:c r="AB402" s="42" t="str">
        <x:v>Needs canonical event resolution</x:v>
      </x:c>
      <x:c r="AC402" s="42" t="str">
        <x:v>Flag: LIBERIA</x:v>
      </x:c>
    </x:row>
    <x:row r="403">
      <x:c r="A403" s="42" t="str">
        <x:v>OBS_000402</x:v>
      </x:c>
      <x:c r="B403" s="42" t="str"/>
      <x:c r="C403" s="42" t="str">
        <x:v>recaap_incidents_2024_2026</x:v>
      </x:c>
      <x:c r="D403" s="42" t="str">
        <x:v>2025-85</x:v>
      </x:c>
      <x:c r="E403" s="42" t="str">
        <x:v>2025-04-19</x:v>
      </x:c>
      <x:c r="F403" s="42" t="str">
        <x:v>Maritime Crime</x:v>
      </x:c>
      <x:c r="G403" s="42" t="str">
        <x:v>Attempted</x:v>
      </x:c>
      <x:c r="H403" s="42" t="str">
        <x:v>NA</x:v>
      </x:c>
      <x:c r="I403" s="42" t="str">
        <x:v>Maritime</x:v>
      </x:c>
      <x:c r="J403" s="42" t="str">
        <x:v>Straits of Malacca &amp; Singapore</x:v>
      </x:c>
      <x:c r="K403" s="42" t="str"/>
      <x:c r="L403" s="42" t="str">
        <x:v>Approximately 2.3 nm off Pulau Cula (Indonesia), in the eastbound lane of the TSS</x:v>
      </x:c>
      <x:c r="M403" s="42" t="str">
        <x:v>1.062167</x:v>
      </x:c>
      <x:c r="N403" s="42" t="str">
        <x:v>103.684</x:v>
      </x:c>
      <x:c r="O403" s="42" t="str">
        <x:v>Perlas</x:v>
      </x:c>
      <x:c r="P403" s="42" t="str"/>
      <x:c r="Q403" s="42" t="str">
        <x:v>GENERAL CARGO SHIP</x:v>
      </x:c>
      <x:c r="R403" s="42" t="str"/>
      <x:c r="S403" s="42" t="str">
        <x:v>While underway, four armed perpetrators on a small vessel approached the ship. In response, the ship shone its lights at the perpetrators’ vessel and sounded its whistle. The perpetrators aborted their attempt and escaped in their small vessel at high speed. The crew was not injured and nothing was stolen.</x:v>
      </x:c>
      <x:c r="T403" s="42" t="str"/>
      <x:c r="U403" s="42" t="str"/>
      <x:c r="V403" s="42" t="str"/>
      <x:c r="W403" s="42" t="str">
        <x:v>While Sailing</x:v>
      </x:c>
      <x:c r="X403" s="42" t="str"/>
      <x:c r="Y403" s="42" t="str"/>
      <x:c r="Z403" s="42" t="str"/>
      <x:c r="AA403" s="42" t="str">
        <x:v>https://www.recaap.org/alerts</x:v>
      </x:c>
      <x:c r="AB403" s="42" t="str">
        <x:v>Needs canonical event resolution</x:v>
      </x:c>
      <x:c r="AC403" s="42" t="str">
        <x:v>Flag: PHILIPPINES</x:v>
      </x:c>
    </x:row>
    <x:row r="404">
      <x:c r="A404" s="42" t="str">
        <x:v>OBS_000403</x:v>
      </x:c>
      <x:c r="B404" s="42" t="str"/>
      <x:c r="C404" s="42" t="str">
        <x:v>recaap_incidents_2024_2026</x:v>
      </x:c>
      <x:c r="D404" s="42" t="str">
        <x:v>2025-86</x:v>
      </x:c>
      <x:c r="E404" s="42" t="str">
        <x:v>2025-04-07</x:v>
      </x:c>
      <x:c r="F404" s="42" t="str">
        <x:v>Maritime Crime</x:v>
      </x:c>
      <x:c r="G404" s="42" t="str">
        <x:v>Robbery/ Theft</x:v>
      </x:c>
      <x:c r="H404" s="42" t="str">
        <x:v>4</x:v>
      </x:c>
      <x:c r="I404" s="42" t="str">
        <x:v>Maritime</x:v>
      </x:c>
      <x:c r="J404" s="42" t="str">
        <x:v>Straits of Malacca &amp; Singapore</x:v>
      </x:c>
      <x:c r="K404" s="42" t="str"/>
      <x:c r="L404" s="42" t="str">
        <x:v>Approximately 4 nm off Pulau Karimun Kecil (Indonesia), in the precautionary area of the TSS</x:v>
      </x:c>
      <x:c r="M404" s="42" t="str">
        <x:v>1.149833</x:v>
      </x:c>
      <x:c r="N404" s="42" t="str">
        <x:v>103.473333</x:v>
      </x:c>
      <x:c r="O404" s="42" t="str">
        <x:v>Hafnia Hong Kong</x:v>
      </x:c>
      <x:c r="P404" s="42" t="str"/>
      <x:c r="Q404" s="42" t="str">
        <x:v>OIL / CHEMICAL / GAS TANKER</x:v>
      </x:c>
      <x:c r="R404" s="42" t="str"/>
      <x:c r="S404" s="42" t="str">
        <x:v>While underway, three perpetrators were sighted at the poop deck. The master immediately raised the alarm and the perpetrators escaped from the ship. The crew mustered for safety and subsequently conducted a search onboard with no further sighting of perpetrators. One air compressor and four padlocks were stolen. The crew was not injured. The incident was reported to Singapore VTIS. Safety broadcast on anti-piracy watch was initiated to warn all vessels to maintain a vigilant watch at all times in the SS. The RSN’s MSTF and Singapore PCG were notified of the incident. Singapore PCG boarded the ship upon her arrival in port of Singapore and conducted a search with no perpetrator found. Information of the incident was shared with the Indonesian authorities.</x:v>
      </x:c>
      <x:c r="T404" s="42" t="str"/>
      <x:c r="U404" s="42" t="str"/>
      <x:c r="V404" s="42" t="str"/>
      <x:c r="W404" s="42" t="str">
        <x:v>While Sailing</x:v>
      </x:c>
      <x:c r="X404" s="42" t="str"/>
      <x:c r="Y404" s="42" t="str"/>
      <x:c r="Z404" s="42" t="str"/>
      <x:c r="AA404" s="42" t="str">
        <x:v>https://www.recaap.org/alerts</x:v>
      </x:c>
      <x:c r="AB404" s="42" t="str">
        <x:v>Needs canonical event resolution</x:v>
      </x:c>
      <x:c r="AC404" s="42" t="str">
        <x:v>Flag: MALTA</x:v>
      </x:c>
    </x:row>
    <x:row r="405">
      <x:c r="A405" s="42" t="str">
        <x:v>OBS_000404</x:v>
      </x:c>
      <x:c r="B405" s="42" t="str"/>
      <x:c r="C405" s="42" t="str">
        <x:v>recaap_incidents_2024_2026</x:v>
      </x:c>
      <x:c r="D405" s="42" t="str">
        <x:v>2025-87</x:v>
      </x:c>
      <x:c r="E405" s="42" t="str">
        <x:v>2025-04-06</x:v>
      </x:c>
      <x:c r="F405" s="42" t="str">
        <x:v>Maritime Crime</x:v>
      </x:c>
      <x:c r="G405" s="42" t="str">
        <x:v>Robbery/ Theft</x:v>
      </x:c>
      <x:c r="H405" s="42" t="str">
        <x:v>4</x:v>
      </x:c>
      <x:c r="I405" s="42" t="str">
        <x:v>Maritime</x:v>
      </x:c>
      <x:c r="J405" s="42" t="str">
        <x:v>Straits of Malacca &amp; Singapore</x:v>
      </x:c>
      <x:c r="K405" s="42" t="str"/>
      <x:c r="L405" s="42" t="str">
        <x:v>Approximately 2.3 nm off Pulau Cula (Indonesia), in the eastbound lane of the TSS</x:v>
      </x:c>
      <x:c r="M405" s="42" t="str">
        <x:v>1.079333</x:v>
      </x:c>
      <x:c r="N405" s="42" t="str">
        <x:v>103.715</x:v>
      </x:c>
      <x:c r="O405" s="42" t="str">
        <x:v>Silver Star</x:v>
      </x:c>
      <x:c r="P405" s="42" t="str"/>
      <x:c r="Q405" s="42" t="str">
        <x:v>BULK CARRIER</x:v>
      </x:c>
      <x:c r="R405" s="42" t="str"/>
      <x:c r="S405" s="42" t="str">
        <x:v>While underway, the duty engineer sighted five perpetrators in the engine room. The master immediately raised the alarm and crew mustered for safety. Upon all crew accounted for, the crew conducted a search onboard with no further sighting of perpetrators. Nothing was stolen and the crew was not injured. The incident was reported to Singapore VTIS. Safety broadcast on anti-piracy watch was initiated to warn all vessels to maintain a vigilant watch at all times in the SS. The RSN’s MSTF and Singapore PCG were notified of the incident. Singapore PCG boarded the ship upon her arrival in port of Singapore and conducted a search with no perpetrators found. Information of the incident was shared with the Indonesian authorities.</x:v>
      </x:c>
      <x:c r="T405" s="42" t="str"/>
      <x:c r="U405" s="42" t="str"/>
      <x:c r="V405" s="42" t="str"/>
      <x:c r="W405" s="42" t="str">
        <x:v>While Sailing</x:v>
      </x:c>
      <x:c r="X405" s="42" t="str"/>
      <x:c r="Y405" s="42" t="str"/>
      <x:c r="Z405" s="42" t="str"/>
      <x:c r="AA405" s="42" t="str">
        <x:v>https://www.recaap.org/alerts</x:v>
      </x:c>
      <x:c r="AB405" s="42" t="str">
        <x:v>Needs canonical event resolution</x:v>
      </x:c>
      <x:c r="AC405" s="42" t="str">
        <x:v>Flag: VIETNAM</x:v>
      </x:c>
    </x:row>
    <x:row r="406">
      <x:c r="A406" s="42" t="str">
        <x:v>OBS_000405</x:v>
      </x:c>
      <x:c r="B406" s="42" t="str"/>
      <x:c r="C406" s="42" t="str">
        <x:v>recaap_incidents_2024_2026</x:v>
      </x:c>
      <x:c r="D406" s="42" t="str">
        <x:v>2025-88</x:v>
      </x:c>
      <x:c r="E406" s="42" t="str">
        <x:v>2025-04-04</x:v>
      </x:c>
      <x:c r="F406" s="42" t="str">
        <x:v>Maritime Crime</x:v>
      </x:c>
      <x:c r="G406" s="42" t="str">
        <x:v>Robbery/ Theft</x:v>
      </x:c>
      <x:c r="H406" s="42" t="str">
        <x:v>4</x:v>
      </x:c>
      <x:c r="I406" s="42" t="str">
        <x:v>Maritime</x:v>
      </x:c>
      <x:c r="J406" s="42" t="str">
        <x:v>Bangladesh (Ports/Anchorages)</x:v>
      </x:c>
      <x:c r="K406" s="42" t="str"/>
      <x:c r="L406" s="42" t="str">
        <x:v>Chittagong Anchorage B area, Bangladesh</x:v>
      </x:c>
      <x:c r="M406" s="42" t="str">
        <x:v>22.2</x:v>
      </x:c>
      <x:c r="N406" s="42" t="str">
        <x:v>91.7</x:v>
      </x:c>
      <x:c r="O406" s="42" t="str">
        <x:v>MV Blueray</x:v>
      </x:c>
      <x:c r="P406" s="42" t="str"/>
      <x:c r="Q406" s="42" t="str">
        <x:v>GENERAL CARGO SHIP</x:v>
      </x:c>
      <x:c r="R406" s="42" t="str"/>
      <x:c r="S406" s="42" t="str">
        <x:v>At Anchor While at anchor, five perpetrators boarded the ship from a wooden boat, and stole about 30 paint cans. The crew was not injured. The master reported the incident to Bangladesh Coast Guard (BCG). The BCG anti-smuggle team carried out combing operations on 6 April 25, apprehended the five perpetrators, recovered the stolen paint cans and returned them to the ship. The perpetrators were handed over to the local police for legal action.</x:v>
      </x:c>
      <x:c r="T406" s="42" t="str"/>
      <x:c r="U406" s="42" t="str"/>
      <x:c r="V406" s="42" t="str"/>
      <x:c r="W406" s="42" t="str"/>
      <x:c r="X406" s="42" t="str"/>
      <x:c r="Y406" s="42" t="str"/>
      <x:c r="Z406" s="42" t="str"/>
      <x:c r="AA406" s="42" t="str">
        <x:v>https://www.recaap.org/alerts</x:v>
      </x:c>
      <x:c r="AB406" s="42" t="str">
        <x:v>Needs canonical event resolution</x:v>
      </x:c>
      <x:c r="AC406" s="42" t="str">
        <x:v>Flag: LIBERIA</x:v>
      </x:c>
    </x:row>
    <x:row r="407">
      <x:c r="A407" s="42" t="str">
        <x:v>OBS_000406</x:v>
      </x:c>
      <x:c r="B407" s="42" t="str"/>
      <x:c r="C407" s="42" t="str">
        <x:v>recaap_incidents_2024_2026</x:v>
      </x:c>
      <x:c r="D407" s="42" t="str">
        <x:v>2025-89</x:v>
      </x:c>
      <x:c r="E407" s="42" t="str">
        <x:v>2025-04-03</x:v>
      </x:c>
      <x:c r="F407" s="42" t="str">
        <x:v>Maritime Crime</x:v>
      </x:c>
      <x:c r="G407" s="42" t="str">
        <x:v>Robbery/ Theft</x:v>
      </x:c>
      <x:c r="H407" s="42" t="str">
        <x:v>3</x:v>
      </x:c>
      <x:c r="I407" s="42" t="str">
        <x:v>Maritime</x:v>
      </x:c>
      <x:c r="J407" s="42" t="str">
        <x:v>Straits of Malacca &amp; Singapore</x:v>
      </x:c>
      <x:c r="K407" s="42" t="str"/>
      <x:c r="L407" s="42" t="str">
        <x:v>Approximately 4.4 nm off Batu Berhanti Racon B (Indonesia), in the eastbound lane of the TSS</x:v>
      </x:c>
      <x:c r="M407" s="42" t="str">
        <x:v>1.1655</x:v>
      </x:c>
      <x:c r="N407" s="42" t="str">
        <x:v>103.812</x:v>
      </x:c>
      <x:c r="O407" s="42" t="str">
        <x:v>SITC Yuncheng</x:v>
      </x:c>
      <x:c r="P407" s="42" t="str"/>
      <x:c r="Q407" s="42" t="str">
        <x:v>CONTAINER SHIP</x:v>
      </x:c>
      <x:c r="R407" s="42" t="str"/>
      <x:c r="S407" s="42" t="str">
        <x:v>While underway, the Singapore PCG informed Singapore POCC that a sampan was following the ship. Singapore VTIS alerted the ship immediately. The master subsequently confirmed that three perpetrators with knives boarded the ship via starboard side quarter on the main deck. The alarm was raised and crew mustered to conduct a security search to locate the perpetrators. The perpetrators and jumped stole some lashing gears, overboard and escaped. All crew members were accounted for, with no injury reported. Safety broadcast on anti-piracy watch was initiated to warn all vessels to maintain a vigilant watch at all times in the SS. The RSN’s MSTF and Singapore PCG was notified of the incident. Information of the incident was shared with the Indonesian authorities.</x:v>
      </x:c>
      <x:c r="T407" s="42" t="str"/>
      <x:c r="U407" s="42" t="str"/>
      <x:c r="V407" s="42" t="str"/>
      <x:c r="W407" s="42" t="str">
        <x:v>While Sailing</x:v>
      </x:c>
      <x:c r="X407" s="42" t="str"/>
      <x:c r="Y407" s="42" t="str"/>
      <x:c r="Z407" s="42" t="str"/>
      <x:c r="AA407" s="42" t="str">
        <x:v>https://www.recaap.org/alerts</x:v>
      </x:c>
      <x:c r="AB407" s="42" t="str">
        <x:v>Needs canonical event resolution</x:v>
      </x:c>
      <x:c r="AC407" s="42" t="str">
        <x:v>Flag: HONG KONG, CHINA</x:v>
      </x:c>
    </x:row>
    <x:row r="408">
      <x:c r="A408" s="42" t="str">
        <x:v>OBS_000407</x:v>
      </x:c>
      <x:c r="B408" s="42" t="str"/>
      <x:c r="C408" s="42" t="str">
        <x:v>recaap_incidents_2024_2026</x:v>
      </x:c>
      <x:c r="D408" s="42" t="str">
        <x:v>2025-92</x:v>
      </x:c>
      <x:c r="E408" s="42" t="str">
        <x:v>2025-03-30</x:v>
      </x:c>
      <x:c r="F408" s="42" t="str">
        <x:v>Maritime Crime</x:v>
      </x:c>
      <x:c r="G408" s="42" t="str">
        <x:v>Robbery/ Theft</x:v>
      </x:c>
      <x:c r="H408" s="42" t="str">
        <x:v>3</x:v>
      </x:c>
      <x:c r="I408" s="42" t="str">
        <x:v>Maritime</x:v>
      </x:c>
      <x:c r="J408" s="42" t="str">
        <x:v>Straits of Malacca &amp; Singapore</x:v>
      </x:c>
      <x:c r="K408" s="42" t="str"/>
      <x:c r="L408" s="42" t="str">
        <x:v>Approximately 2.1 nm off Palau Cula (Indonesia), in the eastbound lane of the TSS</x:v>
      </x:c>
      <x:c r="M408" s="42" t="str">
        <x:v>1.075333</x:v>
      </x:c>
      <x:c r="N408" s="42" t="str">
        <x:v>103.708</x:v>
      </x:c>
      <x:c r="O408" s="42" t="str">
        <x:v>Andreas Petrakis</x:v>
      </x:c>
      <x:c r="P408" s="42" t="str"/>
      <x:c r="Q408" s="42" t="str">
        <x:v>BULK CARRIER</x:v>
      </x:c>
      <x:c r="R408" s="42" t="str"/>
      <x:c r="S408" s="42" t="str">
        <x:v>While underway, the duty engineer sighted one perpetrator armed with a gun-like object in the engine room. The master raised the general alarm and a search was conducted, with no further sighting of the perpetrators. The crew was not injured. Nothing was stolen. The incident was reported to Singapore VTIS. Safety broadcast on anti-piracy watch was initiated to warn all vessels to maintain a vigilant watch at all times in the SS. The RSN’s MSTF and Singapore PCG were notified of the incident. The Singapore PCG boarded the ship at anchorage to conduct a search with no perpetrators found. Information of the incident was shared with the Indonesian authorities.</x:v>
      </x:c>
      <x:c r="T408" s="42" t="str"/>
      <x:c r="U408" s="42" t="str"/>
      <x:c r="V408" s="42" t="str"/>
      <x:c r="W408" s="42" t="str">
        <x:v>While Sailing</x:v>
      </x:c>
      <x:c r="X408" s="42" t="str"/>
      <x:c r="Y408" s="42" t="str"/>
      <x:c r="Z408" s="42" t="str"/>
      <x:c r="AA408" s="42" t="str">
        <x:v>https://www.recaap.org/alerts</x:v>
      </x:c>
      <x:c r="AB408" s="42" t="str">
        <x:v>Needs canonical event resolution</x:v>
      </x:c>
      <x:c r="AC408" s="42" t="str">
        <x:v>Flag: MALTA</x:v>
      </x:c>
    </x:row>
    <x:row r="409">
      <x:c r="A409" s="42" t="str">
        <x:v>OBS_000408</x:v>
      </x:c>
      <x:c r="B409" s="42" t="str"/>
      <x:c r="C409" s="42" t="str">
        <x:v>recaap_incidents_2024_2026</x:v>
      </x:c>
      <x:c r="D409" s="42" t="str">
        <x:v>2025-91</x:v>
      </x:c>
      <x:c r="E409" s="42" t="str">
        <x:v>2025-03-30</x:v>
      </x:c>
      <x:c r="F409" s="42" t="str">
        <x:v>Maritime Crime</x:v>
      </x:c>
      <x:c r="G409" s="42" t="str">
        <x:v>Robbery/ Theft</x:v>
      </x:c>
      <x:c r="H409" s="42" t="str">
        <x:v>4</x:v>
      </x:c>
      <x:c r="I409" s="42" t="str">
        <x:v>Maritime</x:v>
      </x:c>
      <x:c r="J409" s="42" t="str">
        <x:v>Straits of Malacca &amp; Singapore</x:v>
      </x:c>
      <x:c r="K409" s="42" t="str"/>
      <x:c r="L409" s="42" t="str">
        <x:v>Approximately 2.3 nm off Helen Mar Reef (Indonesia), in the eastbound lane of the TSS</x:v>
      </x:c>
      <x:c r="M409" s="42" t="str">
        <x:v>1.158</x:v>
      </x:c>
      <x:c r="N409" s="42" t="str">
        <x:v>103.784333</x:v>
      </x:c>
      <x:c r="O409" s="42" t="str">
        <x:v>Junior</x:v>
      </x:c>
      <x:c r="P409" s="42" t="str"/>
      <x:c r="Q409" s="42" t="str">
        <x:v>BULK CARRIER</x:v>
      </x:c>
      <x:c r="R409" s="42" t="str"/>
      <x:c r="S409" s="42" t="str">
        <x:v>While underway, one perpetrator was sighted at the starboard quarter of the ship. The master raised the general alarm and a search was conducted. The perpetrator then jumped overboard. The crew was not injured. Nothing was stolen. The incident was reported to Singapore VTIS. Safety broadcast on anti-piracy watch was initiated to warn all vessels to maintain a vigilant watch at all times in the SS. The RSN’s MSTF and Singapore PCG were notified of the incident Information of the incident was shared with the Indonesian authorities.</x:v>
      </x:c>
      <x:c r="T409" s="42" t="str"/>
      <x:c r="U409" s="42" t="str"/>
      <x:c r="V409" s="42" t="str"/>
      <x:c r="W409" s="42" t="str">
        <x:v>While Sailing</x:v>
      </x:c>
      <x:c r="X409" s="42" t="str"/>
      <x:c r="Y409" s="42" t="str"/>
      <x:c r="Z409" s="42" t="str"/>
      <x:c r="AA409" s="42" t="str">
        <x:v>https://www.recaap.org/alerts</x:v>
      </x:c>
      <x:c r="AB409" s="42" t="str">
        <x:v>Needs canonical event resolution</x:v>
      </x:c>
      <x:c r="AC409" s="42" t="str">
        <x:v>Flag: LIBERIA</x:v>
      </x:c>
    </x:row>
    <x:row r="410">
      <x:c r="A410" s="42" t="str">
        <x:v>OBS_000409</x:v>
      </x:c>
      <x:c r="B410" s="42" t="str"/>
      <x:c r="C410" s="42" t="str">
        <x:v>recaap_incidents_2024_2026</x:v>
      </x:c>
      <x:c r="D410" s="42" t="str">
        <x:v>2025-90</x:v>
      </x:c>
      <x:c r="E410" s="42" t="str">
        <x:v>2025-03-30</x:v>
      </x:c>
      <x:c r="F410" s="42" t="str">
        <x:v>Maritime Crime</x:v>
      </x:c>
      <x:c r="G410" s="42" t="str">
        <x:v>Robbery/ Theft</x:v>
      </x:c>
      <x:c r="H410" s="42" t="str">
        <x:v>4</x:v>
      </x:c>
      <x:c r="I410" s="42" t="str">
        <x:v>Maritime</x:v>
      </x:c>
      <x:c r="J410" s="42" t="str">
        <x:v>Straits of Malacca &amp; Singapore</x:v>
      </x:c>
      <x:c r="K410" s="42" t="str"/>
      <x:c r="L410" s="42" t="str">
        <x:v>Near Takong Kecil Lighthouse (Indonesia), in the eastbound lane of the TSS</x:v>
      </x:c>
      <x:c r="M410" s="42" t="str">
        <x:v>1.089667</x:v>
      </x:c>
      <x:c r="N410" s="42" t="str">
        <x:v>103.7255</x:v>
      </x:c>
      <x:c r="O410" s="42" t="str">
        <x:v>Kota Halus</x:v>
      </x:c>
      <x:c r="P410" s="42" t="str"/>
      <x:c r="Q410" s="42" t="str">
        <x:v>CONTAINER SHIP</x:v>
      </x:c>
      <x:c r="R410" s="42" t="str"/>
      <x:c r="S410" s="42" t="str">
        <x:v>While underway, three perpetrators were sighted on the port poop deck moving towards the aft station. Upon being spotted, the perpetrators jumped overboard and escaped in a small boat. The master raised the general alarm and a search was conducted. During the search, it was discovered that the air-conditioning room was accessed and a portable welding machine was missing. The crew was not injured. The incident was reported to Singapore VTIS. Safety broadcast on anti-piracy watch was initiated to warn all vessels to maintain a vigilant watch. The Singapore PCG boarded the ship to conduct a search with no perpetrators found.</x:v>
      </x:c>
      <x:c r="T410" s="42" t="str"/>
      <x:c r="U410" s="42" t="str"/>
      <x:c r="V410" s="42" t="str"/>
      <x:c r="W410" s="42" t="str">
        <x:v>While Sailing</x:v>
      </x:c>
      <x:c r="X410" s="42" t="str"/>
      <x:c r="Y410" s="42" t="str"/>
      <x:c r="Z410" s="42" t="str"/>
      <x:c r="AA410" s="42" t="str">
        <x:v>https://www.recaap.org/alerts</x:v>
      </x:c>
      <x:c r="AB410" s="42" t="str">
        <x:v>Needs canonical event resolution</x:v>
      </x:c>
      <x:c r="AC410" s="42" t="str">
        <x:v>Flag: SINGAPORE</x:v>
      </x:c>
    </x:row>
    <x:row r="411">
      <x:c r="A411" s="42" t="str">
        <x:v>OBS_000410</x:v>
      </x:c>
      <x:c r="B411" s="42" t="str"/>
      <x:c r="C411" s="42" t="str">
        <x:v>recaap_incidents_2024_2026</x:v>
      </x:c>
      <x:c r="D411" s="42" t="str">
        <x:v>2025-94</x:v>
      </x:c>
      <x:c r="E411" s="42" t="str">
        <x:v>2025-03-29</x:v>
      </x:c>
      <x:c r="F411" s="42" t="str">
        <x:v>Maritime Crime</x:v>
      </x:c>
      <x:c r="G411" s="42" t="str">
        <x:v>Robbery/ Theft</x:v>
      </x:c>
      <x:c r="H411" s="42" t="str">
        <x:v>4</x:v>
      </x:c>
      <x:c r="I411" s="42" t="str">
        <x:v>Maritime</x:v>
      </x:c>
      <x:c r="J411" s="42" t="str">
        <x:v>Straits of Malacca &amp; Singapore</x:v>
      </x:c>
      <x:c r="K411" s="42" t="str"/>
      <x:c r="L411" s="42" t="str">
        <x:v>Approximately 1.5 nm off Helen Mar Reef (Indonesia), in the eastbound lane of the TSS</x:v>
      </x:c>
      <x:c r="M411" s="42" t="str">
        <x:v>1.121667</x:v>
      </x:c>
      <x:c r="N411" s="42" t="str">
        <x:v>103.748667</x:v>
      </x:c>
      <x:c r="O411" s="42" t="str">
        <x:v>Agneta Pallas III</x:v>
      </x:c>
      <x:c r="P411" s="42" t="str"/>
      <x:c r="Q411" s="42" t="str">
        <x:v>TANKER</x:v>
      </x:c>
      <x:c r="R411" s="42" t="str"/>
      <x:c r="S411" s="42" t="str">
        <x:v>While underway, five perpetrators were sighted at the starboard quarter of the ship stern area. The master raised the general alarm and conducted a search. No perpetrators were found onboard. The crew was not injured. Nothing was stolen. The incident was reported to Singapore VTIS. Safety broadcast on anti-piracy watch was initiated to warn all vessels to maintain a vigilant watch at all times in the SS. The RSN’s MSTF and Singapore PCG were notified of the incident. Information of the incident was shared with the Indonesian authorities.</x:v>
      </x:c>
      <x:c r="T411" s="42" t="str"/>
      <x:c r="U411" s="42" t="str"/>
      <x:c r="V411" s="42" t="str"/>
      <x:c r="W411" s="42" t="str">
        <x:v>While Sailing</x:v>
      </x:c>
      <x:c r="X411" s="42" t="str"/>
      <x:c r="Y411" s="42" t="str"/>
      <x:c r="Z411" s="42" t="str"/>
      <x:c r="AA411" s="42" t="str">
        <x:v>https://www.recaap.org/alerts</x:v>
      </x:c>
      <x:c r="AB411" s="42" t="str">
        <x:v>Needs canonical event resolution</x:v>
      </x:c>
      <x:c r="AC411" s="42" t="str">
        <x:v>Flag: LIBERIA</x:v>
      </x:c>
    </x:row>
    <x:row r="412">
      <x:c r="A412" s="42" t="str">
        <x:v>OBS_000411</x:v>
      </x:c>
      <x:c r="B412" s="42" t="str"/>
      <x:c r="C412" s="42" t="str">
        <x:v>recaap_incidents_2024_2026</x:v>
      </x:c>
      <x:c r="D412" s="42" t="str">
        <x:v>2025-93</x:v>
      </x:c>
      <x:c r="E412" s="42" t="str">
        <x:v>2025-03-29</x:v>
      </x:c>
      <x:c r="F412" s="42" t="str">
        <x:v>Maritime Crime</x:v>
      </x:c>
      <x:c r="G412" s="42" t="str">
        <x:v>Robbery/ Theft</x:v>
      </x:c>
      <x:c r="H412" s="42" t="str">
        <x:v>4</x:v>
      </x:c>
      <x:c r="I412" s="42" t="str">
        <x:v>Maritime</x:v>
      </x:c>
      <x:c r="J412" s="42" t="str">
        <x:v>Straits of Malacca &amp; Singapore</x:v>
      </x:c>
      <x:c r="K412" s="42" t="str"/>
      <x:c r="L412" s="42" t="str">
        <x:v>Approximately 1 nm off Pulau Takong Kecil (Indonesia), in the eastbound lane of the TSS</x:v>
      </x:c>
      <x:c r="M412" s="42" t="str">
        <x:v>1.100333</x:v>
      </x:c>
      <x:c r="N412" s="42" t="str">
        <x:v>103.735</x:v>
      </x:c>
      <x:c r="O412" s="42" t="str">
        <x:v>Wan Hai 327</x:v>
      </x:c>
      <x:c r="P412" s="42" t="str"/>
      <x:c r="Q412" s="42" t="str">
        <x:v>CONTAINER SHIP</x:v>
      </x:c>
      <x:c r="R412" s="42" t="str"/>
      <x:c r="S412" s="42" t="str">
        <x:v>While underway, four perpetrators were sighted at the vessel stern area and a small boat was spotted on the starboard quarter of the ship. The master immediately raised the general alarm and ordered a thorough search on board, with no further sighting of the perpetrators. Nothing was stolen and the crew was not injured. The incident was reported to Singapore VTIS. Safety broadcast on anti-piracy watch was initiated to warn all vessels to maintain a vigilant watch at all times in the SS. The RSN’s MSTF and Singapore PCG were notified of the incident.</x:v>
      </x:c>
      <x:c r="T412" s="42" t="str"/>
      <x:c r="U412" s="42" t="str"/>
      <x:c r="V412" s="42" t="str"/>
      <x:c r="W412" s="42" t="str">
        <x:v>While Sailing</x:v>
      </x:c>
      <x:c r="X412" s="42" t="str"/>
      <x:c r="Y412" s="42" t="str"/>
      <x:c r="Z412" s="42" t="str"/>
      <x:c r="AA412" s="42" t="str">
        <x:v>https://www.recaap.org/alerts</x:v>
      </x:c>
      <x:c r="AB412" s="42" t="str">
        <x:v>Needs canonical event resolution</x:v>
      </x:c>
      <x:c r="AC412" s="42" t="str">
        <x:v>Flag: SINGAPORE</x:v>
      </x:c>
    </x:row>
    <x:row r="413">
      <x:c r="A413" s="42" t="str">
        <x:v>OBS_000412</x:v>
      </x:c>
      <x:c r="B413" s="42" t="str"/>
      <x:c r="C413" s="42" t="str">
        <x:v>recaap_incidents_2024_2026</x:v>
      </x:c>
      <x:c r="D413" s="42" t="str">
        <x:v>2025-95</x:v>
      </x:c>
      <x:c r="E413" s="42" t="str">
        <x:v>2025-03-28</x:v>
      </x:c>
      <x:c r="F413" s="42" t="str">
        <x:v>Maritime Crime</x:v>
      </x:c>
      <x:c r="G413" s="42" t="str">
        <x:v>Robbery/ Theft</x:v>
      </x:c>
      <x:c r="H413" s="42" t="str">
        <x:v>4</x:v>
      </x:c>
      <x:c r="I413" s="42" t="str">
        <x:v>Maritime</x:v>
      </x:c>
      <x:c r="J413" s="42" t="str">
        <x:v>Straits of Malacca &amp; Singapore</x:v>
      </x:c>
      <x:c r="K413" s="42" t="str"/>
      <x:c r="L413" s="42" t="str">
        <x:v>Approximately 1.55 nm off Karang Banteng (Indonesia), in the eastbound lane of the TSS</x:v>
      </x:c>
      <x:c r="M413" s="42" t="str">
        <x:v>1.1575</x:v>
      </x:c>
      <x:c r="N413" s="42" t="str">
        <x:v>103.786333</x:v>
      </x:c>
      <x:c r="O413" s="42" t="str">
        <x:v>Selatan Damai</x:v>
      </x:c>
      <x:c r="P413" s="42" t="str"/>
      <x:c r="Q413" s="42" t="str">
        <x:v>CONTAINER SHIP</x:v>
      </x:c>
      <x:c r="R413" s="42" t="str"/>
      <x:c r="S413" s="42" t="str">
        <x:v>While underway, four perpetrators were sighted going to the engine room from portside main deck. The master raised the alarm and crew mustered to conduct a search. The perpetrators escaped from the ship upon raising of the alarm. Some engine spares were stolen. The crew was not injured. The incident was reported to Singapore POCC by master via email upon arrival to terminal. Safety broadcast on anti-piracy watch was initiated to warn all vessels to maintain a vigilant watch at all times in the SS. The RSN’s MSTF and Singapore PCG were notified of the incident. Information of the incident was shared with the Indonesian authorities. The Singapore PCG boarded the ship for investigation and conducted a search onboard, with no perpetrators found.</x:v>
      </x:c>
      <x:c r="T413" s="42" t="str"/>
      <x:c r="U413" s="42" t="str"/>
      <x:c r="V413" s="42" t="str"/>
      <x:c r="W413" s="42" t="str">
        <x:v>While Sailing</x:v>
      </x:c>
      <x:c r="X413" s="42" t="str"/>
      <x:c r="Y413" s="42" t="str"/>
      <x:c r="Z413" s="42" t="str"/>
      <x:c r="AA413" s="42" t="str">
        <x:v>https://www.recaap.org/alerts</x:v>
      </x:c>
      <x:c r="AB413" s="42" t="str">
        <x:v>Needs canonical event resolution</x:v>
      </x:c>
      <x:c r="AC413" s="42" t="str">
        <x:v>Flag: INDONESIA</x:v>
      </x:c>
    </x:row>
    <x:row r="414">
      <x:c r="A414" s="42" t="str">
        <x:v>OBS_000413</x:v>
      </x:c>
      <x:c r="B414" s="42" t="str"/>
      <x:c r="C414" s="42" t="str">
        <x:v>recaap_incidents_2024_2026</x:v>
      </x:c>
      <x:c r="D414" s="42" t="str">
        <x:v>2025-96</x:v>
      </x:c>
      <x:c r="E414" s="42" t="str">
        <x:v>2025-03-26</x:v>
      </x:c>
      <x:c r="F414" s="42" t="str">
        <x:v>Maritime Crime</x:v>
      </x:c>
      <x:c r="G414" s="42" t="str">
        <x:v>Attempted</x:v>
      </x:c>
      <x:c r="H414" s="42" t="str">
        <x:v>NA</x:v>
      </x:c>
      <x:c r="I414" s="42" t="str">
        <x:v>Maritime</x:v>
      </x:c>
      <x:c r="J414" s="42" t="str">
        <x:v>Straits of Malacca &amp; Singapore</x:v>
      </x:c>
      <x:c r="K414" s="42" t="str"/>
      <x:c r="L414" s="42" t="str">
        <x:v>Approximately 1.4 nm from Helen Mar Reef (Indonesia), in the eastbound lane of the TSS</x:v>
      </x:c>
      <x:c r="M414" s="42" t="str">
        <x:v>1.145</x:v>
      </x:c>
      <x:c r="N414" s="42" t="str">
        <x:v>103.771667</x:v>
      </x:c>
      <x:c r="O414" s="42" t="str">
        <x:v>Su May</x:v>
      </x:c>
      <x:c r="P414" s="42" t="str"/>
      <x:c r="Q414" s="42" t="str">
        <x:v>BULK CARRIER</x:v>
      </x:c>
      <x:c r="R414" s="42" t="str"/>
      <x:c r="S414" s="42" t="str">
        <x:v>While underway, four perpetrators attempted to board the ship from the port quarter via a wooden boat. The alarm was raised and search-light was shined at the perpetrators, who then escaped upon sighting. Crew mustered and a search was conducted onboard. Nothing was stolen except two-metre section of razor wire on the port quarter had been cut. The crew was not injured. The incident was reported to Singapore VTIS. Safety broadcast on anti-piracy watch was initiated to warn all vessels to maintain a vigilant watch at all times in the SS. The RSN’s MSTF and Singapore PCG were notified of the incident. Information of the incident was shared with the Indonesian authorities.</x:v>
      </x:c>
      <x:c r="T414" s="42" t="str"/>
      <x:c r="U414" s="42" t="str"/>
      <x:c r="V414" s="42" t="str"/>
      <x:c r="W414" s="42" t="str">
        <x:v>While Sailing</x:v>
      </x:c>
      <x:c r="X414" s="42" t="str"/>
      <x:c r="Y414" s="42" t="str"/>
      <x:c r="Z414" s="42" t="str"/>
      <x:c r="AA414" s="42" t="str">
        <x:v>https://www.recaap.org/alerts</x:v>
      </x:c>
      <x:c r="AB414" s="42" t="str">
        <x:v>Needs canonical event resolution</x:v>
      </x:c>
      <x:c r="AC414" s="42" t="str">
        <x:v>Flag: LIBERIA</x:v>
      </x:c>
    </x:row>
    <x:row r="415">
      <x:c r="A415" s="42" t="str">
        <x:v>OBS_000414</x:v>
      </x:c>
      <x:c r="B415" s="42" t="str"/>
      <x:c r="C415" s="42" t="str">
        <x:v>recaap_incidents_2024_2026</x:v>
      </x:c>
      <x:c r="D415" s="42" t="str">
        <x:v>2025-98</x:v>
      </x:c>
      <x:c r="E415" s="42" t="str">
        <x:v>2025-03-23</x:v>
      </x:c>
      <x:c r="F415" s="42" t="str">
        <x:v>Maritime Crime</x:v>
      </x:c>
      <x:c r="G415" s="42" t="str">
        <x:v>Robbery/ Theft</x:v>
      </x:c>
      <x:c r="H415" s="42" t="str">
        <x:v>3</x:v>
      </x:c>
      <x:c r="I415" s="42" t="str">
        <x:v>Maritime</x:v>
      </x:c>
      <x:c r="J415" s="42" t="str">
        <x:v>Straits of Malacca &amp; Singapore</x:v>
      </x:c>
      <x:c r="K415" s="42" t="str"/>
      <x:c r="L415" s="42" t="str">
        <x:v>Approximately 1 nm from Helen Mar Reef (Indonesia), in the eastbound lane of the TSS</x:v>
      </x:c>
      <x:c r="M415" s="42" t="str">
        <x:v>1.1405</x:v>
      </x:c>
      <x:c r="N415" s="42" t="str">
        <x:v>103.772833</x:v>
      </x:c>
      <x:c r="O415" s="42" t="str">
        <x:v>Fatema Jahan I</x:v>
      </x:c>
      <x:c r="P415" s="42" t="str"/>
      <x:c r="Q415" s="42" t="str">
        <x:v>BULK CARRIER</x:v>
      </x:c>
      <x:c r="R415" s="42" t="str"/>
      <x:c r="S415" s="42" t="str">
        <x:v>While underway, the master reported to Singapore VTIS that two perpetrators carrying gun-like objects were sighted in the engine room of the ship. The emergency general alarm was raised and the ship crew conducted a search for the perpetrators, with no perpetrators found onboard. Nothing was stolen and the crew was not injured. Safety broadcast on anti-piracy watch was initiated to warn all vessels to maintain a vigilant watch at all times in the SS. The RSN’s MSTF and Singapore PCG were notified of the incident. The Singapore PCG boarded the ship at anchorage and confirmed that no perpetrators were found and nothing was stolen. Information of the incident was shared with the Indonesian authorities.</x:v>
      </x:c>
      <x:c r="T415" s="42" t="str"/>
      <x:c r="U415" s="42" t="str"/>
      <x:c r="V415" s="42" t="str"/>
      <x:c r="W415" s="42" t="str">
        <x:v>While Sailing</x:v>
      </x:c>
      <x:c r="X415" s="42" t="str"/>
      <x:c r="Y415" s="42" t="str"/>
      <x:c r="Z415" s="42" t="str"/>
      <x:c r="AA415" s="42" t="str">
        <x:v>https://www.recaap.org/alerts</x:v>
      </x:c>
      <x:c r="AB415" s="42" t="str">
        <x:v>Needs canonical event resolution</x:v>
      </x:c>
      <x:c r="AC415" s="42" t="str">
        <x:v>Flag: BANGLADESH</x:v>
      </x:c>
    </x:row>
    <x:row r="416">
      <x:c r="A416" s="42" t="str">
        <x:v>OBS_000415</x:v>
      </x:c>
      <x:c r="B416" s="42" t="str"/>
      <x:c r="C416" s="42" t="str">
        <x:v>recaap_incidents_2024_2026</x:v>
      </x:c>
      <x:c r="D416" s="42" t="str">
        <x:v>2025-97</x:v>
      </x:c>
      <x:c r="E416" s="42" t="str">
        <x:v>2025-03-23</x:v>
      </x:c>
      <x:c r="F416" s="42" t="str">
        <x:v>Maritime Crime</x:v>
      </x:c>
      <x:c r="G416" s="42" t="str">
        <x:v>Robbery/ Theft</x:v>
      </x:c>
      <x:c r="H416" s="42" t="str">
        <x:v>4</x:v>
      </x:c>
      <x:c r="I416" s="42" t="str">
        <x:v>Maritime</x:v>
      </x:c>
      <x:c r="J416" s="42" t="str">
        <x:v>South China Sea</x:v>
      </x:c>
      <x:c r="K416" s="42" t="str"/>
      <x:c r="L416" s="42" t="str">
        <x:v>At the approaches to Singapore Strait</x:v>
      </x:c>
      <x:c r="M416" s="42" t="str">
        <x:v>1.415</x:v>
      </x:c>
      <x:c r="N416" s="42" t="str">
        <x:v>104.519333</x:v>
      </x:c>
      <x:c r="O416" s="42" t="str">
        <x:v>Jin Hwa 43 &amp; Jin Hwa 44</x:v>
      </x:c>
      <x:c r="P416" s="42" t="str"/>
      <x:c r="Q416" s="42" t="str">
        <x:v>TUG BOAT &amp; BARGE</x:v>
      </x:c>
      <x:c r="R416" s="42" t="str"/>
      <x:c r="S416" s="42" t="str">
        <x:v>While underway, the master reported to Singapore POCC that three perpetrators had boarded the barge from a small boat. After about 20 min, the perpetrators were seen leaving the barge. The crew was unable to determine any loss of property and the crew was not injured. Safety broadcast on anti-piracy watch was initiated to warn all vessels to maintain a vigilant watch at all times in the SS. The RSN’s MSTF and Singapore PCG were notified of the incident. Information of the incident was shared with the Indonesian authority.</x:v>
      </x:c>
      <x:c r="T416" s="42" t="str"/>
      <x:c r="U416" s="42" t="str"/>
      <x:c r="V416" s="42" t="str"/>
      <x:c r="W416" s="42" t="str">
        <x:v>While Sailing</x:v>
      </x:c>
      <x:c r="X416" s="42" t="str"/>
      <x:c r="Y416" s="42" t="str"/>
      <x:c r="Z416" s="42" t="str"/>
      <x:c r="AA416" s="42" t="str">
        <x:v>https://www.recaap.org/alerts</x:v>
      </x:c>
      <x:c r="AB416" s="42" t="str">
        <x:v>Needs canonical event resolution</x:v>
      </x:c>
      <x:c r="AC416" s="42" t="str">
        <x:v>Flag: MALAYSIA</x:v>
      </x:c>
    </x:row>
    <x:row r="417">
      <x:c r="A417" s="42" t="str">
        <x:v>OBS_000416</x:v>
      </x:c>
      <x:c r="B417" s="42" t="str"/>
      <x:c r="C417" s="42" t="str">
        <x:v>recaap_incidents_2024_2026</x:v>
      </x:c>
      <x:c r="D417" s="42" t="str">
        <x:v>2025-100</x:v>
      </x:c>
      <x:c r="E417" s="42" t="str">
        <x:v>2025-03-22</x:v>
      </x:c>
      <x:c r="F417" s="42" t="str">
        <x:v>Maritime Crime</x:v>
      </x:c>
      <x:c r="G417" s="42" t="str">
        <x:v>Robbery/ Theft</x:v>
      </x:c>
      <x:c r="H417" s="42" t="str">
        <x:v>4</x:v>
      </x:c>
      <x:c r="I417" s="42" t="str">
        <x:v>Maritime</x:v>
      </x:c>
      <x:c r="J417" s="42" t="str">
        <x:v>India (Ports/Anchorages)</x:v>
      </x:c>
      <x:c r="K417" s="42" t="str"/>
      <x:c r="L417" s="42" t="str">
        <x:v>Kandla anchorage, India</x:v>
      </x:c>
      <x:c r="M417" s="42" t="str">
        <x:v>22.762833</x:v>
      </x:c>
      <x:c r="N417" s="42" t="str">
        <x:v>70.041833</x:v>
      </x:c>
      <x:c r="O417" s="42" t="str">
        <x:v>Xin Long Yun 58</x:v>
      </x:c>
      <x:c r="P417" s="42" t="str"/>
      <x:c r="Q417" s="42" t="str">
        <x:v>CONTAINER SHIP</x:v>
      </x:c>
      <x:c r="R417" s="42" t="str"/>
      <x:c r="S417" s="42" t="str">
        <x:v>At Anchor While at anchor, six to seven perpetrators boarded the ship using a ladder. A few lashing gears were stolen. The crew was not injured. The local agent reported the incident to the Marine Police who subsequently boarded the ship. The Kandla Port Authority and ships in the area have been advised to enhance vigil and to adhere to the standard norms of security/SOPs especially during the night/dark hours to mitigate such incidents from occurring. The Indian Coast Guard ships were also alerted about the incident.</x:v>
      </x:c>
      <x:c r="T417" s="42" t="str"/>
      <x:c r="U417" s="42" t="str"/>
      <x:c r="V417" s="42" t="str"/>
      <x:c r="W417" s="42" t="str"/>
      <x:c r="X417" s="42" t="str"/>
      <x:c r="Y417" s="42" t="str"/>
      <x:c r="Z417" s="42" t="str"/>
      <x:c r="AA417" s="42" t="str">
        <x:v>https://www.recaap.org/alerts</x:v>
      </x:c>
      <x:c r="AB417" s="42" t="str">
        <x:v>Needs canonical event resolution</x:v>
      </x:c>
      <x:c r="AC417" s="42" t="str">
        <x:v>Flag: PANAMA</x:v>
      </x:c>
    </x:row>
    <x:row r="418">
      <x:c r="A418" s="42" t="str">
        <x:v>OBS_000417</x:v>
      </x:c>
      <x:c r="B418" s="42" t="str"/>
      <x:c r="C418" s="42" t="str">
        <x:v>recaap_incidents_2024_2026</x:v>
      </x:c>
      <x:c r="D418" s="42" t="str">
        <x:v>2025-99</x:v>
      </x:c>
      <x:c r="E418" s="42" t="str">
        <x:v>2025-03-22</x:v>
      </x:c>
      <x:c r="F418" s="42" t="str">
        <x:v>Maritime Crime</x:v>
      </x:c>
      <x:c r="G418" s="42" t="str">
        <x:v>Attempted</x:v>
      </x:c>
      <x:c r="H418" s="42" t="str">
        <x:v>NA</x:v>
      </x:c>
      <x:c r="I418" s="42" t="str">
        <x:v>Maritime</x:v>
      </x:c>
      <x:c r="J418" s="42" t="str">
        <x:v>Indonesia (Ports/Anchorages)</x:v>
      </x:c>
      <x:c r="K418" s="42" t="str"/>
      <x:c r="L418" s="42" t="str">
        <x:v>Tarahan anchorage, Indonesia</x:v>
      </x:c>
      <x:c r="M418" s="42" t="str">
        <x:v>-5.555667</x:v>
      </x:c>
      <x:c r="N418" s="42" t="str">
        <x:v>105.3135</x:v>
      </x:c>
      <x:c r="O418" s="42" t="str">
        <x:v>Name withheld</x:v>
      </x:c>
      <x:c r="P418" s="42" t="str"/>
      <x:c r="Q418" s="42" t="str">
        <x:v>CHEMICAL/ OIL PRODUCT TANKER</x:v>
      </x:c>
      <x:c r="R418" s="42" t="str"/>
      <x:c r="S418" s="42" t="str">
        <x:v>At Anchor While at anchor, four perpetrators approached the ship. The duty crew noticed a perpetrator trying to board the ship, and raised the alarm, which resulted in the perpetrator abandoning the attempted boarding. The incident was reported to VTS.</x:v>
      </x:c>
      <x:c r="T418" s="42" t="str"/>
      <x:c r="U418" s="42" t="str"/>
      <x:c r="V418" s="42" t="str"/>
      <x:c r="W418" s="42" t="str"/>
      <x:c r="X418" s="42" t="str"/>
      <x:c r="Y418" s="42" t="str"/>
      <x:c r="Z418" s="42" t="str"/>
      <x:c r="AA418" s="42" t="str">
        <x:v>https://www.recaap.org/alerts</x:v>
      </x:c>
      <x:c r="AB418" s="42" t="str">
        <x:v>Needs canonical event resolution</x:v>
      </x:c>
      <x:c r="AC418" s="42" t="str">
        <x:v>Flag: MARSHALL ISLANDS</x:v>
      </x:c>
    </x:row>
    <x:row r="419">
      <x:c r="A419" s="42" t="str">
        <x:v>OBS_000418</x:v>
      </x:c>
      <x:c r="B419" s="42" t="str"/>
      <x:c r="C419" s="42" t="str">
        <x:v>recaap_incidents_2024_2026</x:v>
      </x:c>
      <x:c r="D419" s="42" t="str">
        <x:v>2025-101</x:v>
      </x:c>
      <x:c r="E419" s="42" t="str">
        <x:v>2025-03-19</x:v>
      </x:c>
      <x:c r="F419" s="42" t="str">
        <x:v>Maritime Crime</x:v>
      </x:c>
      <x:c r="G419" s="42" t="str">
        <x:v>Robbery/ Theft</x:v>
      </x:c>
      <x:c r="H419" s="42" t="str">
        <x:v>3</x:v>
      </x:c>
      <x:c r="I419" s="42" t="str">
        <x:v>Maritime</x:v>
      </x:c>
      <x:c r="J419" s="42" t="str">
        <x:v>Straits of Malacca &amp; Singapore</x:v>
      </x:c>
      <x:c r="K419" s="42" t="str"/>
      <x:c r="L419" s="42" t="str">
        <x:v>Approximately 0.8 nm off Takong Kecil Lighthouse (Indonesia), in the eastbound lane of the TSS</x:v>
      </x:c>
      <x:c r="M419" s="42" t="str">
        <x:v>1.084667</x:v>
      </x:c>
      <x:c r="N419" s="42" t="str">
        <x:v>103.722167</x:v>
      </x:c>
      <x:c r="O419" s="42" t="str">
        <x:v>CNC Leopard</x:v>
      </x:c>
      <x:c r="P419" s="42" t="str"/>
      <x:c r="Q419" s="42" t="str">
        <x:v>CONTAINER SHIP</x:v>
      </x:c>
      <x:c r="R419" s="42" t="str"/>
      <x:c r="S419" s="42" t="str">
        <x:v>While underway, the ship’s anti-piracy watchman noticed two perpetrators armed with long knives on the rescue boat deck at starboard side. A perpetrator was trying to break the security grating lock of the external stairway, and the other perpetrator was climbing up by the water down spout. The watchman immediately notified the master, who raised the general alarm, instructed the crew to switch on all deck lights and inform the engine room. The two perpetrators escaped to the port side of the ship, and were later spotted escaping in a small wooden boat, with a total of about five perpetrators onboard. The crew conducted a check and found that the padlocks of the deck store, starboard side external stairway grating, steering gear room skylight access cover and paint locker were broken. There were also traces of the perpetrators’ attempt to enter the upper deck and poop deck entrance doors. Some work tools and equipment including an electric impact wrench, hand drill, jig saw and ratchet wrench were stolen. The crew was not injured.</x:v>
      </x:c>
      <x:c r="T419" s="42" t="str"/>
      <x:c r="U419" s="42" t="str"/>
      <x:c r="V419" s="42" t="str"/>
      <x:c r="W419" s="42" t="str">
        <x:v>While Sailing</x:v>
      </x:c>
      <x:c r="X419" s="42" t="str"/>
      <x:c r="Y419" s="42" t="str"/>
      <x:c r="Z419" s="42" t="str"/>
      <x:c r="AA419" s="42" t="str">
        <x:v>https://www.recaap.org/alerts</x:v>
      </x:c>
      <x:c r="AB419" s="42" t="str">
        <x:v>Needs canonical event resolution</x:v>
      </x:c>
      <x:c r="AC419" s="42" t="str">
        <x:v>Flag: SINGAPORE</x:v>
      </x:c>
    </x:row>
    <x:row r="420">
      <x:c r="A420" s="42" t="str">
        <x:v>OBS_000419</x:v>
      </x:c>
      <x:c r="B420" s="42" t="str"/>
      <x:c r="C420" s="42" t="str">
        <x:v>recaap_incidents_2024_2026</x:v>
      </x:c>
      <x:c r="D420" s="42" t="str">
        <x:v>2025-102</x:v>
      </x:c>
      <x:c r="E420" s="42" t="str">
        <x:v>2025-03-17</x:v>
      </x:c>
      <x:c r="F420" s="42" t="str">
        <x:v>Maritime Crime</x:v>
      </x:c>
      <x:c r="G420" s="42" t="str">
        <x:v>Robbery/ Theft</x:v>
      </x:c>
      <x:c r="H420" s="42" t="str">
        <x:v>4</x:v>
      </x:c>
      <x:c r="I420" s="42" t="str">
        <x:v>Maritime</x:v>
      </x:c>
      <x:c r="J420" s="42" t="str">
        <x:v>Straits of Malacca &amp; Singapore</x:v>
      </x:c>
      <x:c r="K420" s="42" t="str"/>
      <x:c r="L420" s="42" t="str">
        <x:v>Approximately 5 nm off Tanjung Piai (Malaysia), in the precautionary area of the TSS</x:v>
      </x:c>
      <x:c r="M420" s="42" t="str">
        <x:v>1.204667</x:v>
      </x:c>
      <x:c r="N420" s="42" t="str">
        <x:v>103.567167</x:v>
      </x:c>
      <x:c r="O420" s="42" t="str">
        <x:v>Bonspeed 10 &amp; POE 2502</x:v>
      </x:c>
      <x:c r="P420" s="42" t="str"/>
      <x:c r="Q420" s="42" t="str">
        <x:v>TUG BOAT &amp; BARGE</x:v>
      </x:c>
      <x:c r="R420" s="42" t="str"/>
      <x:c r="S420" s="42" t="str">
        <x:v>While underway, three perpetrators from a sampan were spotted boarding the barge. The master raised the general alarm, after which the perpetrators left the barge. A search was conducted and some scrap metal was stolen. The crew was not injured. The incident was reported to Singapore VTIS. Safety broadcast on anti-piracy watch was initiated to warn all vessels to maintain a vigilant watch at all times in the SS. The RSN’s MSTF and Singapore PCG were notified of the incident. Information of the incident was shared with the Malaysian authorities.</x:v>
      </x:c>
      <x:c r="T420" s="42" t="str"/>
      <x:c r="U420" s="42" t="str"/>
      <x:c r="V420" s="42" t="str"/>
      <x:c r="W420" s="42" t="str">
        <x:v>While Sailing</x:v>
      </x:c>
      <x:c r="X420" s="42" t="str"/>
      <x:c r="Y420" s="42" t="str"/>
      <x:c r="Z420" s="42" t="str"/>
      <x:c r="AA420" s="42" t="str">
        <x:v>https://www.recaap.org/alerts</x:v>
      </x:c>
      <x:c r="AB420" s="42" t="str">
        <x:v>Needs canonical event resolution</x:v>
      </x:c>
      <x:c r="AC420" s="42" t="str">
        <x:v>Flag: MALAYSIA</x:v>
      </x:c>
    </x:row>
    <x:row r="421">
      <x:c r="A421" s="42" t="str">
        <x:v>OBS_000420</x:v>
      </x:c>
      <x:c r="B421" s="42" t="str"/>
      <x:c r="C421" s="42" t="str">
        <x:v>recaap_incidents_2024_2026</x:v>
      </x:c>
      <x:c r="D421" s="42" t="str">
        <x:v>2025-104</x:v>
      </x:c>
      <x:c r="E421" s="42" t="str">
        <x:v>2025-03-16</x:v>
      </x:c>
      <x:c r="F421" s="42" t="str">
        <x:v>Maritime Crime</x:v>
      </x:c>
      <x:c r="G421" s="42" t="str">
        <x:v>Robbery/ Theft</x:v>
      </x:c>
      <x:c r="H421" s="42" t="str">
        <x:v>4</x:v>
      </x:c>
      <x:c r="I421" s="42" t="str">
        <x:v>Maritime</x:v>
      </x:c>
      <x:c r="J421" s="42" t="str">
        <x:v>Straits of Malacca &amp; Singapore</x:v>
      </x:c>
      <x:c r="K421" s="42" t="str"/>
      <x:c r="L421" s="42" t="str">
        <x:v>Approximately 3 nm off Tanjung Setapa (Malaysia), in the westbound lane of the TSS</x:v>
      </x:c>
      <x:c r="M421" s="42" t="str">
        <x:v>1.2925</x:v>
      </x:c>
      <x:c r="N421" s="42" t="str">
        <x:v>104.157167</x:v>
      </x:c>
      <x:c r="O421" s="42" t="str">
        <x:v>Danum 70 &amp; Linau 135</x:v>
      </x:c>
      <x:c r="P421" s="42" t="str"/>
      <x:c r="Q421" s="42" t="str">
        <x:v>TUG BOAT &amp; BARGE</x:v>
      </x:c>
      <x:c r="R421" s="42" t="str"/>
      <x:c r="S421" s="42" t="str">
        <x:v>While underway and approaching Pilot Eastern Boarding Ground “A” (PEBGA) pilot station, the master of the tug boat discovered items missing from the vessels. The doors of the containers on the barge were pried open and seals were cut. Missing items included anchor windlass battery, gangway ladder from barge and various items from containers on the barge. All crew were accounted for with no injuries reported. The master immediately reported the incident to his local agent. Safety broadcast on anti-piracy watch was initiated to warn all vessels to maintain a vigilant watch at all times in the SS. The RSN’s MSTF and Singapore PCG were notified of the incident. Information of the incident was shared with the Malaysian authorities. Singapore PCG boarded the ship at anchorage and conducted a search, with no perpetrators found.</x:v>
      </x:c>
      <x:c r="T421" s="42" t="str"/>
      <x:c r="U421" s="42" t="str"/>
      <x:c r="V421" s="42" t="str"/>
      <x:c r="W421" s="42" t="str">
        <x:v>While Sailing</x:v>
      </x:c>
      <x:c r="X421" s="42" t="str"/>
      <x:c r="Y421" s="42" t="str"/>
      <x:c r="Z421" s="42" t="str"/>
      <x:c r="AA421" s="42" t="str">
        <x:v>https://www.recaap.org/alerts</x:v>
      </x:c>
      <x:c r="AB421" s="42" t="str">
        <x:v>Needs canonical event resolution</x:v>
      </x:c>
      <x:c r="AC421" s="42" t="str">
        <x:v>Flag: MALAYSIA</x:v>
      </x:c>
    </x:row>
    <x:row r="422">
      <x:c r="A422" s="42" t="str">
        <x:v>OBS_000421</x:v>
      </x:c>
      <x:c r="B422" s="42" t="str"/>
      <x:c r="C422" s="42" t="str">
        <x:v>recaap_incidents_2024_2026</x:v>
      </x:c>
      <x:c r="D422" s="42" t="str">
        <x:v>2025-103</x:v>
      </x:c>
      <x:c r="E422" s="42" t="str">
        <x:v>2025-03-16</x:v>
      </x:c>
      <x:c r="F422" s="42" t="str">
        <x:v>Maritime Crime</x:v>
      </x:c>
      <x:c r="G422" s="42" t="str">
        <x:v>Robbery/ Theft</x:v>
      </x:c>
      <x:c r="H422" s="42" t="str">
        <x:v>4</x:v>
      </x:c>
      <x:c r="I422" s="42" t="str">
        <x:v>Maritime</x:v>
      </x:c>
      <x:c r="J422" s="42" t="str">
        <x:v>South China Sea</x:v>
      </x:c>
      <x:c r="K422" s="42" t="str"/>
      <x:c r="L422" s="42" t="str">
        <x:v>At the approaches to Singapore Strait</x:v>
      </x:c>
      <x:c r="M422" s="42" t="str">
        <x:v>1.488333</x:v>
      </x:c>
      <x:c r="N422" s="42" t="str">
        <x:v>104.506667</x:v>
      </x:c>
      <x:c r="O422" s="42" t="str">
        <x:v>Bonspeed 10 &amp; POE 2502</x:v>
      </x:c>
      <x:c r="P422" s="42" t="str"/>
      <x:c r="Q422" s="42" t="str">
        <x:v>TUG BOAT &amp; BARGE</x:v>
      </x:c>
      <x:c r="R422" s="42" t="str"/>
      <x:c r="S422" s="42" t="str">
        <x:v>While underway, two sampans were spotted alongside the barge. The master raised the general alarm and conducted a search. No perpetrators were found onboard. The crew was not injured. Some scrap metal was stolen. The incident was reported to Singapore VTIS. Safety broadcast on anti-piracy watch was initiated to warn all vessels to maintain a vigilant watch at all times in the SS. The RSN’s MSTF and Singapore PCG were notified of the incident. Information of the incident was shared with the Malaysian authorities.</x:v>
      </x:c>
      <x:c r="T422" s="42" t="str"/>
      <x:c r="U422" s="42" t="str"/>
      <x:c r="V422" s="42" t="str"/>
      <x:c r="W422" s="42" t="str">
        <x:v>While Sailing</x:v>
      </x:c>
      <x:c r="X422" s="42" t="str"/>
      <x:c r="Y422" s="42" t="str"/>
      <x:c r="Z422" s="42" t="str"/>
      <x:c r="AA422" s="42" t="str">
        <x:v>https://www.recaap.org/alerts</x:v>
      </x:c>
      <x:c r="AB422" s="42" t="str">
        <x:v>Needs canonical event resolution</x:v>
      </x:c>
      <x:c r="AC422" s="42" t="str">
        <x:v>Flag: MALAYSIA</x:v>
      </x:c>
    </x:row>
    <x:row r="423">
      <x:c r="A423" s="42" t="str">
        <x:v>OBS_000422</x:v>
      </x:c>
      <x:c r="B423" s="42" t="str"/>
      <x:c r="C423" s="42" t="str">
        <x:v>recaap_incidents_2024_2026</x:v>
      </x:c>
      <x:c r="D423" s="42" t="str">
        <x:v>2025-105</x:v>
      </x:c>
      <x:c r="E423" s="42" t="str">
        <x:v>2025-03-13</x:v>
      </x:c>
      <x:c r="F423" s="42" t="str">
        <x:v>Maritime Crime</x:v>
      </x:c>
      <x:c r="G423" s="42" t="str">
        <x:v>Robbery/ Theft</x:v>
      </x:c>
      <x:c r="H423" s="42" t="str">
        <x:v>2</x:v>
      </x:c>
      <x:c r="I423" s="42" t="str">
        <x:v>Maritime</x:v>
      </x:c>
      <x:c r="J423" s="42" t="str">
        <x:v>Straits of Malacca &amp; Singapore</x:v>
      </x:c>
      <x:c r="K423" s="42" t="str"/>
      <x:c r="L423" s="42" t="str">
        <x:v>Approximately 4.7 nm off Pulau Cula (Indonesia), In the eastbound lane of the TSS</x:v>
      </x:c>
      <x:c r="M423" s="42" t="str">
        <x:v>1.11</x:v>
      </x:c>
      <x:c r="N423" s="42" t="str">
        <x:v>103.748333</x:v>
      </x:c>
      <x:c r="O423" s="42" t="str">
        <x:v>TS Nansha</x:v>
      </x:c>
      <x:c r="P423" s="42" t="str"/>
      <x:c r="Q423" s="42" t="str">
        <x:v>CONTAINER SHIP</x:v>
      </x:c>
      <x:c r="R423" s="42" t="str"/>
      <x:c r="S423" s="42" t="str">
        <x:v>While underway, four perpetrators armed with guns and knives boarded the ship and entered the engine room. They tied two duty oilers and locked them in the CO2 room, before they escaped with stolen engine spares. The 2nd Engineer later discovered the duty oilers and freed them. The alarm was raised, crew mustered and a search onboard was conducted.</x:v>
      </x:c>
      <x:c r="T423" s="42" t="str"/>
      <x:c r="U423" s="42" t="str"/>
      <x:c r="V423" s="42" t="str"/>
      <x:c r="W423" s="42" t="str">
        <x:v>While Sailing</x:v>
      </x:c>
      <x:c r="X423" s="42" t="str"/>
      <x:c r="Y423" s="42" t="str"/>
      <x:c r="Z423" s="42" t="str"/>
      <x:c r="AA423" s="42" t="str">
        <x:v>https://www.recaap.org/alerts</x:v>
      </x:c>
      <x:c r="AB423" s="42" t="str">
        <x:v>Needs canonical event resolution</x:v>
      </x:c>
      <x:c r="AC423" s="42" t="str">
        <x:v>Flag: MARSHALL ISLANDS</x:v>
      </x:c>
    </x:row>
    <x:row r="424">
      <x:c r="A424" s="42" t="str">
        <x:v>OBS_000423</x:v>
      </x:c>
      <x:c r="B424" s="42" t="str"/>
      <x:c r="C424" s="42" t="str">
        <x:v>recaap_incidents_2024_2026</x:v>
      </x:c>
      <x:c r="D424" s="42" t="str">
        <x:v>2025-106</x:v>
      </x:c>
      <x:c r="E424" s="42" t="str">
        <x:v>2025-03-11</x:v>
      </x:c>
      <x:c r="F424" s="42" t="str">
        <x:v>Maritime Crime</x:v>
      </x:c>
      <x:c r="G424" s="42" t="str">
        <x:v>Robbery/ Theft</x:v>
      </x:c>
      <x:c r="H424" s="42" t="str">
        <x:v>3</x:v>
      </x:c>
      <x:c r="I424" s="42" t="str">
        <x:v>Maritime</x:v>
      </x:c>
      <x:c r="J424" s="42" t="str">
        <x:v>Straits of Malacca &amp; Singapore</x:v>
      </x:c>
      <x:c r="K424" s="42" t="str"/>
      <x:c r="L424" s="42" t="str">
        <x:v>Approximately 3.2 nm off Pulau Cula (Indonesia), in the eastbound lane of the TSS</x:v>
      </x:c>
      <x:c r="M424" s="42" t="str">
        <x:v>1.093333</x:v>
      </x:c>
      <x:c r="N424" s="42" t="str">
        <x:v>103.721667</x:v>
      </x:c>
      <x:c r="O424" s="42" t="str">
        <x:v>Prisma</x:v>
      </x:c>
      <x:c r="P424" s="42" t="str"/>
      <x:c r="Q424" s="42" t="str">
        <x:v>TANKER</x:v>
      </x:c>
      <x:c r="R424" s="42" t="str"/>
      <x:c r="S424" s="42" t="str">
        <x:v>While underway, six to seven perpetrators armed with gun- like object were sighted in the engine room. Upon sighting of the perpetrators, the emergency general alarm was raised and crew mustered for safety. A search was conducted onboard with no further sighting of perpetrators. Nothing was stolen and the crew was not injured. The incident was reported to Singapore VTIS Central. Safety broadcast on anti-piracy watch was initiated to warn all vessels to maintain a vigilant watch at all times in the SS. The RSN’s MSTF and Singapore PCG were notified of the incident. Information of the incident was shared with the Indonesian authorities.</x:v>
      </x:c>
      <x:c r="T424" s="42" t="str"/>
      <x:c r="U424" s="42" t="str"/>
      <x:c r="V424" s="42" t="str"/>
      <x:c r="W424" s="42" t="str">
        <x:v>While Sailing</x:v>
      </x:c>
      <x:c r="X424" s="42" t="str"/>
      <x:c r="Y424" s="42" t="str"/>
      <x:c r="Z424" s="42" t="str"/>
      <x:c r="AA424" s="42" t="str">
        <x:v>https://www.recaap.org/alerts</x:v>
      </x:c>
      <x:c r="AB424" s="42" t="str">
        <x:v>Needs canonical event resolution</x:v>
      </x:c>
      <x:c r="AC424" s="42" t="str">
        <x:v>Flag: PANAMA</x:v>
      </x:c>
    </x:row>
    <x:row r="425">
      <x:c r="A425" s="42" t="str">
        <x:v>OBS_000424</x:v>
      </x:c>
      <x:c r="B425" s="42" t="str"/>
      <x:c r="C425" s="42" t="str">
        <x:v>recaap_incidents_2024_2026</x:v>
      </x:c>
      <x:c r="D425" s="42" t="str">
        <x:v>2025-107</x:v>
      </x:c>
      <x:c r="E425" s="42" t="str">
        <x:v>2025-03-08</x:v>
      </x:c>
      <x:c r="F425" s="42" t="str">
        <x:v>Maritime Crime</x:v>
      </x:c>
      <x:c r="G425" s="42" t="str">
        <x:v>Robbery/ Theft</x:v>
      </x:c>
      <x:c r="H425" s="42" t="str">
        <x:v>4</x:v>
      </x:c>
      <x:c r="I425" s="42" t="str">
        <x:v>Maritime</x:v>
      </x:c>
      <x:c r="J425" s="42" t="str">
        <x:v>Indonesia (Ports/Anchorages)</x:v>
      </x:c>
      <x:c r="K425" s="42" t="str"/>
      <x:c r="L425" s="42" t="str">
        <x:v>Port of Jakarta, Indonesia</x:v>
      </x:c>
      <x:c r="M425" s="42" t="str">
        <x:v>-6.096667</x:v>
      </x:c>
      <x:c r="N425" s="42" t="str">
        <x:v>106.885</x:v>
      </x:c>
      <x:c r="O425" s="42" t="str">
        <x:v>Mito</x:v>
      </x:c>
      <x:c r="P425" s="42" t="str"/>
      <x:c r="Q425" s="42" t="str">
        <x:v>GENERAL CARGO SHIP</x:v>
      </x:c>
      <x:c r="R425" s="42" t="str"/>
      <x:c r="S425" s="42" t="str">
        <x:v>While at berth, six perpetrators in a boat boarded the ship and damaged the entrance door to the wheelhouse and the anti-piracy grating. Generator spare parts were stolen. The crew was not injured.</x:v>
      </x:c>
      <x:c r="T425" s="42" t="str"/>
      <x:c r="U425" s="42" t="str"/>
      <x:c r="V425" s="42" t="str"/>
      <x:c r="W425" s="42" t="str">
        <x:v>At Berth</x:v>
      </x:c>
      <x:c r="X425" s="42" t="str"/>
      <x:c r="Y425" s="42" t="str"/>
      <x:c r="Z425" s="42" t="str"/>
      <x:c r="AA425" s="42" t="str">
        <x:v>https://www.recaap.org/alerts</x:v>
      </x:c>
      <x:c r="AB425" s="42" t="str">
        <x:v>Needs canonical event resolution</x:v>
      </x:c>
      <x:c r="AC425" s="42" t="str">
        <x:v>Flag: PANAMA</x:v>
      </x:c>
    </x:row>
    <x:row r="426">
      <x:c r="A426" s="42" t="str">
        <x:v>OBS_000425</x:v>
      </x:c>
      <x:c r="B426" s="42" t="str"/>
      <x:c r="C426" s="42" t="str">
        <x:v>recaap_incidents_2024_2026</x:v>
      </x:c>
      <x:c r="D426" s="42" t="str">
        <x:v>2025-108</x:v>
      </x:c>
      <x:c r="E426" s="42" t="str">
        <x:v>2025-03-07</x:v>
      </x:c>
      <x:c r="F426" s="42" t="str">
        <x:v>Maritime Crime</x:v>
      </x:c>
      <x:c r="G426" s="42" t="str">
        <x:v>Robbery/ Theft</x:v>
      </x:c>
      <x:c r="H426" s="42" t="str">
        <x:v>4</x:v>
      </x:c>
      <x:c r="I426" s="42" t="str">
        <x:v>Maritime</x:v>
      </x:c>
      <x:c r="J426" s="42" t="str">
        <x:v>Straits of Malacca &amp; Singapore</x:v>
      </x:c>
      <x:c r="K426" s="42" t="str"/>
      <x:c r="L426" s="42" t="str">
        <x:v>Approximately 6.1 nm off Tanjung Pergam (Indonesia), in the eastbound lane of the TSS</x:v>
      </x:c>
      <x:c r="M426" s="42" t="str">
        <x:v>1.292167</x:v>
      </x:c>
      <x:c r="N426" s="42" t="str">
        <x:v>104.3425</x:v>
      </x:c>
      <x:c r="O426" s="42" t="str">
        <x:v>HK Tug 9 &amp; LKH 7887</x:v>
      </x:c>
      <x:c r="P426" s="42" t="str"/>
      <x:c r="Q426" s="42" t="str">
        <x:v>TUG BOAT &amp; BARGE</x:v>
      </x:c>
      <x:c r="R426" s="42" t="str"/>
      <x:c r="S426" s="42" t="str">
        <x:v>While the tug boat towing barge was underway, three perpetrators boarded the barge from a sampan and stole some scrap metals from the barge. At the time of the incident, HK Tug 9 and LKH 7887 were escorted by another Singapore-registered tug boat, HK Tug 3. The Singapore VTIS confirmed with HK Tug 3 that the incident had occurred. The master confirmed that all three perpetrators had disembarked from the barge. The crew was not injured and there was no damage to the vessel.</x:v>
      </x:c>
      <x:c r="T426" s="42" t="str"/>
      <x:c r="U426" s="42" t="str"/>
      <x:c r="V426" s="42" t="str"/>
      <x:c r="W426" s="42" t="str">
        <x:v>While Sailing</x:v>
      </x:c>
      <x:c r="X426" s="42" t="str"/>
      <x:c r="Y426" s="42" t="str"/>
      <x:c r="Z426" s="42" t="str"/>
      <x:c r="AA426" s="42" t="str">
        <x:v>https://www.recaap.org/alerts</x:v>
      </x:c>
      <x:c r="AB426" s="42" t="str">
        <x:v>Needs canonical event resolution</x:v>
      </x:c>
      <x:c r="AC426" s="42" t="str">
        <x:v>Flag: SINGAPORE</x:v>
      </x:c>
    </x:row>
    <x:row r="427">
      <x:c r="A427" s="42" t="str">
        <x:v>OBS_000426</x:v>
      </x:c>
      <x:c r="B427" s="42" t="str"/>
      <x:c r="C427" s="42" t="str">
        <x:v>recaap_incidents_2024_2026</x:v>
      </x:c>
      <x:c r="D427" s="42" t="str">
        <x:v>2025-109</x:v>
      </x:c>
      <x:c r="E427" s="42" t="str">
        <x:v>2025-03-03</x:v>
      </x:c>
      <x:c r="F427" s="42" t="str">
        <x:v>Maritime Crime</x:v>
      </x:c>
      <x:c r="G427" s="42" t="str">
        <x:v>Robbery/ Theft</x:v>
      </x:c>
      <x:c r="H427" s="42" t="str">
        <x:v>3</x:v>
      </x:c>
      <x:c r="I427" s="42" t="str">
        <x:v>Maritime</x:v>
      </x:c>
      <x:c r="J427" s="42" t="str">
        <x:v>Straits of Malacca &amp; Singapore</x:v>
      </x:c>
      <x:c r="K427" s="42" t="str"/>
      <x:c r="L427" s="42" t="str">
        <x:v>Approximately 2.3 nm off Pulau Cula (Indonesia), in the eastbound lane of the TSS</x:v>
      </x:c>
      <x:c r="M427" s="42" t="str">
        <x:v>1.0775</x:v>
      </x:c>
      <x:c r="N427" s="42" t="str">
        <x:v>103.707167</x:v>
      </x:c>
      <x:c r="O427" s="42" t="str">
        <x:v>Ailama</x:v>
      </x:c>
      <x:c r="P427" s="42" t="str"/>
      <x:c r="Q427" s="42" t="str">
        <x:v>TANKER</x:v>
      </x:c>
      <x:c r="R427" s="42" t="str"/>
      <x:c r="S427" s="42" t="str">
        <x:v>While underway, four to five perpetrators armed with gun- like object were sighted in the engine room. The master raised the general alarm, crew mustered, and a search was conducted onboard with no further sighting of perpetrators. The crew was not injured. Some engine spares were stolen. The incident was reported to Singapore VTIS West. Safety broadcast on anti-piracy watch was initiated to warn all vessels to maintain a vigilant watch at all times in the SS. The RSN’s MSTF and Singapore PCG were notified of the incident. Singapore PCG boarded the ship at anchorage and conducted a search, with no perpetrators found. Information of the incident was shared with the Indonesian authorities.</x:v>
      </x:c>
      <x:c r="T427" s="42" t="str"/>
      <x:c r="U427" s="42" t="str"/>
      <x:c r="V427" s="42" t="str"/>
      <x:c r="W427" s="42" t="str">
        <x:v>While Sailing</x:v>
      </x:c>
      <x:c r="X427" s="42" t="str"/>
      <x:c r="Y427" s="42" t="str"/>
      <x:c r="Z427" s="42" t="str"/>
      <x:c r="AA427" s="42" t="str">
        <x:v>https://www.recaap.org/alerts</x:v>
      </x:c>
      <x:c r="AB427" s="42" t="str">
        <x:v>Needs canonical event resolution</x:v>
      </x:c>
      <x:c r="AC427" s="42" t="str">
        <x:v>Flag: GAMBIA</x:v>
      </x:c>
    </x:row>
    <x:row r="428">
      <x:c r="A428" s="42" t="str">
        <x:v>OBS_000427</x:v>
      </x:c>
      <x:c r="B428" s="42" t="str"/>
      <x:c r="C428" s="42" t="str">
        <x:v>recaap_incidents_2024_2026</x:v>
      </x:c>
      <x:c r="D428" s="42" t="str">
        <x:v>2025-112</x:v>
      </x:c>
      <x:c r="E428" s="42" t="str">
        <x:v>2025-02-28</x:v>
      </x:c>
      <x:c r="F428" s="42" t="str">
        <x:v>Maritime Crime</x:v>
      </x:c>
      <x:c r="G428" s="42" t="str">
        <x:v>Robbery/ Theft</x:v>
      </x:c>
      <x:c r="H428" s="42" t="str">
        <x:v>3</x:v>
      </x:c>
      <x:c r="I428" s="42" t="str">
        <x:v>Maritime</x:v>
      </x:c>
      <x:c r="J428" s="42" t="str">
        <x:v>Straits of Malacca &amp; Singapore</x:v>
      </x:c>
      <x:c r="K428" s="42" t="str"/>
      <x:c r="L428" s="42" t="str">
        <x:v>Approximately 0.9 nm off Takong Kecil Lighthouse (Indonesia), in the eastbound lane of the TSS</x:v>
      </x:c>
      <x:c r="M428" s="42" t="str">
        <x:v>1.110333</x:v>
      </x:c>
      <x:c r="N428" s="42" t="str">
        <x:v>103.733333</x:v>
      </x:c>
      <x:c r="O428" s="42" t="str">
        <x:v>Ifestos</x:v>
      </x:c>
      <x:c r="P428" s="42" t="str"/>
      <x:c r="Q428" s="42" t="str">
        <x:v>BULK CARRIER</x:v>
      </x:c>
      <x:c r="R428" s="42" t="str"/>
      <x:c r="S428" s="42" t="str">
        <x:v>While underway, six perpetrators armed with hammers were sighted in engine room workshop. The alarm was raised and crew mustered at the bridge. A search onboard was conducted with no further sighting of the perpetrators. The crew was not injured. Nothing was stolen. The incident was reported to Singapore VTIS. Safety navigational broadcast was initiated. The RSN’s MSTF and Singapore PCG were notified of the incident. Singapore PCG boarded the ship upon her arrival, conducted a search, and no perpetrators were found onboard. Information of the incident was shared with the Indonesian authorities.</x:v>
      </x:c>
      <x:c r="T428" s="42" t="str"/>
      <x:c r="U428" s="42" t="str"/>
      <x:c r="V428" s="42" t="str"/>
      <x:c r="W428" s="42" t="str">
        <x:v>While Sailing</x:v>
      </x:c>
      <x:c r="X428" s="42" t="str"/>
      <x:c r="Y428" s="42" t="str"/>
      <x:c r="Z428" s="42" t="str"/>
      <x:c r="AA428" s="42" t="str">
        <x:v>https://www.recaap.org/alerts</x:v>
      </x:c>
      <x:c r="AB428" s="42" t="str">
        <x:v>Needs canonical event resolution</x:v>
      </x:c>
      <x:c r="AC428" s="42" t="str">
        <x:v>Flag: BAHAMAS</x:v>
      </x:c>
    </x:row>
    <x:row r="429">
      <x:c r="A429" s="42" t="str">
        <x:v>OBS_000428</x:v>
      </x:c>
      <x:c r="B429" s="42" t="str"/>
      <x:c r="C429" s="42" t="str">
        <x:v>recaap_incidents_2024_2026</x:v>
      </x:c>
      <x:c r="D429" s="42" t="str">
        <x:v>2025-111</x:v>
      </x:c>
      <x:c r="E429" s="42" t="str">
        <x:v>2025-02-28</x:v>
      </x:c>
      <x:c r="F429" s="42" t="str">
        <x:v>Maritime Crime</x:v>
      </x:c>
      <x:c r="G429" s="42" t="str">
        <x:v>Robbery/ Theft</x:v>
      </x:c>
      <x:c r="H429" s="42" t="str">
        <x:v>3</x:v>
      </x:c>
      <x:c r="I429" s="42" t="str">
        <x:v>Maritime</x:v>
      </x:c>
      <x:c r="J429" s="42" t="str">
        <x:v>Straits of Malacca &amp; Singapore</x:v>
      </x:c>
      <x:c r="K429" s="42" t="str"/>
      <x:c r="L429" s="42" t="str">
        <x:v>Approximately 0.6 nm off Takong Kecil Lighthouse (Indonesia), in the eastbound lane of the TSS</x:v>
      </x:c>
      <x:c r="M429" s="42" t="str">
        <x:v>1.087833</x:v>
      </x:c>
      <x:c r="N429" s="42" t="str">
        <x:v>103.721167</x:v>
      </x:c>
      <x:c r="O429" s="42" t="str">
        <x:v>DSM Rose</x:v>
      </x:c>
      <x:c r="P429" s="42" t="str"/>
      <x:c r="Q429" s="42" t="str">
        <x:v>BULK CARRIER</x:v>
      </x:c>
      <x:c r="R429" s="42" t="str"/>
      <x:c r="S429" s="42" t="str">
        <x:v>While underway, five perpetrators were sighted in the steering gear room, one of whom was armed with a gun-like object. The alarm was raised and all crew mustered at the bridge. A search was conducted onboard with no further sighting of the perpetrators. The crew was not injured. Nothing was stolen. The incident was reported to Singapore VTIS. Safety navigational broadcast was initiated. The RSN’s MSTF and Singapore PCG were notified of the incident. Information of the incident was shared with the Indonesian authorities.</x:v>
      </x:c>
      <x:c r="T429" s="42" t="str"/>
      <x:c r="U429" s="42" t="str"/>
      <x:c r="V429" s="42" t="str"/>
      <x:c r="W429" s="42" t="str">
        <x:v>While Sailing</x:v>
      </x:c>
      <x:c r="X429" s="42" t="str"/>
      <x:c r="Y429" s="42" t="str"/>
      <x:c r="Z429" s="42" t="str"/>
      <x:c r="AA429" s="42" t="str">
        <x:v>https://www.recaap.org/alerts</x:v>
      </x:c>
      <x:c r="AB429" s="42" t="str">
        <x:v>Needs canonical event resolution</x:v>
      </x:c>
      <x:c r="AC429" s="42" t="str">
        <x:v>Flag: BARBADOS</x:v>
      </x:c>
    </x:row>
    <x:row r="430">
      <x:c r="A430" s="42" t="str">
        <x:v>OBS_000429</x:v>
      </x:c>
      <x:c r="B430" s="42" t="str"/>
      <x:c r="C430" s="42" t="str">
        <x:v>recaap_incidents_2024_2026</x:v>
      </x:c>
      <x:c r="D430" s="42" t="str">
        <x:v>2025-110</x:v>
      </x:c>
      <x:c r="E430" s="42" t="str">
        <x:v>2025-02-28</x:v>
      </x:c>
      <x:c r="F430" s="42" t="str">
        <x:v>Maritime Crime</x:v>
      </x:c>
      <x:c r="G430" s="42" t="str">
        <x:v>Robbery/ Theft</x:v>
      </x:c>
      <x:c r="H430" s="42" t="str">
        <x:v>3</x:v>
      </x:c>
      <x:c r="I430" s="42" t="str">
        <x:v>Maritime</x:v>
      </x:c>
      <x:c r="J430" s="42" t="str">
        <x:v>Straits of Malacca &amp; Singapore</x:v>
      </x:c>
      <x:c r="K430" s="42" t="str"/>
      <x:c r="L430" s="42" t="str">
        <x:v>Approximately 3.2 nm off Takong Kecil Lighthouse (Indonesia), in the eastbound lane of the TSS</x:v>
      </x:c>
      <x:c r="M430" s="42" t="str">
        <x:v>1.133333</x:v>
      </x:c>
      <x:c r="N430" s="42" t="str">
        <x:v>103.757667</x:v>
      </x:c>
      <x:c r="O430" s="42" t="str">
        <x:v>Basset</x:v>
      </x:c>
      <x:c r="P430" s="42" t="str"/>
      <x:c r="Q430" s="42" t="str">
        <x:v>PETROLEUM/ CHEMICAL TANKER</x:v>
      </x:c>
      <x:c r="R430" s="42" t="str"/>
      <x:c r="S430" s="42" t="str">
        <x:v>While underway, the crew spotted several perpetrators in the engine room. One of the perpetrators was reportedly armed with a gun-like object. A search was conducted by the crew and no perpetrators were found onboard. A crew member was injured. Some engine spare parts were stolen. The master requested assistance from MPA. Singapore PCG and Singapore Civil Defence Force (SCDF) were also activated to render assistance. The injured crew member was evacuated to the hospital. Singapore PCG boarded and combed the ship, and all crew were accounted for.</x:v>
      </x:c>
      <x:c r="T430" s="42" t="str"/>
      <x:c r="U430" s="42" t="str"/>
      <x:c r="V430" s="42" t="str"/>
      <x:c r="W430" s="42" t="str">
        <x:v>While Sailing</x:v>
      </x:c>
      <x:c r="X430" s="42" t="str"/>
      <x:c r="Y430" s="42" t="str"/>
      <x:c r="Z430" s="42" t="str"/>
      <x:c r="AA430" s="42" t="str">
        <x:v>https://www.recaap.org/alerts</x:v>
      </x:c>
      <x:c r="AB430" s="42" t="str">
        <x:v>Needs canonical event resolution</x:v>
      </x:c>
      <x:c r="AC430" s="42" t="str">
        <x:v>Flag: SINGAPORE</x:v>
      </x:c>
    </x:row>
    <x:row r="431">
      <x:c r="A431" s="42" t="str">
        <x:v>OBS_000430</x:v>
      </x:c>
      <x:c r="B431" s="42" t="str"/>
      <x:c r="C431" s="42" t="str">
        <x:v>recaap_incidents_2024_2026</x:v>
      </x:c>
      <x:c r="D431" s="42" t="str">
        <x:v>2025-113</x:v>
      </x:c>
      <x:c r="E431" s="42" t="str">
        <x:v>2025-02-26</x:v>
      </x:c>
      <x:c r="F431" s="42" t="str">
        <x:v>Maritime Crime</x:v>
      </x:c>
      <x:c r="G431" s="42" t="str">
        <x:v>Robbery/ Theft</x:v>
      </x:c>
      <x:c r="H431" s="42" t="str">
        <x:v>4</x:v>
      </x:c>
      <x:c r="I431" s="42" t="str">
        <x:v>Maritime</x:v>
      </x:c>
      <x:c r="J431" s="42" t="str">
        <x:v>Straits of Malacca &amp; Singapore</x:v>
      </x:c>
      <x:c r="K431" s="42" t="str"/>
      <x:c r="L431" s="42" t="str">
        <x:v>Approximately 4.4 nm off Pulau Cula (Indonesia), in the eastbound lane of the TSS</x:v>
      </x:c>
      <x:c r="M431" s="42" t="str">
        <x:v>1.106667</x:v>
      </x:c>
      <x:c r="N431" s="42" t="str">
        <x:v>103.741333</x:v>
      </x:c>
      <x:c r="O431" s="42" t="str">
        <x:v>Ocean Diligence</x:v>
      </x:c>
      <x:c r="P431" s="42" t="str"/>
      <x:c r="Q431" s="42" t="str">
        <x:v>BULK CARRIER</x:v>
      </x:c>
      <x:c r="R431" s="42" t="str"/>
      <x:c r="S431" s="42" t="str">
        <x:v>While underway, five perpetrators were sighted on the aft poop deck. The emergency alarm was raised and crew mustered. Upon realising the crew had been alerted, the perpetrators escaped immediately. The crew was not injured. Nothing was stolen. The incident was reported to Singapore VTIS West. Safety broadcast on anti-piracy watch was initiated to warn all vessels to maintain a vigilant watch at all times in the SS. The RSN’s MSTF and Singapore PCG were notified of the incident. Singapore PCG boarded the ship at anchorage. A search was conducted and no perpetrator was found. Information of the incident was shared with the Indonesian authorities.</x:v>
      </x:c>
      <x:c r="T431" s="42" t="str"/>
      <x:c r="U431" s="42" t="str"/>
      <x:c r="V431" s="42" t="str"/>
      <x:c r="W431" s="42" t="str">
        <x:v>While Sailing</x:v>
      </x:c>
      <x:c r="X431" s="42" t="str"/>
      <x:c r="Y431" s="42" t="str"/>
      <x:c r="Z431" s="42" t="str"/>
      <x:c r="AA431" s="42" t="str">
        <x:v>https://www.recaap.org/alerts</x:v>
      </x:c>
      <x:c r="AB431" s="42" t="str">
        <x:v>Needs canonical event resolution</x:v>
      </x:c>
      <x:c r="AC431" s="42" t="str">
        <x:v>Flag: MARSHALL ISLANDS</x:v>
      </x:c>
    </x:row>
    <x:row r="432">
      <x:c r="A432" s="42" t="str">
        <x:v>OBS_000431</x:v>
      </x:c>
      <x:c r="B432" s="42" t="str"/>
      <x:c r="C432" s="42" t="str">
        <x:v>recaap_incidents_2024_2026</x:v>
      </x:c>
      <x:c r="D432" s="42" t="str">
        <x:v>2025-114</x:v>
      </x:c>
      <x:c r="E432" s="42" t="str">
        <x:v>2025-02-22</x:v>
      </x:c>
      <x:c r="F432" s="42" t="str">
        <x:v>Maritime Crime</x:v>
      </x:c>
      <x:c r="G432" s="42" t="str">
        <x:v>Robbery/ Theft</x:v>
      </x:c>
      <x:c r="H432" s="42" t="str">
        <x:v>3</x:v>
      </x:c>
      <x:c r="I432" s="42" t="str">
        <x:v>Maritime</x:v>
      </x:c>
      <x:c r="J432" s="42" t="str">
        <x:v>Straits of Malacca &amp; Singapore</x:v>
      </x:c>
      <x:c r="K432" s="42" t="str"/>
      <x:c r="L432" s="42" t="str">
        <x:v>Approximately 3.5 nm west of Pulau Cula (Indonesia), in the eastbound lane of the TSS</x:v>
      </x:c>
      <x:c r="M432" s="42" t="str">
        <x:v>1.045833</x:v>
      </x:c>
      <x:c r="N432" s="42" t="str">
        <x:v>103.653833</x:v>
      </x:c>
      <x:c r="O432" s="42" t="str">
        <x:v>Cycladic Spire</x:v>
      </x:c>
      <x:c r="P432" s="42" t="str"/>
      <x:c r="Q432" s="42" t="str">
        <x:v>BULK CARRIER</x:v>
      </x:c>
      <x:c r="R432" s="42" t="str"/>
      <x:c r="S432" s="42" t="str">
        <x:v>While underway, three perpetrators armed with knives and sighted in the engine room. The gun-like object were emergency alarm was raised and crew mustered. A security search was conducted and no perpetrators were found. The crew was not injured. Some engine spares were stolen. The incident was reported to Singapore VTIS. Safety broadcast on anti-piracy watch was initiated to warn all vessels to maintain a vigilant watch at all times in the SS. The RSN’s MSTF and Singapore PCG were notified of the incident. Singapore PCG boarded the ship upon her arrival in Singapore. A search was conducted and no perpetrator was found. Information of the incident was shared with the Indonesian authorities.</x:v>
      </x:c>
      <x:c r="T432" s="42" t="str"/>
      <x:c r="U432" s="42" t="str"/>
      <x:c r="V432" s="42" t="str"/>
      <x:c r="W432" s="42" t="str">
        <x:v>While Sailing</x:v>
      </x:c>
      <x:c r="X432" s="42" t="str"/>
      <x:c r="Y432" s="42" t="str"/>
      <x:c r="Z432" s="42" t="str"/>
      <x:c r="AA432" s="42" t="str">
        <x:v>https://www.recaap.org/alerts</x:v>
      </x:c>
      <x:c r="AB432" s="42" t="str">
        <x:v>Needs canonical event resolution</x:v>
      </x:c>
      <x:c r="AC432" s="42" t="str">
        <x:v>Flag: PORTUGAL</x:v>
      </x:c>
    </x:row>
    <x:row r="433">
      <x:c r="A433" s="42" t="str">
        <x:v>OBS_000432</x:v>
      </x:c>
      <x:c r="B433" s="42" t="str"/>
      <x:c r="C433" s="42" t="str">
        <x:v>recaap_incidents_2024_2026</x:v>
      </x:c>
      <x:c r="D433" s="42" t="str">
        <x:v>2025-116</x:v>
      </x:c>
      <x:c r="E433" s="42" t="str">
        <x:v>2025-02-16</x:v>
      </x:c>
      <x:c r="F433" s="42" t="str">
        <x:v>Maritime Crime</x:v>
      </x:c>
      <x:c r="G433" s="42" t="str">
        <x:v>Robbery/ Theft</x:v>
      </x:c>
      <x:c r="H433" s="42" t="str">
        <x:v>3</x:v>
      </x:c>
      <x:c r="I433" s="42" t="str">
        <x:v>Maritime</x:v>
      </x:c>
      <x:c r="J433" s="42" t="str">
        <x:v>Straits of Malacca &amp; Singapore</x:v>
      </x:c>
      <x:c r="K433" s="42" t="str"/>
      <x:c r="L433" s="42" t="str">
        <x:v>Approximately 2 nm northwest of Pulau Cula (Indonesia), in the eastbound lane of the TSS</x:v>
      </x:c>
      <x:c r="M433" s="42" t="str">
        <x:v>1.062</x:v>
      </x:c>
      <x:c r="N433" s="42" t="str">
        <x:v>103.687167</x:v>
      </x:c>
      <x:c r="O433" s="42" t="str">
        <x:v>Pelicana</x:v>
      </x:c>
      <x:c r="P433" s="42" t="str"/>
      <x:c r="Q433" s="42" t="str">
        <x:v>GENERAL CARGO SHIP</x:v>
      </x:c>
      <x:c r="R433" s="42" t="str"/>
      <x:c r="S433" s="42" t="str">
        <x:v>While underway, four perpetrators armed with long knives were sighted boarding from the portside quarter and heading to the engine room. The master raised the alarm and all crew mustered to conduct a search. The crew was not injured. Some electrical and engine room items were stolen.</x:v>
      </x:c>
      <x:c r="T433" s="42" t="str"/>
      <x:c r="U433" s="42" t="str"/>
      <x:c r="V433" s="42" t="str"/>
      <x:c r="W433" s="42" t="str">
        <x:v>While Sailing</x:v>
      </x:c>
      <x:c r="X433" s="42" t="str"/>
      <x:c r="Y433" s="42" t="str"/>
      <x:c r="Z433" s="42" t="str"/>
      <x:c r="AA433" s="42" t="str">
        <x:v>https://www.recaap.org/alerts</x:v>
      </x:c>
      <x:c r="AB433" s="42" t="str">
        <x:v>Needs canonical event resolution</x:v>
      </x:c>
      <x:c r="AC433" s="42" t="str">
        <x:v>Flag: NORWAY</x:v>
      </x:c>
    </x:row>
    <x:row r="434">
      <x:c r="A434" s="42" t="str">
        <x:v>OBS_000433</x:v>
      </x:c>
      <x:c r="B434" s="42" t="str"/>
      <x:c r="C434" s="42" t="str">
        <x:v>recaap_incidents_2024_2026</x:v>
      </x:c>
      <x:c r="D434" s="42" t="str">
        <x:v>2025-115</x:v>
      </x:c>
      <x:c r="E434" s="42" t="str">
        <x:v>2025-02-16</x:v>
      </x:c>
      <x:c r="F434" s="42" t="str">
        <x:v>Maritime Crime</x:v>
      </x:c>
      <x:c r="G434" s="42" t="str">
        <x:v>Robbery/ Theft</x:v>
      </x:c>
      <x:c r="H434" s="42" t="str">
        <x:v>4</x:v>
      </x:c>
      <x:c r="I434" s="42" t="str">
        <x:v>Maritime</x:v>
      </x:c>
      <x:c r="J434" s="42" t="str">
        <x:v>Straits of Malacca &amp; Singapore</x:v>
      </x:c>
      <x:c r="K434" s="42" t="str"/>
      <x:c r="L434" s="42" t="str">
        <x:v>Approximately 3.5 nm northeast of Pulau Cula (Indonesia), in the eastbound lane of the TSS</x:v>
      </x:c>
      <x:c r="M434" s="42" t="str">
        <x:v>1.096</x:v>
      </x:c>
      <x:c r="N434" s="42" t="str">
        <x:v>103.732333</x:v>
      </x:c>
      <x:c r="O434" s="42" t="str">
        <x:v>Atrotos Heracles</x:v>
      </x:c>
      <x:c r="P434" s="42" t="str"/>
      <x:c r="Q434" s="42" t="str">
        <x:v>BULK CARRIER</x:v>
      </x:c>
      <x:c r="R434" s="42" t="str"/>
      <x:c r="S434" s="42" t="str">
        <x:v>While underway, three perpetrators were sighted at the aft station. Upon raising the emergency alarm, the three perpetrators escaped from the ship. A security search was conducted onboard. The crew was not injured. Nothing was stolen. The incident was reported to Singapore VTIS. Safety broadcast on anti-piracy watch was initiated to warn all vessels to maintain a vigilant watch at all times in the SS. The RSN’s MSTF and Singapore PCG were notified of the incident. Singapore PCG boarded the ship upon her arrival at Singapore bunkering anchorage. A search was conducted and no perpetrator was found. Information of the incident was shared with the Indonesian authorities.</x:v>
      </x:c>
      <x:c r="T434" s="42" t="str"/>
      <x:c r="U434" s="42" t="str"/>
      <x:c r="V434" s="42" t="str"/>
      <x:c r="W434" s="42" t="str">
        <x:v>While Sailing</x:v>
      </x:c>
      <x:c r="X434" s="42" t="str"/>
      <x:c r="Y434" s="42" t="str"/>
      <x:c r="Z434" s="42" t="str"/>
      <x:c r="AA434" s="42" t="str">
        <x:v>https://www.recaap.org/alerts</x:v>
      </x:c>
      <x:c r="AB434" s="42" t="str">
        <x:v>Needs canonical event resolution</x:v>
      </x:c>
      <x:c r="AC434" s="42" t="str">
        <x:v>Flag: PANAMA</x:v>
      </x:c>
    </x:row>
    <x:row r="435">
      <x:c r="A435" s="42" t="str">
        <x:v>OBS_000434</x:v>
      </x:c>
      <x:c r="B435" s="42" t="str"/>
      <x:c r="C435" s="42" t="str">
        <x:v>recaap_incidents_2024_2026</x:v>
      </x:c>
      <x:c r="D435" s="42" t="str">
        <x:v>2025-117</x:v>
      </x:c>
      <x:c r="E435" s="42" t="str">
        <x:v>2025-02-14</x:v>
      </x:c>
      <x:c r="F435" s="42" t="str">
        <x:v>Maritime Crime</x:v>
      </x:c>
      <x:c r="G435" s="42" t="str">
        <x:v>Robbery/ Theft</x:v>
      </x:c>
      <x:c r="H435" s="42" t="str">
        <x:v>2</x:v>
      </x:c>
      <x:c r="I435" s="42" t="str">
        <x:v>Maritime</x:v>
      </x:c>
      <x:c r="J435" s="42" t="str">
        <x:v>Straits of Malacca &amp; Singapore</x:v>
      </x:c>
      <x:c r="K435" s="42" t="str"/>
      <x:c r="L435" s="42" t="str">
        <x:v>Approximately 2.5 nm northwest of Pulau Cula (Indonesia), in the eastbound lane of the TSS</x:v>
      </x:c>
      <x:c r="M435" s="42" t="str">
        <x:v>1.0725</x:v>
      </x:c>
      <x:c r="N435" s="42" t="str">
        <x:v>103.685333</x:v>
      </x:c>
      <x:c r="O435" s="42" t="str">
        <x:v>Cancun</x:v>
      </x:c>
      <x:c r="P435" s="42" t="str"/>
      <x:c r="Q435" s="42" t="str">
        <x:v>BULK CARRIER</x:v>
      </x:c>
      <x:c r="R435" s="42" t="str"/>
      <x:c r="S435" s="42" t="str">
        <x:v>While underway, four perpetrators, of whom one carried gun and three carried knives, were sighted in the engine room. The alarm was raised and all crew mustered to conduct a search with no further sighting of perpetrators. The crew was not injured and nothing was stolen. The bulk carrier was bound for Pilot Eastern Boarding Ground ‘B’ (PEBGB). The incident was reported to Singapore VTIS. Safety navigational broadcast was initiated. The RSN’s MSTF and Singapore PCG were notified of the incident. Singapore PCG boarded the ship, conducted a search, and no perpetrators were found onboard. Information of the incident was shared with the Indonesian authorities.</x:v>
      </x:c>
      <x:c r="T435" s="42" t="str"/>
      <x:c r="U435" s="42" t="str"/>
      <x:c r="V435" s="42" t="str"/>
      <x:c r="W435" s="42" t="str">
        <x:v>While Sailing</x:v>
      </x:c>
      <x:c r="X435" s="42" t="str"/>
      <x:c r="Y435" s="42" t="str"/>
      <x:c r="Z435" s="42" t="str"/>
      <x:c r="AA435" s="42" t="str">
        <x:v>https://www.recaap.org/alerts</x:v>
      </x:c>
      <x:c r="AB435" s="42" t="str">
        <x:v>Needs canonical event resolution</x:v>
      </x:c>
      <x:c r="AC435" s="42" t="str">
        <x:v>Flag: LIBERIA</x:v>
      </x:c>
    </x:row>
    <x:row r="436">
      <x:c r="A436" s="42" t="str">
        <x:v>OBS_000435</x:v>
      </x:c>
      <x:c r="B436" s="42" t="str"/>
      <x:c r="C436" s="42" t="str">
        <x:v>recaap_incidents_2024_2026</x:v>
      </x:c>
      <x:c r="D436" s="42" t="str">
        <x:v>2025-118</x:v>
      </x:c>
      <x:c r="E436" s="42" t="str">
        <x:v>2025-02-12</x:v>
      </x:c>
      <x:c r="F436" s="42" t="str">
        <x:v>Maritime Crime</x:v>
      </x:c>
      <x:c r="G436" s="42" t="str">
        <x:v>Robbery/ Theft</x:v>
      </x:c>
      <x:c r="H436" s="42" t="str">
        <x:v>3</x:v>
      </x:c>
      <x:c r="I436" s="42" t="str">
        <x:v>Maritime</x:v>
      </x:c>
      <x:c r="J436" s="42" t="str">
        <x:v>Straits of Malacca &amp; Singapore</x:v>
      </x:c>
      <x:c r="K436" s="42" t="str"/>
      <x:c r="L436" s="42" t="str">
        <x:v>Approximately 4.3 nm northeast of Pulau Cula (Indonesia), in the eastbound lane of the TSS</x:v>
      </x:c>
      <x:c r="M436" s="42" t="str">
        <x:v>1.106667</x:v>
      </x:c>
      <x:c r="N436" s="42" t="str">
        <x:v>103.734667</x:v>
      </x:c>
      <x:c r="O436" s="42" t="str">
        <x:v>Sea Amber</x:v>
      </x:c>
      <x:c r="P436" s="42" t="str"/>
      <x:c r="Q436" s="42" t="str">
        <x:v>TANKER</x:v>
      </x:c>
      <x:c r="R436" s="42" t="str"/>
      <x:c r="S436" s="42" t="str">
        <x:v>While underway, four perpetrators with knives were sighted in the engine room. The alarm was raised and all crew mustered to conduct a search with no further sighting of perpetrators. All crew members were accounted for, and there were no reported injuries. Some engine spare parts were stolen. No further assistance was required. The tanker had departed Malaysia and was bound for Indonesia. The incident was reported to Singapore VTIS West. Safety broadcast on anti-piracy watch was initiated to warn all vessels to maintain a vigilant watch at all times in the SS. The RSN’s MSTF and Singapore PCG were notified of the incident. Information of the incident was shared with the Indonesian authorities.</x:v>
      </x:c>
      <x:c r="T436" s="42" t="str"/>
      <x:c r="U436" s="42" t="str"/>
      <x:c r="V436" s="42" t="str"/>
      <x:c r="W436" s="42" t="str">
        <x:v>While Sailing</x:v>
      </x:c>
      <x:c r="X436" s="42" t="str"/>
      <x:c r="Y436" s="42" t="str"/>
      <x:c r="Z436" s="42" t="str"/>
      <x:c r="AA436" s="42" t="str">
        <x:v>https://www.recaap.org/alerts</x:v>
      </x:c>
      <x:c r="AB436" s="42" t="str">
        <x:v>Needs canonical event resolution</x:v>
      </x:c>
      <x:c r="AC436" s="42" t="str">
        <x:v>Flag: GREECE</x:v>
      </x:c>
    </x:row>
    <x:row r="437">
      <x:c r="A437" s="42" t="str">
        <x:v>OBS_000436</x:v>
      </x:c>
      <x:c r="B437" s="42" t="str"/>
      <x:c r="C437" s="42" t="str">
        <x:v>recaap_incidents_2024_2026</x:v>
      </x:c>
      <x:c r="D437" s="42" t="str">
        <x:v>2025-120</x:v>
      </x:c>
      <x:c r="E437" s="42" t="str">
        <x:v>2025-02-03</x:v>
      </x:c>
      <x:c r="F437" s="42" t="str">
        <x:v>Maritime Crime</x:v>
      </x:c>
      <x:c r="G437" s="42" t="str">
        <x:v>Robbery/ Theft</x:v>
      </x:c>
      <x:c r="H437" s="42" t="str">
        <x:v>3</x:v>
      </x:c>
      <x:c r="I437" s="42" t="str">
        <x:v>Maritime</x:v>
      </x:c>
      <x:c r="J437" s="42" t="str">
        <x:v>Straits of Malacca &amp; Singapore</x:v>
      </x:c>
      <x:c r="K437" s="42" t="str"/>
      <x:c r="L437" s="42" t="str">
        <x:v>Approximately 2.64 nm north of Pulau Cula (Indonesia), in the eastbound lane of the TSS</x:v>
      </x:c>
      <x:c r="M437" s="42" t="str">
        <x:v>1.083333</x:v>
      </x:c>
      <x:c r="N437" s="42" t="str">
        <x:v>103.719167</x:v>
      </x:c>
      <x:c r="O437" s="42" t="str">
        <x:v>Belaja</x:v>
      </x:c>
      <x:c r="P437" s="42" t="str"/>
      <x:c r="Q437" s="42" t="str">
        <x:v>BULK CARRIER</x:v>
      </x:c>
      <x:c r="R437" s="42" t="str"/>
      <x:c r="S437" s="42" t="str">
        <x:v>While underway, four perpetrators with knives and gun-like object were sighted in the engine room. The alarm was raised and all crew mustered to conduct a search with no further sighting of perpetrators. The crew was not injured. Some engine spares were stolen. The incident was reported to Singapore VTIS West. Safety broadcast on anti-piracy watch was initiated to warn all vessels to maintain a vigilant watch at all times in the SS. The RSN’s MSTF and Singapore PCG were notified of the incident. Information of the incident was shared with the Indonesian authorities.</x:v>
      </x:c>
      <x:c r="T437" s="42" t="str"/>
      <x:c r="U437" s="42" t="str"/>
      <x:c r="V437" s="42" t="str"/>
      <x:c r="W437" s="42" t="str">
        <x:v>While Sailing</x:v>
      </x:c>
      <x:c r="X437" s="42" t="str"/>
      <x:c r="Y437" s="42" t="str"/>
      <x:c r="Z437" s="42" t="str"/>
      <x:c r="AA437" s="42" t="str">
        <x:v>https://www.recaap.org/alerts</x:v>
      </x:c>
      <x:c r="AB437" s="42" t="str">
        <x:v>Needs canonical event resolution</x:v>
      </x:c>
      <x:c r="AC437" s="42" t="str">
        <x:v>Flag: NORWAY</x:v>
      </x:c>
    </x:row>
    <x:row r="438">
      <x:c r="A438" s="42" t="str">
        <x:v>OBS_000437</x:v>
      </x:c>
      <x:c r="B438" s="42" t="str"/>
      <x:c r="C438" s="42" t="str">
        <x:v>recaap_incidents_2024_2026</x:v>
      </x:c>
      <x:c r="D438" s="42" t="str">
        <x:v>2025-119</x:v>
      </x:c>
      <x:c r="E438" s="42" t="str">
        <x:v>2025-02-03</x:v>
      </x:c>
      <x:c r="F438" s="42" t="str">
        <x:v>Maritime Crime</x:v>
      </x:c>
      <x:c r="G438" s="42" t="str">
        <x:v>Robbery/ Theft</x:v>
      </x:c>
      <x:c r="H438" s="42" t="str">
        <x:v>3</x:v>
      </x:c>
      <x:c r="I438" s="42" t="str">
        <x:v>Maritime</x:v>
      </x:c>
      <x:c r="J438" s="42" t="str">
        <x:v>Straits of Malacca &amp; Singapore</x:v>
      </x:c>
      <x:c r="K438" s="42" t="str"/>
      <x:c r="L438" s="42" t="str">
        <x:v>Approximately 2.3 nm northeast of Pulau Cula (Indonesia), in the eastbound lane of the TSS</x:v>
      </x:c>
      <x:c r="M438" s="42" t="str">
        <x:v>1.105833</x:v>
      </x:c>
      <x:c r="N438" s="42" t="str">
        <x:v>103.741</x:v>
      </x:c>
      <x:c r="O438" s="42" t="str">
        <x:v>Zevirous</x:v>
      </x:c>
      <x:c r="P438" s="42" t="str"/>
      <x:c r="Q438" s="42" t="str">
        <x:v>TANKER</x:v>
      </x:c>
      <x:c r="R438" s="42" t="str"/>
      <x:c r="S438" s="42" t="str">
        <x:v>While underway, six perpetrators with knives were sighted in the engine room. The alarm was raised and all crew mustered to conduct a search with no further sighting of perpetrators. The crew was not injured. Some engine spares were stolen. The incident was reported to Singapore VTIS Central. Safety broadcast on anti-piracy watch was initiated to warn all vessels to maintain a vigilant watch at all times in the SS. The RSN’s MSTF and Singapore PCG were notified of the incident. Information of the incident was shared with the Indonesian authorities.</x:v>
      </x:c>
      <x:c r="T438" s="42" t="str"/>
      <x:c r="U438" s="42" t="str"/>
      <x:c r="V438" s="42" t="str"/>
      <x:c r="W438" s="42" t="str">
        <x:v>While Sailing</x:v>
      </x:c>
      <x:c r="X438" s="42" t="str"/>
      <x:c r="Y438" s="42" t="str"/>
      <x:c r="Z438" s="42" t="str"/>
      <x:c r="AA438" s="42" t="str">
        <x:v>https://www.recaap.org/alerts</x:v>
      </x:c>
      <x:c r="AB438" s="42" t="str">
        <x:v>Needs canonical event resolution</x:v>
      </x:c>
      <x:c r="AC438" s="42" t="str">
        <x:v>Flag: MALAYSIA</x:v>
      </x:c>
    </x:row>
    <x:row r="439">
      <x:c r="A439" s="42" t="str">
        <x:v>OBS_000438</x:v>
      </x:c>
      <x:c r="B439" s="42" t="str"/>
      <x:c r="C439" s="42" t="str">
        <x:v>recaap_incidents_2024_2026</x:v>
      </x:c>
      <x:c r="D439" s="42" t="str">
        <x:v>2025-121</x:v>
      </x:c>
      <x:c r="E439" s="42" t="str">
        <x:v>2025-02-01</x:v>
      </x:c>
      <x:c r="F439" s="42" t="str">
        <x:v>Maritime Crime</x:v>
      </x:c>
      <x:c r="G439" s="42" t="str">
        <x:v>Robbery/ Theft</x:v>
      </x:c>
      <x:c r="H439" s="42" t="str">
        <x:v>4</x:v>
      </x:c>
      <x:c r="I439" s="42" t="str">
        <x:v>Maritime</x:v>
      </x:c>
      <x:c r="J439" s="42" t="str">
        <x:v>Straits of Malacca &amp; Singapore</x:v>
      </x:c>
      <x:c r="K439" s="42" t="str"/>
      <x:c r="L439" s="42" t="str">
        <x:v>Approximately 1.4 nm west of Helen Mar Reef (Indonesia), in the eastbound lane of the TSS</x:v>
      </x:c>
      <x:c r="M439" s="42" t="str">
        <x:v>1.13</x:v>
      </x:c>
      <x:c r="N439" s="42" t="str">
        <x:v>103.75</x:v>
      </x:c>
      <x:c r="O439" s="42" t="str">
        <x:v>Haima</x:v>
      </x:c>
      <x:c r="P439" s="42" t="str"/>
      <x:c r="Q439" s="42" t="str">
        <x:v>PETROLEUM PRODUCT TANKER</x:v>
      </x:c>
      <x:c r="R439" s="42" t="str"/>
      <x:c r="S439" s="42" t="str">
        <x:v>While underway, an engine department crew member sighted five perpetrators coming out of the engine room. The engineer immediately reported to the chief engineer, who then informed the bridge. The alarm was raised and a search was conducted with no perpetrators found. A surveillance camera recording in the engine room also revealed the perpetrators coming out of the engine room. The crew was not injured. Nothing was stolen. The incident was reported to MPA. The shipping company also reported the incident to the Maritime Bureau of the Ministry of Land, Infrastructure, Transport and Tourism (MLIT) of Japan.</x:v>
      </x:c>
      <x:c r="T439" s="42" t="str"/>
      <x:c r="U439" s="42" t="str"/>
      <x:c r="V439" s="42" t="str"/>
      <x:c r="W439" s="42" t="str">
        <x:v>While Sailing</x:v>
      </x:c>
      <x:c r="X439" s="42" t="str"/>
      <x:c r="Y439" s="42" t="str"/>
      <x:c r="Z439" s="42" t="str"/>
      <x:c r="AA439" s="42" t="str">
        <x:v>https://www.recaap.org/alerts</x:v>
      </x:c>
      <x:c r="AB439" s="42" t="str">
        <x:v>Needs canonical event resolution</x:v>
      </x:c>
      <x:c r="AC439" s="42" t="str">
        <x:v>Flag: PANAMA</x:v>
      </x:c>
    </x:row>
    <x:row r="440">
      <x:c r="A440" s="42" t="str">
        <x:v>OBS_000439</x:v>
      </x:c>
      <x:c r="B440" s="42" t="str"/>
      <x:c r="C440" s="42" t="str">
        <x:v>recaap_incidents_2024_2026</x:v>
      </x:c>
      <x:c r="D440" s="42" t="str">
        <x:v>2025-122</x:v>
      </x:c>
      <x:c r="E440" s="42" t="str">
        <x:v>2025-01-29</x:v>
      </x:c>
      <x:c r="F440" s="42" t="str">
        <x:v>Maritime Crime</x:v>
      </x:c>
      <x:c r="G440" s="42" t="str">
        <x:v>Robbery/ Theft</x:v>
      </x:c>
      <x:c r="H440" s="42" t="str">
        <x:v>4</x:v>
      </x:c>
      <x:c r="I440" s="42" t="str">
        <x:v>Maritime</x:v>
      </x:c>
      <x:c r="J440" s="42" t="str">
        <x:v>Straits of Malacca &amp; Singapore</x:v>
      </x:c>
      <x:c r="K440" s="42" t="str"/>
      <x:c r="L440" s="42" t="str">
        <x:v>Approximately 2.1 nm north of Pulau Cula (Indonesia), in the eastbound lane of the TSS</x:v>
      </x:c>
      <x:c r="M440" s="42" t="str">
        <x:v>1.076667</x:v>
      </x:c>
      <x:c r="N440" s="42" t="str">
        <x:v>103.703333</x:v>
      </x:c>
      <x:c r="O440" s="42" t="str">
        <x:v>Manali</x:v>
      </x:c>
      <x:c r="P440" s="42" t="str"/>
      <x:c r="Q440" s="42" t="str">
        <x:v>BULK CARRIER</x:v>
      </x:c>
      <x:c r="R440" s="42" t="str"/>
      <x:c r="S440" s="42" t="str">
        <x:v>While underway, a perpetrator was sighted in the engine room. The emergency alarm was raised and all crew mustered for safety at their designated citadel. A security search was conducted with no further sighting of perpetrators. The crew was not injured. Some engine spares were stolen. The incident was reported to Singapore VTIS West. Safety broadcast on anti-piracy watch was initiated to warn all vessels to maintain a vigilant watch at all times in the SS. The RSN’s MSTF and Singapore PCG were notified of the incident. The PCG boarded the ship upon her arrival at Singapore anchorage, conducted a search, and no perpetrators were found onboard. Information of the incident was shared with the Indonesian authorities.</x:v>
      </x:c>
      <x:c r="T440" s="42" t="str"/>
      <x:c r="U440" s="42" t="str"/>
      <x:c r="V440" s="42" t="str"/>
      <x:c r="W440" s="42" t="str">
        <x:v>While Sailing</x:v>
      </x:c>
      <x:c r="X440" s="42" t="str"/>
      <x:c r="Y440" s="42" t="str"/>
      <x:c r="Z440" s="42" t="str"/>
      <x:c r="AA440" s="42" t="str">
        <x:v>https://www.recaap.org/alerts</x:v>
      </x:c>
      <x:c r="AB440" s="42" t="str">
        <x:v>Needs canonical event resolution</x:v>
      </x:c>
      <x:c r="AC440" s="42" t="str">
        <x:v>Flag: PANAMA</x:v>
      </x:c>
    </x:row>
    <x:row r="441">
      <x:c r="A441" s="42" t="str">
        <x:v>OBS_000440</x:v>
      </x:c>
      <x:c r="B441" s="42" t="str"/>
      <x:c r="C441" s="42" t="str">
        <x:v>recaap_incidents_2024_2026</x:v>
      </x:c>
      <x:c r="D441" s="42" t="str">
        <x:v>2025-123</x:v>
      </x:c>
      <x:c r="E441" s="42" t="str">
        <x:v>2025-01-28</x:v>
      </x:c>
      <x:c r="F441" s="42" t="str">
        <x:v>Maritime Crime</x:v>
      </x:c>
      <x:c r="G441" s="42" t="str">
        <x:v>Robbery/ Theft</x:v>
      </x:c>
      <x:c r="H441" s="42" t="str">
        <x:v>3</x:v>
      </x:c>
      <x:c r="I441" s="42" t="str">
        <x:v>Maritime</x:v>
      </x:c>
      <x:c r="J441" s="42" t="str">
        <x:v>Straits of Malacca &amp; Singapore</x:v>
      </x:c>
      <x:c r="K441" s="42" t="str"/>
      <x:c r="L441" s="42" t="str">
        <x:v>Approximately 1.4 nm west of Helen Mar Reef (Indonesia), in the eastbound lane of the TSS</x:v>
      </x:c>
      <x:c r="M441" s="42" t="str">
        <x:v>1.131667</x:v>
      </x:c>
      <x:c r="N441" s="42" t="str">
        <x:v>103.753333</x:v>
      </x:c>
      <x:c r="O441" s="42" t="str">
        <x:v>Bristol</x:v>
      </x:c>
      <x:c r="P441" s="42" t="str"/>
      <x:c r="Q441" s="42" t="str">
        <x:v>TANKER</x:v>
      </x:c>
      <x:c r="R441" s="42" t="str"/>
      <x:c r="S441" s="42" t="str">
        <x:v>While underway, two perpetrators with knives were sighted onboard in the vicinity of the starboard quarter. Upon raising the emergency alarm, the perpetrators escaped. A security search was conducted with no further sightings of the perpetrators. The crew was not injured. Nothing was stolen. The incident was reported to Singapore VTIS Central. Safety broadcast on anti-piracy watch was initiated to warn all vessels to maintain a vigilant watch at all times in the SS. The RSN’s MSTF and PCG were notified of the incident. The PCG boarded the ship upon her arrival at Singapore anchorage, conducted a search, and no perpetrators were found onboard. Information of the incident was shared with the Indonesian authorities.</x:v>
      </x:c>
      <x:c r="T441" s="42" t="str"/>
      <x:c r="U441" s="42" t="str"/>
      <x:c r="V441" s="42" t="str"/>
      <x:c r="W441" s="42" t="str">
        <x:v>While Sailing</x:v>
      </x:c>
      <x:c r="X441" s="42" t="str"/>
      <x:c r="Y441" s="42" t="str"/>
      <x:c r="Z441" s="42" t="str"/>
      <x:c r="AA441" s="42" t="str">
        <x:v>https://www.recaap.org/alerts</x:v>
      </x:c>
      <x:c r="AB441" s="42" t="str">
        <x:v>Needs canonical event resolution</x:v>
      </x:c>
      <x:c r="AC441" s="42" t="str">
        <x:v>Flag: GREECE</x:v>
      </x:c>
    </x:row>
    <x:row r="442">
      <x:c r="A442" s="42" t="str">
        <x:v>OBS_000441</x:v>
      </x:c>
      <x:c r="B442" s="42" t="str"/>
      <x:c r="C442" s="42" t="str">
        <x:v>recaap_incidents_2024_2026</x:v>
      </x:c>
      <x:c r="D442" s="42" t="str">
        <x:v>2025-124</x:v>
      </x:c>
      <x:c r="E442" s="42" t="str">
        <x:v>2025-01-27</x:v>
      </x:c>
      <x:c r="F442" s="42" t="str">
        <x:v>Maritime Crime</x:v>
      </x:c>
      <x:c r="G442" s="42" t="str">
        <x:v>Robbery/ Theft</x:v>
      </x:c>
      <x:c r="H442" s="42" t="str">
        <x:v>4</x:v>
      </x:c>
      <x:c r="I442" s="42" t="str">
        <x:v>Maritime</x:v>
      </x:c>
      <x:c r="J442" s="42" t="str">
        <x:v>India (Ports/Anchorages)</x:v>
      </x:c>
      <x:c r="K442" s="42" t="str"/>
      <x:c r="L442" s="42" t="str">
        <x:v>OPL Kakinada, India</x:v>
      </x:c>
      <x:c r="M442" s="42" t="str">
        <x:v>16.909167</x:v>
      </x:c>
      <x:c r="N442" s="42" t="str">
        <x:v>82.421167</x:v>
      </x:c>
      <x:c r="O442" s="42" t="str">
        <x:v>MT Success</x:v>
      </x:c>
      <x:c r="P442" s="42" t="str"/>
      <x:c r="Q442" s="42" t="str">
        <x:v>TANKER</x:v>
      </x:c>
      <x:c r="R442" s="42" t="str"/>
      <x:c r="S442" s="42" t="str">
        <x:v>At Anchor While at anchor, the duty AB sighted one perpetrator near forecastle area. The duty AB immediately informed the bridge, and the duty officer sounded the navigation horn repeatedly. On hearing the horn, the perpetrator jumped overboard, where another perpetrator waited in a boat. By the time the crew reached the forecastle area, the two perpetrators escaped in two unlit boats. Extra security watches were placed. The crew was not injured. Two loose mooring ropes were stolen. The incident was reported to Kakinada Port Control/ Pilot station, local agent and Coast Guard via email.</x:v>
      </x:c>
      <x:c r="T442" s="42" t="str"/>
      <x:c r="U442" s="42" t="str"/>
      <x:c r="V442" s="42" t="str"/>
      <x:c r="W442" s="42" t="str"/>
      <x:c r="X442" s="42" t="str"/>
      <x:c r="Y442" s="42" t="str"/>
      <x:c r="Z442" s="42" t="str"/>
      <x:c r="AA442" s="42" t="str">
        <x:v>https://www.recaap.org/alerts</x:v>
      </x:c>
      <x:c r="AB442" s="42" t="str">
        <x:v>Needs canonical event resolution</x:v>
      </x:c>
      <x:c r="AC442" s="42" t="str">
        <x:v>Flag: INDIA</x:v>
      </x:c>
    </x:row>
    <x:row r="443">
      <x:c r="A443" s="42" t="str">
        <x:v>OBS_000442</x:v>
      </x:c>
      <x:c r="B443" s="42" t="str"/>
      <x:c r="C443" s="42" t="str">
        <x:v>recaap_incidents_2024_2026</x:v>
      </x:c>
      <x:c r="D443" s="42" t="str">
        <x:v>2025-126</x:v>
      </x:c>
      <x:c r="E443" s="42" t="str">
        <x:v>2025-01-26</x:v>
      </x:c>
      <x:c r="F443" s="42" t="str">
        <x:v>Maritime Crime</x:v>
      </x:c>
      <x:c r="G443" s="42" t="str">
        <x:v>Robbery/ Theft</x:v>
      </x:c>
      <x:c r="H443" s="42" t="str">
        <x:v>4</x:v>
      </x:c>
      <x:c r="I443" s="42" t="str">
        <x:v>Maritime</x:v>
      </x:c>
      <x:c r="J443" s="42" t="str">
        <x:v>Straits of Malacca &amp; Singapore</x:v>
      </x:c>
      <x:c r="K443" s="42" t="str"/>
      <x:c r="L443" s="42" t="str">
        <x:v>Approximately 3.2 nm west of Pulau Cula (Indonesia), in the eastbound lane of the TSS</x:v>
      </x:c>
      <x:c r="M443" s="42" t="str">
        <x:v>1.053333</x:v>
      </x:c>
      <x:c r="N443" s="42" t="str">
        <x:v>103.661667</x:v>
      </x:c>
      <x:c r="O443" s="42" t="str">
        <x:v>Shidai 9</x:v>
      </x:c>
      <x:c r="P443" s="42" t="str"/>
      <x:c r="Q443" s="42" t="str">
        <x:v>BULK CARRIER</x:v>
      </x:c>
      <x:c r="R443" s="42" t="str"/>
      <x:c r="S443" s="42" t="str">
        <x:v>While underway, five perpetrators were sighted on the poop deck. The alarm was raised and all crew mustered to conduct a search. No perpetrator was found onboard. All crew members were accounted for with no injuries. Nothing was stolen. The incident was reported to Singapore VTIS West. Safety broadcast was initiated. RSN and PCG were notified of the incident. PCG boarded the ship upon her arrival at the anchorage. A search was conducted and no perpetrator was found. Information of the incident was shared with the Indonesian authorities.</x:v>
      </x:c>
      <x:c r="T443" s="42" t="str"/>
      <x:c r="U443" s="42" t="str"/>
      <x:c r="V443" s="42" t="str"/>
      <x:c r="W443" s="42" t="str">
        <x:v>While Sailing</x:v>
      </x:c>
      <x:c r="X443" s="42" t="str"/>
      <x:c r="Y443" s="42" t="str"/>
      <x:c r="Z443" s="42" t="str"/>
      <x:c r="AA443" s="42" t="str">
        <x:v>https://www.recaap.org/alerts</x:v>
      </x:c>
      <x:c r="AB443" s="42" t="str">
        <x:v>Needs canonical event resolution</x:v>
      </x:c>
      <x:c r="AC443" s="42" t="str">
        <x:v>Flag: CHINA</x:v>
      </x:c>
    </x:row>
    <x:row r="444">
      <x:c r="A444" s="42" t="str">
        <x:v>OBS_000443</x:v>
      </x:c>
      <x:c r="B444" s="42" t="str"/>
      <x:c r="C444" s="42" t="str">
        <x:v>recaap_incidents_2024_2026</x:v>
      </x:c>
      <x:c r="D444" s="42" t="str">
        <x:v>2025-125</x:v>
      </x:c>
      <x:c r="E444" s="42" t="str">
        <x:v>2025-01-26</x:v>
      </x:c>
      <x:c r="F444" s="42" t="str">
        <x:v>Maritime Crime</x:v>
      </x:c>
      <x:c r="G444" s="42" t="str">
        <x:v>Robbery/ Theft</x:v>
      </x:c>
      <x:c r="H444" s="42" t="str">
        <x:v>3</x:v>
      </x:c>
      <x:c r="I444" s="42" t="str">
        <x:v>Maritime</x:v>
      </x:c>
      <x:c r="J444" s="42" t="str">
        <x:v>Straits of Malacca &amp; Singapore</x:v>
      </x:c>
      <x:c r="K444" s="42" t="str"/>
      <x:c r="L444" s="42" t="str">
        <x:v>Approximately 2.7 nm west of Pulau Cula (Indonesia), in the eastbound lane of the TSS</x:v>
      </x:c>
      <x:c r="M444" s="42" t="str">
        <x:v>1.055</x:v>
      </x:c>
      <x:c r="N444" s="42" t="str">
        <x:v>103.67</x:v>
      </x:c>
      <x:c r="O444" s="42" t="str">
        <x:v>Asian Enterprise</x:v>
      </x:c>
      <x:c r="P444" s="42" t="str"/>
      <x:c r="Q444" s="42" t="str">
        <x:v>GENERAL CARGO</x:v>
      </x:c>
      <x:c r="R444" s="42" t="str"/>
      <x:c r="S444" s="42" t="str">
        <x:v>While underway, two perpetrators with a gun-like object were sighted on the poop deck. The general alarm was raised and all crew mustered to conduct a search. No perpetrator was found onboard. All crew members were accounted for with no injuries. Some engine spares were stolen. The incident was reported to Singapore VTIS West. Safety broadcast was initiated. The RSN and PCG were notified of the incident. PCG boarded the ship upon her arrival at the anchorage. A search was conducted and no perpetrator was found. Information of the incident was shared with the Indonesian authorities.</x:v>
      </x:c>
      <x:c r="T444" s="42" t="str"/>
      <x:c r="U444" s="42" t="str"/>
      <x:c r="V444" s="42" t="str"/>
      <x:c r="W444" s="42" t="str">
        <x:v>While Sailing</x:v>
      </x:c>
      <x:c r="X444" s="42" t="str"/>
      <x:c r="Y444" s="42" t="str"/>
      <x:c r="Z444" s="42" t="str"/>
      <x:c r="AA444" s="42" t="str">
        <x:v>https://www.recaap.org/alerts</x:v>
      </x:c>
      <x:c r="AB444" s="42" t="str">
        <x:v>Needs canonical event resolution</x:v>
      </x:c>
      <x:c r="AC444" s="42" t="str">
        <x:v>Flag: SAINT KITTS AND NEVIS</x:v>
      </x:c>
    </x:row>
    <x:row r="445">
      <x:c r="A445" s="42" t="str">
        <x:v>OBS_000444</x:v>
      </x:c>
      <x:c r="B445" s="42" t="str"/>
      <x:c r="C445" s="42" t="str">
        <x:v>recaap_incidents_2024_2026</x:v>
      </x:c>
      <x:c r="D445" s="42" t="str">
        <x:v>2025-127</x:v>
      </x:c>
      <x:c r="E445" s="42" t="str">
        <x:v>2025-01-24</x:v>
      </x:c>
      <x:c r="F445" s="42" t="str">
        <x:v>Maritime Crime</x:v>
      </x:c>
      <x:c r="G445" s="42" t="str">
        <x:v>Robbery/ Theft</x:v>
      </x:c>
      <x:c r="H445" s="42" t="str">
        <x:v>4</x:v>
      </x:c>
      <x:c r="I445" s="42" t="str">
        <x:v>Maritime</x:v>
      </x:c>
      <x:c r="J445" s="42" t="str">
        <x:v>Indonesia (Ports/Anchorages)</x:v>
      </x:c>
      <x:c r="K445" s="42" t="str"/>
      <x:c r="L445" s="42" t="str">
        <x:v>Balikpapan Anchorage, Indonesia</x:v>
      </x:c>
      <x:c r="M445" s="42" t="str">
        <x:v>-1.365</x:v>
      </x:c>
      <x:c r="N445" s="42" t="str">
        <x:v>116.978333</x:v>
      </x:c>
      <x:c r="O445" s="42" t="str">
        <x:v>Chinook</x:v>
      </x:c>
      <x:c r="P445" s="42" t="str"/>
      <x:c r="Q445" s="42" t="str">
        <x:v>BULK CARRIER</x:v>
      </x:c>
      <x:c r="R445" s="42" t="str"/>
      <x:c r="S445" s="42" t="str">
        <x:v>At Anchor While at anchor, the crew sighted a perpetrator climbing the anchor chain, with another six perpetrators in a small wooden boat that is fastened to the anchor chain. The crew conducted a search onboard, and found footprints in the vicinity of the bosun store. The padlocks of bosun store/rope store, carpenter room and hydraulic room were damaged. Additional security measures and patrol on deck were deployed. The crew was not injured and nothing was stolen. The incident was reported to Balikpapan VTS Indonesia. Patrol boat was deployed at the vicinity of the incident area.</x:v>
      </x:c>
      <x:c r="T445" s="42" t="str"/>
      <x:c r="U445" s="42" t="str"/>
      <x:c r="V445" s="42" t="str"/>
      <x:c r="W445" s="42" t="str"/>
      <x:c r="X445" s="42" t="str"/>
      <x:c r="Y445" s="42" t="str"/>
      <x:c r="Z445" s="42" t="str"/>
      <x:c r="AA445" s="42" t="str">
        <x:v>https://www.recaap.org/alerts</x:v>
      </x:c>
      <x:c r="AB445" s="42" t="str">
        <x:v>Needs canonical event resolution</x:v>
      </x:c>
      <x:c r="AC445" s="42" t="str">
        <x:v>Flag: PANAMA</x:v>
      </x:c>
    </x:row>
    <x:row r="446">
      <x:c r="A446" s="42" t="str">
        <x:v>OBS_000445</x:v>
      </x:c>
      <x:c r="B446" s="42" t="str"/>
      <x:c r="C446" s="42" t="str">
        <x:v>recaap_incidents_2024_2026</x:v>
      </x:c>
      <x:c r="D446" s="42" t="str">
        <x:v>2025-128</x:v>
      </x:c>
      <x:c r="E446" s="42" t="str">
        <x:v>2025-01-22</x:v>
      </x:c>
      <x:c r="F446" s="42" t="str">
        <x:v>Maritime Crime</x:v>
      </x:c>
      <x:c r="G446" s="42" t="str">
        <x:v>Robbery/ Theft</x:v>
      </x:c>
      <x:c r="H446" s="42" t="str">
        <x:v>3</x:v>
      </x:c>
      <x:c r="I446" s="42" t="str">
        <x:v>Maritime</x:v>
      </x:c>
      <x:c r="J446" s="42" t="str">
        <x:v>Straits of Malacca &amp; Singapore</x:v>
      </x:c>
      <x:c r="K446" s="42" t="str"/>
      <x:c r="L446" s="42" t="str">
        <x:v>Approximately 6.1 nm west of Pulau Cula (Indonesia), in the eastbound lane of the TSS</x:v>
      </x:c>
      <x:c r="M446" s="42" t="str">
        <x:v>1.065</x:v>
      </x:c>
      <x:c r="N446" s="42" t="str">
        <x:v>103.611667</x:v>
      </x:c>
      <x:c r="O446" s="42" t="str">
        <x:v>Delfin</x:v>
      </x:c>
      <x:c r="P446" s="42" t="str"/>
      <x:c r="Q446" s="42" t="str">
        <x:v>BULK CARRIER</x:v>
      </x:c>
      <x:c r="R446" s="42" t="str"/>
      <x:c r="S446" s="42" t="str">
        <x:v>While underway, five to six perpetrators with gun-like objects and knives were sighted in the engine room. The alarm was raised and a search was conducted. No perpetrator was found onboard. All crew members were accounted for with no injuries. Some generator parts were found missing. The incident was reported to Singapore VTIS West. Safety broadcast was initiated. RSN and PCG were notified of the incident. PCG boarded the ship upon her arrival at the anchorage. No perpetrator was found. Information of the incident was shared with the Indonesian authorities.</x:v>
      </x:c>
      <x:c r="T446" s="42" t="str"/>
      <x:c r="U446" s="42" t="str"/>
      <x:c r="V446" s="42" t="str"/>
      <x:c r="W446" s="42" t="str">
        <x:v>While Sailing</x:v>
      </x:c>
      <x:c r="X446" s="42" t="str"/>
      <x:c r="Y446" s="42" t="str"/>
      <x:c r="Z446" s="42" t="str"/>
      <x:c r="AA446" s="42" t="str">
        <x:v>https://www.recaap.org/alerts</x:v>
      </x:c>
      <x:c r="AB446" s="42" t="str">
        <x:v>Needs canonical event resolution</x:v>
      </x:c>
      <x:c r="AC446" s="42" t="str">
        <x:v>Flag: PORTUGAL</x:v>
      </x:c>
    </x:row>
    <x:row r="447">
      <x:c r="A447" s="42" t="str">
        <x:v>OBS_000446</x:v>
      </x:c>
      <x:c r="B447" s="42" t="str"/>
      <x:c r="C447" s="42" t="str">
        <x:v>recaap_incidents_2024_2026</x:v>
      </x:c>
      <x:c r="D447" s="42" t="str">
        <x:v>2025-129</x:v>
      </x:c>
      <x:c r="E447" s="42" t="str">
        <x:v>2025-01-19</x:v>
      </x:c>
      <x:c r="F447" s="42" t="str">
        <x:v>Maritime Crime</x:v>
      </x:c>
      <x:c r="G447" s="42" t="str">
        <x:v>Robbery/ Theft</x:v>
      </x:c>
      <x:c r="H447" s="42" t="str">
        <x:v>2</x:v>
      </x:c>
      <x:c r="I447" s="42" t="str">
        <x:v>Maritime</x:v>
      </x:c>
      <x:c r="J447" s="42" t="str">
        <x:v>Straits of Malacca &amp; Singapore</x:v>
      </x:c>
      <x:c r="K447" s="42" t="str"/>
      <x:c r="L447" s="42" t="str">
        <x:v>Approximately 3.7 nm west of Batu Berhanti (Indonesia), in the eastbound lane of the TSS</x:v>
      </x:c>
      <x:c r="M447" s="42" t="str">
        <x:v>1.1775</x:v>
      </x:c>
      <x:c r="N447" s="42" t="str">
        <x:v>103.822</x:v>
      </x:c>
      <x:c r="O447" s="42" t="str">
        <x:v>Golden Calvus</x:v>
      </x:c>
      <x:c r="P447" s="42" t="str"/>
      <x:c r="Q447" s="42" t="str">
        <x:v>BULK CARRIER</x:v>
      </x:c>
      <x:c r="R447" s="42" t="str"/>
      <x:c r="S447" s="42" t="str">
        <x:v>While underway, six perpetrators with parangs were sighted in the engine room. The master raised alarm and all crew mustered to conduct a search with no sighting of the perpetrators. The Chief Engineer’s hands were tied with rubber tubing and therefore experienced pain in the wrists. Some engine spares were stolen. The master reported the incident to Singapore VTIS. Safety broadcasts on anti-piracy watch were initiated to warn all ships to maintain a vigilant watch at all times in the Singapore Strait. The RSN’s MSTF and Singapore PCG were notified of the incident. The PCG boarded the ship at the anchorage upon her arrival at Singapore, conducted a search, but no perpetrators were found onboard. Information of the incident was shared with the Indonesian authorities.</x:v>
      </x:c>
      <x:c r="T447" s="42" t="str"/>
      <x:c r="U447" s="42" t="str"/>
      <x:c r="V447" s="42" t="str"/>
      <x:c r="W447" s="42" t="str">
        <x:v>While Sailing</x:v>
      </x:c>
      <x:c r="X447" s="42" t="str"/>
      <x:c r="Y447" s="42" t="str"/>
      <x:c r="Z447" s="42" t="str"/>
      <x:c r="AA447" s="42" t="str">
        <x:v>https://www.recaap.org/alerts</x:v>
      </x:c>
      <x:c r="AB447" s="42" t="str">
        <x:v>Needs canonical event resolution</x:v>
      </x:c>
      <x:c r="AC447" s="42" t="str">
        <x:v>Flag: MARSHALL ISLANDS</x:v>
      </x:c>
    </x:row>
    <x:row r="448">
      <x:c r="A448" s="42" t="str">
        <x:v>OBS_000447</x:v>
      </x:c>
      <x:c r="B448" s="42" t="str"/>
      <x:c r="C448" s="42" t="str">
        <x:v>recaap_incidents_2024_2026</x:v>
      </x:c>
      <x:c r="D448" s="42" t="str">
        <x:v>2025-130</x:v>
      </x:c>
      <x:c r="E448" s="42" t="str">
        <x:v>2025-01-17</x:v>
      </x:c>
      <x:c r="F448" s="42" t="str">
        <x:v>Maritime Crime</x:v>
      </x:c>
      <x:c r="G448" s="42" t="str">
        <x:v>Robbery/ Theft</x:v>
      </x:c>
      <x:c r="H448" s="42" t="str">
        <x:v>4</x:v>
      </x:c>
      <x:c r="I448" s="42" t="str">
        <x:v>Maritime</x:v>
      </x:c>
      <x:c r="J448" s="42" t="str">
        <x:v>Indonesia (Ports/Anchorages)</x:v>
      </x:c>
      <x:c r="K448" s="42" t="str"/>
      <x:c r="L448" s="42" t="str">
        <x:v>Belawan Anchorage Area No. 6, Indonesia</x:v>
      </x:c>
      <x:c r="M448" s="42" t="str">
        <x:v>3.93</x:v>
      </x:c>
      <x:c r="N448" s="42" t="str">
        <x:v>98.741667</x:v>
      </x:c>
      <x:c r="O448" s="42" t="str">
        <x:v>Golden Curl</x:v>
      </x:c>
      <x:c r="P448" s="42" t="str"/>
      <x:c r="Q448" s="42" t="str">
        <x:v>CHEMICAL TANKER</x:v>
      </x:c>
      <x:c r="R448" s="42" t="str"/>
      <x:c r="S448" s="42" t="str">
        <x:v>At Anchor While at anchor, a crew member spotted two perpetrators on port side main deck near accommodation area. The crew member immediately alerted the bridge of the incident and general alarm was sounded. The two perpetrators immediately jumped onto a boat waiting along the ship. Ropes with hook were used to board the ship. A search was conducted onboard. The crew was not injured. Some unsecured items onboard were stolen. The incident was reported to Belawan VTS.</x:v>
      </x:c>
      <x:c r="T448" s="42" t="str"/>
      <x:c r="U448" s="42" t="str"/>
      <x:c r="V448" s="42" t="str"/>
      <x:c r="W448" s="42" t="str"/>
      <x:c r="X448" s="42" t="str"/>
      <x:c r="Y448" s="42" t="str"/>
      <x:c r="Z448" s="42" t="str"/>
      <x:c r="AA448" s="42" t="str">
        <x:v>https://www.recaap.org/alerts</x:v>
      </x:c>
      <x:c r="AB448" s="42" t="str">
        <x:v>Needs canonical event resolution</x:v>
      </x:c>
      <x:c r="AC448" s="42" t="str">
        <x:v>Flag: SINGAPORE</x:v>
      </x:c>
    </x:row>
    <x:row r="449">
      <x:c r="A449" s="42" t="str">
        <x:v>OBS_000448</x:v>
      </x:c>
      <x:c r="B449" s="42" t="str"/>
      <x:c r="C449" s="42" t="str">
        <x:v>recaap_incidents_2024_2026</x:v>
      </x:c>
      <x:c r="D449" s="42" t="str">
        <x:v>2025-131</x:v>
      </x:c>
      <x:c r="E449" s="42" t="str">
        <x:v>2025-01-16</x:v>
      </x:c>
      <x:c r="F449" s="42" t="str">
        <x:v>Maritime Crime</x:v>
      </x:c>
      <x:c r="G449" s="42" t="str">
        <x:v>Robbery/ Theft</x:v>
      </x:c>
      <x:c r="H449" s="42" t="str">
        <x:v>3</x:v>
      </x:c>
      <x:c r="I449" s="42" t="str">
        <x:v>Maritime</x:v>
      </x:c>
      <x:c r="J449" s="42" t="str">
        <x:v>Straits of Malacca &amp; Singapore</x:v>
      </x:c>
      <x:c r="K449" s="42" t="str"/>
      <x:c r="L449" s="42" t="str">
        <x:v>Approximately 2.96 nm north of Pulau Cula (Indonesia), in the eastbound lane of the TSS</x:v>
      </x:c>
      <x:c r="M449" s="42" t="str">
        <x:v>1.088833</x:v>
      </x:c>
      <x:c r="N449" s="42" t="str">
        <x:v>103.720833</x:v>
      </x:c>
      <x:c r="O449" s="42" t="str">
        <x:v>Jolanda</x:v>
      </x:c>
      <x:c r="P449" s="42" t="str"/>
      <x:c r="Q449" s="42" t="str">
        <x:v>BULK CARRIER</x:v>
      </x:c>
      <x:c r="R449" s="42" t="str"/>
      <x:c r="S449" s="42" t="str">
        <x:v>While underway, the master reported to Singapore VTIS West that the 2nd Engineer saw two perpetrators with gun-like objects in the engine room. The master raised the alarm and mustered crew to conduct a search onboard. At about 0305 hrs, the master reported that search was completed, with no sighting of the perpetrators. Nothing was stolen. All crew members were accounted for, and there were no reported informed no further assistance was injuries. The master required. The ship was transiting from Suez, Egypt and proceeded with its voyage to Qingdao, China. Safety broadcasts on anti-piracy watch were initiated to warn all ships to maintain a vigilant watch at all times in the Singapore Strait. The RSN’s MSTF and Singapore PCG were notified of the incident. Information of the incident was shared with the Indonesian authorities.</x:v>
      </x:c>
      <x:c r="T449" s="42" t="str"/>
      <x:c r="U449" s="42" t="str"/>
      <x:c r="V449" s="42" t="str"/>
      <x:c r="W449" s="42" t="str">
        <x:v>While Sailing</x:v>
      </x:c>
      <x:c r="X449" s="42" t="str"/>
      <x:c r="Y449" s="42" t="str"/>
      <x:c r="Z449" s="42" t="str"/>
      <x:c r="AA449" s="42" t="str">
        <x:v>https://www.recaap.org/alerts</x:v>
      </x:c>
      <x:c r="AB449" s="42" t="str">
        <x:v>Needs canonical event resolution</x:v>
      </x:c>
      <x:c r="AC449" s="42" t="str">
        <x:v>Flag: LIBERIA</x:v>
      </x:c>
    </x:row>
    <x:row r="450">
      <x:c r="A450" s="42" t="str">
        <x:v>OBS_000449</x:v>
      </x:c>
      <x:c r="B450" s="42" t="str"/>
      <x:c r="C450" s="42" t="str">
        <x:v>recaap_incidents_2024_2026</x:v>
      </x:c>
      <x:c r="D450" s="42" t="str">
        <x:v>2025-132</x:v>
      </x:c>
      <x:c r="E450" s="42" t="str">
        <x:v>2025-01-09</x:v>
      </x:c>
      <x:c r="F450" s="42" t="str">
        <x:v>Maritime Crime</x:v>
      </x:c>
      <x:c r="G450" s="42" t="str">
        <x:v>Robbery/ Theft</x:v>
      </x:c>
      <x:c r="H450" s="42" t="str">
        <x:v>3</x:v>
      </x:c>
      <x:c r="I450" s="42" t="str">
        <x:v>Maritime</x:v>
      </x:c>
      <x:c r="J450" s="42" t="str">
        <x:v>Straits of Malacca &amp; Singapore</x:v>
      </x:c>
      <x:c r="K450" s="42" t="str"/>
      <x:c r="L450" s="42" t="str">
        <x:v>Approximately 6.4 nm northeast of Pulau Cula (Indonesia), in the eastbound lane of the TSS</x:v>
      </x:c>
      <x:c r="M450" s="42" t="str">
        <x:v>1.135167</x:v>
      </x:c>
      <x:c r="N450" s="42" t="str">
        <x:v>103.7635</x:v>
      </x:c>
      <x:c r="O450" s="42" t="str">
        <x:v>Trinity Island</x:v>
      </x:c>
      <x:c r="P450" s="42" t="str"/>
      <x:c r="Q450" s="42" t="str">
        <x:v>BULK CARRIER</x:v>
      </x:c>
      <x:c r="R450" s="42" t="str"/>
      <x:c r="S450" s="42" t="str">
        <x:v>While underway, the master reported to Singapore VTIS that six perpetrators with knives were sighted in the engine room. The alarm was raised and all ship crew mustered at the bridge. At about 0649 hrs, the master reported that search was completed, with no sighting of the perpetrators. Some engine spares were stolen. The crew was not injured. The ship was bound for PEBGB. A safety navigational broadcast was initiated. The RSN’s MSTF and Singapore PCG were notified of the incident. Information of the incident was shared with the Indonesian authorities. PCG boarded the ship at the anchorage after arrival at Singapore, conducted a search, and no perpetrators were found onboard.</x:v>
      </x:c>
      <x:c r="T450" s="42" t="str"/>
      <x:c r="U450" s="42" t="str"/>
      <x:c r="V450" s="42" t="str"/>
      <x:c r="W450" s="42" t="str">
        <x:v>While Sailing</x:v>
      </x:c>
      <x:c r="X450" s="42" t="str"/>
      <x:c r="Y450" s="42" t="str"/>
      <x:c r="Z450" s="42" t="str"/>
      <x:c r="AA450" s="42" t="str">
        <x:v>https://www.recaap.org/alerts</x:v>
      </x:c>
      <x:c r="AB450" s="42" t="str">
        <x:v>Needs canonical event resolution</x:v>
      </x:c>
      <x:c r="AC450" s="42" t="str">
        <x:v>Flag: HONG KONG, CHINA</x:v>
      </x:c>
    </x:row>
    <x:row r="451">
      <x:c r="A451" s="42" t="str">
        <x:v>OBS_000450</x:v>
      </x:c>
      <x:c r="B451" s="42" t="str"/>
      <x:c r="C451" s="42" t="str">
        <x:v>recaap_incidents_2024_2026</x:v>
      </x:c>
      <x:c r="D451" s="42" t="str">
        <x:v>2025-133</x:v>
      </x:c>
      <x:c r="E451" s="42" t="str">
        <x:v>2025-01-08</x:v>
      </x:c>
      <x:c r="F451" s="42" t="str">
        <x:v>Maritime Crime</x:v>
      </x:c>
      <x:c r="G451" s="42" t="str">
        <x:v>Robbery/ Theft</x:v>
      </x:c>
      <x:c r="H451" s="42" t="str">
        <x:v>2</x:v>
      </x:c>
      <x:c r="I451" s="42" t="str">
        <x:v>Maritime</x:v>
      </x:c>
      <x:c r="J451" s="42" t="str">
        <x:v>Straits of Malacca &amp; Singapore</x:v>
      </x:c>
      <x:c r="K451" s="42" t="str"/>
      <x:c r="L451" s="42" t="str">
        <x:v>Approximately 6 nm west of Pulau Cula (Indonesia), in the eastbound lane of the TSS</x:v>
      </x:c>
      <x:c r="M451" s="42" t="str">
        <x:v>1.065833</x:v>
      </x:c>
      <x:c r="N451" s="42" t="str">
        <x:v>103.613833</x:v>
      </x:c>
      <x:c r="O451" s="42" t="str">
        <x:v>Anabela</x:v>
      </x:c>
      <x:c r="P451" s="42" t="str"/>
      <x:c r="Q451" s="42" t="str">
        <x:v>BULK CARRIER</x:v>
      </x:c>
      <x:c r="R451" s="42" t="str"/>
      <x:c r="S451" s="42" t="str">
        <x:v>While underway, the master reported to VTIS West that four perpetrators with a gun were sighted in the engine room. The master raised the alarm and mustered crew to conduct a search onboard. At about 0515 hrs, the master reported that search was completed, with no sighting of the perpetrators. Nothing was stolen. All crew members were accounted for, and no injury to the crew was reported. The ship was transiting eastbound for PEBGB. A safety navigational broadcast was initiated. The RSN’s MSTF and Singapore PCG were notified of the incident. Information of the incident was shared with the Indonesian authorities. PCG boarded the ship at the anchorage after arrival at Singapore, conducted a search, and no perpetrators were found onboard.</x:v>
      </x:c>
      <x:c r="T451" s="42" t="str"/>
      <x:c r="U451" s="42" t="str"/>
      <x:c r="V451" s="42" t="str"/>
      <x:c r="W451" s="42" t="str">
        <x:v>While Sailing</x:v>
      </x:c>
      <x:c r="X451" s="42" t="str"/>
      <x:c r="Y451" s="42" t="str"/>
      <x:c r="Z451" s="42" t="str"/>
      <x:c r="AA451" s="42" t="str">
        <x:v>https://www.recaap.org/alerts</x:v>
      </x:c>
      <x:c r="AB451" s="42" t="str">
        <x:v>Needs canonical event resolution</x:v>
      </x:c>
      <x:c r="AC451" s="42" t="str">
        <x:v>Flag: LIBERIA</x:v>
      </x:c>
    </x:row>
    <x:row r="452">
      <x:c r="A452" s="42" t="str">
        <x:v>OBS_000451</x:v>
      </x:c>
      <x:c r="B452" s="42" t="str"/>
      <x:c r="C452" s="42" t="str">
        <x:v>recaap_incidents_2024_2026</x:v>
      </x:c>
      <x:c r="D452" s="42" t="str">
        <x:v>2024-1</x:v>
      </x:c>
      <x:c r="E452" s="42" t="str">
        <x:v>2024-12-29</x:v>
      </x:c>
      <x:c r="F452" s="42" t="str">
        <x:v>Maritime Crime</x:v>
      </x:c>
      <x:c r="G452" s="42" t="str">
        <x:v>Attempted</x:v>
      </x:c>
      <x:c r="H452" s="42" t="str">
        <x:v>NA</x:v>
      </x:c>
      <x:c r="I452" s="42" t="str">
        <x:v>Maritime</x:v>
      </x:c>
      <x:c r="J452" s="42" t="str">
        <x:v>Indonesia (Ports/Anchorages)</x:v>
      </x:c>
      <x:c r="K452" s="42" t="str"/>
      <x:c r="L452" s="42" t="str">
        <x:v>Medan Customary Anchorage, Indonesia</x:v>
      </x:c>
      <x:c r="M452" s="42" t="str">
        <x:v>3.9325</x:v>
      </x:c>
      <x:c r="N452" s="42" t="str">
        <x:v>98.739667</x:v>
      </x:c>
      <x:c r="O452" s="42" t="str">
        <x:v>Sandpiper Pacific</x:v>
      </x:c>
      <x:c r="P452" s="42" t="str"/>
      <x:c r="Q452" s="42" t="str">
        <x:v>PETROLEUM/ CHEMICAL TANKER</x:v>
      </x:c>
      <x:c r="R452" s="42" t="str"/>
      <x:c r="S452" s="42" t="str">
        <x:v>At Anchor While anchored, the crew on duty spotted three perpetrators in a small wooden boat, attempting to climb onboard the ship via anchor chain. The crew shouted at the perpetrators, who escaped immediately in their boat. Ship horn was also sounded to further deter the perpetrators. The master reported the incident to Belawan VTS.</x:v>
      </x:c>
      <x:c r="T452" s="42" t="str"/>
      <x:c r="U452" s="42" t="str"/>
      <x:c r="V452" s="42" t="str"/>
      <x:c r="W452" s="42" t="str"/>
      <x:c r="X452" s="42" t="str"/>
      <x:c r="Y452" s="42" t="str"/>
      <x:c r="Z452" s="42" t="str"/>
      <x:c r="AA452" s="42" t="str">
        <x:v>https://www.recaap.org/alerts</x:v>
      </x:c>
      <x:c r="AB452" s="42" t="str">
        <x:v>Needs canonical event resolution</x:v>
      </x:c>
      <x:c r="AC452" s="42" t="str">
        <x:v>Flag: SINGAPORE</x:v>
      </x:c>
    </x:row>
    <x:row r="453">
      <x:c r="A453" s="42" t="str">
        <x:v>OBS_000452</x:v>
      </x:c>
      <x:c r="B453" s="42" t="str"/>
      <x:c r="C453" s="42" t="str">
        <x:v>recaap_incidents_2024_2026</x:v>
      </x:c>
      <x:c r="D453" s="42" t="str">
        <x:v>2024-2</x:v>
      </x:c>
      <x:c r="E453" s="42" t="str">
        <x:v>2024-12-28</x:v>
      </x:c>
      <x:c r="F453" s="42" t="str">
        <x:v>Maritime Crime</x:v>
      </x:c>
      <x:c r="G453" s="42" t="str">
        <x:v>Robbery/ Theft</x:v>
      </x:c>
      <x:c r="H453" s="42" t="str">
        <x:v>3</x:v>
      </x:c>
      <x:c r="I453" s="42" t="str">
        <x:v>Maritime</x:v>
      </x:c>
      <x:c r="J453" s="42" t="str">
        <x:v>Straits of Malacca &amp; Singapore</x:v>
      </x:c>
      <x:c r="K453" s="42" t="str"/>
      <x:c r="L453" s="42" t="str">
        <x:v>Approximately 3.2 nm west of Pulau Cula (Indonesia), in the eastbound lane of the Traffic Separation Scheme (TSS)</x:v>
      </x:c>
      <x:c r="M453" s="42" t="str">
        <x:v>1.054667</x:v>
      </x:c>
      <x:c r="N453" s="42" t="str">
        <x:v>103.671167</x:v>
      </x:c>
      <x:c r="O453" s="42" t="str">
        <x:v>Rostrum Hedonist</x:v>
      </x:c>
      <x:c r="P453" s="42" t="str"/>
      <x:c r="Q453" s="42" t="str">
        <x:v>BULK CARRIER</x:v>
      </x:c>
      <x:c r="R453" s="42" t="str"/>
      <x:c r="S453" s="42" t="str">
        <x:v>T T T While underway, five perpetrators were sighted in the steering gear room, and one of them carried a gun-like object. he master raised the alarm and mustered the crew to conduct a search. No perpetrators were sighted and some engine spares were missing. There were no injuries to crew. he incident was reported to Singapore Vessel Traffic Information System (VTIS) West. A safety broadcast on anti- piracy watch was issued to warn all ships to maintain a vigilant watch at all times in the Singapore Strait. he Republic of Singapore Navy (RSN)’s Maritime Security Task Force (MSTF) and Singapore Police Coast Guard (PCG) were notified of the incident, The PCG boarded the ship upon her arrival in Singapore and conducted a search. No perpetrators were found onboard. Information of the incident was also shared with the Indonesian authorities.</x:v>
      </x:c>
      <x:c r="T453" s="42" t="str"/>
      <x:c r="U453" s="42" t="str"/>
      <x:c r="V453" s="42" t="str"/>
      <x:c r="W453" s="42" t="str">
        <x:v>While Sailing</x:v>
      </x:c>
      <x:c r="X453" s="42" t="str"/>
      <x:c r="Y453" s="42" t="str"/>
      <x:c r="Z453" s="42" t="str"/>
      <x:c r="AA453" s="42" t="str">
        <x:v>https://www.recaap.org/alerts</x:v>
      </x:c>
      <x:c r="AB453" s="42" t="str">
        <x:v>Needs canonical event resolution</x:v>
      </x:c>
      <x:c r="AC453" s="42" t="str">
        <x:v>Flag: LIBERIA</x:v>
      </x:c>
    </x:row>
    <x:row r="454">
      <x:c r="A454" s="42" t="str">
        <x:v>OBS_000453</x:v>
      </x:c>
      <x:c r="B454" s="42" t="str"/>
      <x:c r="C454" s="42" t="str">
        <x:v>recaap_incidents_2024_2026</x:v>
      </x:c>
      <x:c r="D454" s="42" t="str">
        <x:v>2024-3</x:v>
      </x:c>
      <x:c r="E454" s="42" t="str">
        <x:v>2024-12-22</x:v>
      </x:c>
      <x:c r="F454" s="42" t="str">
        <x:v>Maritime Crime</x:v>
      </x:c>
      <x:c r="G454" s="42" t="str">
        <x:v>Robbery/ Theft</x:v>
      </x:c>
      <x:c r="H454" s="42" t="str">
        <x:v>4</x:v>
      </x:c>
      <x:c r="I454" s="42" t="str">
        <x:v>Maritime</x:v>
      </x:c>
      <x:c r="J454" s="42" t="str">
        <x:v>Straits of Malacca &amp; Singapore</x:v>
      </x:c>
      <x:c r="K454" s="42" t="str"/>
      <x:c r="L454" s="42" t="str">
        <x:v>Approximately 3.2 nm west of Pulau Cula (Indonesia), in the eastbound lane of the TSS</x:v>
      </x:c>
      <x:c r="M454" s="42" t="str">
        <x:v>1.0625</x:v>
      </x:c>
      <x:c r="N454" s="42" t="str">
        <x:v>103.6635</x:v>
      </x:c>
      <x:c r="O454" s="42" t="str">
        <x:v>Front Eagle</x:v>
      </x:c>
      <x:c r="P454" s="42" t="str"/>
      <x:c r="Q454" s="42" t="str">
        <x:v>TANKER</x:v>
      </x:c>
      <x:c r="R454" s="42" t="str"/>
      <x:c r="S454" s="42" t="str">
        <x:v>T While underway, the engine crew sighted three perpetrators near the engine room of the ship. The master raised a general emergency alarm and mustered the crew to conduct a search onboard. No perpetrators were found and nothing was stolen. The crew was not injured and no further assistance was required. The ship resumed her voyage to Daesan, Republic of Korea. he master reported the incident to Singapore VTIS. Safety broadcasts on anti-piracy watch was initiated to warn all ships to maintain a vigilant watch at all times in the Singapore Strait. The RSN’s MSTF and Singapore PCG were notified of the incident. Information of the incident was shared with the Indonesian authorities.</x:v>
      </x:c>
      <x:c r="T454" s="42" t="str"/>
      <x:c r="U454" s="42" t="str"/>
      <x:c r="V454" s="42" t="str"/>
      <x:c r="W454" s="42" t="str">
        <x:v>While Sailing</x:v>
      </x:c>
      <x:c r="X454" s="42" t="str"/>
      <x:c r="Y454" s="42" t="str"/>
      <x:c r="Z454" s="42" t="str"/>
      <x:c r="AA454" s="42" t="str">
        <x:v>https://www.recaap.org/alerts</x:v>
      </x:c>
      <x:c r="AB454" s="42" t="str">
        <x:v>Needs canonical event resolution</x:v>
      </x:c>
      <x:c r="AC454" s="42" t="str">
        <x:v>Flag: LIBERIA</x:v>
      </x:c>
    </x:row>
    <x:row r="455">
      <x:c r="A455" s="42" t="str">
        <x:v>OBS_000454</x:v>
      </x:c>
      <x:c r="B455" s="42" t="str"/>
      <x:c r="C455" s="42" t="str">
        <x:v>recaap_incidents_2024_2026</x:v>
      </x:c>
      <x:c r="D455" s="42" t="str">
        <x:v>2024-4</x:v>
      </x:c>
      <x:c r="E455" s="42" t="str">
        <x:v>2024-12-21</x:v>
      </x:c>
      <x:c r="F455" s="42" t="str">
        <x:v>Maritime Crime</x:v>
      </x:c>
      <x:c r="G455" s="42" t="str">
        <x:v>Robbery/ Theft</x:v>
      </x:c>
      <x:c r="H455" s="42" t="str">
        <x:v>4</x:v>
      </x:c>
      <x:c r="I455" s="42" t="str">
        <x:v>Maritime</x:v>
      </x:c>
      <x:c r="J455" s="42" t="str">
        <x:v>Philippines (Ports/Anchorages)</x:v>
      </x:c>
      <x:c r="K455" s="42" t="str"/>
      <x:c r="L455" s="42" t="str">
        <x:v>Approximately 4 nm west off South Harbor Anchorage Area, Philippines</x:v>
      </x:c>
      <x:c r="M455" s="42" t="str">
        <x:v>14.5455</x:v>
      </x:c>
      <x:c r="N455" s="42" t="str">
        <x:v>120.868</x:v>
      </x:c>
      <x:c r="O455" s="42" t="str">
        <x:v>Seaspan Lumaco</x:v>
      </x:c>
      <x:c r="P455" s="42" t="str"/>
      <x:c r="Q455" s="42" t="str">
        <x:v>CONTAINER SHIP</x:v>
      </x:c>
      <x:c r="R455" s="42" t="str"/>
      <x:c r="S455" s="42" t="str">
        <x:v>A At Anchor While at anchor, four perpetrators boarded the ship. The duty roving sighted the perpetrators at deck forward near the boatswain store entrance, and immediately reported to the duty watch officer, who raised the alarm and reported to Vessel Traffic Management System (VTMS) Manila. The crew was mustered and proceeded to the location of the perpetrators but they had already escaped. Philippine Coast Guard (PCG) Maritime Patrol (MARPAT) team was dispatched to the location of the ship for investigation. The MARPAT team conducted a perimeter check around the ship twice, and confirmed that the perpetrators had already escaped. Further investigation revealed that nothing was stolen and the crew was not injured.</x:v>
      </x:c>
      <x:c r="T455" s="42" t="str"/>
      <x:c r="U455" s="42" t="str"/>
      <x:c r="V455" s="42" t="str"/>
      <x:c r="W455" s="42" t="str"/>
      <x:c r="X455" s="42" t="str"/>
      <x:c r="Y455" s="42" t="str"/>
      <x:c r="Z455" s="42" t="str"/>
      <x:c r="AA455" s="42" t="str">
        <x:v>https://www.recaap.org/alerts</x:v>
      </x:c>
      <x:c r="AB455" s="42" t="str">
        <x:v>Needs canonical event resolution</x:v>
      </x:c>
      <x:c r="AC455" s="42" t="str">
        <x:v>Flag: HONG KONG, CHINA</x:v>
      </x:c>
    </x:row>
    <x:row r="456">
      <x:c r="A456" s="42" t="str">
        <x:v>OBS_000455</x:v>
      </x:c>
      <x:c r="B456" s="42" t="str"/>
      <x:c r="C456" s="42" t="str">
        <x:v>recaap_incidents_2024_2026</x:v>
      </x:c>
      <x:c r="D456" s="42" t="str">
        <x:v>2024-5</x:v>
      </x:c>
      <x:c r="E456" s="42" t="str">
        <x:v>2024-12-19</x:v>
      </x:c>
      <x:c r="F456" s="42" t="str">
        <x:v>Maritime Crime</x:v>
      </x:c>
      <x:c r="G456" s="42" t="str">
        <x:v>Robbery/ Theft</x:v>
      </x:c>
      <x:c r="H456" s="42" t="str">
        <x:v>4</x:v>
      </x:c>
      <x:c r="I456" s="42" t="str">
        <x:v>Maritime</x:v>
      </x:c>
      <x:c r="J456" s="42" t="str">
        <x:v>Vietnam (Ports/Anchorages)</x:v>
      </x:c>
      <x:c r="K456" s="42" t="str"/>
      <x:c r="L456" s="42" t="str">
        <x:v>Vung Tau Anchorage, Ho Chi Minh City, Vietnam</x:v>
      </x:c>
      <x:c r="M456" s="42" t="str">
        <x:v>9.983333</x:v>
      </x:c>
      <x:c r="N456" s="42" t="str">
        <x:v>107.066667</x:v>
      </x:c>
      <x:c r="O456" s="42" t="str">
        <x:v>Nordmaas</x:v>
      </x:c>
      <x:c r="P456" s="42" t="str"/>
      <x:c r="Q456" s="42" t="str">
        <x:v>CONTAINER SHIP</x:v>
      </x:c>
      <x:c r="R456" s="42" t="str"/>
      <x:c r="S456" s="42" t="str">
        <x:v>T At Anchor While at anchor, an unknown number of perpetrators boarded the ship unnoticed, broke the padlock of paint store, stole 350 litres of paint and escaped. The crew on-duty discovered the theft after the perpetrators had left. Barefoot prints were later found around the deck. All crew members are reported to be safe. he CSO was notified of the incident, and the incident was reported to the local authorities, who boarded the ship for investigation.</x:v>
      </x:c>
      <x:c r="T456" s="42" t="str"/>
      <x:c r="U456" s="42" t="str"/>
      <x:c r="V456" s="42" t="str"/>
      <x:c r="W456" s="42" t="str"/>
      <x:c r="X456" s="42" t="str"/>
      <x:c r="Y456" s="42" t="str"/>
      <x:c r="Z456" s="42" t="str"/>
      <x:c r="AA456" s="42" t="str">
        <x:v>https://www.recaap.org/alerts</x:v>
      </x:c>
      <x:c r="AB456" s="42" t="str">
        <x:v>Needs canonical event resolution</x:v>
      </x:c>
      <x:c r="AC456" s="42" t="str">
        <x:v>Flag: CYPRUS</x:v>
      </x:c>
    </x:row>
    <x:row r="457">
      <x:c r="A457" s="42" t="str">
        <x:v>OBS_000456</x:v>
      </x:c>
      <x:c r="B457" s="42" t="str"/>
      <x:c r="C457" s="42" t="str">
        <x:v>recaap_incidents_2024_2026</x:v>
      </x:c>
      <x:c r="D457" s="42" t="str">
        <x:v>2024-6</x:v>
      </x:c>
      <x:c r="E457" s="42" t="str">
        <x:v>2024-12-17</x:v>
      </x:c>
      <x:c r="F457" s="42" t="str">
        <x:v>Maritime Crime</x:v>
      </x:c>
      <x:c r="G457" s="42" t="str">
        <x:v>Robbery/ Theft</x:v>
      </x:c>
      <x:c r="H457" s="42" t="str">
        <x:v>3</x:v>
      </x:c>
      <x:c r="I457" s="42" t="str">
        <x:v>Maritime</x:v>
      </x:c>
      <x:c r="J457" s="42" t="str">
        <x:v>Straits of Malacca &amp; Singapore</x:v>
      </x:c>
      <x:c r="K457" s="42" t="str"/>
      <x:c r="L457" s="42" t="str">
        <x:v>Approximately 2.5 nm northwest of Pulau Cula (Indonesia), in the eastbound lane of the TSS</x:v>
      </x:c>
      <x:c r="M457" s="42" t="str">
        <x:v>1.080167</x:v>
      </x:c>
      <x:c r="N457" s="42" t="str">
        <x:v>103.698333</x:v>
      </x:c>
      <x:c r="O457" s="42" t="str">
        <x:v>Cape Star</x:v>
      </x:c>
      <x:c r="P457" s="42" t="str"/>
      <x:c r="Q457" s="42" t="str">
        <x:v>BULK CARRIER</x:v>
      </x:c>
      <x:c r="R457" s="42" t="str"/>
      <x:c r="S457" s="42" t="str">
        <x:v>T While underway, the crew spotted four to five perpetrators, of which three perpetrators carried long knives and one perpetrator carried a gun-like object, in the engine room. The master raised the alarm and mustered the crew to conduct a search. No perpetrators were found and some engine spare parts were stolen. All crew members were accounted for, and there were no reported injuries. No further assistance was required. he master reported to Singapore VTIS. Safety broadcasts on anti-piracy watch was initiated to warn all ships to maintain a vigilant watch at all times in the Singapore Strait. The RSN’s MSTF and Singapore PCG were notified of the incident. Information of the incident was shared with the Indonesian authorities. Upon the ship’s arrival at Singapore anchorage, PCG boarded the ship, conducted a security search and found no perpetrators onboard.</x:v>
      </x:c>
      <x:c r="T457" s="42" t="str"/>
      <x:c r="U457" s="42" t="str"/>
      <x:c r="V457" s="42" t="str"/>
      <x:c r="W457" s="42" t="str">
        <x:v>While Sailing</x:v>
      </x:c>
      <x:c r="X457" s="42" t="str"/>
      <x:c r="Y457" s="42" t="str"/>
      <x:c r="Z457" s="42" t="str"/>
      <x:c r="AA457" s="42" t="str">
        <x:v>https://www.recaap.org/alerts</x:v>
      </x:c>
      <x:c r="AB457" s="42" t="str">
        <x:v>Needs canonical event resolution</x:v>
      </x:c>
      <x:c r="AC457" s="42" t="str">
        <x:v>Flag: HONG KONG, CHINA</x:v>
      </x:c>
    </x:row>
    <x:row r="458">
      <x:c r="A458" s="42" t="str">
        <x:v>OBS_000457</x:v>
      </x:c>
      <x:c r="B458" s="42" t="str"/>
      <x:c r="C458" s="42" t="str">
        <x:v>recaap_incidents_2024_2026</x:v>
      </x:c>
      <x:c r="D458" s="42" t="str">
        <x:v>2024-7</x:v>
      </x:c>
      <x:c r="E458" s="42" t="str">
        <x:v>2024-12-14</x:v>
      </x:c>
      <x:c r="F458" s="42" t="str">
        <x:v>Maritime Crime</x:v>
      </x:c>
      <x:c r="G458" s="42" t="str">
        <x:v>Robbery/ Theft</x:v>
      </x:c>
      <x:c r="H458" s="42" t="str">
        <x:v>3</x:v>
      </x:c>
      <x:c r="I458" s="42" t="str">
        <x:v>Maritime</x:v>
      </x:c>
      <x:c r="J458" s="42" t="str">
        <x:v>Straits of Malacca &amp; Singapore</x:v>
      </x:c>
      <x:c r="K458" s="42" t="str"/>
      <x:c r="L458" s="42" t="str">
        <x:v>Approximately 8.1 nm west of Pulau Cula (Indonesia), in the eastbound lane of the TSS</x:v>
      </x:c>
      <x:c r="M458" s="42" t="str">
        <x:v>1.075</x:v>
      </x:c>
      <x:c r="N458" s="42" t="str">
        <x:v>103.581667</x:v>
      </x:c>
      <x:c r="O458" s="42" t="str">
        <x:v>Honor Star</x:v>
      </x:c>
      <x:c r="P458" s="42" t="str"/>
      <x:c r="Q458" s="42" t="str">
        <x:v>BULK CARRIER</x:v>
      </x:c>
      <x:c r="R458" s="42" t="str"/>
      <x:c r="S458" s="42" t="str">
        <x:v>T While underway, the crew spotted six perpetrators armed with knives in the engine room. The master raised the alarm and mustered the crew to conduct a search. No perpetrators were found and some engine spare parts were stolen. All crew members were accounted for, and there were no reported injuries. No further assistance was required. he master reported the incident to Singapore VTIS West. Safety broadcasts on anti-piracy watch was initiated to warn all ships to maintain a vigilant watch at all times in the Singapore Strait. The RSN’s MSTF and Singapore PCG were notified of the incident. Information of the incident was shared with the Indonesian authorities.</x:v>
      </x:c>
      <x:c r="T458" s="42" t="str"/>
      <x:c r="U458" s="42" t="str"/>
      <x:c r="V458" s="42" t="str"/>
      <x:c r="W458" s="42" t="str">
        <x:v>While Sailing</x:v>
      </x:c>
      <x:c r="X458" s="42" t="str"/>
      <x:c r="Y458" s="42" t="str"/>
      <x:c r="Z458" s="42" t="str"/>
      <x:c r="AA458" s="42" t="str">
        <x:v>https://www.recaap.org/alerts</x:v>
      </x:c>
      <x:c r="AB458" s="42" t="str">
        <x:v>Needs canonical event resolution</x:v>
      </x:c>
      <x:c r="AC458" s="42" t="str">
        <x:v>Flag: PANAMA</x:v>
      </x:c>
    </x:row>
    <x:row r="459">
      <x:c r="A459" s="42" t="str">
        <x:v>OBS_000458</x:v>
      </x:c>
      <x:c r="B459" s="42" t="str"/>
      <x:c r="C459" s="42" t="str">
        <x:v>recaap_incidents_2024_2026</x:v>
      </x:c>
      <x:c r="D459" s="42" t="str">
        <x:v>2024-9</x:v>
      </x:c>
      <x:c r="E459" s="42" t="str">
        <x:v>2024-12-11</x:v>
      </x:c>
      <x:c r="F459" s="42" t="str">
        <x:v>Maritime Crime</x:v>
      </x:c>
      <x:c r="G459" s="42" t="str">
        <x:v>Robbery/ Theft</x:v>
      </x:c>
      <x:c r="H459" s="42" t="str">
        <x:v>3</x:v>
      </x:c>
      <x:c r="I459" s="42" t="str">
        <x:v>Maritime</x:v>
      </x:c>
      <x:c r="J459" s="42" t="str">
        <x:v>Straits of Malacca &amp; Singapore</x:v>
      </x:c>
      <x:c r="K459" s="42" t="str"/>
      <x:c r="L459" s="42" t="str">
        <x:v>Approximately 2.4 nm northwest of Pulau Cula (Indonesia), in the eastbound lane of the TSS</x:v>
      </x:c>
      <x:c r="M459" s="42" t="str">
        <x:v>1.075833</x:v>
      </x:c>
      <x:c r="N459" s="42" t="str">
        <x:v>103.693667</x:v>
      </x:c>
      <x:c r="O459" s="42" t="str">
        <x:v>Proteus Harvonne</x:v>
      </x:c>
      <x:c r="P459" s="42" t="str"/>
      <x:c r="Q459" s="42" t="str">
        <x:v>TANKER</x:v>
      </x:c>
      <x:c r="R459" s="42" t="str"/>
      <x:c r="S459" s="42" t="str">
        <x:v>M T S While underway and bound for Singapore port, the motorman was at the poop deck checking the funnel when he was attacked by a perpetrator armed with knife, while another perpetrator was trying to board the ship. The motorman managed to free himself from the perpetrator, ran to the engine control room and subsequently notified the bridge. aster raised the alarm and made announcement on PA system. All crew members mustered at muster stations and accounted for. The CSO was informed, and first aid was administered to the motorman. Two search parties were also activated to comb the ship, and a knife and bags were found on the main deck. Nothing was stolen. he incident was reported to Singapore MRCC and the ship subsequently anchored at Singapore Anchorage at 0530 hrs. The injured motorman was conveyed to the Singapore General Hospital, and is in a stable condition. ingapore MRCC initiated a navigational broadcast to alert mariners. Information of the incident was shared with the Indonesian authorities. Singapore PCG boarded the ship and investigation is ongoing.</x:v>
      </x:c>
      <x:c r="T459" s="42" t="str"/>
      <x:c r="U459" s="42" t="str"/>
      <x:c r="V459" s="42" t="str"/>
      <x:c r="W459" s="42" t="str">
        <x:v>While Sailing</x:v>
      </x:c>
      <x:c r="X459" s="42" t="str"/>
      <x:c r="Y459" s="42" t="str"/>
      <x:c r="Z459" s="42" t="str"/>
      <x:c r="AA459" s="42" t="str">
        <x:v>https://www.recaap.org/alerts</x:v>
      </x:c>
      <x:c r="AB459" s="42" t="str">
        <x:v>Needs canonical event resolution</x:v>
      </x:c>
      <x:c r="AC459" s="42" t="str">
        <x:v>Flag: SINGAPORE</x:v>
      </x:c>
    </x:row>
    <x:row r="460">
      <x:c r="A460" s="42" t="str">
        <x:v>OBS_000459</x:v>
      </x:c>
      <x:c r="B460" s="42" t="str"/>
      <x:c r="C460" s="42" t="str">
        <x:v>recaap_incidents_2024_2026</x:v>
      </x:c>
      <x:c r="D460" s="42" t="str">
        <x:v>2024-8</x:v>
      </x:c>
      <x:c r="E460" s="42" t="str">
        <x:v>2024-12-11</x:v>
      </x:c>
      <x:c r="F460" s="42" t="str">
        <x:v>Maritime Crime</x:v>
      </x:c>
      <x:c r="G460" s="42" t="str">
        <x:v>Robbery / Theft</x:v>
      </x:c>
      <x:c r="H460" s="42" t="str">
        <x:v>4</x:v>
      </x:c>
      <x:c r="I460" s="42" t="str">
        <x:v>Maritime</x:v>
      </x:c>
      <x:c r="J460" s="42" t="str">
        <x:v>South China Sea</x:v>
      </x:c>
      <x:c r="K460" s="42" t="str"/>
      <x:c r="L460" s="42" t="str">
        <x:v>Approximately 8.4 nm northeast from Horsburgh Lighthouse</x:v>
      </x:c>
      <x:c r="M460" s="42" t="str">
        <x:v>1.424167</x:v>
      </x:c>
      <x:c r="N460" s="42" t="str">
        <x:v>104.509167</x:v>
      </x:c>
      <x:c r="O460" s="42" t="str">
        <x:v>HK Tug 9 &amp; LKH 2882</x:v>
      </x:c>
      <x:c r="P460" s="42" t="str"/>
      <x:c r="Q460" s="42" t="str">
        <x:v>TUG BOAT &amp; BARGE</x:v>
      </x:c>
      <x:c r="R460" s="42" t="str"/>
      <x:c r="S460" s="42" t="str">
        <x:v>A A While the tug boat towing barge was enroute from Jurong Port, Singapore to Cigading, Indonesia, the master spotted four small boats, each carrying three to five persons, approaching the barge. The barge was carrying a cargo load of scrap metal. bout two to three perpetrators boarded the barge and transferred scrap metals from the barge to their boats. The master sounded the ship horn continuously and altered course to starboard heading towards Cigading. The perpetrators escaped immediately in their small boats. The crew was not injured. ll deck crew continued to perform deck lookout and sounded the ship horn to deter small boats from approaching.</x:v>
      </x:c>
      <x:c r="T460" s="42" t="str"/>
      <x:c r="U460" s="42" t="str"/>
      <x:c r="V460" s="42" t="str"/>
      <x:c r="W460" s="42" t="str">
        <x:v>While Sailing</x:v>
      </x:c>
      <x:c r="X460" s="42" t="str"/>
      <x:c r="Y460" s="42" t="str"/>
      <x:c r="Z460" s="42" t="str"/>
      <x:c r="AA460" s="42" t="str">
        <x:v>https://www.recaap.org/alerts</x:v>
      </x:c>
      <x:c r="AB460" s="42" t="str">
        <x:v>Needs canonical event resolution</x:v>
      </x:c>
      <x:c r="AC460" s="42" t="str">
        <x:v>Flag: SINGAPORE</x:v>
      </x:c>
    </x:row>
    <x:row r="461">
      <x:c r="A461" s="42" t="str">
        <x:v>OBS_000460</x:v>
      </x:c>
      <x:c r="B461" s="42" t="str"/>
      <x:c r="C461" s="42" t="str">
        <x:v>recaap_incidents_2024_2026</x:v>
      </x:c>
      <x:c r="D461" s="42" t="str">
        <x:v>2024-10</x:v>
      </x:c>
      <x:c r="E461" s="42" t="str">
        <x:v>2024-12-09</x:v>
      </x:c>
      <x:c r="F461" s="42" t="str">
        <x:v>Maritime Crime</x:v>
      </x:c>
      <x:c r="G461" s="42" t="str">
        <x:v>Robbery/ Theft</x:v>
      </x:c>
      <x:c r="H461" s="42" t="str">
        <x:v>4</x:v>
      </x:c>
      <x:c r="I461" s="42" t="str">
        <x:v>Maritime</x:v>
      </x:c>
      <x:c r="J461" s="42" t="str">
        <x:v>Straits of Malacca &amp; Singapore</x:v>
      </x:c>
      <x:c r="K461" s="42" t="str"/>
      <x:c r="L461" s="42" t="str">
        <x:v>Approximately 3.1 nm northwest of Pulau Cula (Indonesia), in the eastbound lane of the TSS</x:v>
      </x:c>
      <x:c r="M461" s="42" t="str">
        <x:v>1.058333</x:v>
      </x:c>
      <x:c r="N461" s="42" t="str">
        <x:v>103.663333</x:v>
      </x:c>
      <x:c r="O461" s="42" t="str">
        <x:v>Dalma</x:v>
      </x:c>
      <x:c r="P461" s="42" t="str"/>
      <x:c r="Q461" s="42" t="str">
        <x:v>TANKER</x:v>
      </x:c>
      <x:c r="R461" s="42" t="str"/>
      <x:c r="S461" s="42" t="str">
        <x:v>T While underway, the perpetrators boarded the ship unnoticed and stole one unit of breathing apparatus compressor. The padlock of the emergency generator room was cut and two fire hoses from the poop deck were rigged, assessed to be used to lower the compressor to a waiting boat. The crew was not injured. he master reported the incident to the International Maritime Bureau (IMB), Kuala Lumpur. Safety navigational broadcast was initiated. The RSN’s MSTF and Singapore PCG were notified of the incident.</x:v>
      </x:c>
      <x:c r="T461" s="42" t="str"/>
      <x:c r="U461" s="42" t="str"/>
      <x:c r="V461" s="42" t="str"/>
      <x:c r="W461" s="42" t="str">
        <x:v>While Sailing</x:v>
      </x:c>
      <x:c r="X461" s="42" t="str"/>
      <x:c r="Y461" s="42" t="str"/>
      <x:c r="Z461" s="42" t="str"/>
      <x:c r="AA461" s="42" t="str">
        <x:v>https://www.recaap.org/alerts</x:v>
      </x:c>
      <x:c r="AB461" s="42" t="str">
        <x:v>Needs canonical event resolution</x:v>
      </x:c>
      <x:c r="AC461" s="42" t="str">
        <x:v>Flag: LIBERIA</x:v>
      </x:c>
    </x:row>
    <x:row r="462">
      <x:c r="A462" s="42" t="str">
        <x:v>OBS_000461</x:v>
      </x:c>
      <x:c r="B462" s="42" t="str"/>
      <x:c r="C462" s="42" t="str">
        <x:v>recaap_incidents_2024_2026</x:v>
      </x:c>
      <x:c r="D462" s="42" t="str">
        <x:v>2024-12</x:v>
      </x:c>
      <x:c r="E462" s="42" t="str">
        <x:v>2024-12-07</x:v>
      </x:c>
      <x:c r="F462" s="42" t="str">
        <x:v>Maritime Crime</x:v>
      </x:c>
      <x:c r="G462" s="42" t="str">
        <x:v>Robbery/ Theft</x:v>
      </x:c>
      <x:c r="H462" s="42" t="str">
        <x:v>3</x:v>
      </x:c>
      <x:c r="I462" s="42" t="str">
        <x:v>Maritime</x:v>
      </x:c>
      <x:c r="J462" s="42" t="str">
        <x:v>Straits of Malacca &amp; Singapore</x:v>
      </x:c>
      <x:c r="K462" s="42" t="str"/>
      <x:c r="L462" s="42" t="str">
        <x:v>Approximately 2.8 nm northwest of Pulau Cula (Indonesia), in the eastbound lane of the TSS</x:v>
      </x:c>
      <x:c r="M462" s="42" t="str">
        <x:v>1.066667</x:v>
      </x:c>
      <x:c r="N462" s="42" t="str">
        <x:v>103.673333</x:v>
      </x:c>
      <x:c r="O462" s="42" t="str">
        <x:v>Genco Augustus</x:v>
      </x:c>
      <x:c r="P462" s="42" t="str"/>
      <x:c r="Q462" s="42" t="str">
        <x:v>BULK CARRIER</x:v>
      </x:c>
      <x:c r="R462" s="42" t="str"/>
      <x:c r="S462" s="42" t="str">
        <x:v>T While underway, the crew spotted six perpetrators armed with knives in the steering gear room. The master raised the alarm and crew mustered to conduct a search, but no perpetrator was found. All crew members were accounted for, and there were no reported injuries. Nothing was stolen. he master reported the incident to the Singapore VTIS. Safety navigational broadcast was initiated. The RSN’s MSTF and Singapore PCG were notified of the incident. PCG boarded the ship at Singapore Anchorage and conducted search but found no perpetrators. Information of the incident was shared with the Indonesian authorities.</x:v>
      </x:c>
      <x:c r="T462" s="42" t="str"/>
      <x:c r="U462" s="42" t="str"/>
      <x:c r="V462" s="42" t="str"/>
      <x:c r="W462" s="42" t="str">
        <x:v>While Sailing</x:v>
      </x:c>
      <x:c r="X462" s="42" t="str"/>
      <x:c r="Y462" s="42" t="str"/>
      <x:c r="Z462" s="42" t="str"/>
      <x:c r="AA462" s="42" t="str">
        <x:v>https://www.recaap.org/alerts</x:v>
      </x:c>
      <x:c r="AB462" s="42" t="str">
        <x:v>Needs canonical event resolution</x:v>
      </x:c>
      <x:c r="AC462" s="42" t="str">
        <x:v>Flag: MARSHALL ISLANDS</x:v>
      </x:c>
    </x:row>
    <x:row r="463">
      <x:c r="A463" s="42" t="str">
        <x:v>OBS_000462</x:v>
      </x:c>
      <x:c r="B463" s="42" t="str"/>
      <x:c r="C463" s="42" t="str">
        <x:v>recaap_incidents_2024_2026</x:v>
      </x:c>
      <x:c r="D463" s="42" t="str">
        <x:v>2024-11</x:v>
      </x:c>
      <x:c r="E463" s="42" t="str">
        <x:v>2024-12-07</x:v>
      </x:c>
      <x:c r="F463" s="42" t="str">
        <x:v>Maritime Crime</x:v>
      </x:c>
      <x:c r="G463" s="42" t="str">
        <x:v>Robbery/ Theft</x:v>
      </x:c>
      <x:c r="H463" s="42" t="str">
        <x:v>4</x:v>
      </x:c>
      <x:c r="I463" s="42" t="str">
        <x:v>Maritime</x:v>
      </x:c>
      <x:c r="J463" s="42" t="str">
        <x:v>Straits of Malacca &amp; Singapore</x:v>
      </x:c>
      <x:c r="K463" s="42" t="str"/>
      <x:c r="L463" s="42" t="str">
        <x:v>Approximately 3.1 nm northwest of Pulau Cula (Indonesia), in the eastbound lane of the TSS</x:v>
      </x:c>
      <x:c r="M463" s="42" t="str">
        <x:v>1.061</x:v>
      </x:c>
      <x:c r="N463" s="42" t="str">
        <x:v>103.664167</x:v>
      </x:c>
      <x:c r="O463" s="42" t="str">
        <x:v>Kyzikos</x:v>
      </x:c>
      <x:c r="P463" s="42" t="str"/>
      <x:c r="Q463" s="42" t="str">
        <x:v>BULK CARRIER</x:v>
      </x:c>
      <x:c r="R463" s="42" t="str"/>
      <x:c r="S463" s="42" t="str">
        <x:v>T While underway, the crew spotted eight unarmed perpetrators in the steering gear room. Master raised the alarm and mustered all crew to conduct search but no perpetrators were found. All crew members were accounted for, and there were no reported injuries. Some engine spare parts were stolen. he master reported the incident to the Singapore VTIS. Safety navigational broadcast was initiated. The RSN’s MSTF and Singapore PCG were notified of the incident. PCG boarded the ship at Singapore Anchorage and conducted search but found no perpetrators. Information of the incident was shared with the Indonesian authorities.</x:v>
      </x:c>
      <x:c r="T463" s="42" t="str"/>
      <x:c r="U463" s="42" t="str"/>
      <x:c r="V463" s="42" t="str"/>
      <x:c r="W463" s="42" t="str">
        <x:v>While Sailing</x:v>
      </x:c>
      <x:c r="X463" s="42" t="str"/>
      <x:c r="Y463" s="42" t="str"/>
      <x:c r="Z463" s="42" t="str"/>
      <x:c r="AA463" s="42" t="str">
        <x:v>https://www.recaap.org/alerts</x:v>
      </x:c>
      <x:c r="AB463" s="42" t="str">
        <x:v>Needs canonical event resolution</x:v>
      </x:c>
      <x:c r="AC463" s="42" t="str">
        <x:v>Flag: LIBERIA</x:v>
      </x:c>
    </x:row>
    <x:row r="464">
      <x:c r="A464" s="42" t="str">
        <x:v>OBS_000463</x:v>
      </x:c>
      <x:c r="B464" s="42" t="str"/>
      <x:c r="C464" s="42" t="str">
        <x:v>recaap_incidents_2024_2026</x:v>
      </x:c>
      <x:c r="D464" s="42" t="str">
        <x:v>2024-13</x:v>
      </x:c>
      <x:c r="E464" s="42" t="str">
        <x:v>2024-12-03</x:v>
      </x:c>
      <x:c r="F464" s="42" t="str">
        <x:v>Maritime Crime</x:v>
      </x:c>
      <x:c r="G464" s="42" t="str">
        <x:v>Attempted</x:v>
      </x:c>
      <x:c r="H464" s="42" t="str">
        <x:v>NA</x:v>
      </x:c>
      <x:c r="I464" s="42" t="str">
        <x:v>Maritime</x:v>
      </x:c>
      <x:c r="J464" s="42" t="str">
        <x:v>Indonesia (Ports/Anchorages)</x:v>
      </x:c>
      <x:c r="K464" s="42" t="str"/>
      <x:c r="L464" s="42" t="str">
        <x:v>Berth no. 112, Belawan, Indonesia</x:v>
      </x:c>
      <x:c r="M464" s="42" t="str">
        <x:v>3.788333</x:v>
      </x:c>
      <x:c r="N464" s="42" t="str">
        <x:v>98.7025</x:v>
      </x:c>
      <x:c r="O464" s="42" t="str">
        <x:v>Pac Alnath</x:v>
      </x:c>
      <x:c r="P464" s="42" t="str"/>
      <x:c r="Q464" s="42" t="str">
        <x:v>GENERAL CARGO SHIP</x:v>
      </x:c>
      <x:c r="R464" s="42" t="str"/>
      <x:c r="S464" s="42" t="str">
        <x:v>M While at berth during cargo operations, the Chief Officer noticed people talking from the port seaward side of the ship when he was conducting his rounds on deck. He saw a wooden boat with four perpetrators and a perpetrator attempting to climb onto the ship using a rope. The Chief Officer shouted at the perpetrators, who escaped immediately. The crew was not injured and nothing was stolen. aster and crew conducted a security debrief and implemented additional measures such as adding extra watchkeepers immediately.</x:v>
      </x:c>
      <x:c r="T464" s="42" t="str"/>
      <x:c r="U464" s="42" t="str"/>
      <x:c r="V464" s="42" t="str"/>
      <x:c r="W464" s="42" t="str">
        <x:v>At Berth</x:v>
      </x:c>
      <x:c r="X464" s="42" t="str"/>
      <x:c r="Y464" s="42" t="str"/>
      <x:c r="Z464" s="42" t="str"/>
      <x:c r="AA464" s="42" t="str">
        <x:v>https://www.recaap.org/alerts</x:v>
      </x:c>
      <x:c r="AB464" s="42" t="str">
        <x:v>Needs canonical event resolution</x:v>
      </x:c>
      <x:c r="AC464" s="42" t="str">
        <x:v>Flag: SINGAPORE</x:v>
      </x:c>
    </x:row>
    <x:row r="465">
      <x:c r="A465" s="42" t="str">
        <x:v>OBS_000464</x:v>
      </x:c>
      <x:c r="B465" s="42" t="str"/>
      <x:c r="C465" s="42" t="str">
        <x:v>recaap_incidents_2024_2026</x:v>
      </x:c>
      <x:c r="D465" s="42" t="str">
        <x:v>2024-14</x:v>
      </x:c>
      <x:c r="E465" s="42" t="str">
        <x:v>2024-12-02</x:v>
      </x:c>
      <x:c r="F465" s="42" t="str">
        <x:v>Maritime Crime</x:v>
      </x:c>
      <x:c r="G465" s="42" t="str">
        <x:v>Robbery/ Theft</x:v>
      </x:c>
      <x:c r="H465" s="42" t="str">
        <x:v>2</x:v>
      </x:c>
      <x:c r="I465" s="42" t="str">
        <x:v>Maritime</x:v>
      </x:c>
      <x:c r="J465" s="42" t="str">
        <x:v>Straits of Malacca &amp; Singapore</x:v>
      </x:c>
      <x:c r="K465" s="42" t="str"/>
      <x:c r="L465" s="42" t="str">
        <x:v>Approximately 6 nm northeast of Pulau Cula (Indonesia), in the eastbound lane of the TSS</x:v>
      </x:c>
      <x:c r="M465" s="42" t="str">
        <x:v>1.133667</x:v>
      </x:c>
      <x:c r="N465" s="42" t="str">
        <x:v>103.756667</x:v>
      </x:c>
      <x:c r="O465" s="42" t="str">
        <x:v>Sakizaya Miracle</x:v>
      </x:c>
      <x:c r="P465" s="42" t="str"/>
      <x:c r="Q465" s="42" t="str">
        <x:v>BULK CARRIER</x:v>
      </x:c>
      <x:c r="R465" s="42" t="str"/>
      <x:c r="S465" s="42" t="str">
        <x:v>T U While underway, the crew spotted about eight perpetrators, of whom four were armed with knives, in the engine control room. Master raised the alarm and mustered all crew to conduct search but no perpetrators were found. All crew members were accounted for, and there were no reported injuries. No further assistance was required. he master reported the incident to the Singapore VTIS. Safety navigational broadcast was initiated. The RSN’s MSTF and Singapore PCG were notified of the incident. Information of the incident was shared with the Indonesian authorities. pon the ship’s arrival at Singapore Anchorage, PCG boarded the ship, conducted a search onboard and found no perpetrators. PCG reported that a crew member’s legs and hands were tied by the perpetrators, and engine spare parts were reported missing.</x:v>
      </x:c>
      <x:c r="T465" s="42" t="str"/>
      <x:c r="U465" s="42" t="str"/>
      <x:c r="V465" s="42" t="str"/>
      <x:c r="W465" s="42" t="str">
        <x:v>While Sailing</x:v>
      </x:c>
      <x:c r="X465" s="42" t="str"/>
      <x:c r="Y465" s="42" t="str"/>
      <x:c r="Z465" s="42" t="str"/>
      <x:c r="AA465" s="42" t="str">
        <x:v>https://www.recaap.org/alerts</x:v>
      </x:c>
      <x:c r="AB465" s="42" t="str">
        <x:v>Needs canonical event resolution</x:v>
      </x:c>
      <x:c r="AC465" s="42" t="str">
        <x:v>Flag: PANAMA</x:v>
      </x:c>
    </x:row>
    <x:row r="466">
      <x:c r="A466" s="42" t="str">
        <x:v>OBS_000465</x:v>
      </x:c>
      <x:c r="B466" s="42" t="str"/>
      <x:c r="C466" s="42" t="str">
        <x:v>recaap_incidents_2024_2026</x:v>
      </x:c>
      <x:c r="D466" s="42" t="str">
        <x:v>2024-15</x:v>
      </x:c>
      <x:c r="E466" s="42" t="str">
        <x:v>2024-11-26</x:v>
      </x:c>
      <x:c r="F466" s="42" t="str">
        <x:v>Maritime Crime</x:v>
      </x:c>
      <x:c r="G466" s="42" t="str">
        <x:v>Robbery/ Theft</x:v>
      </x:c>
      <x:c r="H466" s="42" t="str">
        <x:v>4</x:v>
      </x:c>
      <x:c r="I466" s="42" t="str">
        <x:v>Maritime</x:v>
      </x:c>
      <x:c r="J466" s="42" t="str">
        <x:v>Straits of Malacca &amp; Singapore</x:v>
      </x:c>
      <x:c r="K466" s="42" t="str"/>
      <x:c r="L466" s="42" t="str">
        <x:v>Approximately 2.8 nm north from Pulau Cula (Indonesia), in the eastbound lane of the TSS</x:v>
      </x:c>
      <x:c r="M466" s="42" t="str">
        <x:v>1.086167</x:v>
      </x:c>
      <x:c r="N466" s="42" t="str">
        <x:v>103.727</x:v>
      </x:c>
      <x:c r="O466" s="42" t="str">
        <x:v>Express</x:v>
      </x:c>
      <x:c r="P466" s="42" t="str"/>
      <x:c r="Q466" s="42" t="str">
        <x:v>BULK CARRIER</x:v>
      </x:c>
      <x:c r="R466" s="42" t="str"/>
      <x:c r="S466" s="42" t="str">
        <x:v>T While underway, two perpetrators were sighted at the aft mooring station of the ship. The alarm was raised and all crew mustered to conduct a search. No perpetrators were found onboard. The crew members were not injured and nothing was stolen. he master reported the incident to the Singapore VTIS. Safety navigational broadcast was initiated. The RSN’s MSTF and Singapore PCG were notified of the incident. PCG boarded the ship at anchorage and carried out a search. But no perpetrator was found onboard. Information of the incident was shared with the Indonesian authorities.</x:v>
      </x:c>
      <x:c r="T466" s="42" t="str"/>
      <x:c r="U466" s="42" t="str"/>
      <x:c r="V466" s="42" t="str"/>
      <x:c r="W466" s="42" t="str">
        <x:v>While Sailing</x:v>
      </x:c>
      <x:c r="X466" s="42" t="str"/>
      <x:c r="Y466" s="42" t="str"/>
      <x:c r="Z466" s="42" t="str"/>
      <x:c r="AA466" s="42" t="str">
        <x:v>https://www.recaap.org/alerts</x:v>
      </x:c>
      <x:c r="AB466" s="42" t="str">
        <x:v>Needs canonical event resolution</x:v>
      </x:c>
      <x:c r="AC466" s="42" t="str">
        <x:v>Flag: PANAMA</x:v>
      </x:c>
    </x:row>
    <x:row r="467">
      <x:c r="A467" s="42" t="str">
        <x:v>OBS_000466</x:v>
      </x:c>
      <x:c r="B467" s="42" t="str"/>
      <x:c r="C467" s="42" t="str">
        <x:v>recaap_incidents_2024_2026</x:v>
      </x:c>
      <x:c r="D467" s="42" t="str">
        <x:v>2024-16</x:v>
      </x:c>
      <x:c r="E467" s="42" t="str">
        <x:v>2024-11-24</x:v>
      </x:c>
      <x:c r="F467" s="42" t="str">
        <x:v>Maritime Crime</x:v>
      </x:c>
      <x:c r="G467" s="42" t="str">
        <x:v>Robbery/ Theft</x:v>
      </x:c>
      <x:c r="H467" s="42" t="str">
        <x:v>3</x:v>
      </x:c>
      <x:c r="I467" s="42" t="str">
        <x:v>Maritime</x:v>
      </x:c>
      <x:c r="J467" s="42" t="str">
        <x:v>Straits of Malacca &amp; Singapore</x:v>
      </x:c>
      <x:c r="K467" s="42" t="str"/>
      <x:c r="L467" s="42" t="str">
        <x:v>Approximately 2.07 nm northwest from Pulau Cula (Indonesia), in the eastbound lane of the TSS</x:v>
      </x:c>
      <x:c r="M467" s="42" t="str">
        <x:v>1.065</x:v>
      </x:c>
      <x:c r="N467" s="42" t="str">
        <x:v>103.688333</x:v>
      </x:c>
      <x:c r="O467" s="42" t="str">
        <x:v>Theodore JR</x:v>
      </x:c>
      <x:c r="P467" s="42" t="str"/>
      <x:c r="Q467" s="42" t="str">
        <x:v>BULK CARRIER</x:v>
      </x:c>
      <x:c r="R467" s="42" t="str"/>
      <x:c r="S467" s="42" t="str">
        <x:v>T While underway, six perpetrators armed with knives were sighted in the engine room and at poop deck. The general emergency alarm was raised and all crew mustered to conduct a search. No perpetrators were found onboard. All crew was accounted for with no injuries. Some engine spares were stolen and one padlock was broken. he master reported the incident to the Singapore VTIS. Safety navigational broadcast was initiated. The RSN’s MSTF and Singapore PCG were notified of the incident. PCG boarded the ship and carried out a search. But no perpetrator was found onboard. Information of the incident was shared with the Indonesian authorities.</x:v>
      </x:c>
      <x:c r="T467" s="42" t="str"/>
      <x:c r="U467" s="42" t="str"/>
      <x:c r="V467" s="42" t="str"/>
      <x:c r="W467" s="42" t="str">
        <x:v>While Sailing</x:v>
      </x:c>
      <x:c r="X467" s="42" t="str"/>
      <x:c r="Y467" s="42" t="str"/>
      <x:c r="Z467" s="42" t="str"/>
      <x:c r="AA467" s="42" t="str">
        <x:v>https://www.recaap.org/alerts</x:v>
      </x:c>
      <x:c r="AB467" s="42" t="str">
        <x:v>Needs canonical event resolution</x:v>
      </x:c>
      <x:c r="AC467" s="42" t="str">
        <x:v>Flag: PANAMA</x:v>
      </x:c>
    </x:row>
    <x:row r="468">
      <x:c r="A468" s="42" t="str">
        <x:v>OBS_000467</x:v>
      </x:c>
      <x:c r="B468" s="42" t="str"/>
      <x:c r="C468" s="42" t="str">
        <x:v>recaap_incidents_2024_2026</x:v>
      </x:c>
      <x:c r="D468" s="42" t="str">
        <x:v>2024-17</x:v>
      </x:c>
      <x:c r="E468" s="42" t="str">
        <x:v>2024-11-23</x:v>
      </x:c>
      <x:c r="F468" s="42" t="str">
        <x:v>Maritime Crime</x:v>
      </x:c>
      <x:c r="G468" s="42" t="str">
        <x:v>Robbery/ Theft</x:v>
      </x:c>
      <x:c r="H468" s="42" t="str">
        <x:v>3</x:v>
      </x:c>
      <x:c r="I468" s="42" t="str">
        <x:v>Maritime</x:v>
      </x:c>
      <x:c r="J468" s="42" t="str">
        <x:v>Straits of Malacca &amp; Singapore</x:v>
      </x:c>
      <x:c r="K468" s="42" t="str"/>
      <x:c r="L468" s="42" t="str">
        <x:v>Approximately 1.46 nm northwest from Pulau Cula (Indonesia), in the eastbound lane of the TSS</x:v>
      </x:c>
      <x:c r="M468" s="42" t="str">
        <x:v>1.061667</x:v>
      </x:c>
      <x:c r="N468" s="42" t="str">
        <x:v>103.701667</x:v>
      </x:c>
      <x:c r="O468" s="42" t="str">
        <x:v>HTK Confidence</x:v>
      </x:c>
      <x:c r="P468" s="42" t="str"/>
      <x:c r="Q468" s="42" t="str">
        <x:v>BULK CARRIER</x:v>
      </x:c>
      <x:c r="R468" s="42" t="str"/>
      <x:c r="S468" s="42" t="str">
        <x:v>T While underway, two perpetrators armed with knives were sighted in the engine room. The master raised general alarm and all crew mustered safely in the wheelhouse. The crew did not conduct search but wait for PCG’s assistance. There were no injuries. Some spare parts were stolen. he ship agent reported the incident to the Singapore VTIS via telephone. Safety navigational broadcast was initiated. The RSN’s MSTF and Singapore PCG were notified of the incident. PCG boarded the ship on her arrival at Singapore Anchorage but did not find any perpetrator. Information of the incident was shared with the Indonesian authorities.</x:v>
      </x:c>
      <x:c r="T468" s="42" t="str"/>
      <x:c r="U468" s="42" t="str"/>
      <x:c r="V468" s="42" t="str"/>
      <x:c r="W468" s="42" t="str">
        <x:v>While Sailing</x:v>
      </x:c>
      <x:c r="X468" s="42" t="str"/>
      <x:c r="Y468" s="42" t="str"/>
      <x:c r="Z468" s="42" t="str"/>
      <x:c r="AA468" s="42" t="str">
        <x:v>https://www.recaap.org/alerts</x:v>
      </x:c>
      <x:c r="AB468" s="42" t="str">
        <x:v>Needs canonical event resolution</x:v>
      </x:c>
      <x:c r="AC468" s="42" t="str">
        <x:v>Flag: VIETNAM</x:v>
      </x:c>
    </x:row>
    <x:row r="469">
      <x:c r="A469" s="42" t="str">
        <x:v>OBS_000468</x:v>
      </x:c>
      <x:c r="B469" s="42" t="str"/>
      <x:c r="C469" s="42" t="str">
        <x:v>recaap_incidents_2024_2026</x:v>
      </x:c>
      <x:c r="D469" s="42" t="str">
        <x:v>2024-18</x:v>
      </x:c>
      <x:c r="E469" s="42" t="str">
        <x:v>2024-11-21</x:v>
      </x:c>
      <x:c r="F469" s="42" t="str">
        <x:v>Maritime Crime</x:v>
      </x:c>
      <x:c r="G469" s="42" t="str">
        <x:v>Robbery/ Theft</x:v>
      </x:c>
      <x:c r="H469" s="42" t="str">
        <x:v>4</x:v>
      </x:c>
      <x:c r="I469" s="42" t="str">
        <x:v>Maritime</x:v>
      </x:c>
      <x:c r="J469" s="42" t="str">
        <x:v>Bangladesh (Ports/Anchorages)</x:v>
      </x:c>
      <x:c r="K469" s="42" t="str"/>
      <x:c r="L469" s="42" t="str">
        <x:v>Chattogram Anchorage, Bangladesh</x:v>
      </x:c>
      <x:c r="M469" s="42" t="str">
        <x:v>21.390667</x:v>
      </x:c>
      <x:c r="N469" s="42" t="str">
        <x:v>91.8105</x:v>
      </x:c>
      <x:c r="O469" s="42" t="str">
        <x:v>Ceylon Princess</x:v>
      </x:c>
      <x:c r="P469" s="42" t="str"/>
      <x:c r="Q469" s="42" t="str">
        <x:v>BULK CARRIER</x:v>
      </x:c>
      <x:c r="R469" s="42" t="str"/>
      <x:c r="S469" s="42" t="str">
        <x:v>At Anchor While at anchor, 11 perpetrators boarded the ship. The alert duty crew noticed the perpetrators and immediately raised the alarm. The crew was mustered and engaged in defensive actions against the perpetrators, which resulted in the incident was perpetrators escaping empty-handed. The reported to the Port Authority and Bangladesh Navy.</x:v>
      </x:c>
      <x:c r="T469" s="42" t="str"/>
      <x:c r="U469" s="42" t="str"/>
      <x:c r="V469" s="42" t="str"/>
      <x:c r="W469" s="42" t="str"/>
      <x:c r="X469" s="42" t="str"/>
      <x:c r="Y469" s="42" t="str"/>
      <x:c r="Z469" s="42" t="str"/>
      <x:c r="AA469" s="42" t="str">
        <x:v>https://www.recaap.org/alerts</x:v>
      </x:c>
      <x:c r="AB469" s="42" t="str">
        <x:v>Needs canonical event resolution</x:v>
      </x:c>
      <x:c r="AC469" s="42" t="str">
        <x:v>Flag: SRI LANKA</x:v>
      </x:c>
    </x:row>
    <x:row r="470">
      <x:c r="A470" s="42" t="str">
        <x:v>OBS_000469</x:v>
      </x:c>
      <x:c r="B470" s="42" t="str"/>
      <x:c r="C470" s="42" t="str">
        <x:v>recaap_incidents_2024_2026</x:v>
      </x:c>
      <x:c r="D470" s="42" t="str">
        <x:v>2024-19</x:v>
      </x:c>
      <x:c r="E470" s="42" t="str">
        <x:v>2024-11-20</x:v>
      </x:c>
      <x:c r="F470" s="42" t="str">
        <x:v>Maritime Crime</x:v>
      </x:c>
      <x:c r="G470" s="42" t="str">
        <x:v>Robbery/ Theft</x:v>
      </x:c>
      <x:c r="H470" s="42" t="str">
        <x:v>4</x:v>
      </x:c>
      <x:c r="I470" s="42" t="str">
        <x:v>Maritime</x:v>
      </x:c>
      <x:c r="J470" s="42" t="str">
        <x:v>Straits of Malacca &amp; Singapore</x:v>
      </x:c>
      <x:c r="K470" s="42" t="str"/>
      <x:c r="L470" s="42" t="str">
        <x:v>Approximately 2.5 nm northwest from Pulau Cula (Indonesia), in the eastbound lane of the TSS</x:v>
      </x:c>
      <x:c r="M470" s="42" t="str">
        <x:v>1.078333</x:v>
      </x:c>
      <x:c r="N470" s="42" t="str">
        <x:v>103.695</x:v>
      </x:c>
      <x:c r="O470" s="42" t="str">
        <x:v>Genco Lion</x:v>
      </x:c>
      <x:c r="P470" s="42" t="str"/>
      <x:c r="Q470" s="42" t="str">
        <x:v>BULK CARRIER</x:v>
      </x:c>
      <x:c r="R470" s="42" t="str"/>
      <x:c r="S470" s="42" t="str">
        <x:v>T While underway, four perpetrators were sighted in the engine room. The master raised general alarm and carried out a search. No perpetrator was found onboard and nothing was lost. All crew members were accounted for and there were no injuries. he master reported the incident to the Singapore VTIS Central. Safety navigational broadcast was initiated. The RSN’s MSTF and Singapore PCG were notified of the incident. PCG boarded the ship and carried out a security search. But no perpetrator was found onboard. Information of the incident was shared with the Indonesian authorities.</x:v>
      </x:c>
      <x:c r="T470" s="42" t="str"/>
      <x:c r="U470" s="42" t="str"/>
      <x:c r="V470" s="42" t="str"/>
      <x:c r="W470" s="42" t="str">
        <x:v>While Sailing</x:v>
      </x:c>
      <x:c r="X470" s="42" t="str"/>
      <x:c r="Y470" s="42" t="str"/>
      <x:c r="Z470" s="42" t="str"/>
      <x:c r="AA470" s="42" t="str">
        <x:v>https://www.recaap.org/alerts</x:v>
      </x:c>
      <x:c r="AB470" s="42" t="str">
        <x:v>Needs canonical event resolution</x:v>
      </x:c>
      <x:c r="AC470" s="42" t="str">
        <x:v>Flag: MARSHALL ISLANDS</x:v>
      </x:c>
    </x:row>
    <x:row r="471">
      <x:c r="A471" s="42" t="str">
        <x:v>OBS_000470</x:v>
      </x:c>
      <x:c r="B471" s="42" t="str"/>
      <x:c r="C471" s="42" t="str">
        <x:v>recaap_incidents_2024_2026</x:v>
      </x:c>
      <x:c r="D471" s="42" t="str">
        <x:v>2024-21</x:v>
      </x:c>
      <x:c r="E471" s="42" t="str">
        <x:v>2024-11-19</x:v>
      </x:c>
      <x:c r="F471" s="42" t="str">
        <x:v>Maritime Crime</x:v>
      </x:c>
      <x:c r="G471" s="42" t="str">
        <x:v>Robbery/ Theft</x:v>
      </x:c>
      <x:c r="H471" s="42" t="str">
        <x:v>2</x:v>
      </x:c>
      <x:c r="I471" s="42" t="str">
        <x:v>Maritime</x:v>
      </x:c>
      <x:c r="J471" s="42" t="str">
        <x:v>Bangladesh (Ports/Anchorages)</x:v>
      </x:c>
      <x:c r="K471" s="42" t="str"/>
      <x:c r="L471" s="42" t="str">
        <x:v>Outer Anchorage, Kutubdia, Bangladesh</x:v>
      </x:c>
      <x:c r="M471" s="42" t="str">
        <x:v>21.866667</x:v>
      </x:c>
      <x:c r="N471" s="42" t="str">
        <x:v>91.75</x:v>
      </x:c>
      <x:c r="O471" s="42" t="str">
        <x:v>Karlovasi</x:v>
      </x:c>
      <x:c r="P471" s="42" t="str"/>
      <x:c r="Q471" s="42" t="str">
        <x:v>BULK CARRIER</x:v>
      </x:c>
      <x:c r="R471" s="42" t="str"/>
      <x:c r="S471" s="42" t="str">
        <x:v>A At Anchor While at anchor, the crew sighted 10 perpetrators with knives and bats at the port quarter deck of the ship. The perpetrators tied up three local watchmen and injured one of them on the leg. One ship crew was also assaulted and was slight injured on the head. Some ship property/stores were stolen. fter receiving the incident information, Bangladesh Coast Guard (BCG) started investigation of the incident onboard the ship.</x:v>
      </x:c>
      <x:c r="T471" s="42" t="str"/>
      <x:c r="U471" s="42" t="str"/>
      <x:c r="V471" s="42" t="str"/>
      <x:c r="W471" s="42" t="str"/>
      <x:c r="X471" s="42" t="str"/>
      <x:c r="Y471" s="42" t="str"/>
      <x:c r="Z471" s="42" t="str"/>
      <x:c r="AA471" s="42" t="str">
        <x:v>https://www.recaap.org/alerts</x:v>
      </x:c>
      <x:c r="AB471" s="42" t="str">
        <x:v>Needs canonical event resolution</x:v>
      </x:c>
      <x:c r="AC471" s="42" t="str">
        <x:v>Flag: LIBERIA</x:v>
      </x:c>
    </x:row>
    <x:row r="472">
      <x:c r="A472" s="42" t="str">
        <x:v>OBS_000471</x:v>
      </x:c>
      <x:c r="B472" s="42" t="str"/>
      <x:c r="C472" s="42" t="str">
        <x:v>recaap_incidents_2024_2026</x:v>
      </x:c>
      <x:c r="D472" s="42" t="str">
        <x:v>2024-20</x:v>
      </x:c>
      <x:c r="E472" s="42" t="str">
        <x:v>2024-11-19</x:v>
      </x:c>
      <x:c r="F472" s="42" t="str">
        <x:v>Maritime Crime</x:v>
      </x:c>
      <x:c r="G472" s="42" t="str">
        <x:v>Robbery/ Theft</x:v>
      </x:c>
      <x:c r="H472" s="42" t="str">
        <x:v>4</x:v>
      </x:c>
      <x:c r="I472" s="42" t="str">
        <x:v>Maritime</x:v>
      </x:c>
      <x:c r="J472" s="42" t="str">
        <x:v>Straits of Malacca &amp; Singapore</x:v>
      </x:c>
      <x:c r="K472" s="42" t="str"/>
      <x:c r="L472" s="42" t="str">
        <x:v>Approximately 3.7 nm north from Pulau Cula (Indonesia), in the eastbound lane of the TSS</x:v>
      </x:c>
      <x:c r="M472" s="42" t="str">
        <x:v>1.096667</x:v>
      </x:c>
      <x:c r="N472" s="42" t="str">
        <x:v>103.735</x:v>
      </x:c>
      <x:c r="O472" s="42" t="str">
        <x:v>Ammos</x:v>
      </x:c>
      <x:c r="P472" s="42" t="str"/>
      <x:c r="Q472" s="42" t="str">
        <x:v>BULK CARRIER</x:v>
      </x:c>
      <x:c r="R472" s="42" t="str"/>
      <x:c r="S472" s="42" t="str">
        <x:v>T While underway, three perpetrators were sighted in the engine room. The master raised alarm and all crew mustered to conduct a search, but no perpetrator was found. The crew members were not injured. Some ship stores were reported stolen. he master reported the incident to the Singapore VTIS West. Safety navigational broadcast was initiated. The RSN’s MSTF and Singapore PCG were notified of the incident. PCG boarded the ship and carried out a security search, but did not find any perpetrator. Information of the incident was shared with the Indonesian authorities.</x:v>
      </x:c>
      <x:c r="T472" s="42" t="str"/>
      <x:c r="U472" s="42" t="str"/>
      <x:c r="V472" s="42" t="str"/>
      <x:c r="W472" s="42" t="str">
        <x:v>While Sailing</x:v>
      </x:c>
      <x:c r="X472" s="42" t="str"/>
      <x:c r="Y472" s="42" t="str"/>
      <x:c r="Z472" s="42" t="str"/>
      <x:c r="AA472" s="42" t="str">
        <x:v>https://www.recaap.org/alerts</x:v>
      </x:c>
      <x:c r="AB472" s="42" t="str">
        <x:v>Needs canonical event resolution</x:v>
      </x:c>
      <x:c r="AC472" s="42" t="str">
        <x:v>Flag: BAHAMAS</x:v>
      </x:c>
    </x:row>
    <x:row r="473">
      <x:c r="A473" s="42" t="str">
        <x:v>OBS_000472</x:v>
      </x:c>
      <x:c r="B473" s="42" t="str"/>
      <x:c r="C473" s="42" t="str">
        <x:v>recaap_incidents_2024_2026</x:v>
      </x:c>
      <x:c r="D473" s="42" t="str">
        <x:v>2024-22</x:v>
      </x:c>
      <x:c r="E473" s="42" t="str">
        <x:v>2024-11-17</x:v>
      </x:c>
      <x:c r="F473" s="42" t="str">
        <x:v>Maritime Crime</x:v>
      </x:c>
      <x:c r="G473" s="42" t="str">
        <x:v>Attempted</x:v>
      </x:c>
      <x:c r="H473" s="42" t="str">
        <x:v>NA</x:v>
      </x:c>
      <x:c r="I473" s="42" t="str">
        <x:v>Maritime</x:v>
      </x:c>
      <x:c r="J473" s="42" t="str">
        <x:v>Straits of Malacca &amp; Singapore</x:v>
      </x:c>
      <x:c r="K473" s="42" t="str"/>
      <x:c r="L473" s="42" t="str">
        <x:v>Approximately 5.7 nm northwest from Pulau Cula (Indonesia), in the eastbound lane of the TSS</x:v>
      </x:c>
      <x:c r="M473" s="42" t="str">
        <x:v>1.058333</x:v>
      </x:c>
      <x:c r="N473" s="42" t="str">
        <x:v>103.618333</x:v>
      </x:c>
      <x:c r="O473" s="42" t="str">
        <x:v>Dokos</x:v>
      </x:c>
      <x:c r="P473" s="42" t="str"/>
      <x:c r="Q473" s="42" t="str">
        <x:v>BULK CARRIER</x:v>
      </x:c>
      <x:c r="R473" s="42" t="str"/>
      <x:c r="S473" s="42" t="str">
        <x:v>T While underway, two to three perpetrators in a boat attempted to board the ship from the starboard quarter. Upon raising the alarm and switching on the deck lights, the perpetrator’s boat moved off southward. he master reported the incident to the Singapore VTIS. Safety navigational broadcast was initiated. The RSN’s MSTF and Singapore PCG were notified of the incident. Information of the incident was shared with the Indonesian authorities.</x:v>
      </x:c>
      <x:c r="T473" s="42" t="str"/>
      <x:c r="U473" s="42" t="str"/>
      <x:c r="V473" s="42" t="str"/>
      <x:c r="W473" s="42" t="str">
        <x:v>While Sailing</x:v>
      </x:c>
      <x:c r="X473" s="42" t="str"/>
      <x:c r="Y473" s="42" t="str"/>
      <x:c r="Z473" s="42" t="str"/>
      <x:c r="AA473" s="42" t="str">
        <x:v>https://www.recaap.org/alerts</x:v>
      </x:c>
      <x:c r="AB473" s="42" t="str">
        <x:v>Needs canonical event resolution</x:v>
      </x:c>
      <x:c r="AC473" s="42" t="str">
        <x:v>Flag: MARSHALL ISLANDS</x:v>
      </x:c>
    </x:row>
    <x:row r="474">
      <x:c r="A474" s="42" t="str">
        <x:v>OBS_000473</x:v>
      </x:c>
      <x:c r="B474" s="42" t="str"/>
      <x:c r="C474" s="42" t="str">
        <x:v>recaap_incidents_2024_2026</x:v>
      </x:c>
      <x:c r="D474" s="42" t="str">
        <x:v>2024-25</x:v>
      </x:c>
      <x:c r="E474" s="42" t="str">
        <x:v>2024-11-14</x:v>
      </x:c>
      <x:c r="F474" s="42" t="str">
        <x:v>Maritime Crime</x:v>
      </x:c>
      <x:c r="G474" s="42" t="str">
        <x:v>Robbery/ Theft</x:v>
      </x:c>
      <x:c r="H474" s="42" t="str">
        <x:v>3</x:v>
      </x:c>
      <x:c r="I474" s="42" t="str">
        <x:v>Maritime</x:v>
      </x:c>
      <x:c r="J474" s="42" t="str">
        <x:v>Straits of Malacca &amp; Singapore</x:v>
      </x:c>
      <x:c r="K474" s="42" t="str"/>
      <x:c r="L474" s="42" t="str">
        <x:v>Approximately 4.2 nm northwest from Pulau Cula (Indonesia), in the eastbound lane of the TSS</x:v>
      </x:c>
      <x:c r="M474" s="42" t="str">
        <x:v>1.0455</x:v>
      </x:c>
      <x:c r="N474" s="42" t="str">
        <x:v>103.646667</x:v>
      </x:c>
      <x:c r="O474" s="42" t="str">
        <x:v>NUS</x:v>
      </x:c>
      <x:c r="P474" s="42" t="str"/>
      <x:c r="Q474" s="42" t="str">
        <x:v>LPG</x:v>
      </x:c>
      <x:c r="R474" s="42" t="str"/>
      <x:c r="S474" s="42" t="str">
        <x:v>T While underway, five perpetrators armed with metal rods were sighted in the engine room. The alarm was raised and all crew mustered to conduct a search. The crew members were accounted for and there were no injuries. Nothing was stolen from the ship. he master reported the incident to the Singapore VTIS. Safety navigational broadcast was initiated. The RSN’s MSTF and Singapore PCG were notified of the incident. Information of the incident was shared with the Indonesian authorities.</x:v>
      </x:c>
      <x:c r="T474" s="42" t="str"/>
      <x:c r="U474" s="42" t="str"/>
      <x:c r="V474" s="42" t="str"/>
      <x:c r="W474" s="42" t="str">
        <x:v>While Sailing</x:v>
      </x:c>
      <x:c r="X474" s="42" t="str"/>
      <x:c r="Y474" s="42" t="str"/>
      <x:c r="Z474" s="42" t="str"/>
      <x:c r="AA474" s="42" t="str">
        <x:v>https://www.recaap.org/alerts</x:v>
      </x:c>
      <x:c r="AB474" s="42" t="str">
        <x:v>Needs canonical event resolution</x:v>
      </x:c>
      <x:c r="AC474" s="42" t="str">
        <x:v>Flag: COMOROS</x:v>
      </x:c>
    </x:row>
    <x:row r="475">
      <x:c r="A475" s="42" t="str">
        <x:v>OBS_000474</x:v>
      </x:c>
      <x:c r="B475" s="42" t="str"/>
      <x:c r="C475" s="42" t="str">
        <x:v>recaap_incidents_2024_2026</x:v>
      </x:c>
      <x:c r="D475" s="42" t="str">
        <x:v>2024-24</x:v>
      </x:c>
      <x:c r="E475" s="42" t="str">
        <x:v>2024-11-14</x:v>
      </x:c>
      <x:c r="F475" s="42" t="str">
        <x:v>Maritime Crime</x:v>
      </x:c>
      <x:c r="G475" s="42" t="str">
        <x:v>Robbery/ Theft</x:v>
      </x:c>
      <x:c r="H475" s="42" t="str">
        <x:v>3</x:v>
      </x:c>
      <x:c r="I475" s="42" t="str">
        <x:v>Maritime</x:v>
      </x:c>
      <x:c r="J475" s="42" t="str">
        <x:v>Straits of Malacca &amp; Singapore</x:v>
      </x:c>
      <x:c r="K475" s="42" t="str"/>
      <x:c r="L475" s="42" t="str">
        <x:v>Approximately 4.2 nm northwest from Pulau Cula (Indonesia), in the eastbound lane of the TSS</x:v>
      </x:c>
      <x:c r="M475" s="42" t="str">
        <x:v>1.0455</x:v>
      </x:c>
      <x:c r="N475" s="42" t="str">
        <x:v>103.646667</x:v>
      </x:c>
      <x:c r="O475" s="42" t="str">
        <x:v>Dara</x:v>
      </x:c>
      <x:c r="P475" s="42" t="str"/>
      <x:c r="Q475" s="42" t="str">
        <x:v>BULK CARRIER</x:v>
      </x:c>
      <x:c r="R475" s="42" t="str"/>
      <x:c r="S475" s="42" t="str">
        <x:v>T While underway, one perpetrator armed with gun-like object was sighted on deck. The crew locked themselves in their cabins and conducted a search later during daylight. All crew members were accounted for and there were no injuries. The crew was unable to confirm if anything was stolen. he master reported the incident to the Singapore VTIS. Safety navigational broadcast was initiated. The RSN’s MSTF and Singapore PCG were notified of the incident. Information of the incident was shared with the Indonesian authorities.</x:v>
      </x:c>
      <x:c r="T475" s="42" t="str"/>
      <x:c r="U475" s="42" t="str"/>
      <x:c r="V475" s="42" t="str"/>
      <x:c r="W475" s="42" t="str">
        <x:v>While Sailing</x:v>
      </x:c>
      <x:c r="X475" s="42" t="str"/>
      <x:c r="Y475" s="42" t="str"/>
      <x:c r="Z475" s="42" t="str"/>
      <x:c r="AA475" s="42" t="str">
        <x:v>https://www.recaap.org/alerts</x:v>
      </x:c>
      <x:c r="AB475" s="42" t="str">
        <x:v>Needs canonical event resolution</x:v>
      </x:c>
      <x:c r="AC475" s="42" t="str">
        <x:v>Flag: LIBERIA</x:v>
      </x:c>
    </x:row>
    <x:row r="476">
      <x:c r="A476" s="42" t="str">
        <x:v>OBS_000475</x:v>
      </x:c>
      <x:c r="B476" s="42" t="str"/>
      <x:c r="C476" s="42" t="str">
        <x:v>recaap_incidents_2024_2026</x:v>
      </x:c>
      <x:c r="D476" s="42" t="str">
        <x:v>2024-23</x:v>
      </x:c>
      <x:c r="E476" s="42" t="str">
        <x:v>2024-11-14</x:v>
      </x:c>
      <x:c r="F476" s="42" t="str">
        <x:v>Maritime Crime</x:v>
      </x:c>
      <x:c r="G476" s="42" t="str">
        <x:v>Robbery/ Theft</x:v>
      </x:c>
      <x:c r="H476" s="42" t="str">
        <x:v>2</x:v>
      </x:c>
      <x:c r="I476" s="42" t="str">
        <x:v>Maritime</x:v>
      </x:c>
      <x:c r="J476" s="42" t="str">
        <x:v>Straits of Malacca &amp; Singapore</x:v>
      </x:c>
      <x:c r="K476" s="42" t="str"/>
      <x:c r="L476" s="42" t="str">
        <x:v>Approximately 4.3 nm northwest from Pulau Cula (Indonesia), in the eastbound lane of the TSS</x:v>
      </x:c>
      <x:c r="M476" s="42" t="str">
        <x:v>1.047667</x:v>
      </x:c>
      <x:c r="N476" s="42" t="str">
        <x:v>103.639333</x:v>
      </x:c>
      <x:c r="O476" s="42" t="str">
        <x:v>Saga Fjord</x:v>
      </x:c>
      <x:c r="P476" s="42" t="str"/>
      <x:c r="Q476" s="42" t="str">
        <x:v>GENERAL CARGO SHIP</x:v>
      </x:c>
      <x:c r="R476" s="42" t="str"/>
      <x:c r="S476" s="42" t="str">
        <x:v>T While underway, seven to eight perpetrators were sighted in the engine room and workshop. They entered the engine room by breaking the lock of the aft steering room door. One of the robbers had a gun-like weapon and threatened the third engineer in the workshop. The master raised alarm and all crew mustered to conduct a search, but no perpetrator was found. Some tools and engine spare parts were reported stolen. The crew members were not injured. he master reported the incident to the Singapore VTIS. Safety navigational broadcast was initiated. The RSN’s MSTF and Singapore PCG were notified of the incident. Information of the incident was shared with the Indonesian authorities.</x:v>
      </x:c>
      <x:c r="T476" s="42" t="str"/>
      <x:c r="U476" s="42" t="str"/>
      <x:c r="V476" s="42" t="str"/>
      <x:c r="W476" s="42" t="str">
        <x:v>While Sailing</x:v>
      </x:c>
      <x:c r="X476" s="42" t="str"/>
      <x:c r="Y476" s="42" t="str"/>
      <x:c r="Z476" s="42" t="str"/>
      <x:c r="AA476" s="42" t="str">
        <x:v>https://www.recaap.org/alerts</x:v>
      </x:c>
      <x:c r="AB476" s="42" t="str">
        <x:v>Needs canonical event resolution</x:v>
      </x:c>
      <x:c r="AC476" s="42" t="str">
        <x:v>Flag: HONG KONG, CHINA</x:v>
      </x:c>
    </x:row>
    <x:row r="477">
      <x:c r="A477" s="42" t="str">
        <x:v>OBS_000476</x:v>
      </x:c>
      <x:c r="B477" s="42" t="str"/>
      <x:c r="C477" s="42" t="str">
        <x:v>recaap_incidents_2024_2026</x:v>
      </x:c>
      <x:c r="D477" s="42" t="str">
        <x:v>2024-26</x:v>
      </x:c>
      <x:c r="E477" s="42" t="str">
        <x:v>2024-11-13</x:v>
      </x:c>
      <x:c r="F477" s="42" t="str">
        <x:v>Maritime Crime</x:v>
      </x:c>
      <x:c r="G477" s="42" t="str">
        <x:v>Robbery/ Theft</x:v>
      </x:c>
      <x:c r="H477" s="42" t="str">
        <x:v>3</x:v>
      </x:c>
      <x:c r="I477" s="42" t="str">
        <x:v>Maritime</x:v>
      </x:c>
      <x:c r="J477" s="42" t="str">
        <x:v>Straits of Malacca &amp; Singapore</x:v>
      </x:c>
      <x:c r="K477" s="42" t="str"/>
      <x:c r="L477" s="42" t="str">
        <x:v>Approximately 2.3 nm northwest from Pulau Cula (Indonesia), in the eastbound lane of the TSS</x:v>
      </x:c>
      <x:c r="M477" s="42" t="str">
        <x:v>1.070333</x:v>
      </x:c>
      <x:c r="N477" s="42" t="str">
        <x:v>103.686167</x:v>
      </x:c>
      <x:c r="O477" s="42" t="str">
        <x:v>Oshima Trader</x:v>
      </x:c>
      <x:c r="P477" s="42" t="str"/>
      <x:c r="Q477" s="42" t="str">
        <x:v>BULK CARRIER</x:v>
      </x:c>
      <x:c r="R477" s="42" t="str"/>
      <x:c r="S477" s="42" t="str">
        <x:v>T While underway, three to four perpetrators were sighted in the engine room. Two people were armed with machetes and one person carried a gun-like object. The alarm was raised and all crew mustered at the bridge. The search was not conducted and the suspected perpetrators were still on board at that time. Singapore PCG later boarded the ship at anchorage and conducted a thorough search. But no perpetrators were found. All crew members were accounted for and there were no injuries. Some engine spares were stolen. he master reported the incident to the Singapore VTIS West. Safety navigational broadcast was initiated. The RSN’s MSTF and Singapore PCG were notified of the incident. Information of the incident was shared with the Indonesian authorities.</x:v>
      </x:c>
      <x:c r="T477" s="42" t="str"/>
      <x:c r="U477" s="42" t="str"/>
      <x:c r="V477" s="42" t="str"/>
      <x:c r="W477" s="42" t="str">
        <x:v>While Sailing</x:v>
      </x:c>
      <x:c r="X477" s="42" t="str"/>
      <x:c r="Y477" s="42" t="str"/>
      <x:c r="Z477" s="42" t="str"/>
      <x:c r="AA477" s="42" t="str">
        <x:v>https://www.recaap.org/alerts</x:v>
      </x:c>
      <x:c r="AB477" s="42" t="str">
        <x:v>Needs canonical event resolution</x:v>
      </x:c>
      <x:c r="AC477" s="42" t="str">
        <x:v>Flag: PHILIPPINES</x:v>
      </x:c>
    </x:row>
    <x:row r="478">
      <x:c r="A478" s="42" t="str">
        <x:v>OBS_000477</x:v>
      </x:c>
      <x:c r="B478" s="42" t="str"/>
      <x:c r="C478" s="42" t="str">
        <x:v>recaap_incidents_2024_2026</x:v>
      </x:c>
      <x:c r="D478" s="42" t="str">
        <x:v>2024-28</x:v>
      </x:c>
      <x:c r="E478" s="42" t="str">
        <x:v>2024-10-26</x:v>
      </x:c>
      <x:c r="F478" s="42" t="str">
        <x:v>Maritime Crime</x:v>
      </x:c>
      <x:c r="G478" s="42" t="str">
        <x:v>Attempted</x:v>
      </x:c>
      <x:c r="H478" s="42" t="str">
        <x:v>NA</x:v>
      </x:c>
      <x:c r="I478" s="42" t="str">
        <x:v>Maritime</x:v>
      </x:c>
      <x:c r="J478" s="42" t="str">
        <x:v>Straits of Malacca &amp; Singapore</x:v>
      </x:c>
      <x:c r="K478" s="42" t="str"/>
      <x:c r="L478" s="42" t="str">
        <x:v>Approximately 6.7 nm northeast of Pulau Cula (Indonesia), in the eastbound lane of the TSS</x:v>
      </x:c>
      <x:c r="M478" s="42" t="str">
        <x:v>1.137167</x:v>
      </x:c>
      <x:c r="N478" s="42" t="str">
        <x:v>103.7565</x:v>
      </x:c>
      <x:c r="O478" s="42" t="str">
        <x:v>AOM Bianca</x:v>
      </x:c>
      <x:c r="P478" s="42" t="str"/>
      <x:c r="Q478" s="42" t="str">
        <x:v>BULK CARRIER</x:v>
      </x:c>
      <x:c r="R478" s="42" t="str"/>
      <x:c r="S478" s="42" t="str">
        <x:v>T T While underway, the deck rover heard some noise at the port side poop deck. Upon verifying using the Aldis lamp, he sighted one perpetrator planning to board the ship through a pole with a hook. The deck rover shouted at the perpetrator, who immediately jumped back to a small boat which another perpetrator manoeuvred away. he general alarm was raised and the crew carried out a thorough search to ensure no other perpetrator onboard the ship. Nothing was stolen and crew members were safe. he incident was reported to Singapore Vessel Traffic Information System (VTIS). Safety navigational broadcast was initiated. The Republic of Singapore Navy's (RSN) Maritime Security Task Force (MSTF) and Singapore Police Coast Guard (PCG) were notified of the incident.</x:v>
      </x:c>
      <x:c r="T478" s="42" t="str"/>
      <x:c r="U478" s="42" t="str"/>
      <x:c r="V478" s="42" t="str"/>
      <x:c r="W478" s="42" t="str">
        <x:v>While Sailing</x:v>
      </x:c>
      <x:c r="X478" s="42" t="str"/>
      <x:c r="Y478" s="42" t="str"/>
      <x:c r="Z478" s="42" t="str"/>
      <x:c r="AA478" s="42" t="str">
        <x:v>https://www.recaap.org/alerts</x:v>
      </x:c>
      <x:c r="AB478" s="42" t="str">
        <x:v>Needs canonical event resolution</x:v>
      </x:c>
      <x:c r="AC478" s="42" t="str">
        <x:v>Flag: SINGAPORE</x:v>
      </x:c>
    </x:row>
    <x:row r="479">
      <x:c r="A479" s="42" t="str">
        <x:v>OBS_000478</x:v>
      </x:c>
      <x:c r="B479" s="42" t="str"/>
      <x:c r="C479" s="42" t="str">
        <x:v>recaap_incidents_2024_2026</x:v>
      </x:c>
      <x:c r="D479" s="42" t="str">
        <x:v>2024-29</x:v>
      </x:c>
      <x:c r="E479" s="42" t="str">
        <x:v>2024-10-25</x:v>
      </x:c>
      <x:c r="F479" s="42" t="str">
        <x:v>Maritime Crime</x:v>
      </x:c>
      <x:c r="G479" s="42" t="str">
        <x:v>Robbery/ Theft</x:v>
      </x:c>
      <x:c r="H479" s="42" t="str">
        <x:v>3</x:v>
      </x:c>
      <x:c r="I479" s="42" t="str">
        <x:v>Maritime</x:v>
      </x:c>
      <x:c r="J479" s="42" t="str">
        <x:v>Straits of Malacca &amp; Singapore</x:v>
      </x:c>
      <x:c r="K479" s="42" t="str"/>
      <x:c r="L479" s="42" t="str">
        <x:v>Approximately 10.1 nm southeast of Pulau Iyu Kecil (Indonesia), in the eastbound lane of the TSS</x:v>
      </x:c>
      <x:c r="M479" s="42" t="str">
        <x:v>1.133333</x:v>
      </x:c>
      <x:c r="N479" s="42" t="str"/>
      <x:c r="O479" s="42" t="str">
        <x:v>GL La Paz</x:v>
      </x:c>
      <x:c r="P479" s="42" t="str"/>
      <x:c r="Q479" s="42" t="str">
        <x:v>BULK CARRIER</x:v>
      </x:c>
      <x:c r="R479" s="42" t="str"/>
      <x:c r="S479" s="42" t="str">
        <x:v>T While underway, four perpetrators armed with gun-like objects boarded the bulk carrier from a wooden boat. The perpetrators were thin and in T-shirts and brown short jeans. The duty oiler encountered them in the engine room and raised the alarm. The perpetrators pointed gun-like objects at the crew before escaping. Crew mustered and a search conducted onboard the ship. There was no damage to the ship and the crew was not injured. Some engine spares were stolen. he master reported the incident to IMB, and was relayed to Singapore PCG and Indonesian Marine Police HQ. Safety navigational broadcast was initiated. The RSN’s MSTF was also notified of the incident. Information of the incident was shared with the Indonesian authorities.</x:v>
      </x:c>
      <x:c r="T479" s="42" t="str"/>
      <x:c r="U479" s="42" t="str"/>
      <x:c r="V479" s="42" t="str"/>
      <x:c r="W479" s="42" t="str">
        <x:v>While Sailing</x:v>
      </x:c>
      <x:c r="X479" s="42" t="str"/>
      <x:c r="Y479" s="42" t="str"/>
      <x:c r="Z479" s="42" t="str"/>
      <x:c r="AA479" s="42" t="str">
        <x:v>https://www.recaap.org/alerts</x:v>
      </x:c>
      <x:c r="AB479" s="42" t="str">
        <x:v>Needs canonical event resolution</x:v>
      </x:c>
      <x:c r="AC479" s="42" t="str">
        <x:v>Flag: PANAMA</x:v>
      </x:c>
    </x:row>
    <x:row r="480">
      <x:c r="A480" s="42" t="str">
        <x:v>OBS_000479</x:v>
      </x:c>
      <x:c r="B480" s="42" t="str"/>
      <x:c r="C480" s="42" t="str">
        <x:v>recaap_incidents_2024_2026</x:v>
      </x:c>
      <x:c r="D480" s="42" t="str">
        <x:v>2024-30</x:v>
      </x:c>
      <x:c r="E480" s="42" t="str">
        <x:v>2024-10-23</x:v>
      </x:c>
      <x:c r="F480" s="42" t="str">
        <x:v>Maritime Crime</x:v>
      </x:c>
      <x:c r="G480" s="42" t="str">
        <x:v>Robbery/ Theft</x:v>
      </x:c>
      <x:c r="H480" s="42" t="str">
        <x:v>2</x:v>
      </x:c>
      <x:c r="I480" s="42" t="str">
        <x:v>Maritime</x:v>
      </x:c>
      <x:c r="J480" s="42" t="str">
        <x:v>Straits of Malacca &amp; Singapore</x:v>
      </x:c>
      <x:c r="K480" s="42" t="str"/>
      <x:c r="L480" s="42" t="str">
        <x:v>Approximately 2.5 nm northwest of Pulau Cula (Indonesia), in the eastbound lane of the TSS</x:v>
      </x:c>
      <x:c r="M480" s="42" t="str">
        <x:v>1.069667</x:v>
      </x:c>
      <x:c r="N480" s="42" t="str"/>
      <x:c r="O480" s="42" t="str">
        <x:v>Al Derwazah</x:v>
      </x:c>
      <x:c r="P480" s="42" t="str"/>
      <x:c r="Q480" s="42" t="str">
        <x:v>TANKER</x:v>
      </x:c>
      <x:c r="R480" s="42" t="str"/>
      <x:c r="S480" s="42" t="str">
        <x:v>T While underway, six perpetrators armed with knives were sighted in the engine room. One crew was threatened and his personal belongings, including a gold chain, tablet and mobile phone were robbed. The alarm was raised and crew mustered to conduct a search onboard the ship. No perpetrators were found. All crew members were accounted for. The crew was not injured. he master reported the incident to Singapore VTIS West. Safety navigational broadcast was initiated. The RSN’s MSTF and Singapore PCG were notified of the incident. Information of the incident was shared with the Indonesian authorities.</x:v>
      </x:c>
      <x:c r="T480" s="42" t="str"/>
      <x:c r="U480" s="42" t="str"/>
      <x:c r="V480" s="42" t="str"/>
      <x:c r="W480" s="42" t="str">
        <x:v>While Sailing</x:v>
      </x:c>
      <x:c r="X480" s="42" t="str"/>
      <x:c r="Y480" s="42" t="str"/>
      <x:c r="Z480" s="42" t="str"/>
      <x:c r="AA480" s="42" t="str">
        <x:v>https://www.recaap.org/alerts</x:v>
      </x:c>
      <x:c r="AB480" s="42" t="str">
        <x:v>Needs canonical event resolution</x:v>
      </x:c>
      <x:c r="AC480" s="42" t="str">
        <x:v>Flag: KUWAIT</x:v>
      </x:c>
    </x:row>
    <x:row r="481">
      <x:c r="A481" s="42" t="str">
        <x:v>OBS_000480</x:v>
      </x:c>
      <x:c r="B481" s="42" t="str"/>
      <x:c r="C481" s="42" t="str">
        <x:v>recaap_incidents_2024_2026</x:v>
      </x:c>
      <x:c r="D481" s="42" t="str">
        <x:v>2024-33</x:v>
      </x:c>
      <x:c r="E481" s="42" t="str">
        <x:v>2024-10-18</x:v>
      </x:c>
      <x:c r="F481" s="42" t="str">
        <x:v>Maritime Crime</x:v>
      </x:c>
      <x:c r="G481" s="42" t="str">
        <x:v>Robbery / Theft</x:v>
      </x:c>
      <x:c r="H481" s="42" t="str">
        <x:v>3</x:v>
      </x:c>
      <x:c r="I481" s="42" t="str">
        <x:v>Maritime</x:v>
      </x:c>
      <x:c r="J481" s="42" t="str">
        <x:v>Straits of Malacca &amp; Singapore</x:v>
      </x:c>
      <x:c r="K481" s="42" t="str"/>
      <x:c r="L481" s="42" t="str">
        <x:v>Approximately 4.6 nm east of Pulau Karimun Kecil (Indonesia), in the eastbound lane of the TSS</x:v>
      </x:c>
      <x:c r="M481" s="42" t="str">
        <x:v>1.1305</x:v>
      </x:c>
      <x:c r="N481" s="42" t="str">
        <x:v>103.490333</x:v>
      </x:c>
      <x:c r="O481" s="42" t="str">
        <x:v>Nyon</x:v>
      </x:c>
      <x:c r="P481" s="42" t="str"/>
      <x:c r="Q481" s="42" t="str">
        <x:v>BULK CARRIER</x:v>
      </x:c>
      <x:c r="R481" s="42" t="str"/>
      <x:c r="S481" s="42" t="str">
        <x:v>T T While underway, five perpetrators armed with knives were sighted in the engine room of the ship. The alarm was raised and all crew mustered to conduct a search. No perpetrators were found and nothing was stolen. All crew members were accounted for and safe. he incident was reported to Singapore VTIS West. Safety navigational broadcast was initiated. The RSN’s MSTF and Singapore PCG were notified of the incident. he PCG boarded the ship upon her arrival at Singapore Anchorage, and conducted a search. No perpetrators were found onboard. Information of the incident was shared with the Indonesian authorities.</x:v>
      </x:c>
      <x:c r="T481" s="42" t="str"/>
      <x:c r="U481" s="42" t="str"/>
      <x:c r="V481" s="42" t="str"/>
      <x:c r="W481" s="42" t="str">
        <x:v>While sailing</x:v>
      </x:c>
      <x:c r="X481" s="42" t="str"/>
      <x:c r="Y481" s="42" t="str"/>
      <x:c r="Z481" s="42" t="str"/>
      <x:c r="AA481" s="42" t="str">
        <x:v>https://www.recaap.org/alerts</x:v>
      </x:c>
      <x:c r="AB481" s="42" t="str">
        <x:v>Needs canonical event resolution</x:v>
      </x:c>
      <x:c r="AC481" s="42" t="str">
        <x:v>Flag: MARSHALL ISLANDS</x:v>
      </x:c>
    </x:row>
    <x:row r="482">
      <x:c r="A482" s="42" t="str">
        <x:v>OBS_000481</x:v>
      </x:c>
      <x:c r="B482" s="42" t="str"/>
      <x:c r="C482" s="42" t="str">
        <x:v>recaap_incidents_2024_2026</x:v>
      </x:c>
      <x:c r="D482" s="42" t="str">
        <x:v>2024-32</x:v>
      </x:c>
      <x:c r="E482" s="42" t="str">
        <x:v>2024-10-18</x:v>
      </x:c>
      <x:c r="F482" s="42" t="str">
        <x:v>Maritime Crime</x:v>
      </x:c>
      <x:c r="G482" s="42" t="str">
        <x:v>Robbery / Theft</x:v>
      </x:c>
      <x:c r="H482" s="42" t="str">
        <x:v>2</x:v>
      </x:c>
      <x:c r="I482" s="42" t="str">
        <x:v>Maritime</x:v>
      </x:c>
      <x:c r="J482" s="42" t="str">
        <x:v>Straits of Malacca &amp; Singapore</x:v>
      </x:c>
      <x:c r="K482" s="42" t="str"/>
      <x:c r="L482" s="42" t="str">
        <x:v>Approximately 5.5 nm east of Pulau Karimun Kecil (Indonesia), in the eastbound lane of the TSS</x:v>
      </x:c>
      <x:c r="M482" s="42" t="str">
        <x:v>1.131333</x:v>
      </x:c>
      <x:c r="N482" s="42" t="str">
        <x:v>103.5055</x:v>
      </x:c>
      <x:c r="O482" s="42" t="str">
        <x:v>Aspasia Luck</x:v>
      </x:c>
      <x:c r="P482" s="42" t="str"/>
      <x:c r="Q482" s="42" t="str">
        <x:v>BULK CARRIER</x:v>
      </x:c>
      <x:c r="R482" s="42" t="str"/>
      <x:c r="S482" s="42" t="str">
        <x:v>T U While underway, 10 perpetrators armed with knives were sighted in the engine room of the ship. The alarm was raised and crew mustered to conduct a search onboard the ship. No perpetrators were found and some engine spare parts were stolen. All crew members were accounted for without injury. he master reported the incident to Singapore VTIS West. Safety navigational broadcast was initiated. The RSN’s MSTF and Singapore PCG were notified of the incident. pon the ship’s arrival at Singapore Anchorage, PCG boarded the ship and conducted a thorough search onboard but did not find any perpetrators. Information of the incident was shared with the Indonesian authorities.</x:v>
      </x:c>
      <x:c r="T482" s="42" t="str"/>
      <x:c r="U482" s="42" t="str"/>
      <x:c r="V482" s="42" t="str"/>
      <x:c r="W482" s="42" t="str">
        <x:v>While Sailing</x:v>
      </x:c>
      <x:c r="X482" s="42" t="str"/>
      <x:c r="Y482" s="42" t="str"/>
      <x:c r="Z482" s="42" t="str"/>
      <x:c r="AA482" s="42" t="str">
        <x:v>https://www.recaap.org/alerts</x:v>
      </x:c>
      <x:c r="AB482" s="42" t="str">
        <x:v>Needs canonical event resolution</x:v>
      </x:c>
      <x:c r="AC482" s="42" t="str">
        <x:v>Flag: LIBERIA</x:v>
      </x:c>
    </x:row>
    <x:row r="483">
      <x:c r="A483" s="42" t="str">
        <x:v>OBS_000482</x:v>
      </x:c>
      <x:c r="B483" s="42" t="str"/>
      <x:c r="C483" s="42" t="str">
        <x:v>recaap_incidents_2024_2026</x:v>
      </x:c>
      <x:c r="D483" s="42" t="str">
        <x:v>2024-34</x:v>
      </x:c>
      <x:c r="E483" s="42" t="str">
        <x:v>2024-10-17</x:v>
      </x:c>
      <x:c r="F483" s="42" t="str">
        <x:v>Maritime Crime</x:v>
      </x:c>
      <x:c r="G483" s="42" t="str">
        <x:v>Robbery / Theft</x:v>
      </x:c>
      <x:c r="H483" s="42" t="str">
        <x:v>3</x:v>
      </x:c>
      <x:c r="I483" s="42" t="str">
        <x:v>Maritime</x:v>
      </x:c>
      <x:c r="J483" s="42" t="str">
        <x:v>Indonesia (Ports/Anchorages)</x:v>
      </x:c>
      <x:c r="K483" s="42" t="str"/>
      <x:c r="L483" s="42" t="str">
        <x:v>Medan Anchorage, Indonesia</x:v>
      </x:c>
      <x:c r="M483" s="42" t="str">
        <x:v>3.898333</x:v>
      </x:c>
      <x:c r="N483" s="42" t="str">
        <x:v>98.8</x:v>
      </x:c>
      <x:c r="O483" s="42" t="str">
        <x:v>BW Kestrel</x:v>
      </x:c>
      <x:c r="P483" s="42" t="str"/>
      <x:c r="Q483" s="42" t="str">
        <x:v>TANKER</x:v>
      </x:c>
      <x:c r="R483" s="42" t="str"/>
      <x:c r="S483" s="42" t="str">
        <x:v>T At Anchor While at anchor, the duty AB noticed someone hiding in the hawse pipe and sighted a small boat near to the ship anchor chain. The duty AB immediately reported the sighting to the Officer of the Watch (OOW) and shouted at the boat man to deter the perpetrators. The duty AB retreated to the accommodation block and updated OOW. He subsequently spotted another perpetrator at the starboard winch holding a machete. The OOW raised ship alarm and announced via the PA system of the armed perpetrators onboard. The perpetrators then escaped from the ship. A search was conducted onboard. No suspicious person was discovered. All crew members were safe and some unsecured items were stolen. he incident was reported to the local agent and the ship’s security watch manning was increased from two to four men. Shore duty watchmen service was also engaged for the remaining days at Medan Anchorage. The company initiated an investigation into this incident.</x:v>
      </x:c>
      <x:c r="T483" s="42" t="str"/>
      <x:c r="U483" s="42" t="str"/>
      <x:c r="V483" s="42" t="str"/>
      <x:c r="W483" s="42" t="str"/>
      <x:c r="X483" s="42" t="str"/>
      <x:c r="Y483" s="42" t="str"/>
      <x:c r="Z483" s="42" t="str"/>
      <x:c r="AA483" s="42" t="str">
        <x:v>https://www.recaap.org/alerts</x:v>
      </x:c>
      <x:c r="AB483" s="42" t="str">
        <x:v>Needs canonical event resolution</x:v>
      </x:c>
      <x:c r="AC483" s="42" t="str">
        <x:v>Flag: SINGAPORE</x:v>
      </x:c>
    </x:row>
    <x:row r="484">
      <x:c r="A484" s="42" t="str">
        <x:v>OBS_000483</x:v>
      </x:c>
      <x:c r="B484" s="42" t="str"/>
      <x:c r="C484" s="42" t="str">
        <x:v>recaap_incidents_2024_2026</x:v>
      </x:c>
      <x:c r="D484" s="42" t="str">
        <x:v>2024-35</x:v>
      </x:c>
      <x:c r="E484" s="42" t="str">
        <x:v>2024-10-16</x:v>
      </x:c>
      <x:c r="F484" s="42" t="str">
        <x:v>Maritime Crime</x:v>
      </x:c>
      <x:c r="G484" s="42" t="str">
        <x:v>Robbery / Theft</x:v>
      </x:c>
      <x:c r="H484" s="42" t="str">
        <x:v>4</x:v>
      </x:c>
      <x:c r="I484" s="42" t="str">
        <x:v>Maritime</x:v>
      </x:c>
      <x:c r="J484" s="42" t="str">
        <x:v>Indonesia (Ports/Anchorages)</x:v>
      </x:c>
      <x:c r="K484" s="42" t="str"/>
      <x:c r="L484" s="42" t="str">
        <x:v>Panjang Anchorage, Indonesia</x:v>
      </x:c>
      <x:c r="M484" s="42" t="str">
        <x:v>-5.500833</x:v>
      </x:c>
      <x:c r="N484" s="42" t="str">
        <x:v>105.2875</x:v>
      </x:c>
      <x:c r="O484" s="42" t="str">
        <x:v>Genco Constellation</x:v>
      </x:c>
      <x:c r="P484" s="42" t="str"/>
      <x:c r="Q484" s="42" t="str">
        <x:v>BULK CARRIER</x:v>
      </x:c>
      <x:c r="R484" s="42" t="str"/>
      <x:c r="S484" s="42" t="str">
        <x:v>At Anchor While at anchor, the ship was awaiting berthing instructions when the duty AB saw one perpetrator climbing the ship railing from aft poop deck. The duty AB shouted at the perpetrator and alerted the duty officer. On seeing the duty AB, the perpetrator jumped into the water and escaped in a small boat, with three other perpetrators in the boat. The duty officer immediately reported to the master and the VTS. The crew was not injured and old spare parts of generator were stolen. The incident was reported to Panjang VTS, and shared with the flag State.</x:v>
      </x:c>
      <x:c r="T484" s="42" t="str"/>
      <x:c r="U484" s="42" t="str"/>
      <x:c r="V484" s="42" t="str"/>
      <x:c r="W484" s="42" t="str"/>
      <x:c r="X484" s="42" t="str"/>
      <x:c r="Y484" s="42" t="str"/>
      <x:c r="Z484" s="42" t="str"/>
      <x:c r="AA484" s="42" t="str">
        <x:v>https://www.recaap.org/alerts</x:v>
      </x:c>
      <x:c r="AB484" s="42" t="str">
        <x:v>Needs canonical event resolution</x:v>
      </x:c>
      <x:c r="AC484" s="42" t="str">
        <x:v>Flag: MARSHALL ISLANDS</x:v>
      </x:c>
    </x:row>
    <x:row r="485">
      <x:c r="A485" s="42" t="str">
        <x:v>OBS_000484</x:v>
      </x:c>
      <x:c r="B485" s="42" t="str"/>
      <x:c r="C485" s="42" t="str">
        <x:v>recaap_incidents_2024_2026</x:v>
      </x:c>
      <x:c r="D485" s="42" t="str">
        <x:v>2024-36</x:v>
      </x:c>
      <x:c r="E485" s="42" t="str">
        <x:v>2024-10-12</x:v>
      </x:c>
      <x:c r="F485" s="42" t="str">
        <x:v>Maritime Crime</x:v>
      </x:c>
      <x:c r="G485" s="42" t="str">
        <x:v>Robbery / Theft</x:v>
      </x:c>
      <x:c r="H485" s="42" t="str">
        <x:v>2</x:v>
      </x:c>
      <x:c r="I485" s="42" t="str">
        <x:v>Maritime</x:v>
      </x:c>
      <x:c r="J485" s="42" t="str">
        <x:v>Bangladesh (Ports/Anchorages)</x:v>
      </x:c>
      <x:c r="K485" s="42" t="str"/>
      <x:c r="L485" s="42" t="str">
        <x:v>Kutubdia Anchorage, Bangladesh</x:v>
      </x:c>
      <x:c r="M485" s="42" t="str">
        <x:v>21.811667</x:v>
      </x:c>
      <x:c r="N485" s="42" t="str">
        <x:v>91.798333</x:v>
      </x:c>
      <x:c r="O485" s="42" t="str">
        <x:v>MV YM Advance</x:v>
      </x:c>
      <x:c r="P485" s="42" t="str"/>
      <x:c r="Q485" s="42" t="str">
        <x:v>BULK CARRIER</x:v>
      </x:c>
      <x:c r="R485" s="42" t="str"/>
      <x:c r="S485" s="42" t="str">
        <x:v>T At Anchor While at anchor, the local watchmen onboard noticed two perpetrators on the forward deck and raised the alarm. On hearing the alarm, the perpetrator escaped in a small boat. There were 10-12 perpetrators in total, among whom, two boarded the ship by throwing grapnel and rope. The crew and watchmen were safe, but two mobile phones were snatched and some ship property/stores were stolen. he incident was not reported to the BCG immediately. The BCG was informed of the incident four days later through IMB. An investigation was carried out by BCG.</x:v>
      </x:c>
      <x:c r="T485" s="42" t="str"/>
      <x:c r="U485" s="42" t="str"/>
      <x:c r="V485" s="42" t="str"/>
      <x:c r="W485" s="42" t="str"/>
      <x:c r="X485" s="42" t="str"/>
      <x:c r="Y485" s="42" t="str"/>
      <x:c r="Z485" s="42" t="str"/>
      <x:c r="AA485" s="42" t="str">
        <x:v>https://www.recaap.org/alerts</x:v>
      </x:c>
      <x:c r="AB485" s="42" t="str">
        <x:v>Needs canonical event resolution</x:v>
      </x:c>
      <x:c r="AC485" s="42" t="str">
        <x:v>Flag: MARSHALL ISLANDS</x:v>
      </x:c>
    </x:row>
    <x:row r="486">
      <x:c r="A486" s="42" t="str">
        <x:v>OBS_000485</x:v>
      </x:c>
      <x:c r="B486" s="42" t="str"/>
      <x:c r="C486" s="42" t="str">
        <x:v>recaap_incidents_2024_2026</x:v>
      </x:c>
      <x:c r="D486" s="42" t="str">
        <x:v>2024-37</x:v>
      </x:c>
      <x:c r="E486" s="42" t="str">
        <x:v>2024-10-02</x:v>
      </x:c>
      <x:c r="F486" s="42" t="str">
        <x:v>Maritime Crime</x:v>
      </x:c>
      <x:c r="G486" s="42" t="str">
        <x:v>Robbery / Theft</x:v>
      </x:c>
      <x:c r="H486" s="42" t="str">
        <x:v>3</x:v>
      </x:c>
      <x:c r="I486" s="42" t="str">
        <x:v>Maritime</x:v>
      </x:c>
      <x:c r="J486" s="42" t="str">
        <x:v>Straits of Malacca &amp; Singapore</x:v>
      </x:c>
      <x:c r="K486" s="42" t="str"/>
      <x:c r="L486" s="42" t="str">
        <x:v>Approximately 2.3 nm north of Pulau Cula (Indonesia), in the eastbound lane of the TSS</x:v>
      </x:c>
      <x:c r="M486" s="42" t="str">
        <x:v>1.079</x:v>
      </x:c>
      <x:c r="N486" s="42" t="str">
        <x:v>103.718</x:v>
      </x:c>
      <x:c r="O486" s="42" t="str">
        <x:v>Torex</x:v>
      </x:c>
      <x:c r="P486" s="42" t="str"/>
      <x:c r="Q486" s="42" t="str">
        <x:v>TANKER</x:v>
      </x:c>
      <x:c r="R486" s="42" t="str"/>
      <x:c r="S486" s="42" t="str">
        <x:v>T While underway, five perpetrators armed with knives were sighted boarding the stern of the ship, and in the engine room. The master raised the alarm and crew was mustered to conduct a search, but no perpetrators were found onboard. Some engine room spares were reported stolen from the engine room. The crew was not injured. No further assistance was required by the Master and the ship resumed her voyage to China. he master reported the incident to Singapore VTIS. Safety navigational broadcast was initiated. The RSN’s MSTF and Singapore PCG were notified of the incident. Information of the incident was shared with the Indonesian authorities.</x:v>
      </x:c>
      <x:c r="T486" s="42" t="str"/>
      <x:c r="U486" s="42" t="str"/>
      <x:c r="V486" s="42" t="str"/>
      <x:c r="W486" s="42" t="str">
        <x:v>While Sailing</x:v>
      </x:c>
      <x:c r="X486" s="42" t="str"/>
      <x:c r="Y486" s="42" t="str"/>
      <x:c r="Z486" s="42" t="str"/>
      <x:c r="AA486" s="42" t="str">
        <x:v>https://www.recaap.org/alerts</x:v>
      </x:c>
      <x:c r="AB486" s="42" t="str">
        <x:v>Needs canonical event resolution</x:v>
      </x:c>
      <x:c r="AC486" s="42" t="str">
        <x:v>Flag: COOK ISLANDS</x:v>
      </x:c>
    </x:row>
    <x:row r="487">
      <x:c r="A487" s="42" t="str">
        <x:v>OBS_000486</x:v>
      </x:c>
      <x:c r="B487" s="42" t="str"/>
      <x:c r="C487" s="42" t="str">
        <x:v>recaap_incidents_2024_2026</x:v>
      </x:c>
      <x:c r="D487" s="42" t="str">
        <x:v>2024-38</x:v>
      </x:c>
      <x:c r="E487" s="42" t="str">
        <x:v>2024-09-30</x:v>
      </x:c>
      <x:c r="F487" s="42" t="str">
        <x:v>Maritime Crime</x:v>
      </x:c>
      <x:c r="G487" s="42" t="str">
        <x:v>Robbery / Theft</x:v>
      </x:c>
      <x:c r="H487" s="42" t="str">
        <x:v>3</x:v>
      </x:c>
      <x:c r="I487" s="42" t="str">
        <x:v>Maritime</x:v>
      </x:c>
      <x:c r="J487" s="42" t="str">
        <x:v>Straits of Malacca &amp; Singapore</x:v>
      </x:c>
      <x:c r="K487" s="42" t="str"/>
      <x:c r="L487" s="42" t="str">
        <x:v>Approximately 3.3 nm north of Pulau Cula (Indonesia), in the eastbound lane of the TSS</x:v>
      </x:c>
      <x:c r="M487" s="42" t="str">
        <x:v>1.093333</x:v>
      </x:c>
      <x:c r="N487" s="42" t="str">
        <x:v>103.728333</x:v>
      </x:c>
      <x:c r="O487" s="42" t="str">
        <x:v>New Destiny</x:v>
      </x:c>
      <x:c r="P487" s="42" t="str"/>
      <x:c r="Q487" s="42" t="str">
        <x:v>BULK CARRIER</x:v>
      </x:c>
      <x:c r="R487" s="42" t="str"/>
      <x:c r="S487" s="42" t="str">
        <x:v>T U While sailing, five perpetrators with gun-like objects were sighted in the engine room. The crew was mustered and a search conducted, but no perpetrators were found. It could not be confirmed whether any property was stolen. The crew was not injured. he master reported the incident to the Singapore VTIS West. Safety navigational broadcast was initiated. The RSN’s MSTF and Singapore PCG were notified of the incident. pon the ship’s arrival at port of Singapore, the PCG boarded the ship and conducted a thorough search, and no perpetrators were found onboard. The information was also shared with the Indonesian authorities.</x:v>
      </x:c>
      <x:c r="T487" s="42" t="str"/>
      <x:c r="U487" s="42" t="str"/>
      <x:c r="V487" s="42" t="str"/>
      <x:c r="W487" s="42" t="str">
        <x:v>While Sailing</x:v>
      </x:c>
      <x:c r="X487" s="42" t="str"/>
      <x:c r="Y487" s="42" t="str"/>
      <x:c r="Z487" s="42" t="str"/>
      <x:c r="AA487" s="42" t="str">
        <x:v>https://www.recaap.org/alerts</x:v>
      </x:c>
      <x:c r="AB487" s="42" t="str">
        <x:v>Needs canonical event resolution</x:v>
      </x:c>
      <x:c r="AC487" s="42" t="str">
        <x:v>Flag: MARSHALL ISLANDS</x:v>
      </x:c>
    </x:row>
    <x:row r="488">
      <x:c r="A488" s="42" t="str">
        <x:v>OBS_000487</x:v>
      </x:c>
      <x:c r="B488" s="42" t="str"/>
      <x:c r="C488" s="42" t="str">
        <x:v>recaap_incidents_2024_2026</x:v>
      </x:c>
      <x:c r="D488" s="42" t="str">
        <x:v>2024-39</x:v>
      </x:c>
      <x:c r="E488" s="42" t="str">
        <x:v>2024-09-22</x:v>
      </x:c>
      <x:c r="F488" s="42" t="str">
        <x:v>Maritime Crime</x:v>
      </x:c>
      <x:c r="G488" s="42" t="str">
        <x:v>Robbery / Theft</x:v>
      </x:c>
      <x:c r="H488" s="42" t="str">
        <x:v>1</x:v>
      </x:c>
      <x:c r="I488" s="42" t="str">
        <x:v>Maritime</x:v>
      </x:c>
      <x:c r="J488" s="42" t="str">
        <x:v>Indonesia (Seas/Straits)</x:v>
      </x:c>
      <x:c r="K488" s="42" t="str"/>
      <x:c r="L488" s="42" t="str">
        <x:v>Approximately 47 nm south of Tanjung Malatayur, Central Kalimantan, Indonesia</x:v>
      </x:c>
      <x:c r="M488" s="42" t="str">
        <x:v>-4.203833</x:v>
      </x:c>
      <x:c r="N488" s="42" t="str">
        <x:v>113.827</x:v>
      </x:c>
      <x:c r="O488" s="42" t="str">
        <x:v>Royal TB 17 &amp; OB Royal 17</x:v>
      </x:c>
      <x:c r="P488" s="42" t="str"/>
      <x:c r="Q488" s="42" t="str">
        <x:v>TUG BOAT &amp; BARGE</x:v>
      </x:c>
      <x:c r="R488" s="42" t="str"/>
      <x:c r="S488" s="42" t="str">
        <x:v>T O While the tug boat towing barge was enroute from Bagendang Port, Sampit, to Stagen Kotabaru, five perpetrators in a small boat approached the vessels. Four of the perpetrators boarded the barge, while one perpetrator waited in the small boat. The perpetrators, carrying firearms and sharp weapons, locked the crew members onboard the barge inside the toilet. he perpetrators then moved to the tug boat, where they threatened and restrained the master and crew in the mess room, binding them with plastic ropes. The perpetrators subsequently siphoned the FAME (Fatty Acid Methyl Ester) cargo onto a tanker, and also stole 21 mobile phones, cash amounting to approximately IDR 17,200,000, and navigational equipment such as a Furuno radar and binoculars. The perpetrators also damaged communication and navigational tools onboard the ship before they escaped. The incident lasted between eight and 10 hours. n 1 Nov 2024, it was reported that the Central Kalimantan Police had arrested 14 suspected perpetrators of the incident.</x:v>
      </x:c>
      <x:c r="T488" s="42" t="str"/>
      <x:c r="U488" s="42" t="str"/>
      <x:c r="V488" s="42" t="str"/>
      <x:c r="W488" s="42" t="str">
        <x:v>While Sailing</x:v>
      </x:c>
      <x:c r="X488" s="42" t="str"/>
      <x:c r="Y488" s="42" t="str"/>
      <x:c r="Z488" s="42" t="str"/>
      <x:c r="AA488" s="42" t="str">
        <x:v>https://www.recaap.org/alerts</x:v>
      </x:c>
      <x:c r="AB488" s="42" t="str">
        <x:v>Needs canonical event resolution</x:v>
      </x:c>
      <x:c r="AC488" s="42" t="str">
        <x:v>Flag: INDONESIA</x:v>
      </x:c>
    </x:row>
    <x:row r="489">
      <x:c r="A489" s="42" t="str">
        <x:v>OBS_000488</x:v>
      </x:c>
      <x:c r="B489" s="42" t="str"/>
      <x:c r="C489" s="42" t="str">
        <x:v>recaap_incidents_2024_2026</x:v>
      </x:c>
      <x:c r="D489" s="42" t="str">
        <x:v>2024-42</x:v>
      </x:c>
      <x:c r="E489" s="42" t="str">
        <x:v>2024-09-14</x:v>
      </x:c>
      <x:c r="F489" s="42" t="str">
        <x:v>Maritime Crime</x:v>
      </x:c>
      <x:c r="G489" s="42" t="str">
        <x:v>Robbery / Theft</x:v>
      </x:c>
      <x:c r="H489" s="42" t="str">
        <x:v>3</x:v>
      </x:c>
      <x:c r="I489" s="42" t="str">
        <x:v>Maritime</x:v>
      </x:c>
      <x:c r="J489" s="42" t="str">
        <x:v>Straits of Malacca &amp; Singapore</x:v>
      </x:c>
      <x:c r="K489" s="42" t="str"/>
      <x:c r="L489" s="42" t="str">
        <x:v>Approximately 5.9 nm northwest of Pulau Cula (Indonesia), in the eastbound lane of the TSS</x:v>
      </x:c>
      <x:c r="M489" s="42" t="str">
        <x:v>1.069667</x:v>
      </x:c>
      <x:c r="N489" s="42" t="str">
        <x:v>103.617833</x:v>
      </x:c>
      <x:c r="O489" s="42" t="str">
        <x:v>Sea Voyager</x:v>
      </x:c>
      <x:c r="P489" s="42" t="str"/>
      <x:c r="Q489" s="42" t="str">
        <x:v>BULK CARRIER</x:v>
      </x:c>
      <x:c r="R489" s="42" t="str"/>
      <x:c r="S489" s="42" t="str">
        <x:v>T T While underway, five perpetrators with knives were sighted in the steering room of the ship. The alarm was raised and all crew mustered to conduct a search to locate the perpetrators. The crew was not injured. Nothing was reported stolen from the ship. he incident was reported to Singapore VTIS. Safety navigational broadcast was initiated. The RSN’s MSTF and Singapore PCG were notified of the incident. he PCG boarded the ship upon her arrival at Singapore port and conducted a search. No perpetrators were found onboard. Information of the incident was shared with the Indonesian authorities.</x:v>
      </x:c>
      <x:c r="T489" s="42" t="str"/>
      <x:c r="U489" s="42" t="str"/>
      <x:c r="V489" s="42" t="str"/>
      <x:c r="W489" s="42" t="str">
        <x:v>While Sailing</x:v>
      </x:c>
      <x:c r="X489" s="42" t="str"/>
      <x:c r="Y489" s="42" t="str"/>
      <x:c r="Z489" s="42" t="str"/>
      <x:c r="AA489" s="42" t="str">
        <x:v>https://www.recaap.org/alerts</x:v>
      </x:c>
      <x:c r="AB489" s="42" t="str">
        <x:v>Needs canonical event resolution</x:v>
      </x:c>
      <x:c r="AC489" s="42" t="str">
        <x:v>Flag: PANAMA</x:v>
      </x:c>
    </x:row>
    <x:row r="490">
      <x:c r="A490" s="42" t="str">
        <x:v>OBS_000489</x:v>
      </x:c>
      <x:c r="B490" s="42" t="str"/>
      <x:c r="C490" s="42" t="str">
        <x:v>recaap_incidents_2024_2026</x:v>
      </x:c>
      <x:c r="D490" s="42" t="str">
        <x:v>2024-41</x:v>
      </x:c>
      <x:c r="E490" s="42" t="str">
        <x:v>2024-09-14</x:v>
      </x:c>
      <x:c r="F490" s="42" t="str">
        <x:v>Maritime Crime</x:v>
      </x:c>
      <x:c r="G490" s="42" t="str">
        <x:v>Robbery / Theft</x:v>
      </x:c>
      <x:c r="H490" s="42" t="str">
        <x:v>4</x:v>
      </x:c>
      <x:c r="I490" s="42" t="str">
        <x:v>Maritime</x:v>
      </x:c>
      <x:c r="J490" s="42" t="str">
        <x:v>Malaysia (Seas/Straits)</x:v>
      </x:c>
      <x:c r="K490" s="42" t="str"/>
      <x:c r="L490" s="42" t="str">
        <x:v>Approximately 2.2 nm south of Pulau Mungging, within Johor Port Limit, Malaysia</x:v>
      </x:c>
      <x:c r="M490" s="42" t="str">
        <x:v>1.254167</x:v>
      </x:c>
      <x:c r="N490" s="42" t="str">
        <x:v>104.030833</x:v>
      </x:c>
      <x:c r="O490" s="42" t="str">
        <x:v>Target 10 &amp; Alam 281</x:v>
      </x:c>
      <x:c r="P490" s="42" t="str"/>
      <x:c r="Q490" s="42" t="str">
        <x:v>TUG BOAT &amp; BARGE</x:v>
      </x:c>
      <x:c r="R490" s="42" t="str"/>
      <x:c r="S490" s="42" t="str">
        <x:v>T While underway, the tug boat master reported that some scrap metal on its towing barge were taken away by perpetrators via a sampan. All crew mustered and a search was conducted. The crew members were safe. he incident was reported to Singapore VTIS. Safety navigational broadcast was initiated. The RSN’s MSTF and Singapore PCG were notified of the incident. Information of the incident was shared with the Malaysian and Indonesian authorities.</x:v>
      </x:c>
      <x:c r="T490" s="42" t="str"/>
      <x:c r="U490" s="42" t="str"/>
      <x:c r="V490" s="42" t="str"/>
      <x:c r="W490" s="42" t="str">
        <x:v>While Sailing</x:v>
      </x:c>
      <x:c r="X490" s="42" t="str"/>
      <x:c r="Y490" s="42" t="str"/>
      <x:c r="Z490" s="42" t="str"/>
      <x:c r="AA490" s="42" t="str">
        <x:v>https://www.recaap.org/alerts</x:v>
      </x:c>
      <x:c r="AB490" s="42" t="str">
        <x:v>Needs canonical event resolution</x:v>
      </x:c>
      <x:c r="AC490" s="42" t="str">
        <x:v>Flag: MALAYSIA</x:v>
      </x:c>
    </x:row>
    <x:row r="491">
      <x:c r="A491" s="42" t="str">
        <x:v>OBS_000490</x:v>
      </x:c>
      <x:c r="B491" s="42" t="str"/>
      <x:c r="C491" s="42" t="str">
        <x:v>recaap_incidents_2024_2026</x:v>
      </x:c>
      <x:c r="D491" s="42" t="str">
        <x:v>2024-40</x:v>
      </x:c>
      <x:c r="E491" s="42" t="str">
        <x:v>2024-09-14</x:v>
      </x:c>
      <x:c r="F491" s="42" t="str">
        <x:v>Maritime Crime</x:v>
      </x:c>
      <x:c r="G491" s="42" t="str">
        <x:v>Robbery / Theft</x:v>
      </x:c>
      <x:c r="H491" s="42" t="str">
        <x:v>4</x:v>
      </x:c>
      <x:c r="I491" s="42" t="str">
        <x:v>Maritime</x:v>
      </x:c>
      <x:c r="J491" s="42" t="str">
        <x:v>Straits of Malacca &amp; Singapore</x:v>
      </x:c>
      <x:c r="K491" s="42" t="str"/>
      <x:c r="L491" s="42" t="str">
        <x:v>Approximately 4 nm northwest of Pulau Cula (Indonesia), in the eastbound lane of the TSS</x:v>
      </x:c>
      <x:c r="M491" s="42" t="str">
        <x:v>1.254167</x:v>
      </x:c>
      <x:c r="N491" s="42" t="str">
        <x:v>103.6475</x:v>
      </x:c>
      <x:c r="O491" s="42" t="str">
        <x:v>Atlantic Tiger</x:v>
      </x:c>
      <x:c r="P491" s="42" t="str"/>
      <x:c r="Q491" s="42" t="str">
        <x:v>BULK CARRIER</x:v>
      </x:c>
      <x:c r="R491" s="42" t="str"/>
      <x:c r="S491" s="42" t="str">
        <x:v>T T While underway, six to seven perpetrators were sighted in the vicinity of port quarter of the ship. All crew mustered to conduct a search. The crew was not injured. Engine spares were stolen from the ship. he incident was reported to Singapore VTIS. Safety navigational broadcast was initiated. The Republic of RSN’s MSTF and Singapore PCG were notified of the incident. he PCG boarded the ship upon her arrival at Singapore Port, and conducted a search. No perpetrators were found onboard. Information of the incident was shared with the Indonesian authorities.</x:v>
      </x:c>
      <x:c r="T491" s="42" t="str"/>
      <x:c r="U491" s="42" t="str"/>
      <x:c r="V491" s="42" t="str"/>
      <x:c r="W491" s="42" t="str">
        <x:v>While Sailing</x:v>
      </x:c>
      <x:c r="X491" s="42" t="str"/>
      <x:c r="Y491" s="42" t="str"/>
      <x:c r="Z491" s="42" t="str"/>
      <x:c r="AA491" s="42" t="str">
        <x:v>https://www.recaap.org/alerts</x:v>
      </x:c>
      <x:c r="AB491" s="42" t="str">
        <x:v>Needs canonical event resolution</x:v>
      </x:c>
      <x:c r="AC491" s="42" t="str">
        <x:v>Flag: MARSHALL ISLANDS</x:v>
      </x:c>
    </x:row>
    <x:row r="492">
      <x:c r="A492" s="42" t="str">
        <x:v>OBS_000491</x:v>
      </x:c>
      <x:c r="B492" s="42" t="str"/>
      <x:c r="C492" s="42" t="str">
        <x:v>recaap_incidents_2024_2026</x:v>
      </x:c>
      <x:c r="D492" s="42" t="str">
        <x:v>2024-43</x:v>
      </x:c>
      <x:c r="E492" s="42" t="str">
        <x:v>2024-08-27</x:v>
      </x:c>
      <x:c r="F492" s="42" t="str">
        <x:v>Maritime Crime</x:v>
      </x:c>
      <x:c r="G492" s="42" t="str">
        <x:v>Robbery / Theft</x:v>
      </x:c>
      <x:c r="H492" s="42" t="str">
        <x:v>3</x:v>
      </x:c>
      <x:c r="I492" s="42" t="str">
        <x:v>Maritime</x:v>
      </x:c>
      <x:c r="J492" s="42" t="str">
        <x:v>Straits of Malacca &amp; Singapore</x:v>
      </x:c>
      <x:c r="K492" s="42" t="str"/>
      <x:c r="L492" s="42" t="str">
        <x:v>Approximately 4.2 nm from Pulau Nongsa Lighthouse (Indonesia), in the eastbound lane of the TSS</x:v>
      </x:c>
      <x:c r="M492" s="42" t="str">
        <x:v>1.254167</x:v>
      </x:c>
      <x:c r="N492" s="42" t="str">
        <x:v>104.030833</x:v>
      </x:c>
      <x:c r="O492" s="42" t="str">
        <x:v>Lucky Long</x:v>
      </x:c>
      <x:c r="P492" s="42" t="str"/>
      <x:c r="Q492" s="42" t="str">
        <x:v>BULK CARRIER</x:v>
      </x:c>
      <x:c r="R492" s="42" t="str"/>
      <x:c r="S492" s="42" t="str">
        <x:v>S U While underway, five perpetrators, of which two carried knives/parang, were sighted in the engine room. Officer on watch raised the alarm and mustered crew to conduct a search to locate the perpetrators. The master reported that all crew were accounted for with no injury reported, and incident was generator spares were found missing. The reported to the Singapore VTIS East. The ship resumed her voyage to Singapore. afety navigational broadcast was initiated. The RSN’s MSTF and Singapore PCG were notified of the incident. Information of the incident was shared with the Indonesian authorities. pon the ship's arrival at port of Singapore, the PCG boarded the ship, conducted a thorough search onboard. No perpetrators were found.</x:v>
      </x:c>
      <x:c r="T492" s="42" t="str"/>
      <x:c r="U492" s="42" t="str"/>
      <x:c r="V492" s="42" t="str"/>
      <x:c r="W492" s="42" t="str">
        <x:v>While Sailing</x:v>
      </x:c>
      <x:c r="X492" s="42" t="str"/>
      <x:c r="Y492" s="42" t="str"/>
      <x:c r="Z492" s="42" t="str"/>
      <x:c r="AA492" s="42" t="str">
        <x:v>https://www.recaap.org/alerts</x:v>
      </x:c>
      <x:c r="AB492" s="42" t="str">
        <x:v>Needs canonical event resolution</x:v>
      </x:c>
      <x:c r="AC492" s="42" t="str">
        <x:v>Flag: PANAMA</x:v>
      </x:c>
    </x:row>
    <x:row r="493">
      <x:c r="A493" s="42" t="str">
        <x:v>OBS_000492</x:v>
      </x:c>
      <x:c r="B493" s="42" t="str"/>
      <x:c r="C493" s="42" t="str">
        <x:v>recaap_incidents_2024_2026</x:v>
      </x:c>
      <x:c r="D493" s="42" t="str">
        <x:v>2024-44</x:v>
      </x:c>
      <x:c r="E493" s="42" t="str">
        <x:v>2024-08-23</x:v>
      </x:c>
      <x:c r="F493" s="42" t="str">
        <x:v>Maritime Crime</x:v>
      </x:c>
      <x:c r="G493" s="42" t="str">
        <x:v>Robbery / Theft</x:v>
      </x:c>
      <x:c r="H493" s="42" t="str">
        <x:v>4</x:v>
      </x:c>
      <x:c r="I493" s="42" t="str">
        <x:v>Maritime</x:v>
      </x:c>
      <x:c r="J493" s="42" t="str">
        <x:v>Straits of Malacca &amp; Singapore</x:v>
      </x:c>
      <x:c r="K493" s="42" t="str"/>
      <x:c r="L493" s="42" t="str">
        <x:v>Approximately 3.6 nm southeast of Tanjung Setapa (Malaysia), in the westbound lane of the TSS</x:v>
      </x:c>
      <x:c r="M493" s="42" t="str">
        <x:v>1.283667</x:v>
      </x:c>
      <x:c r="N493" s="42" t="str">
        <x:v>104.143667</x:v>
      </x:c>
      <x:c r="O493" s="42" t="str">
        <x:v>Jin Hwa 49 &amp; Jin Hwa 39</x:v>
      </x:c>
      <x:c r="P493" s="42" t="str"/>
      <x:c r="Q493" s="42" t="str">
        <x:v>TUG BOAT &amp; BARGE</x:v>
      </x:c>
      <x:c r="R493" s="42" t="str"/>
      <x:c r="S493" s="42" t="str">
        <x:v>T While underway, seven unauthorised personnel from two sampans (small boats) boarded the barge. The perpetrators left with some scrap metal from the barge. The crew was not injured and no assistance was required. he incident was reported to the Singapore VTIS East. Safety navigational broadcast was initiated. The RSN's MSTF and Singapore PCG were notified of the incident.</x:v>
      </x:c>
      <x:c r="T493" s="42" t="str"/>
      <x:c r="U493" s="42" t="str"/>
      <x:c r="V493" s="42" t="str"/>
      <x:c r="W493" s="42" t="str">
        <x:v>While Sailing</x:v>
      </x:c>
      <x:c r="X493" s="42" t="str"/>
      <x:c r="Y493" s="42" t="str"/>
      <x:c r="Z493" s="42" t="str"/>
      <x:c r="AA493" s="42" t="str">
        <x:v>https://www.recaap.org/alerts</x:v>
      </x:c>
      <x:c r="AB493" s="42" t="str">
        <x:v>Needs canonical event resolution</x:v>
      </x:c>
      <x:c r="AC493" s="42" t="str">
        <x:v>Flag: MALAYSIA</x:v>
      </x:c>
    </x:row>
    <x:row r="494">
      <x:c r="A494" s="42" t="str">
        <x:v>OBS_000493</x:v>
      </x:c>
      <x:c r="B494" s="42" t="str"/>
      <x:c r="C494" s="42" t="str">
        <x:v>recaap_incidents_2024_2026</x:v>
      </x:c>
      <x:c r="D494" s="42" t="str">
        <x:v>2024-45</x:v>
      </x:c>
      <x:c r="E494" s="42" t="str">
        <x:v>2024-08-11</x:v>
      </x:c>
      <x:c r="F494" s="42" t="str">
        <x:v>Maritime Crime</x:v>
      </x:c>
      <x:c r="G494" s="42" t="str">
        <x:v>Robbery / Theft</x:v>
      </x:c>
      <x:c r="H494" s="42" t="str">
        <x:v>4</x:v>
      </x:c>
      <x:c r="I494" s="42" t="str">
        <x:v>Maritime</x:v>
      </x:c>
      <x:c r="J494" s="42" t="str">
        <x:v>Straits of Malacca &amp; Singapore</x:v>
      </x:c>
      <x:c r="K494" s="42" t="str"/>
      <x:c r="L494" s="42" t="str">
        <x:v>Approximately 2.6 nm north of Pulau Cula (Indonesia), in the eastbound lane of the TSS</x:v>
      </x:c>
      <x:c r="M494" s="42" t="str">
        <x:v>1.08</x:v>
      </x:c>
      <x:c r="N494" s="42" t="str">
        <x:v>103.713333</x:v>
      </x:c>
      <x:c r="O494" s="42" t="str">
        <x:v>Aphrodite L</x:v>
      </x:c>
      <x:c r="P494" s="42" t="str"/>
      <x:c r="Q494" s="42" t="str">
        <x:v>BULK CARRIER</x:v>
      </x:c>
      <x:c r="R494" s="42" t="str"/>
      <x:c r="S494" s="42" t="str">
        <x:v>T While underway, two perpetrators were sighted at the poop deck. Upon being sighted by the crew, the perpetrators jumped overboard. The ship general alarm was raised and crew mustered to conduct a search. No perpetrators found and no loss of property. All crew members were safe. he incident was reported to Singapore VTIS. Safety navigational broadcast was initiated. The RSN’s MSTF and Singapore PCG were notified of the incident. The PCG boarded the ship at Singapore anchorage to conduct a security search and investigation, and reported no perpetrators found onboard, and no property stolen. Information of the incident was shared with the Indonesian and Malaysian authorities.</x:v>
      </x:c>
      <x:c r="T494" s="42" t="str"/>
      <x:c r="U494" s="42" t="str"/>
      <x:c r="V494" s="42" t="str"/>
      <x:c r="W494" s="42" t="str">
        <x:v>While Sailing</x:v>
      </x:c>
      <x:c r="X494" s="42" t="str"/>
      <x:c r="Y494" s="42" t="str"/>
      <x:c r="Z494" s="42" t="str"/>
      <x:c r="AA494" s="42" t="str">
        <x:v>https://www.recaap.org/alerts</x:v>
      </x:c>
      <x:c r="AB494" s="42" t="str">
        <x:v>Needs canonical event resolution</x:v>
      </x:c>
      <x:c r="AC494" s="42" t="str">
        <x:v>Flag: LIBERIA</x:v>
      </x:c>
    </x:row>
    <x:row r="495">
      <x:c r="A495" s="42" t="str">
        <x:v>OBS_000494</x:v>
      </x:c>
      <x:c r="B495" s="42" t="str"/>
      <x:c r="C495" s="42" t="str">
        <x:v>recaap_incidents_2024_2026</x:v>
      </x:c>
      <x:c r="D495" s="42" t="str">
        <x:v>2024-46</x:v>
      </x:c>
      <x:c r="E495" s="42" t="str">
        <x:v>2024-08-06</x:v>
      </x:c>
      <x:c r="F495" s="42" t="str">
        <x:v>Maritime Crime</x:v>
      </x:c>
      <x:c r="G495" s="42" t="str">
        <x:v>Robbery / Theft</x:v>
      </x:c>
      <x:c r="H495" s="42" t="str">
        <x:v>2</x:v>
      </x:c>
      <x:c r="I495" s="42" t="str">
        <x:v>Maritime</x:v>
      </x:c>
      <x:c r="J495" s="42" t="str">
        <x:v>Straits of Malacca &amp; Singapore</x:v>
      </x:c>
      <x:c r="K495" s="42" t="str"/>
      <x:c r="L495" s="42" t="str">
        <x:v>Approximately 4.3 nm from Pulau Cula (Indonesia), in the eastbound lane of the TSS</x:v>
      </x:c>
      <x:c r="M495" s="42" t="str">
        <x:v>1.051667</x:v>
      </x:c>
      <x:c r="N495" s="42" t="str">
        <x:v>103.638333</x:v>
      </x:c>
      <x:c r="O495" s="42" t="str">
        <x:v>Ultra Colonsay</x:v>
      </x:c>
      <x:c r="P495" s="42" t="str"/>
      <x:c r="Q495" s="42" t="str">
        <x:v>BULK CARRIER</x:v>
      </x:c>
      <x:c r="R495" s="42" t="str"/>
      <x:c r="S495" s="42" t="str">
        <x:v>T While underway, five to six perpetrators with knives were sighted in the engine room. The ship's general alarm was raised and crew mustered to conduct a search. Upon hearing the alarm, the perpetrators escaped. The perpetrators had tied the Chief Engineer's (CE) hands and feet with rope, but the CE managed to free himself after the perpetrators had escaped. Some engine spare parts and the Chief Engineer’s cellphone were stolen. All crew members were safe. he incident was reported to Singapore VTIS. Navtex broadcast was initiated to alert other vessels in the area to exercise caution and step up anti-piracy watch. The Singapore PCG boarded the ship when at anchorage and reported no perpetrators were found onboard. Information of the incident was shared with the MRCCs of Indonesia and Malaysia.</x:v>
      </x:c>
      <x:c r="T495" s="42" t="str"/>
      <x:c r="U495" s="42" t="str"/>
      <x:c r="V495" s="42" t="str"/>
      <x:c r="W495" s="42" t="str">
        <x:v>While Sailing</x:v>
      </x:c>
      <x:c r="X495" s="42" t="str"/>
      <x:c r="Y495" s="42" t="str"/>
      <x:c r="Z495" s="42" t="str"/>
      <x:c r="AA495" s="42" t="str">
        <x:v>https://www.recaap.org/alerts</x:v>
      </x:c>
      <x:c r="AB495" s="42" t="str">
        <x:v>Needs canonical event resolution</x:v>
      </x:c>
      <x:c r="AC495" s="42" t="str">
        <x:v>Flag: PANAMA</x:v>
      </x:c>
    </x:row>
    <x:row r="496">
      <x:c r="A496" s="42" t="str">
        <x:v>OBS_000495</x:v>
      </x:c>
      <x:c r="B496" s="42" t="str"/>
      <x:c r="C496" s="42" t="str">
        <x:v>recaap_incidents_2024_2026</x:v>
      </x:c>
      <x:c r="D496" s="42" t="str">
        <x:v>2024-47</x:v>
      </x:c>
      <x:c r="E496" s="42" t="str">
        <x:v>2024-08-05</x:v>
      </x:c>
      <x:c r="F496" s="42" t="str">
        <x:v>Maritime Crime</x:v>
      </x:c>
      <x:c r="G496" s="42" t="str">
        <x:v>Robbery / Theft</x:v>
      </x:c>
      <x:c r="H496" s="42" t="str">
        <x:v>4</x:v>
      </x:c>
      <x:c r="I496" s="42" t="str">
        <x:v>Maritime</x:v>
      </x:c>
      <x:c r="J496" s="42" t="str">
        <x:v>Straits of Malacca &amp; Singapore</x:v>
      </x:c>
      <x:c r="K496" s="42" t="str"/>
      <x:c r="L496" s="42" t="str">
        <x:v>Off Tanjung Tondong (Indonesia), in the eastbound lane of the TSS</x:v>
      </x:c>
      <x:c r="M496" s="42" t="str">
        <x:v>1.257167</x:v>
      </x:c>
      <x:c r="N496" s="42" t="str">
        <x:v>104.191667</x:v>
      </x:c>
      <x:c r="O496" s="42" t="str">
        <x:v>HK Tug 3 &amp; LKH 3883</x:v>
      </x:c>
      <x:c r="P496" s="42" t="str"/>
      <x:c r="Q496" s="42" t="str">
        <x:v>TUG BOAT &amp; BARGE</x:v>
      </x:c>
      <x:c r="R496" s="42" t="str"/>
      <x:c r="S496" s="42" t="str">
        <x:v>T While underway, several small boats carrying an unknown number of perpetrators approached and boarded the barge. They transferred scrap metal from the barge to the small boats and the perpetrators left after about half an hour later. Scrap metal was stolen from the barge. The crew was safe. he incident was reported to Singapore Port Operations Control Centre (POCC).</x:v>
      </x:c>
      <x:c r="T496" s="42" t="str"/>
      <x:c r="U496" s="42" t="str"/>
      <x:c r="V496" s="42" t="str"/>
      <x:c r="W496" s="42" t="str">
        <x:v>While Sailing</x:v>
      </x:c>
      <x:c r="X496" s="42" t="str"/>
      <x:c r="Y496" s="42" t="str"/>
      <x:c r="Z496" s="42" t="str"/>
      <x:c r="AA496" s="42" t="str">
        <x:v>https://www.recaap.org/alerts</x:v>
      </x:c>
      <x:c r="AB496" s="42" t="str">
        <x:v>Needs canonical event resolution</x:v>
      </x:c>
      <x:c r="AC496" s="42" t="str">
        <x:v>Flag: SINGAPORE</x:v>
      </x:c>
    </x:row>
    <x:row r="497">
      <x:c r="A497" s="42" t="str">
        <x:v>OBS_000496</x:v>
      </x:c>
      <x:c r="B497" s="42" t="str"/>
      <x:c r="C497" s="42" t="str">
        <x:v>recaap_incidents_2024_2026</x:v>
      </x:c>
      <x:c r="D497" s="42" t="str">
        <x:v>2024-48</x:v>
      </x:c>
      <x:c r="E497" s="42" t="str">
        <x:v>2024-08-04</x:v>
      </x:c>
      <x:c r="F497" s="42" t="str">
        <x:v>Maritime Crime</x:v>
      </x:c>
      <x:c r="G497" s="42" t="str">
        <x:v>Robbery / Theft</x:v>
      </x:c>
      <x:c r="H497" s="42" t="str">
        <x:v>4</x:v>
      </x:c>
      <x:c r="I497" s="42" t="str">
        <x:v>Maritime</x:v>
      </x:c>
      <x:c r="J497" s="42" t="str">
        <x:v>Indonesia (Ports/Anchorages)</x:v>
      </x:c>
      <x:c r="K497" s="42" t="str"/>
      <x:c r="L497" s="42" t="str">
        <x:v>Pulau Batam Anchorage, Indonesia</x:v>
      </x:c>
      <x:c r="M497" s="42" t="str">
        <x:v>1.1615</x:v>
      </x:c>
      <x:c r="N497" s="42" t="str">
        <x:v>103.961667</x:v>
      </x:c>
      <x:c r="O497" s="42" t="str">
        <x:v>Spec Nichole</x:v>
      </x:c>
      <x:c r="P497" s="42" t="str"/>
      <x:c r="Q497" s="42" t="str">
        <x:v>SUPPLY VESSEL</x:v>
      </x:c>
      <x:c r="R497" s="42" t="str"/>
      <x:c r="S497" s="42" t="str">
        <x:v>At Anchor While anchored, two unauthorised persons boarded the ship later and escaped with ship’s properties. The theft was discovered in the morning by the crew.</x:v>
      </x:c>
      <x:c r="T497" s="42" t="str"/>
      <x:c r="U497" s="42" t="str"/>
      <x:c r="V497" s="42" t="str"/>
      <x:c r="W497" s="42" t="str"/>
      <x:c r="X497" s="42" t="str"/>
      <x:c r="Y497" s="42" t="str"/>
      <x:c r="Z497" s="42" t="str"/>
      <x:c r="AA497" s="42" t="str">
        <x:v>https://www.recaap.org/alerts</x:v>
      </x:c>
      <x:c r="AB497" s="42" t="str">
        <x:v>Needs canonical event resolution</x:v>
      </x:c>
      <x:c r="AC497" s="42" t="str">
        <x:v>Flag: LIBERIA</x:v>
      </x:c>
    </x:row>
    <x:row r="498">
      <x:c r="A498" s="42" t="str">
        <x:v>OBS_000497</x:v>
      </x:c>
      <x:c r="B498" s="42" t="str"/>
      <x:c r="C498" s="42" t="str">
        <x:v>recaap_incidents_2024_2026</x:v>
      </x:c>
      <x:c r="D498" s="42" t="str">
        <x:v>2024-50</x:v>
      </x:c>
      <x:c r="E498" s="42" t="str">
        <x:v>2024-07-29</x:v>
      </x:c>
      <x:c r="F498" s="42" t="str">
        <x:v>Maritime Crime</x:v>
      </x:c>
      <x:c r="G498" s="42" t="str">
        <x:v>Robbery / Theft</x:v>
      </x:c>
      <x:c r="H498" s="42" t="str">
        <x:v>4</x:v>
      </x:c>
      <x:c r="I498" s="42" t="str">
        <x:v>Maritime</x:v>
      </x:c>
      <x:c r="J498" s="42" t="str">
        <x:v>Straits of Malacca &amp; Singapore</x:v>
      </x:c>
      <x:c r="K498" s="42" t="str"/>
      <x:c r="L498" s="42" t="str">
        <x:v>About 3.2 nm north west of Pulau Cula (Indonesia), in the eastbound lane of the TSS</x:v>
      </x:c>
      <x:c r="M498" s="42" t="str">
        <x:v>1.063333</x:v>
      </x:c>
      <x:c r="N498" s="42" t="str">
        <x:v>103.668333</x:v>
      </x:c>
      <x:c r="O498" s="42" t="str">
        <x:v>Berge Mauna Loa</x:v>
      </x:c>
      <x:c r="P498" s="42" t="str"/>
      <x:c r="Q498" s="42" t="str">
        <x:v>BULK CARRIER</x:v>
      </x:c>
      <x:c r="R498" s="42" t="str"/>
      <x:c r="S498" s="42" t="str">
        <x:v>T in the While underway, three perpetrators were sighted steering gear room. The perpetrators escaped upon the activation of the ship's general alarm. A search was conducted with no further sighting of the perpetrators. Nothing was stolen and all crew members were safe. he incident was reported to Singapore VTIS. Safety navigational broadcast was initiated. The RSN's MSTF and Singapore PCG were notified of the incident. The PCG boarded the vessel upon her arrival at the Port of Singapore and conducted a thorough search. No perpetrators were found on board. Information of the incident was shared with the Indonesian authorities.</x:v>
      </x:c>
      <x:c r="T498" s="42" t="str"/>
      <x:c r="U498" s="42" t="str"/>
      <x:c r="V498" s="42" t="str"/>
      <x:c r="W498" s="42" t="str">
        <x:v>While Sailing</x:v>
      </x:c>
      <x:c r="X498" s="42" t="str"/>
      <x:c r="Y498" s="42" t="str"/>
      <x:c r="Z498" s="42" t="str"/>
      <x:c r="AA498" s="42" t="str">
        <x:v>https://www.recaap.org/alerts</x:v>
      </x:c>
      <x:c r="AB498" s="42" t="str">
        <x:v>Needs canonical event resolution</x:v>
      </x:c>
      <x:c r="AC498" s="42" t="str">
        <x:v>Flag: ISLE OF MAN</x:v>
      </x:c>
    </x:row>
    <x:row r="499">
      <x:c r="A499" s="42" t="str">
        <x:v>OBS_000498</x:v>
      </x:c>
      <x:c r="B499" s="42" t="str"/>
      <x:c r="C499" s="42" t="str">
        <x:v>recaap_incidents_2024_2026</x:v>
      </x:c>
      <x:c r="D499" s="42" t="str">
        <x:v>2024-49</x:v>
      </x:c>
      <x:c r="E499" s="42" t="str">
        <x:v>2024-07-29</x:v>
      </x:c>
      <x:c r="F499" s="42" t="str">
        <x:v>Maritime Crime</x:v>
      </x:c>
      <x:c r="G499" s="42" t="str">
        <x:v>Robbery / Theft</x:v>
      </x:c>
      <x:c r="H499" s="42" t="str">
        <x:v>3</x:v>
      </x:c>
      <x:c r="I499" s="42" t="str">
        <x:v>Maritime</x:v>
      </x:c>
      <x:c r="J499" s="42" t="str">
        <x:v>Straits of Malacca &amp; Singapore</x:v>
      </x:c>
      <x:c r="K499" s="42" t="str"/>
      <x:c r="L499" s="42" t="str">
        <x:v>Approximately 2.3 nm northwest of Pulau Cula (Indonesia), in the eastbound lane of the TSS</x:v>
      </x:c>
      <x:c r="M499" s="42" t="str">
        <x:v>1.058333</x:v>
      </x:c>
      <x:c r="N499" s="42" t="str">
        <x:v>103.676667</x:v>
      </x:c>
      <x:c r="O499" s="42" t="str">
        <x:v>Thisseas</x:v>
      </x:c>
      <x:c r="P499" s="42" t="str"/>
      <x:c r="Q499" s="42" t="str">
        <x:v>BULK CARRIER</x:v>
      </x:c>
      <x:c r="R499" s="42" t="str"/>
      <x:c r="S499" s="42" t="str">
        <x:v>T While underway, five perpetrators with knives were sighted at the poop deck. The perpetrators escaped upon the activation of the ship's general alarm. A search was conducted with no further sighting of the perpetrators. Nothing was stolen and all crew members were safe. he incident was reported to Singapore VTIS. Safety navigational broadcast was initiated. The RSN’s MSTF and Singapore PCG were notified of the incident. The PCG boarded the vessel upon her arrival at the Port of Singapore and conducted a thorough search. No perpetrators were found onboard. Information of the incident was shared with the Indonesian authorities.</x:v>
      </x:c>
      <x:c r="T499" s="42" t="str"/>
      <x:c r="U499" s="42" t="str"/>
      <x:c r="V499" s="42" t="str"/>
      <x:c r="W499" s="42" t="str">
        <x:v>While Sailing</x:v>
      </x:c>
      <x:c r="X499" s="42" t="str"/>
      <x:c r="Y499" s="42" t="str"/>
      <x:c r="Z499" s="42" t="str"/>
      <x:c r="AA499" s="42" t="str">
        <x:v>https://www.recaap.org/alerts</x:v>
      </x:c>
      <x:c r="AB499" s="42" t="str">
        <x:v>Needs canonical event resolution</x:v>
      </x:c>
      <x:c r="AC499" s="42" t="str">
        <x:v>Flag: LIBERIA</x:v>
      </x:c>
    </x:row>
    <x:row r="500">
      <x:c r="A500" s="42" t="str">
        <x:v>OBS_000499</x:v>
      </x:c>
      <x:c r="B500" s="42" t="str"/>
      <x:c r="C500" s="42" t="str">
        <x:v>recaap_incidents_2024_2026</x:v>
      </x:c>
      <x:c r="D500" s="42" t="str">
        <x:v>2024-51</x:v>
      </x:c>
      <x:c r="E500" s="42" t="str">
        <x:v>2024-07-23</x:v>
      </x:c>
      <x:c r="F500" s="42" t="str">
        <x:v>Maritime Crime</x:v>
      </x:c>
      <x:c r="G500" s="42" t="str">
        <x:v>Robbery / Theft</x:v>
      </x:c>
      <x:c r="H500" s="42" t="str">
        <x:v>3</x:v>
      </x:c>
      <x:c r="I500" s="42" t="str">
        <x:v>Maritime</x:v>
      </x:c>
      <x:c r="J500" s="42" t="str">
        <x:v>Straits of Malacca &amp; Singapore</x:v>
      </x:c>
      <x:c r="K500" s="42" t="str"/>
      <x:c r="L500" s="42" t="str">
        <x:v>Approximately 3.19 nm north of Pulau Cula (Indonesia), in the eastbound lane of the TSS</x:v>
      </x:c>
      <x:c r="M500" s="42" t="str">
        <x:v>1.093333</x:v>
      </x:c>
      <x:c r="N500" s="42" t="str">
        <x:v>103.718333</x:v>
      </x:c>
      <x:c r="O500" s="42" t="str">
        <x:v>Corinna</x:v>
      </x:c>
      <x:c r="P500" s="42" t="str"/>
      <x:c r="Q500" s="42" t="str">
        <x:v>BULK CARRIER</x:v>
      </x:c>
      <x:c r="R500" s="42" t="str"/>
      <x:c r="S500" s="42" t="str">
        <x:v>T While underway, five perpetrators with knives were sighted at the entrance of the ship’s engine room. The alarm was raised and all crew mustered to conduct a search. The crew was not injured. Engine spare parts were stolen from the ship. he incident was reported to Singapore VTIS. Safety navigational broadcast was initiated. The RSN's MSTF and Singapore PCG were notified of the incident. The PCG boarded the vessel at Singapore anchorage and reported no abnormalities and no perpetrators found onboard. Information of the incident was shared with the Indonesian authorities.</x:v>
      </x:c>
      <x:c r="T500" s="42" t="str"/>
      <x:c r="U500" s="42" t="str"/>
      <x:c r="V500" s="42" t="str"/>
      <x:c r="W500" s="42" t="str">
        <x:v>While Sailing</x:v>
      </x:c>
      <x:c r="X500" s="42" t="str"/>
      <x:c r="Y500" s="42" t="str"/>
      <x:c r="Z500" s="42" t="str"/>
      <x:c r="AA500" s="42" t="str">
        <x:v>https://www.recaap.org/alerts</x:v>
      </x:c>
      <x:c r="AB500" s="42" t="str">
        <x:v>Needs canonical event resolution</x:v>
      </x:c>
      <x:c r="AC500" s="42" t="str">
        <x:v>Flag: GREECE</x:v>
      </x:c>
    </x:row>
    <x:row r="501">
      <x:c r="A501" s="42" t="str">
        <x:v>OBS_000500</x:v>
      </x:c>
      <x:c r="B501" s="42" t="str"/>
      <x:c r="C501" s="42" t="str">
        <x:v>recaap_incidents_2024_2026</x:v>
      </x:c>
      <x:c r="D501" s="42" t="str">
        <x:v>2024-52</x:v>
      </x:c>
      <x:c r="E501" s="42" t="str">
        <x:v>2024-07-21</x:v>
      </x:c>
      <x:c r="F501" s="42" t="str">
        <x:v>Maritime Crime</x:v>
      </x:c>
      <x:c r="G501" s="42" t="str">
        <x:v>Robbery / Theft</x:v>
      </x:c>
      <x:c r="H501" s="42" t="str">
        <x:v>3</x:v>
      </x:c>
      <x:c r="I501" s="42" t="str">
        <x:v>Maritime</x:v>
      </x:c>
      <x:c r="J501" s="42" t="str">
        <x:v>Indonesia (Ports/Anchorages)</x:v>
      </x:c>
      <x:c r="K501" s="42" t="str"/>
      <x:c r="L501" s="42" t="str">
        <x:v>Kuala Tanjung Anchorage, Indonesia</x:v>
      </x:c>
      <x:c r="M501" s="42" t="str">
        <x:v>3.433333</x:v>
      </x:c>
      <x:c r="N501" s="42" t="str">
        <x:v>99.45</x:v>
      </x:c>
      <x:c r="O501" s="42" t="str">
        <x:v>Earth Harmony</x:v>
      </x:c>
      <x:c r="P501" s="42" t="str"/>
      <x:c r="Q501" s="42" t="str">
        <x:v>BULK CARRIER</x:v>
      </x:c>
      <x:c r="R501" s="42" t="str"/>
      <x:c r="S501" s="42" t="str">
        <x:v>At Anchor While anchored, three perpetrators armed with long knives boarded the ship. They entered the engine room, took the duty engine crew hostage and tied him up. Before leaving the ship, they stole the ship’s engine spares, released the duty crew and escaped. The alarm was raised, the crew mustered and the incident was reported to the Port Facility through the agent.</x:v>
      </x:c>
      <x:c r="T501" s="42" t="str"/>
      <x:c r="U501" s="42" t="str"/>
      <x:c r="V501" s="42" t="str"/>
      <x:c r="W501" s="42" t="str"/>
      <x:c r="X501" s="42" t="str"/>
      <x:c r="Y501" s="42" t="str"/>
      <x:c r="Z501" s="42" t="str"/>
      <x:c r="AA501" s="42" t="str">
        <x:v>https://www.recaap.org/alerts</x:v>
      </x:c>
      <x:c r="AB501" s="42" t="str">
        <x:v>Needs canonical event resolution</x:v>
      </x:c>
      <x:c r="AC501" s="42" t="str">
        <x:v>Flag: PANAMA</x:v>
      </x:c>
    </x:row>
    <x:row r="502">
      <x:c r="A502" s="42" t="str">
        <x:v>OBS_000501</x:v>
      </x:c>
      <x:c r="B502" s="42" t="str"/>
      <x:c r="C502" s="42" t="str">
        <x:v>recaap_incidents_2024_2026</x:v>
      </x:c>
      <x:c r="D502" s="42" t="str">
        <x:v>2024-53</x:v>
      </x:c>
      <x:c r="E502" s="42" t="str">
        <x:v>2024-07-16</x:v>
      </x:c>
      <x:c r="F502" s="42" t="str">
        <x:v>Maritime Crime</x:v>
      </x:c>
      <x:c r="G502" s="42" t="str">
        <x:v>Robbery / Theft</x:v>
      </x:c>
      <x:c r="H502" s="42" t="str">
        <x:v>2</x:v>
      </x:c>
      <x:c r="I502" s="42" t="str">
        <x:v>Maritime</x:v>
      </x:c>
      <x:c r="J502" s="42" t="str">
        <x:v>Straits of Malacca &amp; Singapore</x:v>
      </x:c>
      <x:c r="K502" s="42" t="str"/>
      <x:c r="L502" s="42" t="str">
        <x:v>Approximately 1.3 nm from Pulau Takong Light (Indonesia), in the eastbound lane of the TSS</x:v>
      </x:c>
      <x:c r="M502" s="42" t="str">
        <x:v>1.083333</x:v>
      </x:c>
      <x:c r="N502" s="42" t="str">
        <x:v>103.72</x:v>
      </x:c>
      <x:c r="O502" s="42" t="str">
        <x:v>Wadi Feran</x:v>
      </x:c>
      <x:c r="P502" s="42" t="str"/>
      <x:c r="Q502" s="42" t="str">
        <x:v>BULK CARRIER</x:v>
      </x:c>
      <x:c r="R502" s="42" t="str"/>
      <x:c r="S502" s="42" t="str">
        <x:v>T While underway, five perpetrators armed with knives and guns were sighted in the engine room. The ship general alarm was raised and crew mustered. A search was conducted. All crew members were accounted for, no injury to crew and no assistance required. he master reported the incident to Singapore VTIS. Safety navigational broadcast was initiated. Singapore PCG boarded the ship on her arrival at the anchorage and completed the search. No perpetrators were found. The RSN’s MSTF was also notified. Information of the incident was shared with the Indonesian and Malaysian authorities.</x:v>
      </x:c>
      <x:c r="T502" s="42" t="str"/>
      <x:c r="U502" s="42" t="str"/>
      <x:c r="V502" s="42" t="str"/>
      <x:c r="W502" s="42" t="str">
        <x:v>While Sailing</x:v>
      </x:c>
      <x:c r="X502" s="42" t="str"/>
      <x:c r="Y502" s="42" t="str"/>
      <x:c r="Z502" s="42" t="str"/>
      <x:c r="AA502" s="42" t="str">
        <x:v>https://www.recaap.org/alerts</x:v>
      </x:c>
      <x:c r="AB502" s="42" t="str">
        <x:v>Needs canonical event resolution</x:v>
      </x:c>
      <x:c r="AC502" s="42" t="str">
        <x:v>Flag: EGYPT</x:v>
      </x:c>
    </x:row>
    <x:row r="503">
      <x:c r="A503" s="42" t="str">
        <x:v>OBS_000502</x:v>
      </x:c>
      <x:c r="B503" s="42" t="str"/>
      <x:c r="C503" s="42" t="str">
        <x:v>recaap_incidents_2024_2026</x:v>
      </x:c>
      <x:c r="D503" s="42" t="str">
        <x:v>2024-54</x:v>
      </x:c>
      <x:c r="E503" s="42" t="str">
        <x:v>2024-07-15</x:v>
      </x:c>
      <x:c r="F503" s="42" t="str">
        <x:v>Maritime Crime</x:v>
      </x:c>
      <x:c r="G503" s="42" t="str">
        <x:v>Robbery / Theft</x:v>
      </x:c>
      <x:c r="H503" s="42" t="str">
        <x:v>4</x:v>
      </x:c>
      <x:c r="I503" s="42" t="str">
        <x:v>Maritime</x:v>
      </x:c>
      <x:c r="J503" s="42" t="str">
        <x:v>Straits of Malacca &amp; Singapore</x:v>
      </x:c>
      <x:c r="K503" s="42" t="str"/>
      <x:c r="L503" s="42" t="str">
        <x:v>Approximately 7.5 nm of Tanjung Tondong, Indonesia, in the eastbound lane of the TSS</x:v>
      </x:c>
      <x:c r="M503" s="42" t="str">
        <x:v>1.268333</x:v>
      </x:c>
      <x:c r="N503" s="42" t="str">
        <x:v>104.222833</x:v>
      </x:c>
      <x:c r="O503" s="42" t="str">
        <x:v>HK Tug 9 &amp; LKH 2882</x:v>
      </x:c>
      <x:c r="P503" s="42" t="str"/>
      <x:c r="Q503" s="42" t="str">
        <x:v>TUG BOAT &amp; FLAT TOP DECK CARGO BARGE</x:v>
      </x:c>
      <x:c r="R503" s="42" t="str"/>
      <x:c r="S503" s="42" t="str">
        <x:v>T T While the tug boat towing barge was underway from Jurong Port, Singapore to Cigading, Indonesia, three small boats carrying 10 perpetrators approached and boarded the barge at about 1620 hrs hey transferred scrap metals from the barge onto their boats. The perpetrators stopped and fled when they sighted a RSN warship in the vicinity at around 1650 hrs. However, at around 1720 hrs after the RSN warship left the vicinity, the boats returned to the barge to steal more scrap metals. No injury or damage to the barge or the tug boat was reported. Scrap metals were stolen from the barge. The crew was safe. he incident was reported to the VTIS East.</x:v>
      </x:c>
      <x:c r="T503" s="42" t="str"/>
      <x:c r="U503" s="42" t="str"/>
      <x:c r="V503" s="42" t="str"/>
      <x:c r="W503" s="42" t="str">
        <x:v>While Sailing</x:v>
      </x:c>
      <x:c r="X503" s="42" t="str"/>
      <x:c r="Y503" s="42" t="str"/>
      <x:c r="Z503" s="42" t="str"/>
      <x:c r="AA503" s="42" t="str">
        <x:v>https://www.recaap.org/alerts</x:v>
      </x:c>
      <x:c r="AB503" s="42" t="str">
        <x:v>Needs canonical event resolution</x:v>
      </x:c>
      <x:c r="AC503" s="42" t="str">
        <x:v>Flag: SINGAPORE</x:v>
      </x:c>
    </x:row>
    <x:row r="504">
      <x:c r="A504" s="42" t="str">
        <x:v>OBS_000503</x:v>
      </x:c>
      <x:c r="B504" s="42" t="str"/>
      <x:c r="C504" s="42" t="str">
        <x:v>recaap_incidents_2024_2026</x:v>
      </x:c>
      <x:c r="D504" s="42" t="str">
        <x:v>2024-55</x:v>
      </x:c>
      <x:c r="E504" s="42" t="str">
        <x:v>2024-07-08</x:v>
      </x:c>
      <x:c r="F504" s="42" t="str">
        <x:v>Maritime Crime</x:v>
      </x:c>
      <x:c r="G504" s="42" t="str">
        <x:v>Robbery / Theft</x:v>
      </x:c>
      <x:c r="H504" s="42" t="str">
        <x:v>4</x:v>
      </x:c>
      <x:c r="I504" s="42" t="str">
        <x:v>Maritime</x:v>
      </x:c>
      <x:c r="J504" s="42" t="str">
        <x:v>Straits of Malacca &amp; Singapore</x:v>
      </x:c>
      <x:c r="K504" s="42" t="str"/>
      <x:c r="L504" s="42" t="str">
        <x:v>Approximately 3.4 nm from Pulau Cula (Indonesia), in the eastbound lane of the TSS</x:v>
      </x:c>
      <x:c r="M504" s="42" t="str">
        <x:v>1.059667</x:v>
      </x:c>
      <x:c r="N504" s="42" t="str">
        <x:v>103.657667</x:v>
      </x:c>
      <x:c r="O504" s="42" t="str">
        <x:v>Orihime</x:v>
      </x:c>
      <x:c r="P504" s="42" t="str"/>
      <x:c r="Q504" s="42" t="str">
        <x:v>BULK CARRIER</x:v>
      </x:c>
      <x:c r="R504" s="42" t="str"/>
      <x:c r="S504" s="42" t="str">
        <x:v>A S While underway, the master reported to Singapore VTIS that four perpetrators were sighted at ship's stern. The master raised the alarm and all ship crew were mustered to conduct a search onboard. At about 0540 hrs, the ship reported that all crew were accounted for with no injury, nothing was stolen from the ship and no assistance was required. The ship was enroute from Tubarao, Brazil to Singapore. safety navigational broadcast was initiated. The RSN’s MSTF and Singapore PCG were notified of the incident. Information of the incident was shared with the Indonesian and Malaysian authorities. ingapore PCG boarded the ship at Singapore anchorage and reported no perpetrators found onboard.</x:v>
      </x:c>
      <x:c r="T504" s="42" t="str"/>
      <x:c r="U504" s="42" t="str"/>
      <x:c r="V504" s="42" t="str"/>
      <x:c r="W504" s="42" t="str">
        <x:v>While Sailing</x:v>
      </x:c>
      <x:c r="X504" s="42" t="str"/>
      <x:c r="Y504" s="42" t="str"/>
      <x:c r="Z504" s="42" t="str"/>
      <x:c r="AA504" s="42" t="str">
        <x:v>https://www.recaap.org/alerts</x:v>
      </x:c>
      <x:c r="AB504" s="42" t="str">
        <x:v>Needs canonical event resolution</x:v>
      </x:c>
      <x:c r="AC504" s="42" t="str">
        <x:v>Flag: JAPAN</x:v>
      </x:c>
    </x:row>
    <x:row r="505">
      <x:c r="A505" s="42" t="str">
        <x:v>OBS_000504</x:v>
      </x:c>
      <x:c r="B505" s="42" t="str"/>
      <x:c r="C505" s="42" t="str">
        <x:v>recaap_incidents_2024_2026</x:v>
      </x:c>
      <x:c r="D505" s="42" t="str">
        <x:v>2024-56</x:v>
      </x:c>
      <x:c r="E505" s="42" t="str">
        <x:v>2024-06-27</x:v>
      </x:c>
      <x:c r="F505" s="42" t="str">
        <x:v>Maritime Crime</x:v>
      </x:c>
      <x:c r="G505" s="42" t="str">
        <x:v>Robbery / Theft</x:v>
      </x:c>
      <x:c r="H505" s="42" t="str">
        <x:v>4</x:v>
      </x:c>
      <x:c r="I505" s="42" t="str">
        <x:v>Maritime</x:v>
      </x:c>
      <x:c r="J505" s="42" t="str">
        <x:v>Straits of Malacca &amp; Singapore</x:v>
      </x:c>
      <x:c r="K505" s="42" t="str"/>
      <x:c r="L505" s="42" t="str">
        <x:v>Approximately 7.7 nm from Pulau Iyu Kecil (Indonesia), in the precautionary area of the TSS</x:v>
      </x:c>
      <x:c r="M505" s="42" t="str">
        <x:v>1.174667</x:v>
      </x:c>
      <x:c r="N505" s="42" t="str">
        <x:v>103.4785</x:v>
      </x:c>
      <x:c r="O505" s="42" t="str">
        <x:v>Ivestos 8</x:v>
      </x:c>
      <x:c r="P505" s="42" t="str"/>
      <x:c r="Q505" s="42" t="str">
        <x:v>BULK CARRIER</x:v>
      </x:c>
      <x:c r="R505" s="42" t="str"/>
      <x:c r="S505" s="42" t="str">
        <x:v>T A While underway, the master reported to Singapore VTIS that one perpetrator was sighted in the steering gear room. he alarm was raised and all crew mustered to conduct search onboard the ship. The master declared nothing was stolen, the crew was safe and no further assistance required. The ship was enroute from Santos, Brazil to pick up her pilot from Tanjung Pelepas, Malaysia. safety navigational broadcast was initiated. The RSN’s MSTF and Singapore PCG were notified. Information of the incident was shared with the Indonesian and Malaysian authorities.</x:v>
      </x:c>
      <x:c r="T505" s="42" t="str"/>
      <x:c r="U505" s="42" t="str"/>
      <x:c r="V505" s="42" t="str"/>
      <x:c r="W505" s="42" t="str">
        <x:v>While Sailing</x:v>
      </x:c>
      <x:c r="X505" s="42" t="str"/>
      <x:c r="Y505" s="42" t="str"/>
      <x:c r="Z505" s="42" t="str"/>
      <x:c r="AA505" s="42" t="str">
        <x:v>https://www.recaap.org/alerts</x:v>
      </x:c>
      <x:c r="AB505" s="42" t="str">
        <x:v>Needs canonical event resolution</x:v>
      </x:c>
      <x:c r="AC505" s="42" t="str">
        <x:v>Flag: LIBERIA</x:v>
      </x:c>
    </x:row>
    <x:row r="506">
      <x:c r="A506" s="42" t="str">
        <x:v>OBS_000505</x:v>
      </x:c>
      <x:c r="B506" s="42" t="str"/>
      <x:c r="C506" s="42" t="str">
        <x:v>recaap_incidents_2024_2026</x:v>
      </x:c>
      <x:c r="D506" s="42" t="str">
        <x:v>2024-57</x:v>
      </x:c>
      <x:c r="E506" s="42" t="str">
        <x:v>2024-06-25</x:v>
      </x:c>
      <x:c r="F506" s="42" t="str">
        <x:v>Maritime Crime</x:v>
      </x:c>
      <x:c r="G506" s="42" t="str">
        <x:v>Robbery / Theft</x:v>
      </x:c>
      <x:c r="H506" s="42" t="str">
        <x:v>4</x:v>
      </x:c>
      <x:c r="I506" s="42" t="str">
        <x:v>Maritime</x:v>
      </x:c>
      <x:c r="J506" s="42" t="str">
        <x:v>Indonesia (Ports/Anchorages)</x:v>
      </x:c>
      <x:c r="K506" s="42" t="str"/>
      <x:c r="L506" s="42" t="str">
        <x:v>Kabil Anchorage, Indonesia</x:v>
      </x:c>
      <x:c r="M506" s="42" t="str">
        <x:v>1.115</x:v>
      </x:c>
      <x:c r="N506" s="42" t="str">
        <x:v>104.176667</x:v>
      </x:c>
      <x:c r="O506" s="42" t="str">
        <x:v>Dongbang Giant No. 6</x:v>
      </x:c>
      <x:c r="P506" s="42" t="str"/>
      <x:c r="Q506" s="42" t="str">
        <x:v>HEAVY TRANSPORT VESSEL</x:v>
      </x:c>
      <x:c r="R506" s="42" t="str"/>
      <x:c r="S506" s="42" t="str">
        <x:v>T At Anchor While anchored, two perpetrators boarded the ship, stole engine spare parts and escaped. The alarm was raised and crew mustered. The crew was not injured. he incident was reported to Vessel Traffic Service (VTS) and Indonesian authorities boarded the ship for investigation.</x:v>
      </x:c>
      <x:c r="T506" s="42" t="str"/>
      <x:c r="U506" s="42" t="str"/>
      <x:c r="V506" s="42" t="str"/>
      <x:c r="W506" s="42" t="str"/>
      <x:c r="X506" s="42" t="str"/>
      <x:c r="Y506" s="42" t="str"/>
      <x:c r="Z506" s="42" t="str"/>
      <x:c r="AA506" s="42" t="str">
        <x:v>https://www.recaap.org/alerts</x:v>
      </x:c>
      <x:c r="AB506" s="42" t="str">
        <x:v>Needs canonical event resolution</x:v>
      </x:c>
      <x:c r="AC506" s="42" t="str">
        <x:v>Flag: REPUBLIC OF KOREA</x:v>
      </x:c>
    </x:row>
    <x:row r="507">
      <x:c r="A507" s="42" t="str">
        <x:v>OBS_000506</x:v>
      </x:c>
      <x:c r="B507" s="42" t="str"/>
      <x:c r="C507" s="42" t="str">
        <x:v>recaap_incidents_2024_2026</x:v>
      </x:c>
      <x:c r="D507" s="42" t="str">
        <x:v>2024-60</x:v>
      </x:c>
      <x:c r="E507" s="42" t="str">
        <x:v>2024-06-15</x:v>
      </x:c>
      <x:c r="F507" s="42" t="str">
        <x:v>Maritime Crime</x:v>
      </x:c>
      <x:c r="G507" s="42" t="str">
        <x:v>Attempted</x:v>
      </x:c>
      <x:c r="H507" s="42" t="str">
        <x:v>NA</x:v>
      </x:c>
      <x:c r="I507" s="42" t="str">
        <x:v>Maritime</x:v>
      </x:c>
      <x:c r="J507" s="42" t="str">
        <x:v>Bangladesh (Ports/Anchorages)</x:v>
      </x:c>
      <x:c r="K507" s="42" t="str"/>
      <x:c r="L507" s="42" t="str">
        <x:v>Anchorage area ‘A’, Chattogram Anchorage, Bangladesh</x:v>
      </x:c>
      <x:c r="M507" s="42" t="str">
        <x:v>22.316667</x:v>
      </x:c>
      <x:c r="N507" s="42" t="str">
        <x:v>91.733333</x:v>
      </x:c>
      <x:c r="O507" s="42" t="str">
        <x:v>Belatlantic</x:v>
      </x:c>
      <x:c r="P507" s="42" t="str"/>
      <x:c r="Q507" s="42" t="str">
        <x:v>BULK CARRIER</x:v>
      </x:c>
      <x:c r="R507" s="42" t="str"/>
      <x:c r="S507" s="42" t="str">
        <x:v>At Anchor While anchored, the watchman and duty crew spotted six perpetrators attempting to board the ship through the chain hawse pipe from a small boat. Upon realising the crew had been alerted, the perpetrators aborted the attempt and escaped immediately.</x:v>
      </x:c>
      <x:c r="T507" s="42" t="str"/>
      <x:c r="U507" s="42" t="str"/>
      <x:c r="V507" s="42" t="str"/>
      <x:c r="W507" s="42" t="str"/>
      <x:c r="X507" s="42" t="str"/>
      <x:c r="Y507" s="42" t="str"/>
      <x:c r="Z507" s="42" t="str"/>
      <x:c r="AA507" s="42" t="str">
        <x:v>https://www.recaap.org/alerts</x:v>
      </x:c>
      <x:c r="AB507" s="42" t="str">
        <x:v>Needs canonical event resolution</x:v>
      </x:c>
      <x:c r="AC507" s="42" t="str">
        <x:v>Flag: NORWAY</x:v>
      </x:c>
    </x:row>
    <x:row r="508">
      <x:c r="A508" s="42" t="str">
        <x:v>OBS_000507</x:v>
      </x:c>
      <x:c r="B508" s="42" t="str"/>
      <x:c r="C508" s="42" t="str">
        <x:v>recaap_incidents_2024_2026</x:v>
      </x:c>
      <x:c r="D508" s="42" t="str">
        <x:v>2024-59</x:v>
      </x:c>
      <x:c r="E508" s="42" t="str">
        <x:v>2024-06-15</x:v>
      </x:c>
      <x:c r="F508" s="42" t="str">
        <x:v>Maritime Crime</x:v>
      </x:c>
      <x:c r="G508" s="42" t="str">
        <x:v>Robbery / Theft</x:v>
      </x:c>
      <x:c r="H508" s="42" t="str">
        <x:v>3</x:v>
      </x:c>
      <x:c r="I508" s="42" t="str">
        <x:v>Maritime</x:v>
      </x:c>
      <x:c r="J508" s="42" t="str">
        <x:v>Straits of Malacca &amp; Singapore</x:v>
      </x:c>
      <x:c r="K508" s="42" t="str"/>
      <x:c r="L508" s="42" t="str">
        <x:v>Approximately 4.4 nm from Pulau Cula (Indonesia), in the eastbound lane of the TSS</x:v>
      </x:c>
      <x:c r="M508" s="42" t="str">
        <x:v>1.041667</x:v>
      </x:c>
      <x:c r="N508" s="42" t="str">
        <x:v>103.6395</x:v>
      </x:c>
      <x:c r="O508" s="42" t="str">
        <x:v>Ivestos 9</x:v>
      </x:c>
      <x:c r="P508" s="42" t="str"/>
      <x:c r="Q508" s="42" t="str">
        <x:v>BULK CARRIER</x:v>
      </x:c>
      <x:c r="R508" s="42" t="str"/>
      <x:c r="S508" s="42" t="str">
        <x:v>T While underway, the engine crew sighted four perpetrators armed with knives in the engine room and notified the watch officer on the bridge immediately. The bridge officer raised the alarm. The perpetrators escaped upon realising the crew had been alerted. The crew was mustered and a search onboard was conducted. No perpetrators were found and some engine spares were stolen. The crew was not injured. he master reported the incident to Singapore POCC via email. A safety navigational broadcast was initiated. The RSN’s MSTF and Singapore PCG were notified. Information of the incident was shared with the Indonesian authorities.</x:v>
      </x:c>
      <x:c r="T508" s="42" t="str"/>
      <x:c r="U508" s="42" t="str"/>
      <x:c r="V508" s="42" t="str"/>
      <x:c r="W508" s="42" t="str">
        <x:v>While Sailing</x:v>
      </x:c>
      <x:c r="X508" s="42" t="str"/>
      <x:c r="Y508" s="42" t="str"/>
      <x:c r="Z508" s="42" t="str"/>
      <x:c r="AA508" s="42" t="str">
        <x:v>https://www.recaap.org/alerts</x:v>
      </x:c>
      <x:c r="AB508" s="42" t="str">
        <x:v>Needs canonical event resolution</x:v>
      </x:c>
      <x:c r="AC508" s="42" t="str">
        <x:v>Flag: LIBERIA</x:v>
      </x:c>
    </x:row>
    <x:row r="509">
      <x:c r="A509" s="42" t="str">
        <x:v>OBS_000508</x:v>
      </x:c>
      <x:c r="B509" s="42" t="str"/>
      <x:c r="C509" s="42" t="str">
        <x:v>recaap_incidents_2024_2026</x:v>
      </x:c>
      <x:c r="D509" s="42" t="str">
        <x:v>2024-58</x:v>
      </x:c>
      <x:c r="E509" s="42" t="str">
        <x:v>2024-06-15</x:v>
      </x:c>
      <x:c r="F509" s="42" t="str">
        <x:v>Maritime Crime</x:v>
      </x:c>
      <x:c r="G509" s="42" t="str">
        <x:v>Attempted</x:v>
      </x:c>
      <x:c r="H509" s="42" t="str">
        <x:v>NA</x:v>
      </x:c>
      <x:c r="I509" s="42" t="str">
        <x:v>Maritime</x:v>
      </x:c>
      <x:c r="J509" s="42" t="str">
        <x:v>Straits of Malacca &amp; Singapore</x:v>
      </x:c>
      <x:c r="K509" s="42" t="str"/>
      <x:c r="L509" s="42" t="str">
        <x:v>Approximately 3 nm north of Pulau Batam (Indonesia), in the eastbound lane of the TSS</x:v>
      </x:c>
      <x:c r="M509" s="42" t="str">
        <x:v>1.241667</x:v>
      </x:c>
      <x:c r="N509" s="42" t="str">
        <x:v>104.058333</x:v>
      </x:c>
      <x:c r="O509" s="42" t="str">
        <x:v>Fairchem Conquest</x:v>
      </x:c>
      <x:c r="P509" s="42" t="str"/>
      <x:c r="Q509" s="42" t="str">
        <x:v>BULK CARRIER</x:v>
      </x:c>
      <x:c r="R509" s="42" t="str"/>
      <x:c r="S509" s="42" t="str">
        <x:v>While underway, the bridge team sighted a suspicious boat on its port bow with very dim lighting. The ship altered its course to starboard to keep a safe distance from the boat. However, at a distance of about 1.5 miles, the boat suddenly started flashing lights and accelerated, making a desperate attempt to board the ship. The ship performed evasive manoeuvres to deter the boarding attempt, and immediately notified Singapore VTIS East. Upon sighting a RSN ship in the vicinity, the small boat aborted its attempt and moved away from the ship. The ship had implemented additional lookout measures to monitor for suspicious boats as part of its security measures.</x:v>
      </x:c>
      <x:c r="T509" s="42" t="str"/>
      <x:c r="U509" s="42" t="str"/>
      <x:c r="V509" s="42" t="str"/>
      <x:c r="W509" s="42" t="str">
        <x:v>While Sailing</x:v>
      </x:c>
      <x:c r="X509" s="42" t="str"/>
      <x:c r="Y509" s="42" t="str"/>
      <x:c r="Z509" s="42" t="str"/>
      <x:c r="AA509" s="42" t="str">
        <x:v>https://www.recaap.org/alerts</x:v>
      </x:c>
      <x:c r="AB509" s="42" t="str">
        <x:v>Needs canonical event resolution</x:v>
      </x:c>
      <x:c r="AC509" s="42" t="str">
        <x:v>Flag: PANAMA</x:v>
      </x:c>
    </x:row>
    <x:row r="510">
      <x:c r="A510" s="42" t="str">
        <x:v>OBS_000509</x:v>
      </x:c>
      <x:c r="B510" s="42" t="str"/>
      <x:c r="C510" s="42" t="str">
        <x:v>recaap_incidents_2024_2026</x:v>
      </x:c>
      <x:c r="D510" s="42" t="str">
        <x:v>2024-61</x:v>
      </x:c>
      <x:c r="E510" s="42" t="str">
        <x:v>2024-06-11</x:v>
      </x:c>
      <x:c r="F510" s="42" t="str">
        <x:v>Maritime Crime</x:v>
      </x:c>
      <x:c r="G510" s="42" t="str">
        <x:v>Robbery / Theft</x:v>
      </x:c>
      <x:c r="H510" s="42" t="str">
        <x:v>2</x:v>
      </x:c>
      <x:c r="I510" s="42" t="str">
        <x:v>Maritime</x:v>
      </x:c>
      <x:c r="J510" s="42" t="str">
        <x:v>Straits of Malacca &amp; Singapore</x:v>
      </x:c>
      <x:c r="K510" s="42" t="str"/>
      <x:c r="L510" s="42" t="str">
        <x:v>Approximately 5.3 nm west of Pulau Cula (Indonesia), in the eastbound lane of the TSS</x:v>
      </x:c>
      <x:c r="M510" s="42" t="str">
        <x:v>1.056667</x:v>
      </x:c>
      <x:c r="N510" s="42" t="str">
        <x:v>103.625</x:v>
      </x:c>
      <x:c r="O510" s="42" t="str">
        <x:v>Santa Regina</x:v>
      </x:c>
      <x:c r="P510" s="42" t="str"/>
      <x:c r="Q510" s="42" t="str">
        <x:v>BULK CARRIER</x:v>
      </x:c>
      <x:c r="R510" s="42" t="str"/>
      <x:c r="S510" s="42" t="str">
        <x:v>A T While underway, six perpetrators armed with knives entered the engine room through the steering gear door, tied up two crew (oilers) in the engine room workshop and stole the engine spares. n engineer discovered the tied-up crew and informed the master. The master raised alarm and crew mustered. Search was conducted with no further sighting of the perpetrators. he master reported the incident through his agent to Singapore POCC via email. The RSN’s MSTF and Singapore PCG were informed. Information of the incident was shared with the Indonesian authority.</x:v>
      </x:c>
      <x:c r="T510" s="42" t="str"/>
      <x:c r="U510" s="42" t="str"/>
      <x:c r="V510" s="42" t="str"/>
      <x:c r="W510" s="42" t="str">
        <x:v>While Sailing</x:v>
      </x:c>
      <x:c r="X510" s="42" t="str"/>
      <x:c r="Y510" s="42" t="str"/>
      <x:c r="Z510" s="42" t="str"/>
      <x:c r="AA510" s="42" t="str">
        <x:v>https://www.recaap.org/alerts</x:v>
      </x:c>
      <x:c r="AB510" s="42" t="str">
        <x:v>Needs canonical event resolution</x:v>
      </x:c>
      <x:c r="AC510" s="42" t="str">
        <x:v>Flag: PANAMA</x:v>
      </x:c>
    </x:row>
    <x:row r="511">
      <x:c r="A511" s="42" t="str">
        <x:v>OBS_000510</x:v>
      </x:c>
      <x:c r="B511" s="42" t="str"/>
      <x:c r="C511" s="42" t="str">
        <x:v>recaap_incidents_2024_2026</x:v>
      </x:c>
      <x:c r="D511" s="42" t="str">
        <x:v>2024-62</x:v>
      </x:c>
      <x:c r="E511" s="42" t="str">
        <x:v>2024-06-10</x:v>
      </x:c>
      <x:c r="F511" s="42" t="str">
        <x:v>Maritime Crime</x:v>
      </x:c>
      <x:c r="G511" s="42" t="str">
        <x:v>Robbery / Theft</x:v>
      </x:c>
      <x:c r="H511" s="42" t="str">
        <x:v>3</x:v>
      </x:c>
      <x:c r="I511" s="42" t="str">
        <x:v>Maritime</x:v>
      </x:c>
      <x:c r="J511" s="42" t="str">
        <x:v>Straits of Malacca &amp; Singapore</x:v>
      </x:c>
      <x:c r="K511" s="42" t="str"/>
      <x:c r="L511" s="42" t="str">
        <x:v>Approximately 15 nm west of Pulau Cula (Indonesia), in the precautionary area of the TSS</x:v>
      </x:c>
      <x:c r="M511" s="42" t="str">
        <x:v>1.138333</x:v>
      </x:c>
      <x:c r="N511" s="42" t="str">
        <x:v>103.481667</x:v>
      </x:c>
      <x:c r="O511" s="42" t="str">
        <x:v>G.B. Corrado</x:v>
      </x:c>
      <x:c r="P511" s="42" t="str"/>
      <x:c r="Q511" s="42" t="str">
        <x:v>BULK CARRIER</x:v>
      </x:c>
      <x:c r="R511" s="42" t="str"/>
      <x:c r="S511" s="42" t="str">
        <x:v>T While underway, the ship engineer sighted four perpetrators armed with knives in the engine room. The master raised the alarm and mustered the crew. A search was conducted and some engine spares were missing. The crew was not injured. he master reported the incident through his local agent via email to Singapore POCC. A safety navigational broadcast was initiated. The RSN’s MSTF and Singapore PCG was notified. Information about the incident was shared with the Indonesian authority.</x:v>
      </x:c>
      <x:c r="T511" s="42" t="str"/>
      <x:c r="U511" s="42" t="str"/>
      <x:c r="V511" s="42" t="str"/>
      <x:c r="W511" s="42" t="str">
        <x:v>While Sailing</x:v>
      </x:c>
      <x:c r="X511" s="42" t="str"/>
      <x:c r="Y511" s="42" t="str"/>
      <x:c r="Z511" s="42" t="str"/>
      <x:c r="AA511" s="42" t="str">
        <x:v>https://www.recaap.org/alerts</x:v>
      </x:c>
      <x:c r="AB511" s="42" t="str">
        <x:v>Needs canonical event resolution</x:v>
      </x:c>
      <x:c r="AC511" s="42" t="str">
        <x:v>Flag: BAHAMAS</x:v>
      </x:c>
    </x:row>
    <x:row r="512">
      <x:c r="A512" s="42" t="str">
        <x:v>OBS_000511</x:v>
      </x:c>
      <x:c r="B512" s="42" t="str"/>
      <x:c r="C512" s="42" t="str">
        <x:v>recaap_incidents_2024_2026</x:v>
      </x:c>
      <x:c r="D512" s="42" t="str">
        <x:v>2024-63</x:v>
      </x:c>
      <x:c r="E512" s="42" t="str">
        <x:v>2024-06-05</x:v>
      </x:c>
      <x:c r="F512" s="42" t="str">
        <x:v>Maritime Crime</x:v>
      </x:c>
      <x:c r="G512" s="42" t="str">
        <x:v>Robbery / Theft</x:v>
      </x:c>
      <x:c r="H512" s="42" t="str">
        <x:v>3</x:v>
      </x:c>
      <x:c r="I512" s="42" t="str">
        <x:v>Maritime</x:v>
      </x:c>
      <x:c r="J512" s="42" t="str">
        <x:v>Indonesia (Ports/Anchorages)</x:v>
      </x:c>
      <x:c r="K512" s="42" t="str"/>
      <x:c r="L512" s="42" t="str">
        <x:v>Pulau Batam Anchorage, Indonesia</x:v>
      </x:c>
      <x:c r="M512" s="42" t="str">
        <x:v>1.157833</x:v>
      </x:c>
      <x:c r="N512" s="42" t="str">
        <x:v>103.975667</x:v>
      </x:c>
      <x:c r="O512" s="42" t="str">
        <x:v>Avatar Courage</x:v>
      </x:c>
      <x:c r="P512" s="42" t="str"/>
      <x:c r="Q512" s="42" t="str">
        <x:v>TUG/SUPPLY VESSEL</x:v>
      </x:c>
      <x:c r="R512" s="42" t="str"/>
      <x:c r="S512" s="42" t="str">
        <x:v>T T At Anchor While anchored, the duty able bodied (AB) spotted three perpetrators armed with long knives at the starboard rescue zone of the ship. The perpetrators were suspected to board the ship with ropes and ship fenders. he perpetrators attempted to attack the AB but he managed to escape and ran into the ship accommodation block with the door locked from inside. The AB reported the incident to the duty bridge officer, who raised the general alarm and announced via the PA system about the armed perpetrators onboard. All crew were called to assemble at the navigation bridge. The ship security officer alerted the Batam VTS and the Company Security Officer (CSO) to request for immediate assistance. he Indonesian Navy and Coast Guard arrived at 0150 hrs and 0210 hrs respectively, but no perpetrator was found onboard. The Indonesian Navy then continued to escort the vessel until daylight hour. The crew was not injured and nothing was stolen.</x:v>
      </x:c>
      <x:c r="T512" s="42" t="str"/>
      <x:c r="U512" s="42" t="str"/>
      <x:c r="V512" s="42" t="str"/>
      <x:c r="W512" s="42" t="str"/>
      <x:c r="X512" s="42" t="str"/>
      <x:c r="Y512" s="42" t="str"/>
      <x:c r="Z512" s="42" t="str"/>
      <x:c r="AA512" s="42" t="str">
        <x:v>https://www.recaap.org/alerts</x:v>
      </x:c>
      <x:c r="AB512" s="42" t="str">
        <x:v>Needs canonical event resolution</x:v>
      </x:c>
      <x:c r="AC512" s="42" t="str">
        <x:v>Flag: SINGAPORE</x:v>
      </x:c>
    </x:row>
    <x:row r="513">
      <x:c r="A513" s="42" t="str">
        <x:v>OBS_000512</x:v>
      </x:c>
      <x:c r="B513" s="42" t="str"/>
      <x:c r="C513" s="42" t="str">
        <x:v>recaap_incidents_2024_2026</x:v>
      </x:c>
      <x:c r="D513" s="42" t="str">
        <x:v>2024-64</x:v>
      </x:c>
      <x:c r="E513" s="42" t="str">
        <x:v>2024-05-29</x:v>
      </x:c>
      <x:c r="F513" s="42" t="str">
        <x:v>Maritime Crime</x:v>
      </x:c>
      <x:c r="G513" s="42" t="str">
        <x:v>Robbery / Theft</x:v>
      </x:c>
      <x:c r="H513" s="42" t="str">
        <x:v>4</x:v>
      </x:c>
      <x:c r="I513" s="42" t="str">
        <x:v>Maritime</x:v>
      </x:c>
      <x:c r="J513" s="42" t="str">
        <x:v>Vietnam (Ports/Anchorages)</x:v>
      </x:c>
      <x:c r="K513" s="42" t="str"/>
      <x:c r="L513" s="42" t="str">
        <x:v>Phu My Anchorage, Vietnam</x:v>
      </x:c>
      <x:c r="M513" s="42" t="str">
        <x:v>10.2</x:v>
      </x:c>
      <x:c r="N513" s="42" t="str">
        <x:v>107.05</x:v>
      </x:c>
      <x:c r="O513" s="42" t="str">
        <x:v>AAL Merkur</x:v>
      </x:c>
      <x:c r="P513" s="42" t="str"/>
      <x:c r="Q513" s="42" t="str">
        <x:v>GENERAL CARGO SHIP</x:v>
      </x:c>
      <x:c r="R513" s="42" t="str"/>
      <x:c r="S513" s="42" t="str">
        <x:v>T At Anchor While anchored, a duty ordinary seaman (OS) patrolling the forecastle area spotted a perpetrator climbing over the ship railings using a rope. He wore a dark blue t-shirt and pants. The duty OS shouted at the perpetrator immediately, and reported to the OOW. The perpetrator jumped back immediately into a wooden boat, with two other perpetrators in the boat, and escaped. Nothing was stolen. he master reported the incident to local VTS via Channel 16, as well as the CSO.</x:v>
      </x:c>
      <x:c r="T513" s="42" t="str"/>
      <x:c r="U513" s="42" t="str"/>
      <x:c r="V513" s="42" t="str"/>
      <x:c r="W513" s="42" t="str"/>
      <x:c r="X513" s="42" t="str"/>
      <x:c r="Y513" s="42" t="str"/>
      <x:c r="Z513" s="42" t="str"/>
      <x:c r="AA513" s="42" t="str">
        <x:v>https://www.recaap.org/alerts</x:v>
      </x:c>
      <x:c r="AB513" s="42" t="str">
        <x:v>Needs canonical event resolution</x:v>
      </x:c>
      <x:c r="AC513" s="42" t="str">
        <x:v>Flag: LIBERIA</x:v>
      </x:c>
    </x:row>
    <x:row r="514">
      <x:c r="A514" s="42" t="str">
        <x:v>OBS_000513</x:v>
      </x:c>
      <x:c r="B514" s="42" t="str"/>
      <x:c r="C514" s="42" t="str">
        <x:v>recaap_incidents_2024_2026</x:v>
      </x:c>
      <x:c r="D514" s="42" t="str">
        <x:v>2024-66</x:v>
      </x:c>
      <x:c r="E514" s="42" t="str">
        <x:v>2024-05-25</x:v>
      </x:c>
      <x:c r="F514" s="42" t="str">
        <x:v>Maritime Crime</x:v>
      </x:c>
      <x:c r="G514" s="42" t="str">
        <x:v>Robbery / Theft</x:v>
      </x:c>
      <x:c r="H514" s="42" t="str">
        <x:v>3</x:v>
      </x:c>
      <x:c r="I514" s="42" t="str">
        <x:v>Maritime</x:v>
      </x:c>
      <x:c r="J514" s="42" t="str">
        <x:v>Indonesia (Ports/Anchorages)</x:v>
      </x:c>
      <x:c r="K514" s="42" t="str"/>
      <x:c r="L514" s="42" t="str">
        <x:v>Dumai Anchorage, Indonesia</x:v>
      </x:c>
      <x:c r="M514" s="42" t="str">
        <x:v>1.7</x:v>
      </x:c>
      <x:c r="N514" s="42" t="str">
        <x:v>101.483333</x:v>
      </x:c>
      <x:c r="O514" s="42" t="str">
        <x:v>Irvine Bay</x:v>
      </x:c>
      <x:c r="P514" s="42" t="str"/>
      <x:c r="Q514" s="42" t="str">
        <x:v>BULK CARRIER</x:v>
      </x:c>
      <x:c r="R514" s="42" t="str"/>
      <x:c r="S514" s="42" t="str">
        <x:v>T At Anchor While anchored, four perpetrators armed with knives and iron bars boarded the bulk carrier from a wooden craft. Three of the perpetrators wore long-sleeved black tops, pants and caps, while one perpetrator wore a half-sleeved t-shirt and shorts. The perpetrators stole ship’s engine spares and escaped. The crew was not injured. he incident was reported to Dumai VTS via VHF and the agent registered a complaint with the police. The local police boarded the ship and investigation is in progress.</x:v>
      </x:c>
      <x:c r="T514" s="42" t="str"/>
      <x:c r="U514" s="42" t="str"/>
      <x:c r="V514" s="42" t="str"/>
      <x:c r="W514" s="42" t="str"/>
      <x:c r="X514" s="42" t="str"/>
      <x:c r="Y514" s="42" t="str"/>
      <x:c r="Z514" s="42" t="str"/>
      <x:c r="AA514" s="42" t="str">
        <x:v>https://www.recaap.org/alerts</x:v>
      </x:c>
      <x:c r="AB514" s="42" t="str">
        <x:v>Needs canonical event resolution</x:v>
      </x:c>
      <x:c r="AC514" s="42" t="str">
        <x:v>Flag: HONG KONG, CHINA</x:v>
      </x:c>
    </x:row>
    <x:row r="515">
      <x:c r="A515" s="42" t="str">
        <x:v>OBS_000514</x:v>
      </x:c>
      <x:c r="B515" s="42" t="str"/>
      <x:c r="C515" s="42" t="str">
        <x:v>recaap_incidents_2024_2026</x:v>
      </x:c>
      <x:c r="D515" s="42" t="str">
        <x:v>2024-68</x:v>
      </x:c>
      <x:c r="E515" s="42" t="str">
        <x:v>2024-05-21</x:v>
      </x:c>
      <x:c r="F515" s="42" t="str">
        <x:v>Maritime Crime</x:v>
      </x:c>
      <x:c r="G515" s="42" t="str">
        <x:v>Robbery / Theft</x:v>
      </x:c>
      <x:c r="H515" s="42" t="str">
        <x:v>2</x:v>
      </x:c>
      <x:c r="I515" s="42" t="str">
        <x:v>Maritime</x:v>
      </x:c>
      <x:c r="J515" s="42" t="str">
        <x:v>Straits of Malacca &amp; Singapore</x:v>
      </x:c>
      <x:c r="K515" s="42" t="str"/>
      <x:c r="L515" s="42" t="str">
        <x:v>Approximately 3 nm west of Pulau Cula (Indonesia), in the eastbound lane of the TSS</x:v>
      </x:c>
      <x:c r="M515" s="42" t="str">
        <x:v>1.046667</x:v>
      </x:c>
      <x:c r="N515" s="42" t="str">
        <x:v>103.661667</x:v>
      </x:c>
      <x:c r="O515" s="42" t="str">
        <x:v>GCL Leader</x:v>
      </x:c>
      <x:c r="P515" s="42" t="str"/>
      <x:c r="Q515" s="42" t="str">
        <x:v>BULK CARRIER</x:v>
      </x:c>
      <x:c r="R515" s="42" t="str"/>
      <x:c r="S515" s="42" t="str">
        <x:v>S T While underway, the master reported to Singapore VTIS on VHF that five perpetrators armed with knives were sighted in the steering gear room, with the oiler being restrained. The alarm was raised and crew mustered. All crew members were accounted for, with no injury to crew and no assistance required. Some engine spare parts were stolen. afety navigational broadcast was initiated. The RSN’s MSTF and Singapore PCG were notified. Information was shared with the Indonesian authority. he ship proceeded to Singapore anchorage to pick up pilot. Upon the ship’s arrival, Singapore PCG conducted an inspection onboard.</x:v>
      </x:c>
      <x:c r="T515" s="42" t="str"/>
      <x:c r="U515" s="42" t="str"/>
      <x:c r="V515" s="42" t="str"/>
      <x:c r="W515" s="42" t="str">
        <x:v>While Sailing</x:v>
      </x:c>
      <x:c r="X515" s="42" t="str"/>
      <x:c r="Y515" s="42" t="str"/>
      <x:c r="Z515" s="42" t="str"/>
      <x:c r="AA515" s="42" t="str">
        <x:v>https://www.recaap.org/alerts</x:v>
      </x:c>
      <x:c r="AB515" s="42" t="str">
        <x:v>Needs canonical event resolution</x:v>
      </x:c>
      <x:c r="AC515" s="42" t="str">
        <x:v>Flag: LIBERIA</x:v>
      </x:c>
    </x:row>
    <x:row r="516">
      <x:c r="A516" s="42" t="str">
        <x:v>OBS_000515</x:v>
      </x:c>
      <x:c r="B516" s="42" t="str"/>
      <x:c r="C516" s="42" t="str">
        <x:v>recaap_incidents_2024_2026</x:v>
      </x:c>
      <x:c r="D516" s="42" t="str">
        <x:v>2024-67</x:v>
      </x:c>
      <x:c r="E516" s="42" t="str">
        <x:v>2024-05-21</x:v>
      </x:c>
      <x:c r="F516" s="42" t="str">
        <x:v>Maritime Crime</x:v>
      </x:c>
      <x:c r="G516" s="42" t="str">
        <x:v>Robbery / Theft</x:v>
      </x:c>
      <x:c r="H516" s="42" t="str">
        <x:v>4</x:v>
      </x:c>
      <x:c r="I516" s="42" t="str">
        <x:v>Maritime</x:v>
      </x:c>
      <x:c r="J516" s="42" t="str">
        <x:v>South China Sea</x:v>
      </x:c>
      <x:c r="K516" s="42" t="str"/>
      <x:c r="L516" s="42" t="str">
        <x:v>Approximately 5.23 nm from Tompok Utara Beacon, Malaysia</x:v>
      </x:c>
      <x:c r="M516" s="42" t="str">
        <x:v>1.502667</x:v>
      </x:c>
      <x:c r="N516" s="42" t="str">
        <x:v>104.522833</x:v>
      </x:c>
      <x:c r="O516" s="42" t="str">
        <x:v>Marvel 3 &amp; Seronggong 8</x:v>
      </x:c>
      <x:c r="P516" s="42" t="str"/>
      <x:c r="Q516" s="42" t="str">
        <x:v>TUG BOAT &amp; BARGE</x:v>
      </x:c>
      <x:c r="R516" s="42" t="str"/>
      <x:c r="S516" s="42" t="str">
        <x:v>S While the tug boat towing barge was underway, perpetrators in five small boats came alongside and boarded the barge. The alarm was raised and the crew was instructed to stay within the accommodation. The master reported the incident to Singapore VTIS. At about 1745 hrs, the perpetrators left the barge with some scrap metals and escaped in their boats. The crew was not injured. afety navigational broadcast was initiated. The RSN’s MSTF and Singapore PCG were notified. Information of the incident was shared with the Indonesian and Malaysian authorities.</x:v>
      </x:c>
      <x:c r="T516" s="42" t="str"/>
      <x:c r="U516" s="42" t="str"/>
      <x:c r="V516" s="42" t="str"/>
      <x:c r="W516" s="42" t="str">
        <x:v>While Sailing</x:v>
      </x:c>
      <x:c r="X516" s="42" t="str"/>
      <x:c r="Y516" s="42" t="str"/>
      <x:c r="Z516" s="42" t="str"/>
      <x:c r="AA516" s="42" t="str">
        <x:v>https://www.recaap.org/alerts</x:v>
      </x:c>
      <x:c r="AB516" s="42" t="str">
        <x:v>Needs canonical event resolution</x:v>
      </x:c>
      <x:c r="AC516" s="42" t="str">
        <x:v>Flag: MALAYSIA</x:v>
      </x:c>
    </x:row>
    <x:row r="517">
      <x:c r="A517" s="42" t="str">
        <x:v>OBS_000516</x:v>
      </x:c>
      <x:c r="B517" s="42" t="str"/>
      <x:c r="C517" s="42" t="str">
        <x:v>recaap_incidents_2024_2026</x:v>
      </x:c>
      <x:c r="D517" s="42" t="str">
        <x:v>2024-69</x:v>
      </x:c>
      <x:c r="E517" s="42" t="str">
        <x:v>2024-05-15</x:v>
      </x:c>
      <x:c r="F517" s="42" t="str">
        <x:v>Maritime Crime</x:v>
      </x:c>
      <x:c r="G517" s="42" t="str">
        <x:v>Robbery / Theft</x:v>
      </x:c>
      <x:c r="H517" s="42" t="str">
        <x:v>4</x:v>
      </x:c>
      <x:c r="I517" s="42" t="str">
        <x:v>Maritime</x:v>
      </x:c>
      <x:c r="J517" s="42" t="str">
        <x:v>Indonesia (Ports/Anchorages)</x:v>
      </x:c>
      <x:c r="K517" s="42" t="str"/>
      <x:c r="L517" s="42" t="str">
        <x:v>Dumai Anchorage, Indonesia</x:v>
      </x:c>
      <x:c r="M517" s="42" t="str">
        <x:v>1.7</x:v>
      </x:c>
      <x:c r="N517" s="42" t="str">
        <x:v>101.466667</x:v>
      </x:c>
      <x:c r="O517" s="42" t="str">
        <x:v>Murou</x:v>
      </x:c>
      <x:c r="P517" s="42" t="str"/>
      <x:c r="Q517" s="42" t="str">
        <x:v>GENERAL CARGO SHIP</x:v>
      </x:c>
      <x:c r="R517" s="42" t="str"/>
      <x:c r="S517" s="42" t="str">
        <x:v>At Anchor While anchored and awaiting cargo, a deck officer on watch duty spotted a small boat alongside the port stern of the ship. At the same time, three perpetrators were seen near the funnel. The deck officer shouted at the perpetrators immediately and reported to the duty officer, who informed the master. The alarm was sounded and an announcement was made about the presence of the perpetrators onboard. The duty officer subsequently noticed the three perpetrators jumping off the ship and escaped in the small boat. All crew members were safe and nothing was stolen.</x:v>
      </x:c>
      <x:c r="T517" s="42" t="str"/>
      <x:c r="U517" s="42" t="str"/>
      <x:c r="V517" s="42" t="str"/>
      <x:c r="W517" s="42" t="str"/>
      <x:c r="X517" s="42" t="str"/>
      <x:c r="Y517" s="42" t="str"/>
      <x:c r="Z517" s="42" t="str"/>
      <x:c r="AA517" s="42" t="str">
        <x:v>https://www.recaap.org/alerts</x:v>
      </x:c>
      <x:c r="AB517" s="42" t="str">
        <x:v>Needs canonical event resolution</x:v>
      </x:c>
      <x:c r="AC517" s="42" t="str">
        <x:v>Flag: PANAMA</x:v>
      </x:c>
    </x:row>
    <x:row r="518">
      <x:c r="A518" s="42" t="str">
        <x:v>OBS_000517</x:v>
      </x:c>
      <x:c r="B518" s="42" t="str"/>
      <x:c r="C518" s="42" t="str">
        <x:v>recaap_incidents_2024_2026</x:v>
      </x:c>
      <x:c r="D518" s="42" t="str">
        <x:v>2024-70</x:v>
      </x:c>
      <x:c r="E518" s="42" t="str">
        <x:v>2024-05-13</x:v>
      </x:c>
      <x:c r="F518" s="42" t="str">
        <x:v>Maritime Crime</x:v>
      </x:c>
      <x:c r="G518" s="42" t="str">
        <x:v>Robbery / Theft</x:v>
      </x:c>
      <x:c r="H518" s="42" t="str">
        <x:v>3</x:v>
      </x:c>
      <x:c r="I518" s="42" t="str">
        <x:v>Maritime</x:v>
      </x:c>
      <x:c r="J518" s="42" t="str">
        <x:v>Bangladesh (Ports/Anchorages)</x:v>
      </x:c>
      <x:c r="K518" s="42" t="str"/>
      <x:c r="L518" s="42" t="str">
        <x:v>Chattogram Anchorage A20, Bangladesh</x:v>
      </x:c>
      <x:c r="M518" s="42" t="str">
        <x:v>22.283333</x:v>
      </x:c>
      <x:c r="N518" s="42" t="str">
        <x:v>91.716667</x:v>
      </x:c>
      <x:c r="O518" s="42" t="str">
        <x:v>Largo Eden</x:v>
      </x:c>
      <x:c r="P518" s="42" t="str"/>
      <x:c r="Q518" s="42" t="str">
        <x:v>OIL / CHEMICAL / GAS TANKER</x:v>
      </x:c>
      <x:c r="R518" s="42" t="str"/>
      <x:c r="S518" s="42" t="str">
        <x:v>T At Anchor While anchored, the AB on rounds spotted movement on the poop deck and raised the alarm. The shore watchmen were found tied, who reported six perpetrators had boarded the ship and escaped into the water. The paint store lock was found broken, and paint drums, messenger rope and heaving line were stolen. he incident was reported to the local authorities including the port control, Bangladesh Coast Guard (BCG) and Bangladesh Navy. BCG investigated the incident, and conducted combing operations in the vicinity and shore areas. The perpetrators were apprehended, all stolen items recovered and will be handed over to the ship.</x:v>
      </x:c>
      <x:c r="T518" s="42" t="str"/>
      <x:c r="U518" s="42" t="str"/>
      <x:c r="V518" s="42" t="str"/>
      <x:c r="W518" s="42" t="str"/>
      <x:c r="X518" s="42" t="str"/>
      <x:c r="Y518" s="42" t="str"/>
      <x:c r="Z518" s="42" t="str"/>
      <x:c r="AA518" s="42" t="str">
        <x:v>https://www.recaap.org/alerts</x:v>
      </x:c>
      <x:c r="AB518" s="42" t="str">
        <x:v>Needs canonical event resolution</x:v>
      </x:c>
      <x:c r="AC518" s="42" t="str">
        <x:v>Flag: LIBERIA</x:v>
      </x:c>
    </x:row>
    <x:row r="519">
      <x:c r="A519" s="42" t="str">
        <x:v>OBS_000518</x:v>
      </x:c>
      <x:c r="B519" s="42" t="str"/>
      <x:c r="C519" s="42" t="str">
        <x:v>recaap_incidents_2024_2026</x:v>
      </x:c>
      <x:c r="D519" s="42" t="str">
        <x:v>2024-71</x:v>
      </x:c>
      <x:c r="E519" s="42" t="str">
        <x:v>2024-05-10</x:v>
      </x:c>
      <x:c r="F519" s="42" t="str">
        <x:v>Maritime Crime</x:v>
      </x:c>
      <x:c r="G519" s="42" t="str">
        <x:v>Robbery / Theft</x:v>
      </x:c>
      <x:c r="H519" s="42" t="str">
        <x:v>4</x:v>
      </x:c>
      <x:c r="I519" s="42" t="str">
        <x:v>Maritime</x:v>
      </x:c>
      <x:c r="J519" s="42" t="str">
        <x:v>Philippines (Ports/Anchorages)</x:v>
      </x:c>
      <x:c r="K519" s="42" t="str"/>
      <x:c r="L519" s="42" t="str">
        <x:v>Manila International Container Terminal (MICT), Phiilippines</x:v>
      </x:c>
      <x:c r="M519" s="42" t="str">
        <x:v>14.594833</x:v>
      </x:c>
      <x:c r="N519" s="42" t="str">
        <x:v>120.8445</x:v>
      </x:c>
      <x:c r="O519" s="42" t="str">
        <x:v>ESL Dachan Bay</x:v>
      </x:c>
      <x:c r="P519" s="42" t="str"/>
      <x:c r="Q519" s="42" t="str">
        <x:v>CONTAINER SHIP</x:v>
      </x:c>
      <x:c r="R519" s="42" t="str"/>
      <x:c r="S519" s="42" t="str">
        <x:v>T At Anchor While anchored, two perpetrators boarded the ship at the forecastle. The 2nd Mate spotted the perpetrators and raised the alarm. A check was conducted of the ship’s equipment and items including cables, normal grinders, brass nozzle pieces, a heavy duty cutter, a drill machine, an inverter welding machine and a heavy-duty grinder were found stolen. The crew was not injured. he incident was reported to the PCG and Philippine Port Authority. The Philippine authorities proceeded to location of the ship immediately and verified the veracity of the report. The Philippine authorities conducted follow-up operations at nearby junkshop, where the perpetrators reportedly sold the stolen items.</x:v>
      </x:c>
      <x:c r="T519" s="42" t="str"/>
      <x:c r="U519" s="42" t="str"/>
      <x:c r="V519" s="42" t="str"/>
      <x:c r="W519" s="42" t="str"/>
      <x:c r="X519" s="42" t="str"/>
      <x:c r="Y519" s="42" t="str"/>
      <x:c r="Z519" s="42" t="str"/>
      <x:c r="AA519" s="42" t="str">
        <x:v>https://www.recaap.org/alerts</x:v>
      </x:c>
      <x:c r="AB519" s="42" t="str">
        <x:v>Needs canonical event resolution</x:v>
      </x:c>
      <x:c r="AC519" s="42" t="str">
        <x:v>Flag: PORTUGAL</x:v>
      </x:c>
    </x:row>
    <x:row r="520">
      <x:c r="A520" s="42" t="str">
        <x:v>OBS_000519</x:v>
      </x:c>
      <x:c r="B520" s="42" t="str"/>
      <x:c r="C520" s="42" t="str">
        <x:v>recaap_incidents_2024_2026</x:v>
      </x:c>
      <x:c r="D520" s="42" t="str">
        <x:v>2024-75</x:v>
      </x:c>
      <x:c r="E520" s="42" t="str">
        <x:v>2024-04-14</x:v>
      </x:c>
      <x:c r="F520" s="42" t="str">
        <x:v>Maritime Crime</x:v>
      </x:c>
      <x:c r="G520" s="42" t="str">
        <x:v>Robbery / Theft</x:v>
      </x:c>
      <x:c r="H520" s="42" t="str">
        <x:v>4</x:v>
      </x:c>
      <x:c r="I520" s="42" t="str">
        <x:v>Maritime</x:v>
      </x:c>
      <x:c r="J520" s="42" t="str">
        <x:v>Indonesia (Ports/Anchorages)</x:v>
      </x:c>
      <x:c r="K520" s="42" t="str"/>
      <x:c r="L520" s="42" t="str">
        <x:v>Balikpapan Anchorage, Indonesia</x:v>
      </x:c>
      <x:c r="M520" s="42" t="str">
        <x:v>-1.299333</x:v>
      </x:c>
      <x:c r="N520" s="42" t="str">
        <x:v>116.798833</x:v>
      </x:c>
      <x:c r="O520" s="42" t="str">
        <x:v>Solar Roma</x:v>
      </x:c>
      <x:c r="P520" s="42" t="str"/>
      <x:c r="Q520" s="42" t="str">
        <x:v>PRODUCT TANKER</x:v>
      </x:c>
      <x:c r="R520" s="42" t="str"/>
      <x:c r="S520" s="42" t="str">
        <x:v>At Anchor While anchored, four perpetrators boarded the ship through the anchor chain. They broke into the forecastle store and escaped with ship stores and properties. The crew was mustered and a search onboard the ship was conducted. The incident was reported to Balikpapan port control.</x:v>
      </x:c>
      <x:c r="T520" s="42" t="str"/>
      <x:c r="U520" s="42" t="str"/>
      <x:c r="V520" s="42" t="str"/>
      <x:c r="W520" s="42" t="str"/>
      <x:c r="X520" s="42" t="str"/>
      <x:c r="Y520" s="42" t="str"/>
      <x:c r="Z520" s="42" t="str"/>
      <x:c r="AA520" s="42" t="str">
        <x:v>https://www.recaap.org/alerts</x:v>
      </x:c>
      <x:c r="AB520" s="42" t="str">
        <x:v>Needs canonical event resolution</x:v>
      </x:c>
      <x:c r="AC520" s="42" t="str">
        <x:v>Flag: LIBERIA</x:v>
      </x:c>
    </x:row>
    <x:row r="521">
      <x:c r="A521" s="42" t="str">
        <x:v>OBS_000520</x:v>
      </x:c>
      <x:c r="B521" s="42" t="str"/>
      <x:c r="C521" s="42" t="str">
        <x:v>recaap_incidents_2024_2026</x:v>
      </x:c>
      <x:c r="D521" s="42" t="str">
        <x:v>2024-74</x:v>
      </x:c>
      <x:c r="E521" s="42" t="str">
        <x:v>2024-04-14</x:v>
      </x:c>
      <x:c r="F521" s="42" t="str">
        <x:v>Maritime Crime</x:v>
      </x:c>
      <x:c r="G521" s="42" t="str">
        <x:v>Robbery / Theft</x:v>
      </x:c>
      <x:c r="H521" s="42" t="str">
        <x:v>3</x:v>
      </x:c>
      <x:c r="I521" s="42" t="str">
        <x:v>Maritime</x:v>
      </x:c>
      <x:c r="J521" s="42" t="str">
        <x:v>Straits of Malacca &amp; Singapore</x:v>
      </x:c>
      <x:c r="K521" s="42" t="str"/>
      <x:c r="L521" s="42" t="str">
        <x:v>Approximately 3 nm from Takong Kecil Light, (Indonesia), in the eastbound lane of the TSS</x:v>
      </x:c>
      <x:c r="M521" s="42" t="str">
        <x:v>1.0745</x:v>
      </x:c>
      <x:c r="N521" s="42" t="str">
        <x:v>103.678667</x:v>
      </x:c>
      <x:c r="O521" s="42" t="str">
        <x:v>Casanova</x:v>
      </x:c>
      <x:c r="P521" s="42" t="str"/>
      <x:c r="Q521" s="42" t="str">
        <x:v>BULK CARRIER</x:v>
      </x:c>
      <x:c r="R521" s="42" t="str"/>
      <x:c r="S521" s="42" t="str">
        <x:v>T T S While underway, the master reported to Singapore VTIS that the 3rd engineer sighted five perpetrators in the engine room. Some of the perpetrators were reportedly armed with gun- like objects. he master raised the alarm, and mustered the crew. A ship search was conducted and completed at 0405 hrs, and all crew accounted for with no injuries. The master was unable to ascertain any loss of property. he master indicated that no further assistance was required, and continued its journey to Song Duong, Vietnam. afety navigational broadcast was initiated. The RSN’s MSTF and Singapore PCG were notified. Information was shared with the Indonesian authority.</x:v>
      </x:c>
      <x:c r="T521" s="42" t="str"/>
      <x:c r="U521" s="42" t="str"/>
      <x:c r="V521" s="42" t="str"/>
      <x:c r="W521" s="42" t="str">
        <x:v>While Sailing</x:v>
      </x:c>
      <x:c r="X521" s="42" t="str"/>
      <x:c r="Y521" s="42" t="str"/>
      <x:c r="Z521" s="42" t="str"/>
      <x:c r="AA521" s="42" t="str">
        <x:v>https://www.recaap.org/alerts</x:v>
      </x:c>
      <x:c r="AB521" s="42" t="str">
        <x:v>Needs canonical event resolution</x:v>
      </x:c>
      <x:c r="AC521" s="42" t="str">
        <x:v>Flag: BAHAMAS</x:v>
      </x:c>
    </x:row>
    <x:row r="522">
      <x:c r="A522" s="42" t="str">
        <x:v>OBS_000521</x:v>
      </x:c>
      <x:c r="B522" s="42" t="str"/>
      <x:c r="C522" s="42" t="str">
        <x:v>recaap_incidents_2024_2026</x:v>
      </x:c>
      <x:c r="D522" s="42" t="str">
        <x:v>2024-73</x:v>
      </x:c>
      <x:c r="E522" s="42" t="str">
        <x:v>2024-04-14</x:v>
      </x:c>
      <x:c r="F522" s="42" t="str">
        <x:v>Maritime Crime</x:v>
      </x:c>
      <x:c r="G522" s="42" t="str">
        <x:v>Robbery / Theft</x:v>
      </x:c>
      <x:c r="H522" s="42" t="str">
        <x:v>4</x:v>
      </x:c>
      <x:c r="I522" s="42" t="str">
        <x:v>Maritime</x:v>
      </x:c>
      <x:c r="J522" s="42" t="str">
        <x:v>Straits of Malacca &amp; Singapore</x:v>
      </x:c>
      <x:c r="K522" s="42" t="str"/>
      <x:c r="L522" s="42" t="str">
        <x:v>Approximately 4.3 nm east of Tanjung Penyusop, (Malaysia), in the westbound lane of the TSS</x:v>
      </x:c>
      <x:c r="M522" s="42" t="str">
        <x:v>1.309833</x:v>
      </x:c>
      <x:c r="N522" s="42" t="str">
        <x:v>104.262833</x:v>
      </x:c>
      <x:c r="O522" s="42" t="str">
        <x:v>Bongawan 9 &amp; Hexagro 9</x:v>
      </x:c>
      <x:c r="P522" s="42" t="str"/>
      <x:c r="Q522" s="42" t="str">
        <x:v>TUG BOAT &amp; BARGE</x:v>
      </x:c>
      <x:c r="R522" s="42" t="str"/>
      <x:c r="S522" s="42" t="str">
        <x:v>A S While underway, the master reported to Singapore VTIS East via VHF Channel 10, that he sighted three to four perpetrators alongside the unmanned barge in three sampans. The master raised the alarm and mustered the crew. t 1040 hrs, the master reported that the perpetrators left the barge. The master further reported that some scrap metals were stolen from the barge. All crew members were accounted for with no injuries, and no assistance required. afety navigational broadcast was initiated. The RSN’s MSTF and Singapore PCG were notified. Information was shared with the Malaysian authority.</x:v>
      </x:c>
      <x:c r="T522" s="42" t="str"/>
      <x:c r="U522" s="42" t="str"/>
      <x:c r="V522" s="42" t="str"/>
      <x:c r="W522" s="42" t="str">
        <x:v>While Sailing</x:v>
      </x:c>
      <x:c r="X522" s="42" t="str"/>
      <x:c r="Y522" s="42" t="str"/>
      <x:c r="Z522" s="42" t="str"/>
      <x:c r="AA522" s="42" t="str">
        <x:v>https://www.recaap.org/alerts</x:v>
      </x:c>
      <x:c r="AB522" s="42" t="str">
        <x:v>Needs canonical event resolution</x:v>
      </x:c>
      <x:c r="AC522" s="42" t="str">
        <x:v>Flag: MALAYSIA</x:v>
      </x:c>
    </x:row>
    <x:row r="523">
      <x:c r="A523" s="42" t="str">
        <x:v>OBS_000522</x:v>
      </x:c>
      <x:c r="B523" s="42" t="str"/>
      <x:c r="C523" s="42" t="str">
        <x:v>recaap_incidents_2024_2026</x:v>
      </x:c>
      <x:c r="D523" s="42" t="str">
        <x:v>2024-76</x:v>
      </x:c>
      <x:c r="E523" s="42" t="str">
        <x:v>2024-04-08</x:v>
      </x:c>
      <x:c r="F523" s="42" t="str">
        <x:v>Maritime Crime</x:v>
      </x:c>
      <x:c r="G523" s="42" t="str">
        <x:v>Robbery / Theft</x:v>
      </x:c>
      <x:c r="H523" s="42" t="str">
        <x:v>4</x:v>
      </x:c>
      <x:c r="I523" s="42" t="str">
        <x:v>Maritime</x:v>
      </x:c>
      <x:c r="J523" s="42" t="str">
        <x:v>Bangladesh (Ports/Anchorages)</x:v>
      </x:c>
      <x:c r="K523" s="42" t="str"/>
      <x:c r="L523" s="42" t="str">
        <x:v>Chattogram Outer Anchorage, Bangladesh</x:v>
      </x:c>
      <x:c r="M523" s="42" t="str">
        <x:v>21.15</x:v>
      </x:c>
      <x:c r="N523" s="42" t="str">
        <x:v>91.116667</x:v>
      </x:c>
      <x:c r="O523" s="42" t="str">
        <x:v>Maersk Chattogram</x:v>
      </x:c>
      <x:c r="P523" s="42" t="str"/>
      <x:c r="Q523" s="42" t="str">
        <x:v>CONTAINER SHIP</x:v>
      </x:c>
      <x:c r="R523" s="42" t="str"/>
      <x:c r="S523" s="42" t="str">
        <x:v>T B anchored, the duty watchman noticed two perpetrators onboard the deck, and managed to escape onboard a country boat. Upon inspection, it was found out that 600 litres of paint, 150 metres of safety chain, 16 pieces of brass fire hydrant caps, and 2 pieces of fire hoses were stolen. he incident was immediately reported to the Bangladesh Coast Guard and Port Control Authority. The crew was not injured. angladesh Coast Guard carried out patrol in the incident area, and recovered all stolen ships items and handed over to the ship master. It is recommended and advised for all ships, low draft ships, and tug boats heading towards Bangladesh ports and territorial waters, to maintain communication with law enforcement agencies (LEAs) through HF/ VHF channels 12 and 16 for help.</x:v>
      </x:c>
      <x:c r="T523" s="42" t="str"/>
      <x:c r="U523" s="42" t="str"/>
      <x:c r="V523" s="42" t="str"/>
      <x:c r="W523" s="42" t="str">
        <x:v>At Anchor While</x:v>
      </x:c>
      <x:c r="X523" s="42" t="str"/>
      <x:c r="Y523" s="42" t="str"/>
      <x:c r="Z523" s="42" t="str"/>
      <x:c r="AA523" s="42" t="str">
        <x:v>https://www.recaap.org/alerts</x:v>
      </x:c>
      <x:c r="AB523" s="42" t="str">
        <x:v>Needs canonical event resolution</x:v>
      </x:c>
      <x:c r="AC523" s="42" t="str">
        <x:v>Flag: SINGAPORE</x:v>
      </x:c>
    </x:row>
    <x:row r="524">
      <x:c r="A524" s="42" t="str">
        <x:v>OBS_000523</x:v>
      </x:c>
      <x:c r="B524" s="42" t="str"/>
      <x:c r="C524" s="42" t="str">
        <x:v>recaap_incidents_2024_2026</x:v>
      </x:c>
      <x:c r="D524" s="42" t="str">
        <x:v>2024-77</x:v>
      </x:c>
      <x:c r="E524" s="42" t="str">
        <x:v>2024-04-06</x:v>
      </x:c>
      <x:c r="F524" s="42" t="str">
        <x:v>Maritime Crime</x:v>
      </x:c>
      <x:c r="G524" s="42" t="str">
        <x:v>Robbery / Theft</x:v>
      </x:c>
      <x:c r="H524" s="42" t="str">
        <x:v>4</x:v>
      </x:c>
      <x:c r="I524" s="42" t="str">
        <x:v>Maritime</x:v>
      </x:c>
      <x:c r="J524" s="42" t="str">
        <x:v>Straits of Malacca &amp; Singapore</x:v>
      </x:c>
      <x:c r="K524" s="42" t="str"/>
      <x:c r="L524" s="42" t="str">
        <x:v>South of Tanjung Ramunia, Johor, (Malaysia), in the westbound lane of the TSS</x:v>
      </x:c>
      <x:c r="M524" s="42" t="str">
        <x:v>1.309833</x:v>
      </x:c>
      <x:c r="N524" s="42" t="str">
        <x:v>104.262833</x:v>
      </x:c>
      <x:c r="O524" s="42" t="str">
        <x:v>Danum 53 &amp; Linau 135</x:v>
      </x:c>
      <x:c r="P524" s="42" t="str"/>
      <x:c r="Q524" s="42" t="str">
        <x:v>TUG BOAT &amp; BARGE</x:v>
      </x:c>
      <x:c r="R524" s="42" t="str"/>
      <x:c r="S524" s="42" t="str">
        <x:v>T While the tug boat towing barge was underway, the master noticed a sampan alongside the barge. Three perpetrators were seen leaving the barge with some copper coils and fibre boards. The crew was mustered and accounted for. The crew was not injured. The tug boat and barge last port of call was Bintulu, Sarawak, East Malaysia and was bound for Singapore Pilot Eastern Boarding Ground “A”. he master reported to Singapore Vessel Traffic Information System (VTIS) East. Safety navigational broadcast was initiated. The RSN’s MSTF and Singapore PCG were notified. Information was shared with the Malaysian authorities.</x:v>
      </x:c>
      <x:c r="T524" s="42" t="str"/>
      <x:c r="U524" s="42" t="str"/>
      <x:c r="V524" s="42" t="str"/>
      <x:c r="W524" s="42" t="str">
        <x:v>While Sailing</x:v>
      </x:c>
      <x:c r="X524" s="42" t="str"/>
      <x:c r="Y524" s="42" t="str"/>
      <x:c r="Z524" s="42" t="str"/>
      <x:c r="AA524" s="42" t="str">
        <x:v>https://www.recaap.org/alerts</x:v>
      </x:c>
      <x:c r="AB524" s="42" t="str">
        <x:v>Needs canonical event resolution</x:v>
      </x:c>
      <x:c r="AC524" s="42" t="str">
        <x:v>Flag: MALAYSIA</x:v>
      </x:c>
    </x:row>
    <x:row r="525">
      <x:c r="A525" s="42" t="str">
        <x:v>OBS_000524</x:v>
      </x:c>
      <x:c r="B525" s="42" t="str"/>
      <x:c r="C525" s="42" t="str">
        <x:v>recaap_incidents_2024_2026</x:v>
      </x:c>
      <x:c r="D525" s="42" t="str">
        <x:v>2024-78</x:v>
      </x:c>
      <x:c r="E525" s="42" t="str">
        <x:v>2024-04-04</x:v>
      </x:c>
      <x:c r="F525" s="42" t="str">
        <x:v>Maritime Crime</x:v>
      </x:c>
      <x:c r="G525" s="42" t="str">
        <x:v>Robbery / Theft</x:v>
      </x:c>
      <x:c r="H525" s="42" t="str">
        <x:v>3</x:v>
      </x:c>
      <x:c r="I525" s="42" t="str">
        <x:v>Maritime</x:v>
      </x:c>
      <x:c r="J525" s="42" t="str">
        <x:v>Indonesia (Ports/Anchorages)</x:v>
      </x:c>
      <x:c r="K525" s="42" t="str"/>
      <x:c r="L525" s="42" t="str">
        <x:v>Kuala Tanjung Port, Indonesia</x:v>
      </x:c>
      <x:c r="M525" s="42" t="str">
        <x:v>3.371833</x:v>
      </x:c>
      <x:c r="N525" s="42" t="str">
        <x:v>99.470333</x:v>
      </x:c>
      <x:c r="O525" s="42" t="str">
        <x:v>Shakespeare Bay</x:v>
      </x:c>
      <x:c r="P525" s="42" t="str"/>
      <x:c r="Q525" s="42" t="str">
        <x:v>BULK CARRIER</x:v>
      </x:c>
      <x:c r="R525" s="42" t="str"/>
      <x:c r="S525" s="42" t="str">
        <x:v>T T T While berthed, three perpetrators armed with long knives and special tools boarded the ship and entered the engine room from funnel door. he funnel door was locked on from inside and outside, but the perpetrators managed to open the door by using special tools, forced open the lashing chain and lock, before entering the engine room from the funnel door. he perpetrators stole auxiliary engine spare parts before they escaped. The crew was not injured. he master and crew relayed the details of the incident to the shipping agent, who in turn reported to the authorities.</x:v>
      </x:c>
      <x:c r="T525" s="42" t="str"/>
      <x:c r="U525" s="42" t="str"/>
      <x:c r="V525" s="42" t="str"/>
      <x:c r="W525" s="42" t="str">
        <x:v>At Berth</x:v>
      </x:c>
      <x:c r="X525" s="42" t="str"/>
      <x:c r="Y525" s="42" t="str"/>
      <x:c r="Z525" s="42" t="str"/>
      <x:c r="AA525" s="42" t="str">
        <x:v>https://www.recaap.org/alerts</x:v>
      </x:c>
      <x:c r="AB525" s="42" t="str">
        <x:v>Needs canonical event resolution</x:v>
      </x:c>
      <x:c r="AC525" s="42" t="str">
        <x:v>Flag: HONG KONG, CHINA</x:v>
      </x:c>
    </x:row>
    <x:row r="526">
      <x:c r="A526" s="42" t="str">
        <x:v>OBS_000525</x:v>
      </x:c>
      <x:c r="B526" s="42" t="str"/>
      <x:c r="C526" s="42" t="str">
        <x:v>recaap_incidents_2024_2026</x:v>
      </x:c>
      <x:c r="D526" s="42" t="str">
        <x:v>2024-79</x:v>
      </x:c>
      <x:c r="E526" s="42" t="str">
        <x:v>2024-03-30</x:v>
      </x:c>
      <x:c r="F526" s="42" t="str">
        <x:v>Maritime Crime</x:v>
      </x:c>
      <x:c r="G526" s="42" t="str">
        <x:v>Attempted</x:v>
      </x:c>
      <x:c r="H526" s="42" t="str">
        <x:v>NA</x:v>
      </x:c>
      <x:c r="I526" s="42" t="str">
        <x:v>Maritime</x:v>
      </x:c>
      <x:c r="J526" s="42" t="str">
        <x:v>Bangladesh (Ports/Anchorages)</x:v>
      </x:c>
      <x:c r="K526" s="42" t="str"/>
      <x:c r="L526" s="42" t="str">
        <x:v>Chattogram Anchorage, Bangladesh</x:v>
      </x:c>
      <x:c r="M526" s="42" t="str">
        <x:v>22.233333</x:v>
      </x:c>
      <x:c r="N526" s="42" t="str">
        <x:v>91.7</x:v>
      </x:c>
      <x:c r="O526" s="42" t="str">
        <x:v>ASL Leban</x:v>
      </x:c>
      <x:c r="P526" s="42" t="str"/>
      <x:c r="Q526" s="42" t="str">
        <x:v>GENERAL CARGO SHIP</x:v>
      </x:c>
      <x:c r="R526" s="42" t="str"/>
      <x:c r="S526" s="42" t="str">
        <x:v>At Anchor While anchored, the crew noticed three perpetrators in a boat attempting to board the ship using a rope and hook. The alarm was raised and crew was mustered. Upon realising the crew was alerted, the perpetrators aborted the attempt. Nothing was stolen and the crew was not injured.</x:v>
      </x:c>
      <x:c r="T526" s="42" t="str"/>
      <x:c r="U526" s="42" t="str"/>
      <x:c r="V526" s="42" t="str"/>
      <x:c r="W526" s="42" t="str"/>
      <x:c r="X526" s="42" t="str"/>
      <x:c r="Y526" s="42" t="str"/>
      <x:c r="Z526" s="42" t="str"/>
      <x:c r="AA526" s="42" t="str">
        <x:v>https://www.recaap.org/alerts</x:v>
      </x:c>
      <x:c r="AB526" s="42" t="str">
        <x:v>Needs canonical event resolution</x:v>
      </x:c>
      <x:c r="AC526" s="42" t="str">
        <x:v>Flag: MARSHALL ISLANDS</x:v>
      </x:c>
    </x:row>
    <x:row r="527">
      <x:c r="A527" s="42" t="str">
        <x:v>OBS_000526</x:v>
      </x:c>
      <x:c r="B527" s="42" t="str"/>
      <x:c r="C527" s="42" t="str">
        <x:v>recaap_incidents_2024_2026</x:v>
      </x:c>
      <x:c r="D527" s="42" t="str">
        <x:v>2024-80</x:v>
      </x:c>
      <x:c r="E527" s="42" t="str">
        <x:v>2024-03-29</x:v>
      </x:c>
      <x:c r="F527" s="42" t="str">
        <x:v>Maritime Crime</x:v>
      </x:c>
      <x:c r="G527" s="42" t="str">
        <x:v>Robbery / Theft</x:v>
      </x:c>
      <x:c r="H527" s="42" t="str">
        <x:v>3</x:v>
      </x:c>
      <x:c r="I527" s="42" t="str">
        <x:v>Maritime</x:v>
      </x:c>
      <x:c r="J527" s="42" t="str">
        <x:v>Straits of Malacca &amp; Singapore</x:v>
      </x:c>
      <x:c r="K527" s="42" t="str"/>
      <x:c r="L527" s="42" t="str">
        <x:v>Approximately 4.9 nm from Takong Lighthouse (Indonesia), in the eastbound lane of the TSS</x:v>
      </x:c>
      <x:c r="M527" s="42" t="str">
        <x:v>1.057167</x:v>
      </x:c>
      <x:c r="N527" s="42" t="str">
        <x:v>103.653667</x:v>
      </x:c>
      <x:c r="O527" s="42" t="str">
        <x:v>George Island</x:v>
      </x:c>
      <x:c r="P527" s="42" t="str"/>
      <x:c r="Q527" s="42" t="str">
        <x:v>BULK CARRIER</x:v>
      </x:c>
      <x:c r="R527" s="42" t="str"/>
      <x:c r="S527" s="42" t="str">
        <x:v>S U While underway, the master reported to Singapore VTIS West that three perpetrators armed with knives were sighted in the engine room. The master raised the alarm and mustered crew on the bridge. A search onboard the ship was conducted and at 0118 hrs, the master reported that no perpetrators were found and nothing was stolen. All crew members were accounted for with no reported injury. The ship was en-route to PEBGB. afety navigational broadcast was initiated. The RSN’s MSTF and Singapore PCG were notified. pon the ship’s arrival in Singapore, the Singapore PCG boarded the ship and conducted a thorough search onboard, but no perpetrators were found.</x:v>
      </x:c>
      <x:c r="T527" s="42" t="str"/>
      <x:c r="U527" s="42" t="str"/>
      <x:c r="V527" s="42" t="str"/>
      <x:c r="W527" s="42" t="str">
        <x:v>While Sailing</x:v>
      </x:c>
      <x:c r="X527" s="42" t="str"/>
      <x:c r="Y527" s="42" t="str"/>
      <x:c r="Z527" s="42" t="str"/>
      <x:c r="AA527" s="42" t="str">
        <x:v>https://www.recaap.org/alerts</x:v>
      </x:c>
      <x:c r="AB527" s="42" t="str">
        <x:v>Needs canonical event resolution</x:v>
      </x:c>
      <x:c r="AC527" s="42" t="str">
        <x:v>Flag: LIBERIA</x:v>
      </x:c>
    </x:row>
    <x:row r="528">
      <x:c r="A528" s="42" t="str">
        <x:v>OBS_000527</x:v>
      </x:c>
      <x:c r="B528" s="42" t="str"/>
      <x:c r="C528" s="42" t="str">
        <x:v>recaap_incidents_2024_2026</x:v>
      </x:c>
      <x:c r="D528" s="42" t="str">
        <x:v>2024-81</x:v>
      </x:c>
      <x:c r="E528" s="42" t="str">
        <x:v>2024-03-28</x:v>
      </x:c>
      <x:c r="F528" s="42" t="str">
        <x:v>Maritime Crime</x:v>
      </x:c>
      <x:c r="G528" s="42" t="str">
        <x:v>Robbery / Theft</x:v>
      </x:c>
      <x:c r="H528" s="42" t="str">
        <x:v>2</x:v>
      </x:c>
      <x:c r="I528" s="42" t="str">
        <x:v>Maritime</x:v>
      </x:c>
      <x:c r="J528" s="42" t="str">
        <x:v>Bangladesh (Ports/Anchorages)</x:v>
      </x:c>
      <x:c r="K528" s="42" t="str"/>
      <x:c r="L528" s="42" t="str">
        <x:v>Chattogram Anchorage, Bangladesh</x:v>
      </x:c>
      <x:c r="M528" s="42" t="str">
        <x:v>21.811667</x:v>
      </x:c>
      <x:c r="N528" s="42" t="str">
        <x:v>91.798333</x:v>
      </x:c>
      <x:c r="O528" s="42" t="str">
        <x:v>Viva Cosmos</x:v>
      </x:c>
      <x:c r="P528" s="42" t="str"/>
      <x:c r="Q528" s="42" t="str">
        <x:v>BULK CARRIER</x:v>
      </x:c>
      <x:c r="R528" s="42" t="str"/>
      <x:c r="S528" s="42" t="str">
        <x:v>At Anchor While anchored, eight perpetrators armed with knives boarded the bulk carrier. The alarm was raised, crew mustered, and a search onboard the ship was conducted. Upon realising the crew had been alerted, the perpetrators escaped with stolen ship store. All crew members were safe.</x:v>
      </x:c>
      <x:c r="T528" s="42" t="str"/>
      <x:c r="U528" s="42" t="str"/>
      <x:c r="V528" s="42" t="str"/>
      <x:c r="W528" s="42" t="str"/>
      <x:c r="X528" s="42" t="str"/>
      <x:c r="Y528" s="42" t="str"/>
      <x:c r="Z528" s="42" t="str"/>
      <x:c r="AA528" s="42" t="str">
        <x:v>https://www.recaap.org/alerts</x:v>
      </x:c>
      <x:c r="AB528" s="42" t="str">
        <x:v>Needs canonical event resolution</x:v>
      </x:c>
      <x:c r="AC528" s="42" t="str">
        <x:v>Flag: PANAMA</x:v>
      </x:c>
    </x:row>
    <x:row r="529">
      <x:c r="A529" s="42" t="str">
        <x:v>OBS_000528</x:v>
      </x:c>
      <x:c r="B529" s="42" t="str"/>
      <x:c r="C529" s="42" t="str">
        <x:v>recaap_incidents_2024_2026</x:v>
      </x:c>
      <x:c r="D529" s="42" t="str">
        <x:v>2024-82</x:v>
      </x:c>
      <x:c r="E529" s="42" t="str">
        <x:v>2024-03-26</x:v>
      </x:c>
      <x:c r="F529" s="42" t="str">
        <x:v>Maritime Crime</x:v>
      </x:c>
      <x:c r="G529" s="42" t="str">
        <x:v>Robbery / Theft</x:v>
      </x:c>
      <x:c r="H529" s="42" t="str">
        <x:v>4</x:v>
      </x:c>
      <x:c r="I529" s="42" t="str">
        <x:v>Maritime</x:v>
      </x:c>
      <x:c r="J529" s="42" t="str">
        <x:v>Straits of Malacca &amp; Singapore</x:v>
      </x:c>
      <x:c r="K529" s="42" t="str"/>
      <x:c r="L529" s="42" t="str">
        <x:v>Off Pisang Island (Malaysia), in the westbound lane of the TSS</x:v>
      </x:c>
      <x:c r="M529" s="42" t="str">
        <x:v>1.405833</x:v>
      </x:c>
      <x:c r="N529" s="42" t="str">
        <x:v>103.233</x:v>
      </x:c>
      <x:c r="O529" s="42" t="str">
        <x:v>Dark Knight &amp; Ambur</x:v>
      </x:c>
      <x:c r="P529" s="42" t="str"/>
      <x:c r="Q529" s="42" t="str">
        <x:v>TUG BOAT &amp; DRILL SHIP</x:v>
      </x:c>
      <x:c r="R529" s="42" t="str"/>
      <x:c r="S529" s="42" t="str">
        <x:v>T A While the tug boat towing drill ship was underway, the crew noticed four perpetrators had boarded the unmanned drill ship from a small fishing boat via the excess ladder on starboard side. he general alarm was sounded, and the master reported and requested for assistance from Klang VTS. The incident was also reported to the CSO. Coast Guard patrol boat searched around the drill ship but the perpetrators had already escaped. Nothing was stolen and the crew was not injured.</x:v>
      </x:c>
      <x:c r="T529" s="42" t="str"/>
      <x:c r="U529" s="42" t="str"/>
      <x:c r="V529" s="42" t="str"/>
      <x:c r="W529" s="42" t="str">
        <x:v>While Sailing</x:v>
      </x:c>
      <x:c r="X529" s="42" t="str"/>
      <x:c r="Y529" s="42" t="str"/>
      <x:c r="Z529" s="42" t="str"/>
      <x:c r="AA529" s="42" t="str">
        <x:v>https://www.recaap.org/alerts</x:v>
      </x:c>
      <x:c r="AB529" s="42" t="str">
        <x:v>Needs canonical event resolution</x:v>
      </x:c>
      <x:c r="AC529" s="42" t="str">
        <x:v>Flag: PALAU</x:v>
      </x:c>
    </x:row>
    <x:row r="530">
      <x:c r="A530" s="42" t="str">
        <x:v>OBS_000529</x:v>
      </x:c>
      <x:c r="B530" s="42" t="str"/>
      <x:c r="C530" s="42" t="str">
        <x:v>recaap_incidents_2024_2026</x:v>
      </x:c>
      <x:c r="D530" s="42" t="str">
        <x:v>2024-84</x:v>
      </x:c>
      <x:c r="E530" s="42" t="str">
        <x:v>2024-03-06</x:v>
      </x:c>
      <x:c r="F530" s="42" t="str">
        <x:v>Maritime Crime</x:v>
      </x:c>
      <x:c r="G530" s="42" t="str">
        <x:v>Robbery / Theft</x:v>
      </x:c>
      <x:c r="H530" s="42" t="str">
        <x:v>3</x:v>
      </x:c>
      <x:c r="I530" s="42" t="str">
        <x:v>Maritime</x:v>
      </x:c>
      <x:c r="J530" s="42" t="str">
        <x:v>Straits of Malacca &amp; Singapore</x:v>
      </x:c>
      <x:c r="K530" s="42" t="str"/>
      <x:c r="L530" s="42" t="str">
        <x:v>Approximately 4.8 nm from Pulau Cula (Indonesia), in the eastbound lane of the TSS</x:v>
      </x:c>
      <x:c r="M530" s="42" t="str">
        <x:v>1.111333</x:v>
      </x:c>
      <x:c r="N530" s="42" t="str">
        <x:v>103.749167</x:v>
      </x:c>
      <x:c r="O530" s="42" t="str">
        <x:v>Apiradee Naree</x:v>
      </x:c>
      <x:c r="P530" s="42" t="str"/>
      <x:c r="Q530" s="42" t="str">
        <x:v>BULK CARRIER</x:v>
      </x:c>
      <x:c r="R530" s="42" t="str"/>
      <x:c r="S530" s="42" t="str">
        <x:v>U While underway, the Junior Engineer (JE) and oiler spotted three perpetrators armed with metal rods onboard the ship during their routine checks around the engine room. The JE and oiler notified the bridge of the sighting immediately and the general alarm was activated. All crew members except the engine room staff were mustered at the bridge, while the engine room staff locked themselves in the engine control room. pon hearing the alarm, the three perpetrators escaped immediately via the starboard quarter of the ship. Nothing was stolen and the crew was not injured.</x:v>
      </x:c>
      <x:c r="T530" s="42" t="str"/>
      <x:c r="U530" s="42" t="str"/>
      <x:c r="V530" s="42" t="str"/>
      <x:c r="W530" s="42" t="str">
        <x:v>While Sailing</x:v>
      </x:c>
      <x:c r="X530" s="42" t="str"/>
      <x:c r="Y530" s="42" t="str"/>
      <x:c r="Z530" s="42" t="str"/>
      <x:c r="AA530" s="42" t="str">
        <x:v>https://www.recaap.org/alerts</x:v>
      </x:c>
      <x:c r="AB530" s="42" t="str">
        <x:v>Needs canonical event resolution</x:v>
      </x:c>
      <x:c r="AC530" s="42" t="str">
        <x:v>Flag: SINGAPORE</x:v>
      </x:c>
    </x:row>
    <x:row r="531">
      <x:c r="A531" s="42" t="str">
        <x:v>OBS_000530</x:v>
      </x:c>
      <x:c r="B531" s="42" t="str"/>
      <x:c r="C531" s="42" t="str">
        <x:v>recaap_incidents_2024_2026</x:v>
      </x:c>
      <x:c r="D531" s="42" t="str">
        <x:v>2024-83</x:v>
      </x:c>
      <x:c r="E531" s="42" t="str">
        <x:v>2024-03-06</x:v>
      </x:c>
      <x:c r="F531" s="42" t="str">
        <x:v>Maritime Crime</x:v>
      </x:c>
      <x:c r="G531" s="42" t="str">
        <x:v>Robbery / Theft</x:v>
      </x:c>
      <x:c r="H531" s="42" t="str">
        <x:v>4</x:v>
      </x:c>
      <x:c r="I531" s="42" t="str">
        <x:v>Maritime</x:v>
      </x:c>
      <x:c r="J531" s="42" t="str">
        <x:v>Straits of Malacca &amp; Singapore</x:v>
      </x:c>
      <x:c r="K531" s="42" t="str"/>
      <x:c r="L531" s="42" t="str">
        <x:v>Approximately 2.6 nm northwest of Pulau Cula (Indonesia), in the eastbound lane of the TSS</x:v>
      </x:c>
      <x:c r="M531" s="42" t="str">
        <x:v>1.0555</x:v>
      </x:c>
      <x:c r="N531" s="42" t="str">
        <x:v>103.6705</x:v>
      </x:c>
      <x:c r="O531" s="42" t="str">
        <x:v>Yangtze Crown</x:v>
      </x:c>
      <x:c r="P531" s="42" t="str"/>
      <x:c r="Q531" s="42" t="str">
        <x:v>BULK CARRIER</x:v>
      </x:c>
      <x:c r="R531" s="42" t="str"/>
      <x:c r="S531" s="42" t="str">
        <x:v>T U While underway, the master reported that the crew sighted three perpetrators in the steering gear room. The master raised the alarm and mustered the crew to carry out a search. At 0115 hrs, the master reported that the search had been concluded. All crew members were accounted for, and there was no report of injuries. Some engine spare parts were stolen, and no further assistance was required. he master reported the incident to Singapore VTIS. Safety navigational broadcast was initiated. The RSN’s MSTF and Singapore PCG were notified. Information of the incident was shared with the Indonesian authorities. pon the ship's arrival at Singapore port, the Singapore PCG boarded the ship and conducted a thorough search onboard, but no perpetrators were found.</x:v>
      </x:c>
      <x:c r="T531" s="42" t="str"/>
      <x:c r="U531" s="42" t="str"/>
      <x:c r="V531" s="42" t="str"/>
      <x:c r="W531" s="42" t="str">
        <x:v>While Sailing</x:v>
      </x:c>
      <x:c r="X531" s="42" t="str"/>
      <x:c r="Y531" s="42" t="str"/>
      <x:c r="Z531" s="42" t="str"/>
      <x:c r="AA531" s="42" t="str">
        <x:v>https://www.recaap.org/alerts</x:v>
      </x:c>
      <x:c r="AB531" s="42" t="str">
        <x:v>Needs canonical event resolution</x:v>
      </x:c>
      <x:c r="AC531" s="42" t="str">
        <x:v>Flag: MARSHALL ISLANDS</x:v>
      </x:c>
    </x:row>
    <x:row r="532">
      <x:c r="A532" s="42" t="str">
        <x:v>OBS_000531</x:v>
      </x:c>
      <x:c r="B532" s="42" t="str"/>
      <x:c r="C532" s="42" t="str">
        <x:v>recaap_incidents_2024_2026</x:v>
      </x:c>
      <x:c r="D532" s="42" t="str">
        <x:v>2024-85</x:v>
      </x:c>
      <x:c r="E532" s="42" t="str">
        <x:v>2024-03-04</x:v>
      </x:c>
      <x:c r="F532" s="42" t="str">
        <x:v>Maritime Crime</x:v>
      </x:c>
      <x:c r="G532" s="42" t="str">
        <x:v>Robbery / Theft</x:v>
      </x:c>
      <x:c r="H532" s="42" t="str">
        <x:v>4</x:v>
      </x:c>
      <x:c r="I532" s="42" t="str">
        <x:v>Maritime</x:v>
      </x:c>
      <x:c r="J532" s="42" t="str">
        <x:v>Straits of Malacca &amp; Singapore</x:v>
      </x:c>
      <x:c r="K532" s="42" t="str"/>
      <x:c r="L532" s="42" t="str">
        <x:v>Approximately 11 nm southeast of Pulau Iyu Kecil (Indonesia), in the precautionary area of the eastbound lane of the TSS</x:v>
      </x:c>
      <x:c r="M532" s="42" t="str">
        <x:v>1.127167</x:v>
      </x:c>
      <x:c r="N532" s="42" t="str">
        <x:v>103.525</x:v>
      </x:c>
      <x:c r="O532" s="42" t="str">
        <x:v>Alpha Hope</x:v>
      </x:c>
      <x:c r="P532" s="42" t="str"/>
      <x:c r="Q532" s="42" t="str">
        <x:v>BULK CARRIER</x:v>
      </x:c>
      <x:c r="R532" s="42" t="str"/>
      <x:c r="S532" s="42" t="str">
        <x:v>S U While underway, the master reported to Singapore POCC that two perpetrators were sighted at the aft deck. The OOW raised the alarm, and the two perpetrators escaped in a boat. The crew conducted a search immediately. At about 0340 hrs, the master reported that the search was completed. All crew members were safe, nothing was missing, and there were no sightings of the perpetrators onboard the ship. The master confirmed that no assistance was required and continued her voyage to Singapore. afety navigational broadcast was initiated. The RSN’s MSTF and Singapore PCG were notified of the incident. Information was shared with the Indonesian authorities. pon the ship's arrival at the Port of Singapore, the Singapore PCG boarded the ship and conducted a thorough search onboard. No perpetrators were found onboard the ship.</x:v>
      </x:c>
      <x:c r="T532" s="42" t="str"/>
      <x:c r="U532" s="42" t="str"/>
      <x:c r="V532" s="42" t="str"/>
      <x:c r="W532" s="42" t="str">
        <x:v>While Sailing</x:v>
      </x:c>
      <x:c r="X532" s="42" t="str"/>
      <x:c r="Y532" s="42" t="str"/>
      <x:c r="Z532" s="42" t="str"/>
      <x:c r="AA532" s="42" t="str">
        <x:v>https://www.recaap.org/alerts</x:v>
      </x:c>
      <x:c r="AB532" s="42" t="str">
        <x:v>Needs canonical event resolution</x:v>
      </x:c>
      <x:c r="AC532" s="42" t="str">
        <x:v>Flag: MARSHALL ISLANDS</x:v>
      </x:c>
    </x:row>
    <x:row r="533">
      <x:c r="A533" s="42" t="str">
        <x:v>OBS_000532</x:v>
      </x:c>
      <x:c r="B533" s="42" t="str"/>
      <x:c r="C533" s="42" t="str">
        <x:v>recaap_incidents_2024_2026</x:v>
      </x:c>
      <x:c r="D533" s="42" t="str">
        <x:v>2024-86</x:v>
      </x:c>
      <x:c r="E533" s="42" t="str">
        <x:v>2024-03-03</x:v>
      </x:c>
      <x:c r="F533" s="42" t="str">
        <x:v>Maritime Crime</x:v>
      </x:c>
      <x:c r="G533" s="42" t="str">
        <x:v>Robbery / Theft</x:v>
      </x:c>
      <x:c r="H533" s="42" t="str">
        <x:v>2</x:v>
      </x:c>
      <x:c r="I533" s="42" t="str">
        <x:v>Maritime</x:v>
      </x:c>
      <x:c r="J533" s="42" t="str">
        <x:v>Bangladesh (Ports/Anchorages)</x:v>
      </x:c>
      <x:c r="K533" s="42" t="str"/>
      <x:c r="L533" s="42" t="str">
        <x:v>Hiron Pilot Station, Mongla, Bangladesh</x:v>
      </x:c>
      <x:c r="M533" s="42" t="str">
        <x:v>21.848833</x:v>
      </x:c>
      <x:c r="N533" s="42" t="str">
        <x:v>89.530333</x:v>
      </x:c>
      <x:c r="O533" s="42" t="str">
        <x:v>Era Star</x:v>
      </x:c>
      <x:c r="P533" s="42" t="str"/>
      <x:c r="Q533" s="42" t="str">
        <x:v>CHEMICAL / GAS TANKER</x:v>
      </x:c>
      <x:c r="R533" s="42" t="str"/>
      <x:c r="S533" s="42" t="str">
        <x:v>T T ship crew reported that eight to 10 perpetrators armed with long knives boarded the ship using hook at the port forward of the ship, and managed to escape onboard a country boat. Upon inspection, it was found out that heave lines and messenger lines were stolen. he alarm was sounded, announcement was made through the PA, and the crew was mustered. The crew was not injured. he incident was reported to the local agent.</x:v>
      </x:c>
      <x:c r="T533" s="42" t="str"/>
      <x:c r="U533" s="42" t="str"/>
      <x:c r="V533" s="42" t="str"/>
      <x:c r="W533" s="42" t="str">
        <x:v>At Anchor While anchored,</x:v>
      </x:c>
      <x:c r="X533" s="42" t="str"/>
      <x:c r="Y533" s="42" t="str"/>
      <x:c r="Z533" s="42" t="str"/>
      <x:c r="AA533" s="42" t="str">
        <x:v>https://www.recaap.org/alerts</x:v>
      </x:c>
      <x:c r="AB533" s="42" t="str">
        <x:v>Needs canonical event resolution</x:v>
      </x:c>
      <x:c r="AC533" s="42" t="str">
        <x:v>Flag: LIBERIA</x:v>
      </x:c>
    </x:row>
    <x:row r="534">
      <x:c r="A534" s="42" t="str">
        <x:v>OBS_000533</x:v>
      </x:c>
      <x:c r="B534" s="42" t="str"/>
      <x:c r="C534" s="42" t="str">
        <x:v>recaap_incidents_2024_2026</x:v>
      </x:c>
      <x:c r="D534" s="42" t="str">
        <x:v>2024-87</x:v>
      </x:c>
      <x:c r="E534" s="42" t="str">
        <x:v>2024-03-01</x:v>
      </x:c>
      <x:c r="F534" s="42" t="str">
        <x:v>Maritime Crime</x:v>
      </x:c>
      <x:c r="G534" s="42" t="str">
        <x:v>Robbery / Theft</x:v>
      </x:c>
      <x:c r="H534" s="42" t="str">
        <x:v>3</x:v>
      </x:c>
      <x:c r="I534" s="42" t="str">
        <x:v>Maritime</x:v>
      </x:c>
      <x:c r="J534" s="42" t="str">
        <x:v>Indonesia (Ports/Anchorages)</x:v>
      </x:c>
      <x:c r="K534" s="42" t="str"/>
      <x:c r="L534" s="42" t="str">
        <x:v>Pulau Batam Anchorage, Indonesia</x:v>
      </x:c>
      <x:c r="M534" s="42" t="str">
        <x:v>1.193333</x:v>
      </x:c>
      <x:c r="N534" s="42" t="str">
        <x:v>103.983333</x:v>
      </x:c>
      <x:c r="O534" s="42" t="str">
        <x:v>Boka Vanguard</x:v>
      </x:c>
      <x:c r="P534" s="42" t="str"/>
      <x:c r="Q534" s="42" t="str">
        <x:v>HEAVY LOAD SEMI- SUBMERSIBLE</x:v>
      </x:c>
      <x:c r="R534" s="42" t="str"/>
      <x:c r="S534" s="42" t="str">
        <x:v>T T three perpetrators armed with knives boarded unnoticed onto the vessel from a small boat during hours of darkness either from the deck recess or stern balcony, while one man remained in the boat. he three perpetrators were on board the vessel for approximately 30 minutes until they were seen by the deck watchman. Approximately 300m of welding cable from main deck area of the vessel was stolen. The crew was not injured. he master reported the incident to the ship agent.</x:v>
      </x:c>
      <x:c r="T534" s="42" t="str"/>
      <x:c r="U534" s="42" t="str"/>
      <x:c r="V534" s="42" t="str"/>
      <x:c r="W534" s="42" t="str">
        <x:v>At Anchor While anchored,</x:v>
      </x:c>
      <x:c r="X534" s="42" t="str"/>
      <x:c r="Y534" s="42" t="str"/>
      <x:c r="Z534" s="42" t="str"/>
      <x:c r="AA534" s="42" t="str">
        <x:v>https://www.recaap.org/alerts</x:v>
      </x:c>
      <x:c r="AB534" s="42" t="str">
        <x:v>Needs canonical event resolution</x:v>
      </x:c>
      <x:c r="AC534" s="42" t="str">
        <x:v>Flag: NETHERLANDS ANTILLES</x:v>
      </x:c>
    </x:row>
    <x:row r="535">
      <x:c r="A535" s="42" t="str">
        <x:v>OBS_000534</x:v>
      </x:c>
      <x:c r="B535" s="42" t="str"/>
      <x:c r="C535" s="42" t="str">
        <x:v>recaap_incidents_2024_2026</x:v>
      </x:c>
      <x:c r="D535" s="42" t="str">
        <x:v>2024-88</x:v>
      </x:c>
      <x:c r="E535" s="42" t="str">
        <x:v>2024-02-29</x:v>
      </x:c>
      <x:c r="F535" s="42" t="str">
        <x:v>Maritime Crime</x:v>
      </x:c>
      <x:c r="G535" s="42" t="str">
        <x:v>Robbery / Theft</x:v>
      </x:c>
      <x:c r="H535" s="42" t="str">
        <x:v>4</x:v>
      </x:c>
      <x:c r="I535" s="42" t="str">
        <x:v>Maritime</x:v>
      </x:c>
      <x:c r="J535" s="42" t="str">
        <x:v>Indonesia (Ports/Anchorages)</x:v>
      </x:c>
      <x:c r="K535" s="42" t="str"/>
      <x:c r="L535" s="42" t="str">
        <x:v>Dumai Anchorage, Indonesia</x:v>
      </x:c>
      <x:c r="M535" s="42" t="str">
        <x:v>1.766667</x:v>
      </x:c>
      <x:c r="N535" s="42" t="str">
        <x:v>101.366667</x:v>
      </x:c>
      <x:c r="O535" s="42" t="str">
        <x:v>African Halcyon</x:v>
      </x:c>
      <x:c r="P535" s="42" t="str"/>
      <x:c r="Q535" s="42" t="str">
        <x:v>BULK CARRIER</x:v>
      </x:c>
      <x:c r="R535" s="42" t="str"/>
      <x:c r="S535" s="42" t="str">
        <x:v>At Anchor While anchored, four perpetrators boarded the ship from stern while three watch keepers were taking rounds on deck. The starboard watch keeper saw the perpetrators onboard and raised the alarm immediately. Upon realising the crew was alerted, the perpetrators jumped overboard. The crew was not injured and nothing was stolen. The ship informed Dumai VTS about the incident and Indonesian authorities arrived on scene to provide assistance.</x:v>
      </x:c>
      <x:c r="T535" s="42" t="str"/>
      <x:c r="U535" s="42" t="str"/>
      <x:c r="V535" s="42" t="str"/>
      <x:c r="W535" s="42" t="str"/>
      <x:c r="X535" s="42" t="str"/>
      <x:c r="Y535" s="42" t="str"/>
      <x:c r="Z535" s="42" t="str"/>
      <x:c r="AA535" s="42" t="str">
        <x:v>https://www.recaap.org/alerts</x:v>
      </x:c>
      <x:c r="AB535" s="42" t="str">
        <x:v>Needs canonical event resolution</x:v>
      </x:c>
      <x:c r="AC535" s="42" t="str">
        <x:v>Flag: BAHAMAS</x:v>
      </x:c>
    </x:row>
    <x:row r="536">
      <x:c r="A536" s="42" t="str">
        <x:v>OBS_000535</x:v>
      </x:c>
      <x:c r="B536" s="42" t="str"/>
      <x:c r="C536" s="42" t="str">
        <x:v>recaap_incidents_2024_2026</x:v>
      </x:c>
      <x:c r="D536" s="42" t="str">
        <x:v>2024-90</x:v>
      </x:c>
      <x:c r="E536" s="42" t="str">
        <x:v>2024-02-20</x:v>
      </x:c>
      <x:c r="F536" s="42" t="str">
        <x:v>Maritime Crime</x:v>
      </x:c>
      <x:c r="G536" s="42" t="str">
        <x:v>Robbery / Theft</x:v>
      </x:c>
      <x:c r="H536" s="42" t="str">
        <x:v>3</x:v>
      </x:c>
      <x:c r="I536" s="42" t="str">
        <x:v>Maritime</x:v>
      </x:c>
      <x:c r="J536" s="42" t="str">
        <x:v>Straits of Malacca &amp; Singapore</x:v>
      </x:c>
      <x:c r="K536" s="42" t="str"/>
      <x:c r="L536" s="42" t="str">
        <x:v>Approximately 8.6 nm southeast of Pulau Iyu Kecil (Indonesia), in the precautionary area of the eastbound lane of the TSS</x:v>
      </x:c>
      <x:c r="M536" s="42" t="str">
        <x:v>1.138</x:v>
      </x:c>
      <x:c r="N536" s="42" t="str">
        <x:v>103.485833</x:v>
      </x:c>
      <x:c r="O536" s="42" t="str">
        <x:v>Top Diligence</x:v>
      </x:c>
      <x:c r="P536" s="42" t="str"/>
      <x:c r="Q536" s="42" t="str">
        <x:v>BULK CARRIER</x:v>
      </x:c>
      <x:c r="R536" s="42" t="str"/>
      <x:c r="S536" s="42" t="str">
        <x:v>S U While underway, the master reported to Singapore VTIS that four perpetrators armed with gun-like object were sighted in the engine room. The alarm was raised and crew mustered. A search was conducted with no further sighting of the perpetrators. At about 0336 hrs, the master reported that some spare parts were stolen and all crew members were safe. No further assistance was required. The ship's last port of call was Ivory Coast, and was bound for Singapore Anchorage. afety navigational broadcast was initiated. The RSN’s MSTF and Singapore Police Coast Guard were notified of the incident. pon the ship's arrival at the anchorage, the Singapore PCG boarded the ship and conducted a thorough search onboard. No perpetrators were found onboard the ship.</x:v>
      </x:c>
      <x:c r="T536" s="42" t="str"/>
      <x:c r="U536" s="42" t="str"/>
      <x:c r="V536" s="42" t="str"/>
      <x:c r="W536" s="42" t="str">
        <x:v>While Sailing</x:v>
      </x:c>
      <x:c r="X536" s="42" t="str"/>
      <x:c r="Y536" s="42" t="str"/>
      <x:c r="Z536" s="42" t="str"/>
      <x:c r="AA536" s="42" t="str">
        <x:v>https://www.recaap.org/alerts</x:v>
      </x:c>
      <x:c r="AB536" s="42" t="str">
        <x:v>Needs canonical event resolution</x:v>
      </x:c>
      <x:c r="AC536" s="42" t="str">
        <x:v>Flag: HONG KONG, CHINA</x:v>
      </x:c>
    </x:row>
    <x:row r="537">
      <x:c r="A537" s="42" t="str">
        <x:v>OBS_000536</x:v>
      </x:c>
      <x:c r="B537" s="42" t="str"/>
      <x:c r="C537" s="42" t="str">
        <x:v>recaap_incidents_2024_2026</x:v>
      </x:c>
      <x:c r="D537" s="42" t="str">
        <x:v>2024-89</x:v>
      </x:c>
      <x:c r="E537" s="42" t="str">
        <x:v>2024-02-20</x:v>
      </x:c>
      <x:c r="F537" s="42" t="str">
        <x:v>Maritime Crime</x:v>
      </x:c>
      <x:c r="G537" s="42" t="str">
        <x:v>Robbery / Theft</x:v>
      </x:c>
      <x:c r="H537" s="42" t="str">
        <x:v>3</x:v>
      </x:c>
      <x:c r="I537" s="42" t="str">
        <x:v>Maritime</x:v>
      </x:c>
      <x:c r="J537" s="42" t="str">
        <x:v>Indonesia (Ports/Anchorages)</x:v>
      </x:c>
      <x:c r="K537" s="42" t="str"/>
      <x:c r="L537" s="42" t="str">
        <x:v>Panjang Anchorage, Indonesia</x:v>
      </x:c>
      <x:c r="M537" s="42" t="str">
        <x:v>-5.493333</x:v>
      </x:c>
      <x:c r="N537" s="42" t="str">
        <x:v>105.288333</x:v>
      </x:c>
      <x:c r="O537" s="42" t="str">
        <x:v>Globe Explorer</x:v>
      </x:c>
      <x:c r="P537" s="42" t="str"/>
      <x:c r="Q537" s="42" t="str">
        <x:v>BULK CARRIER</x:v>
      </x:c>
      <x:c r="R537" s="42" t="str"/>
      <x:c r="S537" s="42" t="str">
        <x:v>U At Anchor While anchored, the master of the ship reported to Panjang VTS through VHF Channel 16 that two perpetrators armed with long knives boarded the ship and entered the engine room. pon sighted, the perpetrators pursued the crew to the upper deck. The crew reported to the bridge, and the duty officer raised the alarm, and mustered all crew. The perpetrators subsequently escaped with the ship’s engine spares. The crew was not injured.</x:v>
      </x:c>
      <x:c r="T537" s="42" t="str"/>
      <x:c r="U537" s="42" t="str"/>
      <x:c r="V537" s="42" t="str"/>
      <x:c r="W537" s="42" t="str"/>
      <x:c r="X537" s="42" t="str"/>
      <x:c r="Y537" s="42" t="str"/>
      <x:c r="Z537" s="42" t="str"/>
      <x:c r="AA537" s="42" t="str">
        <x:v>https://www.recaap.org/alerts</x:v>
      </x:c>
      <x:c r="AB537" s="42" t="str">
        <x:v>Needs canonical event resolution</x:v>
      </x:c>
      <x:c r="AC537" s="42" t="str">
        <x:v>Flag: PANAMA</x:v>
      </x:c>
    </x:row>
    <x:row r="538">
      <x:c r="A538" s="42" t="str">
        <x:v>OBS_000537</x:v>
      </x:c>
      <x:c r="B538" s="42" t="str"/>
      <x:c r="C538" s="42" t="str">
        <x:v>recaap_incidents_2024_2026</x:v>
      </x:c>
      <x:c r="D538" s="42" t="str">
        <x:v>2024-91</x:v>
      </x:c>
      <x:c r="E538" s="42" t="str">
        <x:v>2024-02-19</x:v>
      </x:c>
      <x:c r="F538" s="42" t="str">
        <x:v>Maritime Crime</x:v>
      </x:c>
      <x:c r="G538" s="42" t="str">
        <x:v>Robbery / Theft</x:v>
      </x:c>
      <x:c r="H538" s="42" t="str">
        <x:v>2</x:v>
      </x:c>
      <x:c r="I538" s="42" t="str">
        <x:v>Maritime</x:v>
      </x:c>
      <x:c r="J538" s="42" t="str">
        <x:v>Bangladesh (Ports/Anchorages)</x:v>
      </x:c>
      <x:c r="K538" s="42" t="str"/>
      <x:c r="L538" s="42" t="str">
        <x:v>Off Kutubdia Anchorage, Bangladesh</x:v>
      </x:c>
      <x:c r="M538" s="42" t="str">
        <x:v>21.816667</x:v>
      </x:c>
      <x:c r="N538" s="42" t="str">
        <x:v>91.713333</x:v>
      </x:c>
      <x:c r="O538" s="42" t="str">
        <x:v>Gas Courage</x:v>
      </x:c>
      <x:c r="P538" s="42" t="str"/>
      <x:c r="Q538" s="42" t="str">
        <x:v>TANKER</x:v>
      </x:c>
      <x:c r="R538" s="42" t="str"/>
      <x:c r="S538" s="42" t="str">
        <x:v>At Anchor While anchored, nine perpetrators boarded the ship from a country boat. They tied up the watchman and stole ship The incident was reported to the Bangladesh stores. authorities who responded immediately and apprehended the nine perpetrators. The Bangladesh authorities also recovered all stolen ship stores and handed the items over to the ship.</x:v>
      </x:c>
      <x:c r="T538" s="42" t="str"/>
      <x:c r="U538" s="42" t="str"/>
      <x:c r="V538" s="42" t="str"/>
      <x:c r="W538" s="42" t="str"/>
      <x:c r="X538" s="42" t="str"/>
      <x:c r="Y538" s="42" t="str"/>
      <x:c r="Z538" s="42" t="str"/>
      <x:c r="AA538" s="42" t="str">
        <x:v>https://www.recaap.org/alerts</x:v>
      </x:c>
      <x:c r="AB538" s="42" t="str">
        <x:v>Needs canonical event resolution</x:v>
      </x:c>
      <x:c r="AC538" s="42" t="str">
        <x:v>Flag: PANAMA</x:v>
      </x:c>
    </x:row>
    <x:row r="539">
      <x:c r="A539" s="42" t="str">
        <x:v>OBS_000538</x:v>
      </x:c>
      <x:c r="B539" s="42" t="str"/>
      <x:c r="C539" s="42" t="str">
        <x:v>recaap_incidents_2024_2026</x:v>
      </x:c>
      <x:c r="D539" s="42" t="str">
        <x:v>2024-92</x:v>
      </x:c>
      <x:c r="E539" s="42" t="str">
        <x:v>2024-02-16</x:v>
      </x:c>
      <x:c r="F539" s="42" t="str">
        <x:v>Maritime Crime</x:v>
      </x:c>
      <x:c r="G539" s="42" t="str">
        <x:v>Robbery / Theft</x:v>
      </x:c>
      <x:c r="H539" s="42" t="str">
        <x:v>4</x:v>
      </x:c>
      <x:c r="I539" s="42" t="str">
        <x:v>Maritime</x:v>
      </x:c>
      <x:c r="J539" s="42" t="str">
        <x:v>Bangladesh (Ports/Anchorages)</x:v>
      </x:c>
      <x:c r="K539" s="42" t="str"/>
      <x:c r="L539" s="42" t="str">
        <x:v>Kutubdia Outer Anchorage, Bangladesh</x:v>
      </x:c>
      <x:c r="M539" s="42" t="str">
        <x:v>21.883333</x:v>
      </x:c>
      <x:c r="N539" s="42" t="str">
        <x:v>91.75</x:v>
      </x:c>
      <x:c r="O539" s="42" t="str">
        <x:v>Maersk Hai Phong</x:v>
      </x:c>
      <x:c r="P539" s="42" t="str"/>
      <x:c r="Q539" s="42" t="str">
        <x:v>CONTAINER SHIP</x:v>
      </x:c>
      <x:c r="R539" s="42" t="str"/>
      <x:c r="S539" s="42" t="str">
        <x:v>At Anchor While anchored, four perpetrators boarded the ship, stole a rope (about 50m) and escaped. The crew was not injured. The incident was reported to BCG, who boarded the ship for investigation.</x:v>
      </x:c>
      <x:c r="T539" s="42" t="str"/>
      <x:c r="U539" s="42" t="str"/>
      <x:c r="V539" s="42" t="str"/>
      <x:c r="W539" s="42" t="str"/>
      <x:c r="X539" s="42" t="str"/>
      <x:c r="Y539" s="42" t="str"/>
      <x:c r="Z539" s="42" t="str"/>
      <x:c r="AA539" s="42" t="str">
        <x:v>https://www.recaap.org/alerts</x:v>
      </x:c>
      <x:c r="AB539" s="42" t="str">
        <x:v>Needs canonical event resolution</x:v>
      </x:c>
      <x:c r="AC539" s="42" t="str">
        <x:v>Flag: LIBERIA</x:v>
      </x:c>
    </x:row>
    <x:row r="540">
      <x:c r="A540" s="42" t="str">
        <x:v>OBS_000539</x:v>
      </x:c>
      <x:c r="B540" s="42" t="str"/>
      <x:c r="C540" s="42" t="str">
        <x:v>recaap_incidents_2024_2026</x:v>
      </x:c>
      <x:c r="D540" s="42" t="str">
        <x:v>2024-94</x:v>
      </x:c>
      <x:c r="E540" s="42" t="str">
        <x:v>2024-02-03</x:v>
      </x:c>
      <x:c r="F540" s="42" t="str">
        <x:v>Maritime Crime</x:v>
      </x:c>
      <x:c r="G540" s="42" t="str">
        <x:v>Robbery / Theft</x:v>
      </x:c>
      <x:c r="H540" s="42" t="str">
        <x:v>4</x:v>
      </x:c>
      <x:c r="I540" s="42" t="str">
        <x:v>Maritime</x:v>
      </x:c>
      <x:c r="J540" s="42" t="str">
        <x:v>Bangladesh (Ports/Anchorages)</x:v>
      </x:c>
      <x:c r="K540" s="42" t="str"/>
      <x:c r="L540" s="42" t="str">
        <x:v>Chattogram Inner Anchorage, Bangladesh</x:v>
      </x:c>
      <x:c r="M540" s="42" t="str">
        <x:v>22.163333</x:v>
      </x:c>
      <x:c r="N540" s="42" t="str">
        <x:v>91.773333</x:v>
      </x:c>
      <x:c r="O540" s="42" t="str">
        <x:v>Name withheld</x:v>
      </x:c>
      <x:c r="P540" s="42" t="str"/>
      <x:c r="Q540" s="42" t="str">
        <x:v>CONTAINER SHIP</x:v>
      </x:c>
      <x:c r="R540" s="42" t="str"/>
      <x:c r="S540" s="42" t="str">
        <x:v>At Anchor While anchored, two perpetrators boarded the container ship. The alarm was raised and the crew mustered. Upon realising the crew had been alerted, the perpetrators escaped empty-handed.</x:v>
      </x:c>
      <x:c r="T540" s="42" t="str"/>
      <x:c r="U540" s="42" t="str"/>
      <x:c r="V540" s="42" t="str"/>
      <x:c r="W540" s="42" t="str"/>
      <x:c r="X540" s="42" t="str"/>
      <x:c r="Y540" s="42" t="str"/>
      <x:c r="Z540" s="42" t="str"/>
      <x:c r="AA540" s="42" t="str">
        <x:v>https://www.recaap.org/alerts</x:v>
      </x:c>
      <x:c r="AB540" s="42" t="str">
        <x:v>Needs canonical event resolution</x:v>
      </x:c>
      <x:c r="AC540" s="42" t="str">
        <x:v>Flag: PORTUGAL</x:v>
      </x:c>
    </x:row>
    <x:row r="541">
      <x:c r="A541" s="42" t="str">
        <x:v>OBS_000540</x:v>
      </x:c>
      <x:c r="B541" s="42" t="str"/>
      <x:c r="C541" s="42" t="str">
        <x:v>recaap_incidents_2024_2026</x:v>
      </x:c>
      <x:c r="D541" s="42" t="str">
        <x:v>2024-95</x:v>
      </x:c>
      <x:c r="E541" s="42" t="str">
        <x:v>2024-02-02</x:v>
      </x:c>
      <x:c r="F541" s="42" t="str">
        <x:v>Maritime Crime</x:v>
      </x:c>
      <x:c r="G541" s="42" t="str">
        <x:v>Robbery / Theft</x:v>
      </x:c>
      <x:c r="H541" s="42" t="str">
        <x:v>4</x:v>
      </x:c>
      <x:c r="I541" s="42" t="str">
        <x:v>Maritime</x:v>
      </x:c>
      <x:c r="J541" s="42" t="str">
        <x:v>Philippines (Ports/Anchorages)</x:v>
      </x:c>
      <x:c r="K541" s="42" t="str"/>
      <x:c r="L541" s="42" t="str">
        <x:v>Vicinity waters off South Harbor anchorage, Manila, the Philippines</x:v>
      </x:c>
      <x:c r="M541" s="42" t="str">
        <x:v>14.383333</x:v>
      </x:c>
      <x:c r="N541" s="42" t="str">
        <x:v>120.8</x:v>
      </x:c>
      <x:c r="O541" s="42" t="str">
        <x:v>MV Nordpuma</x:v>
      </x:c>
      <x:c r="P541" s="42" t="str"/>
      <x:c r="Q541" s="42" t="str">
        <x:v>CONTAINER SHIP</x:v>
      </x:c>
      <x:c r="R541" s="42" t="str"/>
      <x:c r="S541" s="42" t="str">
        <x:v>A At Anchor While anchored, the OS spotted six perpetrators onboard the ship. When informed of the boarding, the master called the PCG immediately and raised the general alarm. Upon hearing the alarm, the perpetrators jumped overboard and escaped. fter receipt of the report, the PCG immediately deployed its MARPAT Team to conduct verification and inspection onboard the ship at South Harbor Anchorage Area. Two sets of Self-Contain Breathing Apparatus (SCBA) with cylinders were found missing. The crew was not injured.</x:v>
      </x:c>
      <x:c r="T541" s="42" t="str"/>
      <x:c r="U541" s="42" t="str"/>
      <x:c r="V541" s="42" t="str"/>
      <x:c r="W541" s="42" t="str"/>
      <x:c r="X541" s="42" t="str"/>
      <x:c r="Y541" s="42" t="str"/>
      <x:c r="Z541" s="42" t="str"/>
      <x:c r="AA541" s="42" t="str">
        <x:v>https://www.recaap.org/alerts</x:v>
      </x:c>
      <x:c r="AB541" s="42" t="str">
        <x:v>Needs canonical event resolution</x:v>
      </x:c>
      <x:c r="AC541" s="42" t="str">
        <x:v>Flag: CYPRUS</x:v>
      </x:c>
    </x:row>
    <x:row r="542">
      <x:c r="A542" s="42" t="str">
        <x:v>OBS_000541</x:v>
      </x:c>
      <x:c r="B542" s="42" t="str"/>
      <x:c r="C542" s="42" t="str">
        <x:v>recaap_incidents_2024_2026</x:v>
      </x:c>
      <x:c r="D542" s="42" t="str">
        <x:v>2024-96</x:v>
      </x:c>
      <x:c r="E542" s="42" t="str">
        <x:v>2024-02-01</x:v>
      </x:c>
      <x:c r="F542" s="42" t="str">
        <x:v>Maritime Crime</x:v>
      </x:c>
      <x:c r="G542" s="42" t="str">
        <x:v>Robbery / Theft</x:v>
      </x:c>
      <x:c r="H542" s="42" t="str">
        <x:v>1</x:v>
      </x:c>
      <x:c r="I542" s="42" t="str">
        <x:v>Maritime</x:v>
      </x:c>
      <x:c r="J542" s="42" t="str">
        <x:v>Indonesia (Seas/Straits)</x:v>
      </x:c>
      <x:c r="K542" s="42" t="str"/>
      <x:c r="L542" s="42" t="str">
        <x:v>Approximately 18 nm southwest of Tanjung Malatayur, Central Kalimantan, Indonesia</x:v>
      </x:c>
      <x:c r="M542" s="42" t="str">
        <x:v>-3.629833</x:v>
      </x:c>
      <x:c r="N542" s="42" t="str">
        <x:v>113.35</x:v>
      </x:c>
      <x:c r="O542" s="42" t="str">
        <x:v>Royal TB 27 &amp; Royal TK 17</x:v>
      </x:c>
      <x:c r="P542" s="42" t="str"/>
      <x:c r="Q542" s="42" t="str">
        <x:v>TUG BOAT &amp; BARGE</x:v>
      </x:c>
      <x:c r="R542" s="42" t="str"/>
      <x:c r="S542" s="42" t="str">
        <x:v>T While the tug boat towing barge was enroute from Muara Sampit to Manggis, South Kalimantan, perpetrators carrying firearms and sharp weapons boarded the vessels from a ship, SPOB Bagas Danar Jaya 01. The master and crew were subsequently held hostage for more than 27 hours. The perpetrators stole FAME cargo, cash and personal belongings of crew and ship's goods, as well as damaged navigation equipment before they escaped. he master reported the incident to the CSO, who in turn reported to the Indonesian authorities. An Indonesian patrol boat was dispatched immediately to provide assistance.</x:v>
      </x:c>
      <x:c r="T542" s="42" t="str"/>
      <x:c r="U542" s="42" t="str"/>
      <x:c r="V542" s="42" t="str"/>
      <x:c r="W542" s="42" t="str">
        <x:v>While Sailing</x:v>
      </x:c>
      <x:c r="X542" s="42" t="str"/>
      <x:c r="Y542" s="42" t="str"/>
      <x:c r="Z542" s="42" t="str"/>
      <x:c r="AA542" s="42" t="str">
        <x:v>https://www.recaap.org/alerts</x:v>
      </x:c>
      <x:c r="AB542" s="42" t="str">
        <x:v>Needs canonical event resolution</x:v>
      </x:c>
      <x:c r="AC542" s="42" t="str">
        <x:v>Flag: INDONESIA</x:v>
      </x:c>
    </x:row>
    <x:row r="543">
      <x:c r="A543" s="42" t="str">
        <x:v>OBS_000542</x:v>
      </x:c>
      <x:c r="B543" s="42" t="str"/>
      <x:c r="C543" s="42" t="str">
        <x:v>recaap_incidents_2024_2026</x:v>
      </x:c>
      <x:c r="D543" s="42" t="str">
        <x:v>2024-97</x:v>
      </x:c>
      <x:c r="E543" s="42" t="str">
        <x:v>2024-01-31</x:v>
      </x:c>
      <x:c r="F543" s="42" t="str">
        <x:v>Maritime Crime</x:v>
      </x:c>
      <x:c r="G543" s="42" t="str">
        <x:v>Robbery / Theft</x:v>
      </x:c>
      <x:c r="H543" s="42" t="str">
        <x:v>2</x:v>
      </x:c>
      <x:c r="I543" s="42" t="str">
        <x:v>Maritime</x:v>
      </x:c>
      <x:c r="J543" s="42" t="str">
        <x:v>Straits of Malacca &amp; Singapore</x:v>
      </x:c>
      <x:c r="K543" s="42" t="str"/>
      <x:c r="L543" s="42" t="str">
        <x:v>Off Pulau Cula, (Indonesia), in the eastbound lane of the TSS</x:v>
      </x:c>
      <x:c r="M543" s="42" t="str">
        <x:v>1.043333</x:v>
      </x:c>
      <x:c r="N543" s="42" t="str">
        <x:v>103.658333</x:v>
      </x:c>
      <x:c r="O543" s="42" t="str">
        <x:v>Clipper I-Star</x:v>
      </x:c>
      <x:c r="P543" s="42" t="str"/>
      <x:c r="Q543" s="42" t="str">
        <x:v>BULK CARRIER</x:v>
      </x:c>
      <x:c r="R543" s="42" t="str"/>
      <x:c r="S543" s="42" t="str">
        <x:v>While underway and en-route to Qinzhou, China, six perpetrators armed with machetes boarded the ship via starboard quarter from a small boat. They broke the padlock of the boiler entrance, entered the engine room and tied up three crew members. The perpetrators left the engine room at about 0210 hrs, with stolen engine spare parts and a crew’s mobile phone. The chief engineer subsequently called the bridge to inform master of the incident. The master raised the alarm but there was no further sighting of the perpetrators.</x:v>
      </x:c>
      <x:c r="T543" s="42" t="str"/>
      <x:c r="U543" s="42" t="str"/>
      <x:c r="V543" s="42" t="str"/>
      <x:c r="W543" s="42" t="str">
        <x:v>While Sailing</x:v>
      </x:c>
      <x:c r="X543" s="42" t="str"/>
      <x:c r="Y543" s="42" t="str"/>
      <x:c r="Z543" s="42" t="str"/>
      <x:c r="AA543" s="42" t="str">
        <x:v>https://www.recaap.org/alerts</x:v>
      </x:c>
      <x:c r="AB543" s="42" t="str">
        <x:v>Needs canonical event resolution</x:v>
      </x:c>
      <x:c r="AC543" s="42" t="str">
        <x:v>Flag: SINGAPORE</x:v>
      </x:c>
    </x:row>
    <x:row r="544">
      <x:c r="A544" s="42" t="str">
        <x:v>OBS_000543</x:v>
      </x:c>
      <x:c r="B544" s="42" t="str"/>
      <x:c r="C544" s="42" t="str">
        <x:v>recaap_incidents_2024_2026</x:v>
      </x:c>
      <x:c r="D544" s="42" t="str">
        <x:v>2024-98</x:v>
      </x:c>
      <x:c r="E544" s="42" t="str">
        <x:v>2024-01-28</x:v>
      </x:c>
      <x:c r="F544" s="42" t="str">
        <x:v>Maritime Crime</x:v>
      </x:c>
      <x:c r="G544" s="42" t="str">
        <x:v>Attempted</x:v>
      </x:c>
      <x:c r="H544" s="42" t="str">
        <x:v>NA</x:v>
      </x:c>
      <x:c r="I544" s="42" t="str">
        <x:v>Maritime</x:v>
      </x:c>
      <x:c r="J544" s="42" t="str">
        <x:v>Indonesia (Ports/Anchorages)</x:v>
      </x:c>
      <x:c r="K544" s="42" t="str"/>
      <x:c r="L544" s="42" t="str">
        <x:v>Dumai Anchorage, Indonesia</x:v>
      </x:c>
      <x:c r="M544" s="42" t="str">
        <x:v>1.718167</x:v>
      </x:c>
      <x:c r="N544" s="42" t="str">
        <x:v>101.408333</x:v>
      </x:c>
      <x:c r="O544" s="42" t="str">
        <x:v>Al Amerat</x:v>
      </x:c>
      <x:c r="P544" s="42" t="str"/>
      <x:c r="Q544" s="42" t="str">
        <x:v>PRODUCT TANKER</x:v>
      </x:c>
      <x:c r="R544" s="42" t="str"/>
      <x:c r="S544" s="42" t="str">
        <x:v>the watchkeeper onboard the tanker spotted an unauthorised person attempting to board the ship. The alarm was raised, resulting in the unauthorised person aborting the attempt and moving away from the ship.</x:v>
      </x:c>
      <x:c r="T544" s="42" t="str"/>
      <x:c r="U544" s="42" t="str"/>
      <x:c r="V544" s="42" t="str"/>
      <x:c r="W544" s="42" t="str">
        <x:v>At Anchor While anchored,</x:v>
      </x:c>
      <x:c r="X544" s="42" t="str"/>
      <x:c r="Y544" s="42" t="str"/>
      <x:c r="Z544" s="42" t="str"/>
      <x:c r="AA544" s="42" t="str">
        <x:v>https://www.recaap.org/alerts</x:v>
      </x:c>
      <x:c r="AB544" s="42" t="str">
        <x:v>Needs canonical event resolution</x:v>
      </x:c>
      <x:c r="AC544" s="42" t="str">
        <x:v>Flag: PANAMA</x:v>
      </x:c>
    </x:row>
    <x:row r="545">
      <x:c r="A545" s="42" t="str">
        <x:v>OBS_000544</x:v>
      </x:c>
      <x:c r="B545" s="42" t="str"/>
      <x:c r="C545" s="42" t="str">
        <x:v>recaap_incidents_2024_2026</x:v>
      </x:c>
      <x:c r="D545" s="42" t="str">
        <x:v>2024-99</x:v>
      </x:c>
      <x:c r="E545" s="42" t="str">
        <x:v>2024-01-27</x:v>
      </x:c>
      <x:c r="F545" s="42" t="str">
        <x:v>Maritime Crime</x:v>
      </x:c>
      <x:c r="G545" s="42" t="str">
        <x:v>Robbery / Theft</x:v>
      </x:c>
      <x:c r="H545" s="42" t="str">
        <x:v>4</x:v>
      </x:c>
      <x:c r="I545" s="42" t="str">
        <x:v>Maritime</x:v>
      </x:c>
      <x:c r="J545" s="42" t="str">
        <x:v>India (Ports/Anchorages)</x:v>
      </x:c>
      <x:c r="K545" s="42" t="str"/>
      <x:c r="L545" s="42" t="str">
        <x:v>Kakinada Anchorage, India</x:v>
      </x:c>
      <x:c r="M545" s="42" t="str">
        <x:v>17.032333</x:v>
      </x:c>
      <x:c r="N545" s="42" t="str">
        <x:v>82.360667</x:v>
      </x:c>
      <x:c r="O545" s="42" t="str">
        <x:v>MT White Peach</x:v>
      </x:c>
      <x:c r="P545" s="42" t="str"/>
      <x:c r="Q545" s="42" t="str">
        <x:v>OIL / CHEMICAL / GAS TANKER</x:v>
      </x:c>
      <x:c r="R545" s="42" t="str"/>
      <x:c r="S545" s="42" t="str">
        <x:v>T T T At Anchor While anchored, four perpetrators boarded the ship from a fast boat, likely from the poop deck. he alarm and ship whistle were sounded, and all crew mustered. Two mooring ropes were stolen from the aft mooring station. The crew was not injured. he incident was reported to Kakinada Pilot Station via VHF. The ship master also shared the information with the agent, and both ship master and agent were advised to lodge a First Information Report (FIR) at Kakinada Marine Police Station. he incident is being investigated by Coastal Security Police / Marine Police Kakinada and Customs Kakinada, with inputs from Indian Coast Guard and Port Authority. Further, Kakinada Port Authority and ships in the area have been advised to enhance vigilance and adhere to the SOPs for security, especially during dark hours.</x:v>
      </x:c>
      <x:c r="T545" s="42" t="str"/>
      <x:c r="U545" s="42" t="str"/>
      <x:c r="V545" s="42" t="str"/>
      <x:c r="W545" s="42" t="str"/>
      <x:c r="X545" s="42" t="str"/>
      <x:c r="Y545" s="42" t="str"/>
      <x:c r="Z545" s="42" t="str"/>
      <x:c r="AA545" s="42" t="str">
        <x:v>https://www.recaap.org/alerts</x:v>
      </x:c>
      <x:c r="AB545" s="42" t="str">
        <x:v>Needs canonical event resolution</x:v>
      </x:c>
      <x:c r="AC545" s="42" t="str">
        <x:v>Flag: MARSHALL ISLANDS</x:v>
      </x:c>
    </x:row>
    <x:row r="546">
      <x:c r="A546" s="42" t="str">
        <x:v>OBS_000545</x:v>
      </x:c>
      <x:c r="B546" s="42" t="str"/>
      <x:c r="C546" s="42" t="str">
        <x:v>recaap_incidents_2024_2026</x:v>
      </x:c>
      <x:c r="D546" s="42" t="str">
        <x:v>2024-100</x:v>
      </x:c>
      <x:c r="E546" s="42" t="str">
        <x:v>2024-01-24</x:v>
      </x:c>
      <x:c r="F546" s="42" t="str">
        <x:v>Maritime Crime</x:v>
      </x:c>
      <x:c r="G546" s="42" t="str">
        <x:v>Robbery / Theft</x:v>
      </x:c>
      <x:c r="H546" s="42" t="str">
        <x:v>4</x:v>
      </x:c>
      <x:c r="I546" s="42" t="str">
        <x:v>Maritime</x:v>
      </x:c>
      <x:c r="J546" s="42" t="str">
        <x:v>India (Ports/Anchorages)</x:v>
      </x:c>
      <x:c r="K546" s="42" t="str"/>
      <x:c r="L546" s="42" t="str">
        <x:v>Kakinada Port, India</x:v>
      </x:c>
      <x:c r="M546" s="42" t="str">
        <x:v>17.057</x:v>
      </x:c>
      <x:c r="N546" s="42" t="str">
        <x:v>82.411167</x:v>
      </x:c>
      <x:c r="O546" s="42" t="str">
        <x:v>MT Regency</x:v>
      </x:c>
      <x:c r="P546" s="42" t="str"/>
      <x:c r="Q546" s="42" t="str">
        <x:v>OIL / CHEMICAL / GAS TANKER</x:v>
      </x:c>
      <x:c r="R546" s="42" t="str"/>
      <x:c r="S546" s="42" t="str">
        <x:v>T T At Anchor While anchored, one suspicious boat was observed roaming around near the ship’s forward and aft. The anti-piracy watch keeper during his round, sighted one person jumped into the water from the port side of the ship, and a boat was on standby with five perpetrators onboard. Three loose mooring ropes from the forecastle deck were found missing, and the crew was safe. he incident was reported to Kakinada Port Authority and the ship departed for Paradip Port on 26 Jan 24. Upon arrival at Paradip Port on 1 Feb 24, the ship was boarded by Indian Coast Guard for investigation. he ship was advised on the timely reporting of incident, and collection of evidence through CCTV and photographs. Further, Kakinada Port Authority and ships in area have also been advised to enhance vigilance and adhere to the SOPs for security, especially during dark hours. Investigation is in progress.</x:v>
      </x:c>
      <x:c r="T546" s="42" t="str"/>
      <x:c r="U546" s="42" t="str"/>
      <x:c r="V546" s="42" t="str"/>
      <x:c r="W546" s="42" t="str"/>
      <x:c r="X546" s="42" t="str"/>
      <x:c r="Y546" s="42" t="str"/>
      <x:c r="Z546" s="42" t="str"/>
      <x:c r="AA546" s="42" t="str">
        <x:v>https://www.recaap.org/alerts</x:v>
      </x:c>
      <x:c r="AB546" s="42" t="str">
        <x:v>Needs canonical event resolution</x:v>
      </x:c>
      <x:c r="AC546" s="42" t="str">
        <x:v>Flag: INDIA</x:v>
      </x:c>
    </x:row>
    <x:row r="547">
      <x:c r="A547" s="42" t="str">
        <x:v>OBS_000546</x:v>
      </x:c>
      <x:c r="B547" s="42" t="str"/>
      <x:c r="C547" s="42" t="str">
        <x:v>recaap_incidents_2024_2026</x:v>
      </x:c>
      <x:c r="D547" s="42" t="str">
        <x:v>2024-101</x:v>
      </x:c>
      <x:c r="E547" s="42" t="str">
        <x:v>2024-01-14</x:v>
      </x:c>
      <x:c r="F547" s="42" t="str">
        <x:v>Maritime Crime</x:v>
      </x:c>
      <x:c r="G547" s="42" t="str">
        <x:v>Attempted</x:v>
      </x:c>
      <x:c r="H547" s="42" t="str">
        <x:v>NA</x:v>
      </x:c>
      <x:c r="I547" s="42" t="str">
        <x:v>Maritime</x:v>
      </x:c>
      <x:c r="J547" s="42" t="str">
        <x:v>Bangladesh (Ports/Anchorages)</x:v>
      </x:c>
      <x:c r="K547" s="42" t="str"/>
      <x:c r="L547" s="42" t="str">
        <x:v>Off Kutubdia, Chattogram Port, Bangladesh</x:v>
      </x:c>
      <x:c r="M547" s="42" t="str">
        <x:v>21.841667</x:v>
      </x:c>
      <x:c r="N547" s="42" t="str">
        <x:v>91.697333</x:v>
      </x:c>
      <x:c r="O547" s="42" t="str">
        <x:v>Omera Legacy</x:v>
      </x:c>
      <x:c r="P547" s="42" t="str"/>
      <x:c r="Q547" s="42" t="str">
        <x:v>OIL / CHEMICAL / GAS TANKER</x:v>
      </x:c>
      <x:c r="R547" s="42" t="str"/>
      <x:c r="S547" s="42" t="str">
        <x:v>H T anchored, an unknown number of perpetrators onboard a country boat propelled by engine approached the ship’s port bow. owever, the country boat could not come alongside the ship; hence, the perpetrators were not able to board the ship. They eventually aborted their attempt and escaped. he ship master was advised to report incident immediately to BCG and port control.</x:v>
      </x:c>
      <x:c r="T547" s="42" t="str"/>
      <x:c r="U547" s="42" t="str"/>
      <x:c r="V547" s="42" t="str"/>
      <x:c r="W547" s="42" t="str">
        <x:v>At Anchor While</x:v>
      </x:c>
      <x:c r="X547" s="42" t="str"/>
      <x:c r="Y547" s="42" t="str"/>
      <x:c r="Z547" s="42" t="str"/>
      <x:c r="AA547" s="42" t="str">
        <x:v>https://www.recaap.org/alerts</x:v>
      </x:c>
      <x:c r="AB547" s="42" t="str">
        <x:v>Needs canonical event resolution</x:v>
      </x:c>
      <x:c r="AC547" s="42" t="str">
        <x:v>Flag: BANGLADESH</x:v>
      </x:c>
    </x:row>
    <x:row r="548">
      <x:c r="A548" s="42" t="str">
        <x:v>OBS_000547</x:v>
      </x:c>
      <x:c r="B548" s="42" t="str"/>
      <x:c r="C548" s="42" t="str">
        <x:v>recaap_incidents_2024_2026</x:v>
      </x:c>
      <x:c r="D548" s="42" t="str">
        <x:v>2024-102</x:v>
      </x:c>
      <x:c r="E548" s="42" t="str">
        <x:v>2024-01-13</x:v>
      </x:c>
      <x:c r="F548" s="42" t="str">
        <x:v>Maritime Crime</x:v>
      </x:c>
      <x:c r="G548" s="42" t="str">
        <x:v>Attempted</x:v>
      </x:c>
      <x:c r="H548" s="42" t="str">
        <x:v>NA</x:v>
      </x:c>
      <x:c r="I548" s="42" t="str">
        <x:v>Maritime</x:v>
      </x:c>
      <x:c r="J548" s="42" t="str">
        <x:v>Indonesia (Ports/Anchorages)</x:v>
      </x:c>
      <x:c r="K548" s="42" t="str"/>
      <x:c r="L548" s="42" t="str">
        <x:v>Dumai Anchorage, Indonesia</x:v>
      </x:c>
      <x:c r="M548" s="42" t="str">
        <x:v>1.7215</x:v>
      </x:c>
      <x:c r="N548" s="42" t="str">
        <x:v>101.428667</x:v>
      </x:c>
      <x:c r="O548" s="42" t="str">
        <x:v>Solar Roma</x:v>
      </x:c>
      <x:c r="P548" s="42" t="str"/>
      <x:c r="Q548" s="42" t="str">
        <x:v>PRODUCT TANKER</x:v>
      </x:c>
      <x:c r="R548" s="42" t="str"/>
      <x:c r="S548" s="42" t="str">
        <x:v>At Anchor While anchored, duty security patrol onboard the tanker noticed five perpetrators attempting to board the ship. The OOW was immediately notified and the alarm was raised, resulting in the perpetrators aborting and moving away. Nothing was stolen. The incident was reported to the port control and the pilot station.</x:v>
      </x:c>
      <x:c r="T548" s="42" t="str"/>
      <x:c r="U548" s="42" t="str"/>
      <x:c r="V548" s="42" t="str"/>
      <x:c r="W548" s="42" t="str"/>
      <x:c r="X548" s="42" t="str"/>
      <x:c r="Y548" s="42" t="str"/>
      <x:c r="Z548" s="42" t="str"/>
      <x:c r="AA548" s="42" t="str">
        <x:v>https://www.recaap.org/alerts</x:v>
      </x:c>
      <x:c r="AB548" s="42" t="str">
        <x:v>Needs canonical event resolution</x:v>
      </x:c>
      <x:c r="AC548" s="42" t="str">
        <x:v>Flag: LIBERIA</x:v>
      </x:c>
    </x:row>
    <x:row r="549">
      <x:c r="A549" s="42" t="str">
        <x:v>OBS_000548</x:v>
      </x:c>
      <x:c r="B549" s="42" t="str"/>
      <x:c r="C549" s="42" t="str">
        <x:v>recaap_incidents_2024_2026</x:v>
      </x:c>
      <x:c r="D549" s="42" t="str">
        <x:v>2024-103</x:v>
      </x:c>
      <x:c r="E549" s="42" t="str">
        <x:v>2024-01-10</x:v>
      </x:c>
      <x:c r="F549" s="42" t="str">
        <x:v>Maritime Crime</x:v>
      </x:c>
      <x:c r="G549" s="42" t="str">
        <x:v>Robbery / Theft</x:v>
      </x:c>
      <x:c r="H549" s="42" t="str">
        <x:v>3</x:v>
      </x:c>
      <x:c r="I549" s="42" t="str">
        <x:v>Maritime</x:v>
      </x:c>
      <x:c r="J549" s="42" t="str">
        <x:v>Straits of Malacca &amp; Singapore</x:v>
      </x:c>
      <x:c r="K549" s="42" t="str"/>
      <x:c r="L549" s="42" t="str">
        <x:v>Approximately 1.6 nm from Pulau Cula, (Indonesia), in the eastbound lane of the TSS</x:v>
      </x:c>
      <x:c r="M549" s="42" t="str">
        <x:v>1.062333</x:v>
      </x:c>
      <x:c r="N549" s="42" t="str">
        <x:v>103.696333</x:v>
      </x:c>
      <x:c r="O549" s="42" t="str">
        <x:v>CMB Chikako</x:v>
      </x:c>
      <x:c r="P549" s="42" t="str"/>
      <x:c r="Q549" s="42" t="str">
        <x:v>BULK CARRIER</x:v>
      </x:c>
      <x:c r="R549" s="42" t="str"/>
      <x:c r="S549" s="42" t="str">
        <x:v>A S T While underway, the crew saw five perpetrators armed with in the engine room. The master raised the alarm, knives mustered the crew and reported the incident to Singapore VTIS. search onboard the ship was conducted and completed at 0430 hrs, with some engine spare parts found missing. All crew members were accounted for, and no injuries were reported. afety navigational broadcast was initiated. The RSN’s MSTF and Singapore PCG were notified of the incident. Information was shared with the Indonesian authority. he Singapore PCG conducted a search upon the ship's arrival at Singapore anchorage, and confirmed that no perpetrators were onboard.</x:v>
      </x:c>
      <x:c r="T549" s="42" t="str"/>
      <x:c r="U549" s="42" t="str"/>
      <x:c r="V549" s="42" t="str"/>
      <x:c r="W549" s="42" t="str">
        <x:v>While Sailing</x:v>
      </x:c>
      <x:c r="X549" s="42" t="str"/>
      <x:c r="Y549" s="42" t="str"/>
      <x:c r="Z549" s="42" t="str"/>
      <x:c r="AA549" s="42" t="str">
        <x:v>https://www.recaap.org/alerts</x:v>
      </x:c>
      <x:c r="AB549" s="42" t="str">
        <x:v>Needs canonical event resolution</x:v>
      </x:c>
      <x:c r="AC549" s="42" t="str">
        <x:v>Flag: PANAMA</x:v>
      </x:c>
    </x:row>
    <x:row r="550">
      <x:c r="A550" s="42" t="str">
        <x:v>OBS_000549</x:v>
      </x:c>
      <x:c r="B550" s="42" t="str"/>
      <x:c r="C550" s="42" t="str">
        <x:v>recaap_incidents_2024_2026</x:v>
      </x:c>
      <x:c r="D550" s="42" t="str">
        <x:v>2024-107</x:v>
      </x:c>
      <x:c r="E550" s="42" t="str">
        <x:v>2024-01-04</x:v>
      </x:c>
      <x:c r="F550" s="42" t="str">
        <x:v>Maritime Crime</x:v>
      </x:c>
      <x:c r="G550" s="42" t="str">
        <x:v>Attempted</x:v>
      </x:c>
      <x:c r="H550" s="42" t="str">
        <x:v>NA</x:v>
      </x:c>
      <x:c r="I550" s="42" t="str">
        <x:v>Maritime</x:v>
      </x:c>
      <x:c r="J550" s="42" t="str">
        <x:v>Indonesia (Ports/Anchorages)</x:v>
      </x:c>
      <x:c r="K550" s="42" t="str"/>
      <x:c r="L550" s="42" t="str">
        <x:v>Balikpapan Anchorage, Indonesia</x:v>
      </x:c>
      <x:c r="M550" s="42" t="str">
        <x:v>-1.355</x:v>
      </x:c>
      <x:c r="N550" s="42" t="str">
        <x:v>116.995</x:v>
      </x:c>
      <x:c r="O550" s="42" t="str">
        <x:v>Helga Oldendorff</x:v>
      </x:c>
      <x:c r="P550" s="42" t="str"/>
      <x:c r="Q550" s="42" t="str">
        <x:v>BULK CARRIER</x:v>
      </x:c>
      <x:c r="R550" s="42" t="str"/>
      <x:c r="S550" s="42" t="str">
        <x:v>A T At Anchor While anchored, the OOW noticed a green light during anchor watch, and informed both forward &amp; aft watchmen on deck during their deck round. The forward watchman proceeded from main deck to the forecastle on port side immediately. He reported that the light was not moving, and resumed his security round on forecastle to starboard side. bout 10 min later, the forward watchman noticed a man onboard a skiff close to the anchor cable, and another man climbing up the anchor chain. The bridge was informed immediately via VHF and the forward watchman shouted at the men. The OOW raised the alarm and sounded the forward whistle. Realising the crew was alerted, the two men escaped immediately. he local Indonesian authority subsequently conducted an investigation.</x:v>
      </x:c>
      <x:c r="T550" s="42" t="str"/>
      <x:c r="U550" s="42" t="str"/>
      <x:c r="V550" s="42" t="str"/>
      <x:c r="W550" s="42" t="str"/>
      <x:c r="X550" s="42" t="str"/>
      <x:c r="Y550" s="42" t="str"/>
      <x:c r="Z550" s="42" t="str"/>
      <x:c r="AA550" s="42" t="str">
        <x:v>https://www.recaap.org/alerts</x:v>
      </x:c>
      <x:c r="AB550" s="42" t="str">
        <x:v>Needs canonical event resolution</x:v>
      </x:c>
      <x:c r="AC550" s="42" t="str">
        <x:v>Flag: PORTUGAL</x:v>
      </x:c>
    </x:row>
    <x:row r="551">
      <x:c r="A551" s="42" t="str">
        <x:v>OBS_000550</x:v>
      </x:c>
      <x:c r="B551" s="42" t="str"/>
      <x:c r="C551" s="42" t="str">
        <x:v>recaap_incidents_2024_2026</x:v>
      </x:c>
      <x:c r="D551" s="42" t="str">
        <x:v>2024-106</x:v>
      </x:c>
      <x:c r="E551" s="42" t="str">
        <x:v>2024-01-04</x:v>
      </x:c>
      <x:c r="F551" s="42" t="str">
        <x:v>Maritime Crime</x:v>
      </x:c>
      <x:c r="G551" s="42" t="str">
        <x:v>Robbery / Theft</x:v>
      </x:c>
      <x:c r="H551" s="42" t="str">
        <x:v>2</x:v>
      </x:c>
      <x:c r="I551" s="42" t="str">
        <x:v>Maritime</x:v>
      </x:c>
      <x:c r="J551" s="42" t="str">
        <x:v>Straits of Malacca &amp; Singapore</x:v>
      </x:c>
      <x:c r="K551" s="42" t="str"/>
      <x:c r="L551" s="42" t="str">
        <x:v>Approximately 2.36 nm from Pulau Cula, (Indonesia), in the eastbound lane of the TSS</x:v>
      </x:c>
      <x:c r="M551" s="42" t="str">
        <x:v>1.053333</x:v>
      </x:c>
      <x:c r="N551" s="42" t="str">
        <x:v>103.675</x:v>
      </x:c>
      <x:c r="O551" s="42" t="str">
        <x:v>Crimson Queen</x:v>
      </x:c>
      <x:c r="P551" s="42" t="str"/>
      <x:c r="Q551" s="42" t="str">
        <x:v>BULK CARRIER</x:v>
      </x:c>
      <x:c r="R551" s="42" t="str"/>
      <x:c r="S551" s="42" t="str">
        <x:v>T S T While underway, the master was alerted by the 3rd Engineer to five perpetrators armed with long knives in the engine room. The 3rd Engineer was tied up by the perpetrators but managed to alert the bridge about the incident. he master sounded the general alarm immediately, and the crew conducted a thorough search onboard the ship. However, the perpetrators had already escaped. ome generator spare parts were reported missing and the 3rd Engineer, who was punched on the forehead, suffered minor injury. he ship was underway to Singapore for bunkering, and the Singapore PCG conducted a search upon the ship’s arrival in Singapore.</x:v>
      </x:c>
      <x:c r="T551" s="42" t="str"/>
      <x:c r="U551" s="42" t="str"/>
      <x:c r="V551" s="42" t="str"/>
      <x:c r="W551" s="42" t="str">
        <x:v>While Sailing</x:v>
      </x:c>
      <x:c r="X551" s="42" t="str"/>
      <x:c r="Y551" s="42" t="str"/>
      <x:c r="Z551" s="42" t="str"/>
      <x:c r="AA551" s="42" t="str">
        <x:v>https://www.recaap.org/alerts</x:v>
      </x:c>
      <x:c r="AB551" s="42" t="str">
        <x:v>Needs canonical event resolution</x:v>
      </x:c>
      <x:c r="AC551" s="42" t="str">
        <x:v>Flag: SINGAPORE</x:v>
      </x:c>
    </x:row>
    <x:row r="552">
      <x:c r="A552" s="42" t="str">
        <x:v>OBS_000551</x:v>
      </x:c>
      <x:c r="B552" s="42" t="str"/>
      <x:c r="C552" s="42" t="str">
        <x:v>recaap_incidents_2024_2026</x:v>
      </x:c>
      <x:c r="D552" s="42" t="str">
        <x:v>2024-105</x:v>
      </x:c>
      <x:c r="E552" s="42" t="str">
        <x:v>2024-01-04</x:v>
      </x:c>
      <x:c r="F552" s="42" t="str">
        <x:v>Maritime Crime</x:v>
      </x:c>
      <x:c r="G552" s="42" t="str">
        <x:v>Robbery / Theft</x:v>
      </x:c>
      <x:c r="H552" s="42" t="str">
        <x:v>2</x:v>
      </x:c>
      <x:c r="I552" s="42" t="str">
        <x:v>Maritime</x:v>
      </x:c>
      <x:c r="J552" s="42" t="str">
        <x:v>Indonesia (Ports/Anchorages)</x:v>
      </x:c>
      <x:c r="K552" s="42" t="str"/>
      <x:c r="L552" s="42" t="str">
        <x:v>Dumai Anchorage, Indonesia</x:v>
      </x:c>
      <x:c r="M552" s="42" t="str">
        <x:v>1.705167</x:v>
      </x:c>
      <x:c r="N552" s="42" t="str">
        <x:v>101.493667</x:v>
      </x:c>
      <x:c r="O552" s="42" t="str">
        <x:v>Name withheld</x:v>
      </x:c>
      <x:c r="P552" s="42" t="str"/>
      <x:c r="Q552" s="42" t="str">
        <x:v>GENERAL CARGO SHIP</x:v>
      </x:c>
      <x:c r="R552" s="42" t="str"/>
      <x:c r="S552" s="42" t="str">
        <x:v>At Anchor While anchored, three perpetrators armed with guns and knives boarded the general cargo ship. They took the duty engine crew as hostage and tied his hands. The perpetrators stole ship engine spare parts and escaped. The duty crew managed to alert the OOW who raised the alarm and the crew mustered. A search onboard the ship was carried out, with no perpetrators found onboard. The incident was reported to Port Facility Security Officer via the local agent.</x:v>
      </x:c>
      <x:c r="T552" s="42" t="str"/>
      <x:c r="U552" s="42" t="str"/>
      <x:c r="V552" s="42" t="str"/>
      <x:c r="W552" s="42" t="str"/>
      <x:c r="X552" s="42" t="str"/>
      <x:c r="Y552" s="42" t="str"/>
      <x:c r="Z552" s="42" t="str"/>
      <x:c r="AA552" s="42" t="str">
        <x:v>https://www.recaap.org/alerts</x:v>
      </x:c>
      <x:c r="AB552" s="42" t="str">
        <x:v>Needs canonical event resolution</x:v>
      </x:c>
      <x:c r="AC552" s="42" t="str">
        <x:v>Flag: PANAMA</x:v>
      </x:c>
    </x:row>
    <x:row r="553">
      <x:c r="A553" s="42" t="str">
        <x:v>OBS_000552</x:v>
      </x:c>
      <x:c r="B553" s="42" t="str"/>
      <x:c r="C553" s="42" t="str">
        <x:v>recaap_incidents_2024_2026</x:v>
      </x:c>
      <x:c r="D553" s="42" t="str">
        <x:v>2024-104</x:v>
      </x:c>
      <x:c r="E553" s="42" t="str">
        <x:v>2024-01-04</x:v>
      </x:c>
      <x:c r="F553" s="42" t="str">
        <x:v>Maritime Crime</x:v>
      </x:c>
      <x:c r="G553" s="42" t="str">
        <x:v>Robbery / Theft</x:v>
      </x:c>
      <x:c r="H553" s="42" t="str">
        <x:v>3</x:v>
      </x:c>
      <x:c r="I553" s="42" t="str">
        <x:v>Maritime</x:v>
      </x:c>
      <x:c r="J553" s="42" t="str">
        <x:v>Straits of Malacca &amp; Singapore</x:v>
      </x:c>
      <x:c r="K553" s="42" t="str"/>
      <x:c r="L553" s="42" t="str">
        <x:v>Approximately 3.14 nm from Pulau Cula, (Indonesia), in the eastbound lane of the TSS</x:v>
      </x:c>
      <x:c r="M553" s="42" t="str">
        <x:v>1.066667</x:v>
      </x:c>
      <x:c r="N553" s="42" t="str">
        <x:v>103.666667</x:v>
      </x:c>
      <x:c r="O553" s="42" t="str">
        <x:v>Artin</x:v>
      </x:c>
      <x:c r="P553" s="42" t="str"/>
      <x:c r="Q553" s="42" t="str">
        <x:v>BULK CARRIER</x:v>
      </x:c>
      <x:c r="R553" s="42" t="str"/>
      <x:c r="S553" s="42" t="str">
        <x:v>A S While underway, the crew saw six perpetrators armed with knives at the stern. The master raised the alarm, mustered the crew and reported the incident to Singapore VTIS. ll crew members were accounted for, and no injuries were reported. Some engine spare parts were stolen. The master indicated that no further assistance was required, and continued its journey to Fang Cheng, China. afety navigational broadcast was initiated. The RSN’s MSTF and Singapore PCG were notified of the incident. Information was shared with the Indonesian authority.</x:v>
      </x:c>
      <x:c r="T553" s="42" t="str"/>
      <x:c r="U553" s="42" t="str"/>
      <x:c r="V553" s="42" t="str"/>
      <x:c r="W553" s="42" t="str">
        <x:v>While Sailing</x:v>
      </x:c>
      <x:c r="X553" s="42" t="str"/>
      <x:c r="Y553" s="42" t="str"/>
      <x:c r="Z553" s="42" t="str"/>
      <x:c r="AA553" s="42" t="str">
        <x:v>https://www.recaap.org/alerts</x:v>
      </x:c>
      <x:c r="AB553" s="42" t="str">
        <x:v>Needs canonical event resolution</x:v>
      </x:c>
      <x:c r="AC553" s="42" t="str">
        <x:v>Flag: IRAN</x:v>
      </x:c>
    </x:row>
    <x:row r="554">
      <x:c r="A554" s="42" t="str">
        <x:v>OBS_000553</x:v>
      </x:c>
      <x:c r="B554" s="42" t="str"/>
      <x:c r="C554" s="42" t="str">
        <x:v>blacksea_conflict_vessels_2026</x:v>
      </x:c>
      <x:c r="D554" s="42" t="str">
        <x:v>1</x:v>
      </x:c>
      <x:c r="E554" s="42" t="str">
        <x:v>2026-01-09</x:v>
      </x:c>
      <x:c r="F554" s="42" t="str">
        <x:v>Conflict / Security</x:v>
      </x:c>
      <x:c r="G554" s="42" t="str">
        <x:v>Vessel attack</x:v>
      </x:c>
      <x:c r="H554" s="42" t="str">
        <x:v>Shahed-136/131 UAV</x:v>
      </x:c>
      <x:c r="I554" s="42" t="str">
        <x:v>Maritime</x:v>
      </x:c>
      <x:c r="J554" s="42" t="str">
        <x:v>Black Sea</x:v>
      </x:c>
      <x:c r="K554" s="42" t="str"/>
      <x:c r="L554" s="42" t="str">
        <x:v>Port of Chornomorsk / approach</x:v>
      </x:c>
      <x:c r="M554" s="42" t="str"/>
      <x:c r="N554" s="42" t="str"/>
      <x:c r="O554" s="42" t="str">
        <x:v>WAEL K</x:v>
      </x:c>
      <x:c r="P554" s="42" t="str">
        <x:v>9001148</x:v>
      </x:c>
      <x:c r="Q554" s="42" t="str">
        <x:v>Bulker</x:v>
      </x:c>
      <x:c r="R554" s="42" t="str">
        <x:v>Russia attacking Ukrainian maritime corridor</x:v>
      </x:c>
      <x:c r="S554" s="42" t="str">
        <x:v>Second officer wounded</x:v>
      </x:c>
      <x:c r="T554" s="42" t="str">
        <x:v>Damaged; remained seaworthy</x:v>
      </x:c>
      <x:c r="U554" s="42" t="str"/>
      <x:c r="V554" s="42" t="str"/>
      <x:c r="W554" s="42" t="str"/>
      <x:c r="X554" s="42" t="str"/>
      <x:c r="Y554" s="42" t="str"/>
      <x:c r="Z554" s="42" t="str">
        <x:v>High</x:v>
      </x:c>
      <x:c r="AA554" s="42" t="str">
        <x:v>https://www.blackseanews.net/en/read/247386</x:v>
      </x:c>
      <x:c r="AB554" s="42" t="str">
        <x:v>Needs canonical event resolution</x:v>
      </x:c>
      <x:c r="AC554" s="42" t="str"/>
    </x:row>
    <x:row r="555">
      <x:c r="A555" s="42" t="str">
        <x:v>OBS_000554</x:v>
      </x:c>
      <x:c r="B555" s="42" t="str"/>
      <x:c r="C555" s="42" t="str">
        <x:v>blacksea_conflict_vessels_2026</x:v>
      </x:c>
      <x:c r="D555" s="42" t="str">
        <x:v>2</x:v>
      </x:c>
      <x:c r="E555" s="42" t="str">
        <x:v>2026-01-09</x:v>
      </x:c>
      <x:c r="F555" s="42" t="str">
        <x:v>Conflict / Security</x:v>
      </x:c>
      <x:c r="G555" s="42" t="str">
        <x:v>Vessel attack</x:v>
      </x:c>
      <x:c r="H555" s="42" t="str">
        <x:v>UAV strike</x:v>
      </x:c>
      <x:c r="I555" s="42" t="str">
        <x:v>Maritime</x:v>
      </x:c>
      <x:c r="J555" s="42" t="str">
        <x:v>Black Sea</x:v>
      </x:c>
      <x:c r="K555" s="42" t="str"/>
      <x:c r="L555" s="42" t="str">
        <x:v>Port of Odesa</x:v>
      </x:c>
      <x:c r="M555" s="42" t="str"/>
      <x:c r="N555" s="42" t="str"/>
      <x:c r="O555" s="42" t="str">
        <x:v>LADONNA</x:v>
      </x:c>
      <x:c r="P555" s="42" t="str">
        <x:v>9107033</x:v>
      </x:c>
      <x:c r="Q555" s="42" t="str">
        <x:v>Dry cargo</x:v>
      </x:c>
      <x:c r="R555" s="42" t="str">
        <x:v>Russia attacking Ukrainian maritime corridor</x:v>
      </x:c>
      <x:c r="S555" s="42" t="str">
        <x:v>1 crew member killed</x:v>
      </x:c>
      <x:c r="T555" s="42" t="str">
        <x:v>Stern damaged</x:v>
      </x:c>
      <x:c r="U555" s="42" t="str"/>
      <x:c r="V555" s="42" t="str"/>
      <x:c r="W555" s="42" t="str"/>
      <x:c r="X555" s="42" t="str"/>
      <x:c r="Y555" s="42" t="str"/>
      <x:c r="Z555" s="42" t="str">
        <x:v>High</x:v>
      </x:c>
      <x:c r="AA555" s="42" t="str">
        <x:v>https://www.blackseanews.net/en/read/247386</x:v>
      </x:c>
      <x:c r="AB555" s="42" t="str">
        <x:v>Needs canonical event resolution</x:v>
      </x:c>
      <x:c r="AC555" s="42" t="str"/>
    </x:row>
    <x:row r="556">
      <x:c r="A556" s="42" t="str">
        <x:v>OBS_000555</x:v>
      </x:c>
      <x:c r="B556" s="42" t="str"/>
      <x:c r="C556" s="42" t="str">
        <x:v>blacksea_conflict_vessels_2026</x:v>
      </x:c>
      <x:c r="D556" s="42" t="str">
        <x:v>3</x:v>
      </x:c>
      <x:c r="E556" s="42" t="str">
        <x:v>2026-01-12</x:v>
      </x:c>
      <x:c r="F556" s="42" t="str">
        <x:v>Conflict / Security</x:v>
      </x:c>
      <x:c r="G556" s="42" t="str">
        <x:v>Vessel attack</x:v>
      </x:c>
      <x:c r="H556" s="42" t="str">
        <x:v>UAV strike</x:v>
      </x:c>
      <x:c r="I556" s="42" t="str">
        <x:v>Maritime</x:v>
      </x:c>
      <x:c r="J556" s="42" t="str">
        <x:v>Black Sea</x:v>
      </x:c>
      <x:c r="K556" s="42" t="str"/>
      <x:c r="L556" s="42" t="str">
        <x:v>Port of Chornomorsk / awaiting entry</x:v>
      </x:c>
      <x:c r="M556" s="42" t="str"/>
      <x:c r="N556" s="42" t="str"/>
      <x:c r="O556" s="42" t="str">
        <x:v>ATA VOYAGER</x:v>
      </x:c>
      <x:c r="P556" s="42" t="str">
        <x:v>9408360</x:v>
      </x:c>
      <x:c r="Q556" s="42" t="str">
        <x:v>Tanker</x:v>
      </x:c>
      <x:c r="R556" s="42" t="str">
        <x:v>Russia attacking Ukrainian maritime corridor</x:v>
      </x:c>
      <x:c r="S556" s="42" t="str">
        <x:v>1 crew member seriously wounded</x:v>
      </x:c>
      <x:c r="T556" s="42" t="str">
        <x:v>Superstructure hit</x:v>
      </x:c>
      <x:c r="U556" s="42" t="str"/>
      <x:c r="V556" s="42" t="str"/>
      <x:c r="W556" s="42" t="str"/>
      <x:c r="X556" s="42" t="str"/>
      <x:c r="Y556" s="42" t="str"/>
      <x:c r="Z556" s="42" t="str">
        <x:v>High</x:v>
      </x:c>
      <x:c r="AA556" s="42" t="str">
        <x:v>https://www.blackseanews.net/en/read/247386</x:v>
      </x:c>
      <x:c r="AB556" s="42" t="str">
        <x:v>Needs canonical event resolution</x:v>
      </x:c>
      <x:c r="AC556" s="42" t="str"/>
    </x:row>
    <x:row r="557">
      <x:c r="A557" s="42" t="str">
        <x:v>OBS_000556</x:v>
      </x:c>
      <x:c r="B557" s="42" t="str"/>
      <x:c r="C557" s="42" t="str">
        <x:v>blacksea_conflict_vessels_2026</x:v>
      </x:c>
      <x:c r="D557" s="42" t="str">
        <x:v>4</x:v>
      </x:c>
      <x:c r="E557" s="42" t="str">
        <x:v>2026-01-12</x:v>
      </x:c>
      <x:c r="F557" s="42" t="str">
        <x:v>Conflict / Security</x:v>
      </x:c>
      <x:c r="G557" s="42" t="str">
        <x:v>Vessel attack</x:v>
      </x:c>
      <x:c r="H557" s="42" t="str">
        <x:v>UAV strike</x:v>
      </x:c>
      <x:c r="I557" s="42" t="str">
        <x:v>Maritime</x:v>
      </x:c>
      <x:c r="J557" s="42" t="str">
        <x:v>Black Sea</x:v>
      </x:c>
      <x:c r="K557" s="42" t="str"/>
      <x:c r="L557" s="42" t="str">
        <x:v>Port of Chornomorsk / departing</x:v>
      </x:c>
      <x:c r="M557" s="42" t="str"/>
      <x:c r="N557" s="42" t="str"/>
      <x:c r="O557" s="42" t="str">
        <x:v>BLUE BEAD</x:v>
      </x:c>
      <x:c r="P557" s="42" t="str">
        <x:v>9171113</x:v>
      </x:c>
      <x:c r="Q557" s="42" t="str">
        <x:v>Bulker</x:v>
      </x:c>
      <x:c r="R557" s="42" t="str">
        <x:v>Russia attacking Ukrainian maritime corridor</x:v>
      </x:c>
      <x:c r="S557" s="42" t="str"/>
      <x:c r="T557" s="42" t="str">
        <x:v>Hit; remained underway</x:v>
      </x:c>
      <x:c r="U557" s="42" t="str"/>
      <x:c r="V557" s="42" t="str"/>
      <x:c r="W557" s="42" t="str"/>
      <x:c r="X557" s="42" t="str"/>
      <x:c r="Y557" s="42" t="str"/>
      <x:c r="Z557" s="42" t="str">
        <x:v>High</x:v>
      </x:c>
      <x:c r="AA557" s="42" t="str">
        <x:v>https://www.blackseanews.net/en/read/247386</x:v>
      </x:c>
      <x:c r="AB557" s="42" t="str">
        <x:v>Needs canonical event resolution</x:v>
      </x:c>
      <x:c r="AC557" s="42" t="str"/>
    </x:row>
    <x:row r="558">
      <x:c r="A558" s="42" t="str">
        <x:v>OBS_000557</x:v>
      </x:c>
      <x:c r="B558" s="42" t="str"/>
      <x:c r="C558" s="42" t="str">
        <x:v>blacksea_conflict_vessels_2026</x:v>
      </x:c>
      <x:c r="D558" s="42" t="str">
        <x:v>5</x:v>
      </x:c>
      <x:c r="E558" s="42" t="str">
        <x:v>2026-01-15</x:v>
      </x:c>
      <x:c r="F558" s="42" t="str">
        <x:v>Conflict / Security</x:v>
      </x:c>
      <x:c r="G558" s="42" t="str">
        <x:v>Vessel attack</x:v>
      </x:c>
      <x:c r="H558" s="42" t="str">
        <x:v>Iskander-M BM hit pier near vessel</x:v>
      </x:c>
      <x:c r="I558" s="42" t="str">
        <x:v>Maritime</x:v>
      </x:c>
      <x:c r="J558" s="42" t="str">
        <x:v>Black Sea</x:v>
      </x:c>
      <x:c r="K558" s="42" t="str"/>
      <x:c r="L558" s="42" t="str">
        <x:v>Port of Chornomorsk</x:v>
      </x:c>
      <x:c r="M558" s="42" t="str"/>
      <x:c r="N558" s="42" t="str"/>
      <x:c r="O558" s="42" t="str">
        <x:v>Unidentified civilian vessel</x:v>
      </x:c>
      <x:c r="P558" s="42" t="str"/>
      <x:c r="Q558" s="42" t="str">
        <x:v>Civilian vessel</x:v>
      </x:c>
      <x:c r="R558" s="42" t="str">
        <x:v>Russia attacking Ukrainian maritime corridor</x:v>
      </x:c>
      <x:c r="S558" s="42" t="str">
        <x:v>1 crew member injured; 3 containers damaged; oil spill</x:v>
      </x:c>
      <x:c r="T558" s="42" t="str">
        <x:v>Nearby strike / fire</x:v>
      </x:c>
      <x:c r="U558" s="42" t="str"/>
      <x:c r="V558" s="42" t="str"/>
      <x:c r="W558" s="42" t="str"/>
      <x:c r="X558" s="42" t="str"/>
      <x:c r="Y558" s="42" t="str"/>
      <x:c r="Z558" s="42" t="str">
        <x:v>Medium-High</x:v>
      </x:c>
      <x:c r="AA558" s="42" t="str">
        <x:v>https://www.blackseanews.net/en/read/247386</x:v>
      </x:c>
      <x:c r="AB558" s="42" t="str">
        <x:v>Needs canonical event resolution</x:v>
      </x:c>
      <x:c r="AC558" s="42" t="str"/>
    </x:row>
    <x:row r="559">
      <x:c r="A559" s="42" t="str">
        <x:v>OBS_000558</x:v>
      </x:c>
      <x:c r="B559" s="42" t="str"/>
      <x:c r="C559" s="42" t="str">
        <x:v>blacksea_conflict_vessels_2026</x:v>
      </x:c>
      <x:c r="D559" s="42" t="str">
        <x:v>6</x:v>
      </x:c>
      <x:c r="E559" s="42" t="str">
        <x:v>2026-03-04</x:v>
      </x:c>
      <x:c r="F559" s="42" t="str">
        <x:v>Conflict / Security</x:v>
      </x:c>
      <x:c r="G559" s="42" t="str">
        <x:v>Vessel attack</x:v>
      </x:c>
      <x:c r="H559" s="42" t="str">
        <x:v>Likely Italmás or Molniya-type UAV</x:v>
      </x:c>
      <x:c r="I559" s="42" t="str">
        <x:v>Maritime</x:v>
      </x:c>
      <x:c r="J559" s="42" t="str">
        <x:v>Black Sea</x:v>
      </x:c>
      <x:c r="K559" s="42" t="str"/>
      <x:c r="L559" s="42" t="str">
        <x:v>Port of Chornomorsk</x:v>
      </x:c>
      <x:c r="M559" s="42" t="str"/>
      <x:c r="N559" s="42" t="str"/>
      <x:c r="O559" s="42" t="str">
        <x:v>BULL</x:v>
      </x:c>
      <x:c r="P559" s="42" t="str">
        <x:v>9582489</x:v>
      </x:c>
      <x:c r="Q559" s="42" t="str">
        <x:v>Bulker</x:v>
      </x:c>
      <x:c r="R559" s="42" t="str">
        <x:v>Russia attacking Ukrainian maritime corridor</x:v>
      </x:c>
      <x:c r="S559" s="42" t="str">
        <x:v>Crew members injured</x:v>
      </x:c>
      <x:c r="T559" s="42" t="str">
        <x:v>Damaged</x:v>
      </x:c>
      <x:c r="U559" s="42" t="str"/>
      <x:c r="V559" s="42" t="str"/>
      <x:c r="W559" s="42" t="str"/>
      <x:c r="X559" s="42" t="str"/>
      <x:c r="Y559" s="42" t="str"/>
      <x:c r="Z559" s="42" t="str">
        <x:v>Medium-High</x:v>
      </x:c>
      <x:c r="AA559" s="42" t="str">
        <x:v>https://www.blackseanews.net/en/read/247386</x:v>
      </x:c>
      <x:c r="AB559" s="42" t="str">
        <x:v>Needs canonical event resolution</x:v>
      </x:c>
      <x:c r="AC559" s="42" t="str"/>
    </x:row>
    <x:row r="560">
      <x:c r="A560" s="42" t="str">
        <x:v>OBS_000559</x:v>
      </x:c>
      <x:c r="B560" s="42" t="str"/>
      <x:c r="C560" s="42" t="str">
        <x:v>blacksea_conflict_vessels_2026</x:v>
      </x:c>
      <x:c r="D560" s="42" t="str">
        <x:v>7</x:v>
      </x:c>
      <x:c r="E560" s="42" t="str">
        <x:v>2026-03-20</x:v>
      </x:c>
      <x:c r="F560" s="42" t="str">
        <x:v>Conflict / Security</x:v>
      </x:c>
      <x:c r="G560" s="42" t="str">
        <x:v>Vessel attack</x:v>
      </x:c>
      <x:c r="H560" s="42" t="str">
        <x:v>UAV strike</x:v>
      </x:c>
      <x:c r="I560" s="42" t="str">
        <x:v>Maritime</x:v>
      </x:c>
      <x:c r="J560" s="42" t="str">
        <x:v>Black Sea</x:v>
      </x:c>
      <x:c r="K560" s="42" t="str"/>
      <x:c r="L560" s="42" t="str">
        <x:v>Likely Port of Chornomorsk</x:v>
      </x:c>
      <x:c r="M560" s="42" t="str"/>
      <x:c r="N560" s="42" t="str"/>
      <x:c r="O560" s="42" t="str">
        <x:v>AT-27 (likely)</x:v>
      </x:c>
      <x:c r="P560" s="42" t="str">
        <x:v>9136539</x:v>
      </x:c>
      <x:c r="Q560" s="42" t="str">
        <x:v>Bulker</x:v>
      </x:c>
      <x:c r="R560" s="42" t="str">
        <x:v>Russia attacking Ukrainian maritime corridor</x:v>
      </x:c>
      <x:c r="S560" s="42" t="str">
        <x:v>Identity assessed, not officially confirmed</x:v>
      </x:c>
      <x:c r="T560" s="42" t="str">
        <x:v>Damaged while berthed</x:v>
      </x:c>
      <x:c r="U560" s="42" t="str"/>
      <x:c r="V560" s="42" t="str"/>
      <x:c r="W560" s="42" t="str"/>
      <x:c r="X560" s="42" t="str"/>
      <x:c r="Y560" s="42" t="str"/>
      <x:c r="Z560" s="42" t="str">
        <x:v>Medium</x:v>
      </x:c>
      <x:c r="AA560" s="42" t="str">
        <x:v>https://www.blackseanews.net/en/read/247386</x:v>
      </x:c>
      <x:c r="AB560" s="42" t="str">
        <x:v>Needs canonical event resolution</x:v>
      </x:c>
      <x:c r="AC560" s="42" t="str"/>
    </x:row>
    <x:row r="561">
      <x:c r="A561" s="42" t="str">
        <x:v>OBS_000560</x:v>
      </x:c>
      <x:c r="B561" s="42" t="str"/>
      <x:c r="C561" s="42" t="str">
        <x:v>blacksea_conflict_vessels_2026</x:v>
      </x:c>
      <x:c r="D561" s="42" t="str">
        <x:v>8</x:v>
      </x:c>
      <x:c r="E561" s="42" t="str">
        <x:v>2026-03-20</x:v>
      </x:c>
      <x:c r="F561" s="42" t="str">
        <x:v>Conflict / Security</x:v>
      </x:c>
      <x:c r="G561" s="42" t="str">
        <x:v>Vessel attack</x:v>
      </x:c>
      <x:c r="H561" s="42" t="str">
        <x:v>UAV strike</x:v>
      </x:c>
      <x:c r="I561" s="42" t="str">
        <x:v>Maritime</x:v>
      </x:c>
      <x:c r="J561" s="42" t="str">
        <x:v>Black Sea</x:v>
      </x:c>
      <x:c r="K561" s="42" t="str"/>
      <x:c r="L561" s="42" t="str">
        <x:v>Likely Port of Chornomorsk</x:v>
      </x:c>
      <x:c r="M561" s="42" t="str"/>
      <x:c r="N561" s="42" t="str"/>
      <x:c r="O561" s="42" t="str">
        <x:v>PRINCESS FAYZAH (likely)</x:v>
      </x:c>
      <x:c r="P561" s="42" t="str">
        <x:v>9260859</x:v>
      </x:c>
      <x:c r="Q561" s="42" t="str">
        <x:v>Bulker</x:v>
      </x:c>
      <x:c r="R561" s="42" t="str">
        <x:v>Russia attacking Ukrainian maritime corridor</x:v>
      </x:c>
      <x:c r="S561" s="42" t="str">
        <x:v>Identity assessed, not officially confirmed</x:v>
      </x:c>
      <x:c r="T561" s="42" t="str">
        <x:v>Damaged while berthed</x:v>
      </x:c>
      <x:c r="U561" s="42" t="str"/>
      <x:c r="V561" s="42" t="str"/>
      <x:c r="W561" s="42" t="str"/>
      <x:c r="X561" s="42" t="str"/>
      <x:c r="Y561" s="42" t="str"/>
      <x:c r="Z561" s="42" t="str">
        <x:v>Medium</x:v>
      </x:c>
      <x:c r="AA561" s="42" t="str">
        <x:v>https://www.blackseanews.net/en/read/247386</x:v>
      </x:c>
      <x:c r="AB561" s="42" t="str">
        <x:v>Needs canonical event resolution</x:v>
      </x:c>
      <x:c r="AC561" s="42" t="str"/>
    </x:row>
    <x:row r="562">
      <x:c r="A562" s="42" t="str">
        <x:v>OBS_000561</x:v>
      </x:c>
      <x:c r="B562" s="42" t="str"/>
      <x:c r="C562" s="42" t="str">
        <x:v>blacksea_conflict_vessels_2026</x:v>
      </x:c>
      <x:c r="D562" s="42" t="str">
        <x:v>9</x:v>
      </x:c>
      <x:c r="E562" s="42" t="str">
        <x:v>2026-02-12</x:v>
      </x:c>
      <x:c r="F562" s="42" t="str">
        <x:v>Conflict / Security</x:v>
      </x:c>
      <x:c r="G562" s="42" t="str">
        <x:v>Vessel attack</x:v>
      </x:c>
      <x:c r="H562" s="42" t="str">
        <x:v>Unspecified</x:v>
      </x:c>
      <x:c r="I562" s="42" t="str">
        <x:v>Maritime</x:v>
      </x:c>
      <x:c r="J562" s="42" t="str">
        <x:v>Black Sea</x:v>
      </x:c>
      <x:c r="K562" s="42" t="str"/>
      <x:c r="L562" s="42" t="str">
        <x:v>Novoozerne area, occupied Crimea</x:v>
      </x:c>
      <x:c r="M562" s="42" t="str"/>
      <x:c r="N562" s="42" t="str"/>
      <x:c r="O562" s="42" t="str">
        <x:v>BK-16</x:v>
      </x:c>
      <x:c r="P562" s="42" t="str"/>
      <x:c r="Q562" s="42" t="str">
        <x:v>Landing ship / Project 02510</x:v>
      </x:c>
      <x:c r="R562" s="42" t="str">
        <x:v>Ukraine attacking Russian naval assets</x:v>
      </x:c>
      <x:c r="S562" s="42" t="str"/>
      <x:c r="T562" s="42" t="str">
        <x:v>Destroyed</x:v>
      </x:c>
      <x:c r="U562" s="42" t="str"/>
      <x:c r="V562" s="42" t="str"/>
      <x:c r="W562" s="42" t="str"/>
      <x:c r="X562" s="42" t="str"/>
      <x:c r="Y562" s="42" t="str"/>
      <x:c r="Z562" s="42" t="str">
        <x:v>High</x:v>
      </x:c>
      <x:c r="AA562" s="42" t="str">
        <x:v>https://www.blackseanews.net/en/read/242584</x:v>
      </x:c>
      <x:c r="AB562" s="42" t="str">
        <x:v>Needs canonical event resolution</x:v>
      </x:c>
      <x:c r="AC562" s="42" t="str"/>
    </x:row>
    <x:row r="563">
      <x:c r="A563" s="42" t="str">
        <x:v>OBS_000562</x:v>
      </x:c>
      <x:c r="B563" s="42" t="str"/>
      <x:c r="C563" s="42" t="str">
        <x:v>blacksea_conflict_vessels_2026</x:v>
      </x:c>
      <x:c r="D563" s="42" t="str">
        <x:v>10</x:v>
      </x:c>
      <x:c r="E563" s="42" t="str">
        <x:v>2026-02-21</x:v>
      </x:c>
      <x:c r="F563" s="42" t="str">
        <x:v>Conflict / Security</x:v>
      </x:c>
      <x:c r="G563" s="42" t="str">
        <x:v>Vessel attack</x:v>
      </x:c>
      <x:c r="H563" s="42" t="str">
        <x:v>UAV attack</x:v>
      </x:c>
      <x:c r="I563" s="42" t="str">
        <x:v>Maritime</x:v>
      </x:c>
      <x:c r="J563" s="42" t="str">
        <x:v>Black Sea</x:v>
      </x:c>
      <x:c r="K563" s="42" t="str"/>
      <x:c r="L563" s="42" t="str">
        <x:v>Inkerman area, occupied Crimea</x:v>
      </x:c>
      <x:c r="M563" s="42" t="str"/>
      <x:c r="N563" s="42" t="str"/>
      <x:c r="O563" s="42" t="str">
        <x:v>Two Project 22460 Okhotnik patrol ships</x:v>
      </x:c>
      <x:c r="P563" s="42" t="str"/>
      <x:c r="Q563" s="42" t="str">
        <x:v>Border guard patrol ships</x:v>
      </x:c>
      <x:c r="R563" s="42" t="str">
        <x:v>Ukraine attacking Russian naval assets</x:v>
      </x:c>
      <x:c r="S563" s="42" t="str">
        <x:v>2 vessels</x:v>
      </x:c>
      <x:c r="T563" s="42" t="str">
        <x:v>Hit</x:v>
      </x:c>
      <x:c r="U563" s="42" t="str"/>
      <x:c r="V563" s="42" t="str"/>
      <x:c r="W563" s="42" t="str"/>
      <x:c r="X563" s="42" t="str"/>
      <x:c r="Y563" s="42" t="str"/>
      <x:c r="Z563" s="42" t="str">
        <x:v>High</x:v>
      </x:c>
      <x:c r="AA563" s="42" t="str">
        <x:v>https://www.blackseanews.net/en/read/242584</x:v>
      </x:c>
      <x:c r="AB563" s="42" t="str">
        <x:v>Needs canonical event resolution</x:v>
      </x:c>
      <x:c r="AC563" s="42" t="str"/>
    </x:row>
    <x:row r="564">
      <x:c r="A564" s="42" t="str">
        <x:v>OBS_000563</x:v>
      </x:c>
      <x:c r="B564" s="42" t="str"/>
      <x:c r="C564" s="42" t="str">
        <x:v>blacksea_conflict_vessels_2026</x:v>
      </x:c>
      <x:c r="D564" s="42" t="str">
        <x:v>11</x:v>
      </x:c>
      <x:c r="E564" s="42" t="str">
        <x:v>2026-03-02</x:v>
      </x:c>
      <x:c r="F564" s="42" t="str">
        <x:v>Conflict / Security</x:v>
      </x:c>
      <x:c r="G564" s="42" t="str">
        <x:v>Vessel attack</x:v>
      </x:c>
      <x:c r="H564" s="42" t="str">
        <x:v>Ukrainian drones</x:v>
      </x:c>
      <x:c r="I564" s="42" t="str">
        <x:v>Maritime</x:v>
      </x:c>
      <x:c r="J564" s="42" t="str">
        <x:v>Black Sea</x:v>
      </x:c>
      <x:c r="K564" s="42" t="str"/>
      <x:c r="L564" s="42" t="str">
        <x:v>Novorossiysk Naval Base</x:v>
      </x:c>
      <x:c r="M564" s="42" t="str"/>
      <x:c r="N564" s="42" t="str"/>
      <x:c r="O564" s="42" t="str">
        <x:v>ADMIRAL ESSEN</x:v>
      </x:c>
      <x:c r="P564" s="42" t="str"/>
      <x:c r="Q564" s="42" t="str">
        <x:v>Frigate Project 11356R Burevestnik</x:v>
      </x:c>
      <x:c r="R564" s="42" t="str">
        <x:v>Ukraine attacking Russian naval assets</x:v>
      </x:c>
      <x:c r="S564" s="42" t="str"/>
      <x:c r="T564" s="42" t="str">
        <x:v>Damaged</x:v>
      </x:c>
      <x:c r="U564" s="42" t="str"/>
      <x:c r="V564" s="42" t="str"/>
      <x:c r="W564" s="42" t="str"/>
      <x:c r="X564" s="42" t="str"/>
      <x:c r="Y564" s="42" t="str"/>
      <x:c r="Z564" s="42" t="str">
        <x:v>Medium-High</x:v>
      </x:c>
      <x:c r="AA564" s="42" t="str">
        <x:v>https://www.blackseanews.net/en/read/242584</x:v>
      </x:c>
      <x:c r="AB564" s="42" t="str">
        <x:v>Needs canonical event resolution</x:v>
      </x:c>
      <x:c r="AC564" s="42" t="str"/>
    </x:row>
    <x:row r="565">
      <x:c r="A565" s="42" t="str">
        <x:v>OBS_000564</x:v>
      </x:c>
      <x:c r="B565" s="42" t="str"/>
      <x:c r="C565" s="42" t="str">
        <x:v>blacksea_conflict_vessels_2026</x:v>
      </x:c>
      <x:c r="D565" s="42" t="str">
        <x:v>12</x:v>
      </x:c>
      <x:c r="E565" s="42" t="str">
        <x:v>2026-03-02</x:v>
      </x:c>
      <x:c r="F565" s="42" t="str">
        <x:v>Conflict / Security</x:v>
      </x:c>
      <x:c r="G565" s="42" t="str">
        <x:v>Vessel attack</x:v>
      </x:c>
      <x:c r="H565" s="42" t="str">
        <x:v>Ukrainian drones</x:v>
      </x:c>
      <x:c r="I565" s="42" t="str">
        <x:v>Maritime</x:v>
      </x:c>
      <x:c r="J565" s="42" t="str">
        <x:v>Black Sea</x:v>
      </x:c>
      <x:c r="K565" s="42" t="str"/>
      <x:c r="L565" s="42" t="str">
        <x:v>Novorossiysk Naval Base</x:v>
      </x:c>
      <x:c r="M565" s="42" t="str"/>
      <x:c r="N565" s="42" t="str"/>
      <x:c r="O565" s="42" t="str">
        <x:v>ADMIRAL MAKAROV</x:v>
      </x:c>
      <x:c r="P565" s="42" t="str"/>
      <x:c r="Q565" s="42" t="str">
        <x:v>Frigate Project 11356R Burevestnik</x:v>
      </x:c>
      <x:c r="R565" s="42" t="str">
        <x:v>Ukraine attacking Russian naval assets</x:v>
      </x:c>
      <x:c r="S565" s="42" t="str"/>
      <x:c r="T565" s="42" t="str">
        <x:v>Damaged</x:v>
      </x:c>
      <x:c r="U565" s="42" t="str"/>
      <x:c r="V565" s="42" t="str"/>
      <x:c r="W565" s="42" t="str"/>
      <x:c r="X565" s="42" t="str"/>
      <x:c r="Y565" s="42" t="str"/>
      <x:c r="Z565" s="42" t="str">
        <x:v>Medium-High</x:v>
      </x:c>
      <x:c r="AA565" s="42" t="str">
        <x:v>https://www.blackseanews.net/en/read/242584</x:v>
      </x:c>
      <x:c r="AB565" s="42" t="str">
        <x:v>Needs canonical event resolution</x:v>
      </x:c>
      <x:c r="AC565" s="42" t="str"/>
    </x:row>
    <x:row r="566">
      <x:c r="A566" s="42" t="str">
        <x:v>OBS_000565</x:v>
      </x:c>
      <x:c r="B566" s="42" t="str"/>
      <x:c r="C566" s="42" t="str">
        <x:v>blacksea_conflict_vessels_2026</x:v>
      </x:c>
      <x:c r="D566" s="42" t="str">
        <x:v>13</x:v>
      </x:c>
      <x:c r="E566" s="42" t="str">
        <x:v>2026-03-02</x:v>
      </x:c>
      <x:c r="F566" s="42" t="str">
        <x:v>Conflict / Security</x:v>
      </x:c>
      <x:c r="G566" s="42" t="str">
        <x:v>Vessel attack</x:v>
      </x:c>
      <x:c r="H566" s="42" t="str">
        <x:v>SBU drones</x:v>
      </x:c>
      <x:c r="I566" s="42" t="str">
        <x:v>Maritime</x:v>
      </x:c>
      <x:c r="J566" s="42" t="str">
        <x:v>Black Sea</x:v>
      </x:c>
      <x:c r="K566" s="42" t="str"/>
      <x:c r="L566" s="42" t="str">
        <x:v>Novorossiysk Naval Base</x:v>
      </x:c>
      <x:c r="M566" s="42" t="str"/>
      <x:c r="N566" s="42" t="str"/>
      <x:c r="O566" s="42" t="str">
        <x:v>VALENTIN PIKUL</x:v>
      </x:c>
      <x:c r="P566" s="42" t="str"/>
      <x:c r="Q566" s="42" t="str">
        <x:v>Minesweeper Project 266M Aquamarine-M</x:v>
      </x:c>
      <x:c r="R566" s="42" t="str">
        <x:v>Ukraine attacking Russian naval assets</x:v>
      </x:c>
      <x:c r="S566" s="42" t="str"/>
      <x:c r="T566" s="42" t="str">
        <x:v>Significantly damaged</x:v>
      </x:c>
      <x:c r="U566" s="42" t="str"/>
      <x:c r="V566" s="42" t="str"/>
      <x:c r="W566" s="42" t="str"/>
      <x:c r="X566" s="42" t="str"/>
      <x:c r="Y566" s="42" t="str"/>
      <x:c r="Z566" s="42" t="str">
        <x:v>Medium-High</x:v>
      </x:c>
      <x:c r="AA566" s="42" t="str">
        <x:v>https://www.blackseanews.net/en/read/242584</x:v>
      </x:c>
      <x:c r="AB566" s="42" t="str">
        <x:v>Needs canonical event resolution</x:v>
      </x:c>
      <x:c r="AC566" s="42" t="str"/>
    </x:row>
    <x:row r="567">
      <x:c r="A567" s="42" t="str">
        <x:v>OBS_000566</x:v>
      </x:c>
      <x:c r="B567" s="42" t="str"/>
      <x:c r="C567" s="42" t="str">
        <x:v>blacksea_conflict_vessels_2026</x:v>
      </x:c>
      <x:c r="D567" s="42" t="str">
        <x:v>14</x:v>
      </x:c>
      <x:c r="E567" s="42" t="str">
        <x:v>2026-03-02</x:v>
      </x:c>
      <x:c r="F567" s="42" t="str">
        <x:v>Conflict / Security</x:v>
      </x:c>
      <x:c r="G567" s="42" t="str">
        <x:v>Vessel attack</x:v>
      </x:c>
      <x:c r="H567" s="42" t="str">
        <x:v>SBU drones</x:v>
      </x:c>
      <x:c r="I567" s="42" t="str">
        <x:v>Maritime</x:v>
      </x:c>
      <x:c r="J567" s="42" t="str">
        <x:v>Black Sea</x:v>
      </x:c>
      <x:c r="K567" s="42" t="str"/>
      <x:c r="L567" s="42" t="str">
        <x:v>Novorossiysk Naval Base</x:v>
      </x:c>
      <x:c r="M567" s="42" t="str"/>
      <x:c r="N567" s="42" t="str"/>
      <x:c r="O567" s="42" t="str">
        <x:v>YEYSK</x:v>
      </x:c>
      <x:c r="P567" s="42" t="str"/>
      <x:c r="Q567" s="42" t="str">
        <x:v>Small anti-submarine ship Project 1124 Albatros</x:v>
      </x:c>
      <x:c r="R567" s="42" t="str">
        <x:v>Ukraine attacking Russian naval assets</x:v>
      </x:c>
      <x:c r="S567" s="42" t="str"/>
      <x:c r="T567" s="42" t="str">
        <x:v>Likely damaged</x:v>
      </x:c>
      <x:c r="U567" s="42" t="str"/>
      <x:c r="V567" s="42" t="str"/>
      <x:c r="W567" s="42" t="str"/>
      <x:c r="X567" s="42" t="str"/>
      <x:c r="Y567" s="42" t="str"/>
      <x:c r="Z567" s="42" t="str">
        <x:v>Medium</x:v>
      </x:c>
      <x:c r="AA567" s="42" t="str">
        <x:v>https://www.blackseanews.net/en/read/242584</x:v>
      </x:c>
      <x:c r="AB567" s="42" t="str">
        <x:v>Needs canonical event resolution</x:v>
      </x:c>
      <x:c r="AC567" s="42" t="str"/>
    </x:row>
    <x:row r="568">
      <x:c r="A568" s="42" t="str">
        <x:v>OBS_000567</x:v>
      </x:c>
      <x:c r="B568" s="42" t="str"/>
      <x:c r="C568" s="42" t="str">
        <x:v>blacksea_conflict_vessels_2026</x:v>
      </x:c>
      <x:c r="D568" s="42" t="str">
        <x:v>15</x:v>
      </x:c>
      <x:c r="E568" s="42" t="str">
        <x:v>2026-03-02</x:v>
      </x:c>
      <x:c r="F568" s="42" t="str">
        <x:v>Conflict / Security</x:v>
      </x:c>
      <x:c r="G568" s="42" t="str">
        <x:v>Vessel attack</x:v>
      </x:c>
      <x:c r="H568" s="42" t="str">
        <x:v>SBU drones</x:v>
      </x:c>
      <x:c r="I568" s="42" t="str">
        <x:v>Maritime</x:v>
      </x:c>
      <x:c r="J568" s="42" t="str">
        <x:v>Black Sea</x:v>
      </x:c>
      <x:c r="K568" s="42" t="str"/>
      <x:c r="L568" s="42" t="str">
        <x:v>Novorossiysk Naval Base</x:v>
      </x:c>
      <x:c r="M568" s="42" t="str"/>
      <x:c r="N568" s="42" t="str"/>
      <x:c r="O568" s="42" t="str">
        <x:v>KASIMOV</x:v>
      </x:c>
      <x:c r="P568" s="42" t="str"/>
      <x:c r="Q568" s="42" t="str">
        <x:v>Small anti-submarine ship Project 1124 Albatros</x:v>
      </x:c>
      <x:c r="R568" s="42" t="str">
        <x:v>Ukraine attacking Russian naval assets</x:v>
      </x:c>
      <x:c r="S568" s="42" t="str"/>
      <x:c r="T568" s="42" t="str">
        <x:v>Likely damaged</x:v>
      </x:c>
      <x:c r="U568" s="42" t="str"/>
      <x:c r="V568" s="42" t="str"/>
      <x:c r="W568" s="42" t="str"/>
      <x:c r="X568" s="42" t="str"/>
      <x:c r="Y568" s="42" t="str"/>
      <x:c r="Z568" s="42" t="str">
        <x:v>Medium</x:v>
      </x:c>
      <x:c r="AA568" s="42" t="str">
        <x:v>https://www.blackseanews.net/en/read/242584</x:v>
      </x:c>
      <x:c r="AB568" s="42" t="str">
        <x:v>Needs canonical event resolution</x:v>
      </x:c>
      <x:c r="AC568" s="42" t="str"/>
    </x:row>
    <x:row r="569">
      <x:c r="A569" s="42" t="str">
        <x:v>OBS_000568</x:v>
      </x:c>
      <x:c r="B569" s="42" t="str"/>
      <x:c r="C569" s="42" t="str">
        <x:v>blacksea_conflict_vessels_2026</x:v>
      </x:c>
      <x:c r="D569" s="42" t="str">
        <x:v>16</x:v>
      </x:c>
      <x:c r="E569" s="42" t="str">
        <x:v>2026-03-06</x:v>
      </x:c>
      <x:c r="F569" s="42" t="str">
        <x:v>Conflict / Security</x:v>
      </x:c>
      <x:c r="G569" s="42" t="str">
        <x:v>Vessel attack</x:v>
      </x:c>
      <x:c r="H569" s="42" t="str">
        <x:v>UAV</x:v>
      </x:c>
      <x:c r="I569" s="42" t="str">
        <x:v>Maritime</x:v>
      </x:c>
      <x:c r="J569" s="42" t="str">
        <x:v>Black Sea</x:v>
      </x:c>
      <x:c r="K569" s="42" t="str"/>
      <x:c r="L569" s="42" t="str">
        <x:v>Novoozerne, occupied Crimea</x:v>
      </x:c>
      <x:c r="M569" s="42" t="str"/>
      <x:c r="N569" s="42" t="str"/>
      <x:c r="O569" s="42" t="str">
        <x:v>BK-16</x:v>
      </x:c>
      <x:c r="P569" s="42" t="str"/>
      <x:c r="Q569" s="42" t="str">
        <x:v>Landing ship / Project 02510</x:v>
      </x:c>
      <x:c r="R569" s="42" t="str">
        <x:v>Ukraine attacking Russian naval assets</x:v>
      </x:c>
      <x:c r="S569" s="42" t="str"/>
      <x:c r="T569" s="42" t="str">
        <x:v>Hit</x:v>
      </x:c>
      <x:c r="U569" s="42" t="str"/>
      <x:c r="V569" s="42" t="str"/>
      <x:c r="W569" s="42" t="str"/>
      <x:c r="X569" s="42" t="str"/>
      <x:c r="Y569" s="42" t="str"/>
      <x:c r="Z569" s="42" t="str">
        <x:v>Medium-High</x:v>
      </x:c>
      <x:c r="AA569" s="42" t="str">
        <x:v>https://www.blackseanews.net/en/read/242584</x:v>
      </x:c>
      <x:c r="AB569" s="42" t="str">
        <x:v>Needs canonical event resolution</x:v>
      </x:c>
      <x:c r="AC569" s="42" t="str"/>
    </x:row>
    <x:row r="570">
      <x:c r="A570" s="42" t="str">
        <x:v>OBS_000569</x:v>
      </x:c>
      <x:c r="B570" s="42" t="str"/>
      <x:c r="C570" s="42" t="str">
        <x:v>blacksea_conflict_vessels_2026</x:v>
      </x:c>
      <x:c r="D570" s="42" t="str">
        <x:v>17</x:v>
      </x:c>
      <x:c r="E570" s="42" t="str">
        <x:v>2026-04-06</x:v>
      </x:c>
      <x:c r="F570" s="42" t="str">
        <x:v>Conflict / Security</x:v>
      </x:c>
      <x:c r="G570" s="42" t="str">
        <x:v>Vessel attack</x:v>
      </x:c>
      <x:c r="H570" s="42" t="str">
        <x:v>Unmanned Systems Forces strike</x:v>
      </x:c>
      <x:c r="I570" s="42" t="str">
        <x:v>Maritime</x:v>
      </x:c>
      <x:c r="J570" s="42" t="str">
        <x:v>Black Sea</x:v>
      </x:c>
      <x:c r="K570" s="42" t="str"/>
      <x:c r="L570" s="42" t="str">
        <x:v>Port of Novorossiysk</x:v>
      </x:c>
      <x:c r="M570" s="42" t="str"/>
      <x:c r="N570" s="42" t="str"/>
      <x:c r="O570" s="42" t="str">
        <x:v>ADMIRAL MAKAROV</x:v>
      </x:c>
      <x:c r="P570" s="42" t="str"/>
      <x:c r="Q570" s="42" t="str">
        <x:v>Frigate Project 11356R Burevestnik</x:v>
      </x:c>
      <x:c r="R570" s="42" t="str">
        <x:v>Ukraine attacking Russian naval assets</x:v>
      </x:c>
      <x:c r="S570" s="42" t="str">
        <x:v>Kalibr carrier / Shtil-1 air defence vessel</x:v>
      </x:c>
      <x:c r="T570" s="42" t="str">
        <x:v>Hit</x:v>
      </x:c>
      <x:c r="U570" s="42" t="str"/>
      <x:c r="V570" s="42" t="str"/>
      <x:c r="W570" s="42" t="str"/>
      <x:c r="X570" s="42" t="str"/>
      <x:c r="Y570" s="42" t="str"/>
      <x:c r="Z570" s="42" t="str">
        <x:v>High</x:v>
      </x:c>
      <x:c r="AA570" s="42" t="str">
        <x:v>https://www.blackseanews.net/en/read/242584</x:v>
      </x:c>
      <x:c r="AB570" s="42" t="str">
        <x:v>Needs canonical event resolution</x:v>
      </x:c>
      <x:c r="AC570" s="42" t="str"/>
    </x:row>
    <x:row r="571">
      <x:c r="A571" s="42" t="str">
        <x:v>OBS_000570</x:v>
      </x:c>
      <x:c r="B571" s="42" t="str"/>
      <x:c r="C571" s="42" t="str">
        <x:v>blacksea_port_attacks_2026</x:v>
      </x:c>
      <x:c r="D571" s="42" t="str">
        <x:v>1</x:v>
      </x:c>
      <x:c r="E571" s="42" t="str">
        <x:v>2026-01-01</x:v>
      </x:c>
      <x:c r="F571" s="42" t="str">
        <x:v>Conflict / Security</x:v>
      </x:c>
      <x:c r="G571" s="42" t="str">
        <x:v>Port attack</x:v>
      </x:c>
      <x:c r="H571" s="42" t="str">
        <x:v>Shahed UAVs and other types</x:v>
      </x:c>
      <x:c r="I571" s="42" t="str">
        <x:v>Port / Terminal</x:v>
      </x:c>
      <x:c r="J571" s="42" t="str">
        <x:v>Black Sea</x:v>
      </x:c>
      <x:c r="K571" s="42" t="str">
        <x:v>Ukraine</x:v>
      </x:c>
      <x:c r="L571" s="42" t="str">
        <x:v>Port of Odesa; Port of Izmail</x:v>
      </x:c>
      <x:c r="M571" s="42" t="str"/>
      <x:c r="N571" s="42" t="str"/>
      <x:c r="O571" s="42" t="str">
        <x:v>Port infrastructure</x:v>
      </x:c>
      <x:c r="P571" s="42" t="str"/>
      <x:c r="Q571" s="42" t="str">
        <x:v>Port / infrastructure</x:v>
      </x:c>
      <x:c r="R571" s="42" t="str"/>
      <x:c r="S571" s="42" t="str">
        <x:v>Port equipment, vehicles and infrastructure damaged in Odesa; berths and equipment damaged at Izmail</x:v>
      </x:c>
      <x:c r="T571" s="42" t="str">
        <x:v>Port equipment, vehicles and infrastructure damaged in Odesa; berths and equipment damaged at Izmail</x:v>
      </x:c>
      <x:c r="U571" s="42" t="str"/>
      <x:c r="V571" s="42" t="str"/>
      <x:c r="W571" s="42" t="str"/>
      <x:c r="X571" s="42" t="str"/>
      <x:c r="Y571" s="42" t="str"/>
      <x:c r="Z571" s="42" t="str"/>
      <x:c r="AA571" s="42" t="str">
        <x:v>https://www.blackseanews.net/en/read/247386</x:v>
      </x:c>
      <x:c r="AB571" s="42" t="str">
        <x:v>Needs canonical event resolution</x:v>
      </x:c>
      <x:c r="AC571" s="42" t="str">
        <x:v>Vessels involved: </x:v>
      </x:c>
    </x:row>
    <x:row r="572">
      <x:c r="A572" s="42" t="str">
        <x:v>OBS_000571</x:v>
      </x:c>
      <x:c r="B572" s="42" t="str"/>
      <x:c r="C572" s="42" t="str">
        <x:v>blacksea_port_attacks_2026</x:v>
      </x:c>
      <x:c r="D572" s="42" t="str">
        <x:v>2</x:v>
      </x:c>
      <x:c r="E572" s="42" t="str">
        <x:v>2026-01-07</x:v>
      </x:c>
      <x:c r="F572" s="42" t="str">
        <x:v>Conflict / Security</x:v>
      </x:c>
      <x:c r="G572" s="42" t="str">
        <x:v>Port attack</x:v>
      </x:c>
      <x:c r="H572" s="42" t="str">
        <x:v>2 Iskander-M BMs; &gt;=15 UAVs</x:v>
      </x:c>
      <x:c r="I572" s="42" t="str">
        <x:v>Port / Terminal</x:v>
      </x:c>
      <x:c r="J572" s="42" t="str">
        <x:v>Black Sea</x:v>
      </x:c>
      <x:c r="K572" s="42" t="str">
        <x:v>Ukraine</x:v>
      </x:c>
      <x:c r="L572" s="42" t="str">
        <x:v>Port of Chornomorsk; Pivdennyi Port</x:v>
      </x:c>
      <x:c r="M572" s="42" t="str"/>
      <x:c r="N572" s="42" t="str"/>
      <x:c r="O572" s="42" t="str">
        <x:v>Port infrastructure</x:v>
      </x:c>
      <x:c r="P572" s="42" t="str"/>
      <x:c r="Q572" s="42" t="str">
        <x:v>Port / infrastructure</x:v>
      </x:c>
      <x:c r="R572" s="42" t="str"/>
      <x:c r="S572" s="42" t="str">
        <x:v>Chornomorsk oil containers caught fire; Pivdennyi administrative buildings and infrastructure damaged</x:v>
      </x:c>
      <x:c r="T572" s="42" t="str">
        <x:v>Chornomorsk oil containers caught fire; Pivdennyi administrative buildings and infrastructure damaged</x:v>
      </x:c>
      <x:c r="U572" s="42" t="str">
        <x:v>2</x:v>
      </x:c>
      <x:c r="V572" s="42" t="str">
        <x:v>10</x:v>
      </x:c>
      <x:c r="W572" s="42" t="str"/>
      <x:c r="X572" s="42" t="str"/>
      <x:c r="Y572" s="42" t="str"/>
      <x:c r="Z572" s="42" t="str"/>
      <x:c r="AA572" s="42" t="str">
        <x:v>https://www.blackseanews.net/en/read/247386</x:v>
      </x:c>
      <x:c r="AB572" s="42" t="str">
        <x:v>Needs canonical event resolution</x:v>
      </x:c>
      <x:c r="AC572" s="42" t="str">
        <x:v>Vessels involved: </x:v>
      </x:c>
    </x:row>
    <x:row r="573">
      <x:c r="A573" s="42" t="str">
        <x:v>OBS_000572</x:v>
      </x:c>
      <x:c r="B573" s="42" t="str"/>
      <x:c r="C573" s="42" t="str">
        <x:v>blacksea_port_attacks_2026</x:v>
      </x:c>
      <x:c r="D573" s="42" t="str">
        <x:v>3</x:v>
      </x:c>
      <x:c r="E573" s="42" t="str">
        <x:v>2026-01-08</x:v>
      </x:c>
      <x:c r="F573" s="42" t="str">
        <x:v>Conflict / Security</x:v>
      </x:c>
      <x:c r="G573" s="42" t="str">
        <x:v>Port attack</x:v>
      </x:c>
      <x:c r="H573" s="42" t="str">
        <x:v>UAVs; 4 guided aerial bombs</x:v>
      </x:c>
      <x:c r="I573" s="42" t="str">
        <x:v>Port / Terminal</x:v>
      </x:c>
      <x:c r="J573" s="42" t="str">
        <x:v>Black Sea</x:v>
      </x:c>
      <x:c r="K573" s="42" t="str">
        <x:v>Ukraine</x:v>
      </x:c>
      <x:c r="L573" s="42" t="str">
        <x:v>Likely Port of Chornomorsk</x:v>
      </x:c>
      <x:c r="M573" s="42" t="str"/>
      <x:c r="N573" s="42" t="str"/>
      <x:c r="O573" s="42" t="str">
        <x:v>Port and transport infrastructure</x:v>
      </x:c>
      <x:c r="P573" s="42" t="str"/>
      <x:c r="Q573" s="42" t="str">
        <x:v>Port / infrastructure</x:v>
      </x:c>
      <x:c r="R573" s="42" t="str"/>
      <x:c r="S573" s="42" t="str">
        <x:v>Oil storage tank damaged; GBUs failed to reach targets</x:v>
      </x:c>
      <x:c r="T573" s="42" t="str">
        <x:v>Oil storage tank damaged; GBUs failed to reach targets</x:v>
      </x:c>
      <x:c r="U573" s="42" t="str">
        <x:v>0</x:v>
      </x:c>
      <x:c r="V573" s="42" t="str">
        <x:v>0</x:v>
      </x:c>
      <x:c r="W573" s="42" t="str"/>
      <x:c r="X573" s="42" t="str"/>
      <x:c r="Y573" s="42" t="str"/>
      <x:c r="Z573" s="42" t="str"/>
      <x:c r="AA573" s="42" t="str">
        <x:v>https://www.blackseanews.net/en/read/247386</x:v>
      </x:c>
      <x:c r="AB573" s="42" t="str">
        <x:v>Needs canonical event resolution</x:v>
      </x:c>
      <x:c r="AC573" s="42" t="str">
        <x:v>Vessels involved: </x:v>
      </x:c>
    </x:row>
    <x:row r="574">
      <x:c r="A574" s="42" t="str">
        <x:v>OBS_000573</x:v>
      </x:c>
      <x:c r="B574" s="42" t="str"/>
      <x:c r="C574" s="42" t="str">
        <x:v>blacksea_port_attacks_2026</x:v>
      </x:c>
      <x:c r="D574" s="42" t="str">
        <x:v>4</x:v>
      </x:c>
      <x:c r="E574" s="42" t="str">
        <x:v>2026-01-09</x:v>
      </x:c>
      <x:c r="F574" s="42" t="str">
        <x:v>Conflict / Security</x:v>
      </x:c>
      <x:c r="G574" s="42" t="str">
        <x:v>Port attack</x:v>
      </x:c>
      <x:c r="H574" s="42" t="str">
        <x:v>UAVs</x:v>
      </x:c>
      <x:c r="I574" s="42" t="str">
        <x:v>Port / Terminal</x:v>
      </x:c>
      <x:c r="J574" s="42" t="str">
        <x:v>Black Sea</x:v>
      </x:c>
      <x:c r="K574" s="42" t="str">
        <x:v>Ukraine</x:v>
      </x:c>
      <x:c r="L574" s="42" t="str">
        <x:v>Chornomorsk and Odesa</x:v>
      </x:c>
      <x:c r="M574" s="42" t="str"/>
      <x:c r="N574" s="42" t="str"/>
      <x:c r="O574" s="42" t="str">
        <x:v>Port infrastructure and civilian vessels</x:v>
      </x:c>
      <x:c r="P574" s="42" t="str"/>
      <x:c r="Q574" s="42" t="str">
        <x:v>Port / infrastructure</x:v>
      </x:c>
      <x:c r="R574" s="42" t="str"/>
      <x:c r="S574" s="42" t="str">
        <x:v>WAEL K hit en route to Chornomorsk; LADONNA struck near Odesa while loading soybeans</x:v>
      </x:c>
      <x:c r="T574" s="42" t="str">
        <x:v>WAEL K hit en route to Chornomorsk; LADONNA struck near Odesa while loading soybeans</x:v>
      </x:c>
      <x:c r="U574" s="42" t="str">
        <x:v>1</x:v>
      </x:c>
      <x:c r="V574" s="42" t="str">
        <x:v>1</x:v>
      </x:c>
      <x:c r="W574" s="42" t="str"/>
      <x:c r="X574" s="42" t="str"/>
      <x:c r="Y574" s="42" t="str"/>
      <x:c r="Z574" s="42" t="str"/>
      <x:c r="AA574" s="42" t="str">
        <x:v>https://www.blackseanews.net/en/read/247386</x:v>
      </x:c>
      <x:c r="AB574" s="42" t="str">
        <x:v>Needs canonical event resolution</x:v>
      </x:c>
      <x:c r="AC574" s="42" t="str">
        <x:v>Vessels involved: WAEL K; LADONNA</x:v>
      </x:c>
    </x:row>
    <x:row r="575">
      <x:c r="A575" s="42" t="str">
        <x:v>OBS_000574</x:v>
      </x:c>
      <x:c r="B575" s="42" t="str"/>
      <x:c r="C575" s="42" t="str">
        <x:v>blacksea_port_attacks_2026</x:v>
      </x:c>
      <x:c r="D575" s="42" t="str">
        <x:v>5</x:v>
      </x:c>
      <x:c r="E575" s="42" t="str">
        <x:v>2026-01-10</x:v>
      </x:c>
      <x:c r="F575" s="42" t="str">
        <x:v>Conflict / Security</x:v>
      </x:c>
      <x:c r="G575" s="42" t="str">
        <x:v>Port attack</x:v>
      </x:c>
      <x:c r="H575" s="42" t="str">
        <x:v>UAVs</x:v>
      </x:c>
      <x:c r="I575" s="42" t="str">
        <x:v>Port / Terminal</x:v>
      </x:c>
      <x:c r="J575" s="42" t="str">
        <x:v>Black Sea</x:v>
      </x:c>
      <x:c r="K575" s="42" t="str">
        <x:v>Ukraine</x:v>
      </x:c>
      <x:c r="L575" s="42" t="str">
        <x:v>Odesa district / unspecified port</x:v>
      </x:c>
      <x:c r="M575" s="42" t="str"/>
      <x:c r="N575" s="42" t="str"/>
      <x:c r="O575" s="42" t="str">
        <x:v>Port infrastructure</x:v>
      </x:c>
      <x:c r="P575" s="42" t="str"/>
      <x:c r="Q575" s="42" t="str">
        <x:v>Port / infrastructure</x:v>
      </x:c>
      <x:c r="R575" s="42" t="str"/>
      <x:c r="S575" s="42" t="str">
        <x:v>Empty storage tank damaged; insulation caught fire</x:v>
      </x:c>
      <x:c r="T575" s="42" t="str">
        <x:v>Empty storage tank damaged; insulation caught fire</x:v>
      </x:c>
      <x:c r="U575" s="42" t="str">
        <x:v>0</x:v>
      </x:c>
      <x:c r="V575" s="42" t="str">
        <x:v>0</x:v>
      </x:c>
      <x:c r="W575" s="42" t="str"/>
      <x:c r="X575" s="42" t="str"/>
      <x:c r="Y575" s="42" t="str"/>
      <x:c r="Z575" s="42" t="str"/>
      <x:c r="AA575" s="42" t="str">
        <x:v>https://www.blackseanews.net/en/read/247386</x:v>
      </x:c>
      <x:c r="AB575" s="42" t="str">
        <x:v>Needs canonical event resolution</x:v>
      </x:c>
      <x:c r="AC575" s="42" t="str">
        <x:v>Vessels involved: </x:v>
      </x:c>
    </x:row>
    <x:row r="576">
      <x:c r="A576" s="42" t="str">
        <x:v>OBS_000575</x:v>
      </x:c>
      <x:c r="B576" s="42" t="str"/>
      <x:c r="C576" s="42" t="str">
        <x:v>blacksea_port_attacks_2026</x:v>
      </x:c>
      <x:c r="D576" s="42" t="str">
        <x:v>6</x:v>
      </x:c>
      <x:c r="E576" s="42" t="str">
        <x:v>2026-01-12</x:v>
      </x:c>
      <x:c r="F576" s="42" t="str">
        <x:v>Conflict / Security</x:v>
      </x:c>
      <x:c r="G576" s="42" t="str">
        <x:v>Port attack</x:v>
      </x:c>
      <x:c r="H576" s="42" t="str">
        <x:v>~10 UAVs</x:v>
      </x:c>
      <x:c r="I576" s="42" t="str">
        <x:v>Port / Terminal</x:v>
      </x:c>
      <x:c r="J576" s="42" t="str">
        <x:v>Black Sea</x:v>
      </x:c>
      <x:c r="K576" s="42" t="str">
        <x:v>Ukraine</x:v>
      </x:c>
      <x:c r="L576" s="42" t="str">
        <x:v>Port of Chornomorsk / Odesa district</x:v>
      </x:c>
      <x:c r="M576" s="42" t="str"/>
      <x:c r="N576" s="42" t="str"/>
      <x:c r="O576" s="42" t="str">
        <x:v>Port infrastructure and vessels</x:v>
      </x:c>
      <x:c r="P576" s="42" t="str"/>
      <x:c r="Q576" s="42" t="str">
        <x:v>Port / infrastructure</x:v>
      </x:c>
      <x:c r="R576" s="42" t="str"/>
      <x:c r="S576" s="42" t="str">
        <x:v>ATA VOYAGER superstructure hit; BLUE BEAD struck while departing</x:v>
      </x:c>
      <x:c r="T576" s="42" t="str">
        <x:v>ATA VOYAGER superstructure hit; BLUE BEAD struck while departing</x:v>
      </x:c>
      <x:c r="U576" s="42" t="str">
        <x:v>0</x:v>
      </x:c>
      <x:c r="V576" s="42" t="str">
        <x:v>1</x:v>
      </x:c>
      <x:c r="W576" s="42" t="str"/>
      <x:c r="X576" s="42" t="str"/>
      <x:c r="Y576" s="42" t="str"/>
      <x:c r="Z576" s="42" t="str"/>
      <x:c r="AA576" s="42" t="str">
        <x:v>https://www.blackseanews.net/en/read/247386</x:v>
      </x:c>
      <x:c r="AB576" s="42" t="str">
        <x:v>Needs canonical event resolution</x:v>
      </x:c>
      <x:c r="AC576" s="42" t="str">
        <x:v>Vessels involved: ATA VOYAGER; BLUE BEAD</x:v>
      </x:c>
    </x:row>
    <x:row r="577">
      <x:c r="A577" s="42" t="str">
        <x:v>OBS_000576</x:v>
      </x:c>
      <x:c r="B577" s="42" t="str"/>
      <x:c r="C577" s="42" t="str">
        <x:v>blacksea_port_attacks_2026</x:v>
      </x:c>
      <x:c r="D577" s="42" t="str">
        <x:v>7</x:v>
      </x:c>
      <x:c r="E577" s="42" t="str">
        <x:v>2026-01-15</x:v>
      </x:c>
      <x:c r="F577" s="42" t="str">
        <x:v>Conflict / Security</x:v>
      </x:c>
      <x:c r="G577" s="42" t="str">
        <x:v>Port attack</x:v>
      </x:c>
      <x:c r="H577" s="42" t="str">
        <x:v>1 Iskander-M BM</x:v>
      </x:c>
      <x:c r="I577" s="42" t="str">
        <x:v>Port / Terminal</x:v>
      </x:c>
      <x:c r="J577" s="42" t="str">
        <x:v>Black Sea</x:v>
      </x:c>
      <x:c r="K577" s="42" t="str">
        <x:v>Ukraine</x:v>
      </x:c>
      <x:c r="L577" s="42" t="str">
        <x:v>Port of Chornomorsk</x:v>
      </x:c>
      <x:c r="M577" s="42" t="str"/>
      <x:c r="N577" s="42" t="str"/>
      <x:c r="O577" s="42" t="str">
        <x:v>Container pier / civilian vessel</x:v>
      </x:c>
      <x:c r="P577" s="42" t="str"/>
      <x:c r="Q577" s="42" t="str">
        <x:v>Port / infrastructure</x:v>
      </x:c>
      <x:c r="R577" s="42" t="str"/>
      <x:c r="S577" s="42" t="str">
        <x:v>Missile hit container pier area; fire; 3 containers damaged; oil spill</x:v>
      </x:c>
      <x:c r="T577" s="42" t="str">
        <x:v>Missile hit container pier area; fire; 3 containers damaged; oil spill</x:v>
      </x:c>
      <x:c r="U577" s="42" t="str">
        <x:v>0</x:v>
      </x:c>
      <x:c r="V577" s="42" t="str">
        <x:v>1</x:v>
      </x:c>
      <x:c r="W577" s="42" t="str"/>
      <x:c r="X577" s="42" t="str"/>
      <x:c r="Y577" s="42" t="str"/>
      <x:c r="Z577" s="42" t="str"/>
      <x:c r="AA577" s="42" t="str">
        <x:v>https://www.blackseanews.net/en/read/247386</x:v>
      </x:c>
      <x:c r="AB577" s="42" t="str">
        <x:v>Needs canonical event resolution</x:v>
      </x:c>
      <x:c r="AC577" s="42" t="str">
        <x:v>Vessels involved: Unidentified Malta-flag civilian vessel</x:v>
      </x:c>
    </x:row>
    <x:row r="578">
      <x:c r="A578" s="42" t="str">
        <x:v>OBS_000577</x:v>
      </x:c>
      <x:c r="B578" s="42" t="str"/>
      <x:c r="C578" s="42" t="str">
        <x:v>blacksea_port_attacks_2026</x:v>
      </x:c>
      <x:c r="D578" s="42" t="str">
        <x:v>8</x:v>
      </x:c>
      <x:c r="E578" s="42" t="str">
        <x:v>2026-01-27</x:v>
      </x:c>
      <x:c r="F578" s="42" t="str">
        <x:v>Conflict / Security</x:v>
      </x:c>
      <x:c r="G578" s="42" t="str">
        <x:v>Port attack</x:v>
      </x:c>
      <x:c r="H578" s="42" t="str">
        <x:v>UAVs</x:v>
      </x:c>
      <x:c r="I578" s="42" t="str">
        <x:v>Port / Terminal</x:v>
      </x:c>
      <x:c r="J578" s="42" t="str">
        <x:v>Black Sea</x:v>
      </x:c>
      <x:c r="K578" s="42" t="str">
        <x:v>Ukraine</x:v>
      </x:c>
      <x:c r="L578" s="42" t="str">
        <x:v>Pivdennyi Port</x:v>
      </x:c>
      <x:c r="M578" s="42" t="str"/>
      <x:c r="N578" s="42" t="str"/>
      <x:c r="O578" s="42" t="str">
        <x:v>Port, rail and civilian infrastructure</x:v>
      </x:c>
      <x:c r="P578" s="42" t="str"/>
      <x:c r="Q578" s="42" t="str">
        <x:v>Port / infrastructure</x:v>
      </x:c>
      <x:c r="R578" s="42" t="str"/>
      <x:c r="S578" s="42" t="str">
        <x:v>Logistics elements destroyed; hangars, locomotive and industrial buildings damaged</x:v>
      </x:c>
      <x:c r="T578" s="42" t="str">
        <x:v>Logistics elements destroyed; hangars, locomotive and industrial buildings damaged</x:v>
      </x:c>
      <x:c r="U578" s="42" t="str"/>
      <x:c r="V578" s="42" t="str"/>
      <x:c r="W578" s="42" t="str"/>
      <x:c r="X578" s="42" t="str"/>
      <x:c r="Y578" s="42" t="str"/>
      <x:c r="Z578" s="42" t="str"/>
      <x:c r="AA578" s="42" t="str">
        <x:v>https://www.blackseanews.net/en/read/247386</x:v>
      </x:c>
      <x:c r="AB578" s="42" t="str">
        <x:v>Needs canonical event resolution</x:v>
      </x:c>
      <x:c r="AC578" s="42" t="str">
        <x:v>Vessels involved: </x:v>
      </x:c>
    </x:row>
    <x:row r="579">
      <x:c r="A579" s="42" t="str">
        <x:v>OBS_000578</x:v>
      </x:c>
      <x:c r="B579" s="42" t="str"/>
      <x:c r="C579" s="42" t="str">
        <x:v>external_disruptions_v1</x:v>
      </x:c>
      <x:c r="D579" s="42" t="str">
        <x:v>EXT_0001</x:v>
      </x:c>
      <x:c r="E579" s="42" t="str">
        <x:v>2026-09-06</x:v>
      </x:c>
      <x:c r="F579" s="42" t="str">
        <x:v>Natural Hazard</x:v>
      </x:c>
      <x:c r="G579" s="42" t="str">
        <x:v>Volcanic eruption / ash</x:v>
      </x:c>
      <x:c r="H579" s="42" t="str"/>
      <x:c r="I579" s="42" t="str">
        <x:v>Multimodal</x:v>
      </x:c>
      <x:c r="J579" s="42" t="str"/>
      <x:c r="K579" s="42" t="str">
        <x:v>Indonesia</x:v>
      </x:c>
      <x:c r="L579" s="42" t="str">
        <x:v>Jakarta / Lampung / West Java / Sunda Strait</x:v>
      </x:c>
      <x:c r="M579" s="42" t="str"/>
      <x:c r="N579" s="42" t="str"/>
      <x:c r="O579" s="42" t="str">
        <x:v>Anak Krakatau eruption</x:v>
      </x:c>
      <x:c r="P579" s="42" t="str"/>
      <x:c r="Q579" s="42" t="str">
        <x:v>Airports / air cargo / ferries / fishing</x:v>
      </x:c>
      <x:c r="R579" s="42" t="str"/>
      <x:c r="S579" s="42" t="str">
        <x:v>Volcanic ash forced suspension of operations at eight Indonesian airports; ferry operations in the Sunda Strait continued with caution and fishing activity was halted.</x:v>
      </x:c>
      <x:c r="T579" s="42" t="str"/>
      <x:c r="U579" s="42" t="str"/>
      <x:c r="V579" s="42" t="str"/>
      <x:c r="W579" s="42" t="str">
        <x:v>Airport closures; flight cancellations; air-cargo interruption; maritime caution</x:v>
      </x:c>
      <x:c r="X579" s="42" t="str"/>
      <x:c r="Y579" s="42" t="str">
        <x:v>Active / developing</x:v>
      </x:c>
      <x:c r="Z579" s="42" t="str">
        <x:v>High</x:v>
      </x:c>
      <x:c r="AA579" s="42" t="str">
        <x:v>https://www.reuters.com/business/environment/indonesias-jakarta-airport-suspends-flights-due-ash-mount-anak-krakatau-2026-09-06/ | https://www.powerncorridors.com/regional-logistics-alert-06-sept-2026-indonesia-sunda-strait/</x:v>
      </x:c>
      <x:c r="AB579" s="42" t="str">
        <x:v>Needs canonical event resolution</x:v>
      </x:c>
      <x:c r="AC579" s="42" t="str">
        <x:v>Seed cross-domain disruption event for weather/labour/civil-unrest/natural-hazard model.</x:v>
      </x:c>
    </x:row>
    <x:row r="580">
      <x:c r="A580" s="42" t="str">
        <x:v>OBS_000579</x:v>
      </x:c>
      <x:c r="B580" s="42" t="str"/>
      <x:c r="C580" s="42" t="str">
        <x:v>external_disruptions_v1</x:v>
      </x:c>
      <x:c r="D580" s="42" t="str">
        <x:v>EXT_0002</x:v>
      </x:c>
      <x:c r="E580" s="42" t="str">
        <x:v>2026-09-02</x:v>
      </x:c>
      <x:c r="F580" s="42" t="str">
        <x:v>Labour / Industrial Action</x:v>
      </x:c>
      <x:c r="G580" s="42" t="str">
        <x:v>Port strike</x:v>
      </x:c>
      <x:c r="H580" s="42" t="str"/>
      <x:c r="I580" s="42" t="str">
        <x:v>Maritime / Port / Inland</x:v>
      </x:c>
      <x:c r="J580" s="42" t="str"/>
      <x:c r="K580" s="42" t="str">
        <x:v>Germany / Netherlands</x:v>
      </x:c>
      <x:c r="L580" s="42" t="str">
        <x:v>Northern European ports</x:v>
      </x:c>
      <x:c r="M580" s="42" t="str"/>
      <x:c r="N580" s="42" t="str"/>
      <x:c r="O580" s="42" t="str">
        <x:v>German and Dutch port industrial action</x:v>
      </x:c>
      <x:c r="P580" s="42" t="str"/>
      <x:c r="Q580" s="42" t="str">
        <x:v>Ports / terminals / vessel handling / inland cargo</x:v>
      </x:c>
      <x:c r="R580" s="42" t="str"/>
      <x:c r="S580" s="42" t="str">
        <x:v>Sequential industrial action affected German ports and was followed by planned stoppages in Rotterdam, Amsterdam and Zeeland.</x:v>
      </x:c>
      <x:c r="T580" s="42" t="str"/>
      <x:c r="U580" s="42" t="str"/>
      <x:c r="V580" s="42" t="str"/>
      <x:c r="W580" s="42" t="str">
        <x:v>Vessel delay; terminal handling interruption; cargo backlog and congestion displacement risk</x:v>
      </x:c>
      <x:c r="X580" s="42" t="str"/>
      <x:c r="Y580" s="42" t="str">
        <x:v>Active / developing</x:v>
      </x:c>
      <x:c r="Z580" s="42" t="str">
        <x:v>High</x:v>
      </x:c>
      <x:c r="AA580" s="42" t="str">
        <x:v>https://www.powerncorridors.com/regional-trade-alert-04-sept-2026-northern-europe/</x:v>
      </x:c>
      <x:c r="AB580" s="42" t="str">
        <x:v>Needs canonical event resolution</x:v>
      </x:c>
      <x:c r="AC580" s="42" t="str">
        <x:v>Seed cross-domain disruption event for weather/labour/civil-unrest/natural-hazard model.</x:v>
      </x:c>
    </x:row>
    <x:row r="581">
      <x:c r="A581" s="42" t="str">
        <x:v>OBS_000580</x:v>
      </x:c>
      <x:c r="B581" s="42" t="str"/>
      <x:c r="C581" s="42" t="str">
        <x:v>external_disruptions_v1</x:v>
      </x:c>
      <x:c r="D581" s="42" t="str">
        <x:v>EXT_0003</x:v>
      </x:c>
      <x:c r="E581" s="42" t="str">
        <x:v>2026-08-08</x:v>
      </x:c>
      <x:c r="F581" s="42" t="str">
        <x:v>Weather</x:v>
      </x:c>
      <x:c r="G581" s="42" t="str">
        <x:v>Typhoon</x:v>
      </x:c>
      <x:c r="H581" s="42" t="str"/>
      <x:c r="I581" s="42" t="str">
        <x:v>Multimodal</x:v>
      </x:c>
      <x:c r="J581" s="42" t="str"/>
      <x:c r="K581" s="42" t="str">
        <x:v>China / Japan / Taiwan</x:v>
      </x:c>
      <x:c r="L581" s="42" t="str">
        <x:v>Okinawa / Zhejiang / Shanghai / Taiwan Strait</x:v>
      </x:c>
      <x:c r="M581" s="42" t="str"/>
      <x:c r="N581" s="42" t="str"/>
      <x:c r="O581" s="42" t="str">
        <x:v>Typhoon Dolphin</x:v>
      </x:c>
      <x:c r="P581" s="42" t="str"/>
      <x:c r="Q581" s="42" t="str">
        <x:v>Ports / shipping / aviation / rail</x:v>
      </x:c>
      <x:c r="R581" s="42" t="str"/>
      <x:c r="S581" s="42" t="str">
        <x:v>Typhoon Dolphin disrupted Okinawa and triggered Chinese port closures, ferry suspensions, vessel clearances, airport shutdowns and rail restrictions ahead of landfall.</x:v>
      </x:c>
      <x:c r="T581" s="42" t="str"/>
      <x:c r="U581" s="42" t="str"/>
      <x:c r="V581" s="42" t="str"/>
      <x:c r="W581" s="42" t="str">
        <x:v>Port closure; vessel clearance; airport closure; flight cancellation; ferry and rail suspension</x:v>
      </x:c>
      <x:c r="X581" s="42" t="str"/>
      <x:c r="Y581" s="42" t="str">
        <x:v>Closed / precautionary disruption</x:v>
      </x:c>
      <x:c r="Z581" s="42" t="str">
        <x:v>High</x:v>
      </x:c>
      <x:c r="AA581" s="42" t="str">
        <x:v>https://www.reuters.com/business/environment/typhoon-dolphin-hits-japans-okinawa-china-shuts-ports-ahead-landfall-2026-08-08/</x:v>
      </x:c>
      <x:c r="AB581" s="42" t="str">
        <x:v>Needs canonical event resolution</x:v>
      </x:c>
      <x:c r="AC581" s="42" t="str">
        <x:v>Seed cross-domain disruption event for weather/labour/civil-unrest/natural-hazard model.</x:v>
      </x:c>
    </x:row>
    <x:row r="582">
      <x:c r="A582" s="42" t="str">
        <x:v>OBS_000581</x:v>
      </x:c>
      <x:c r="B582" s="42" t="str"/>
      <x:c r="C582" s="42" t="str">
        <x:v>external_disruptions_v1</x:v>
      </x:c>
      <x:c r="D582" s="42" t="str">
        <x:v>EXT_0004</x:v>
      </x:c>
      <x:c r="E582" s="42" t="str">
        <x:v>2026-06-24</x:v>
      </x:c>
      <x:c r="F582" s="42" t="str">
        <x:v>Natural Hazard</x:v>
      </x:c>
      <x:c r="G582" s="42" t="str">
        <x:v>Earthquake</x:v>
      </x:c>
      <x:c r="H582" s="42" t="str"/>
      <x:c r="I582" s="42" t="str">
        <x:v>Aviation / Airport</x:v>
      </x:c>
      <x:c r="J582" s="42" t="str"/>
      <x:c r="K582" s="42" t="str">
        <x:v>Venezuela</x:v>
      </x:c>
      <x:c r="L582" s="42" t="str">
        <x:v>Simón Bolívar International Airport / La Guaira</x:v>
      </x:c>
      <x:c r="M582" s="42" t="str"/>
      <x:c r="N582" s="42" t="str"/>
      <x:c r="O582" s="42" t="str">
        <x:v>Venezuela earthquakes</x:v>
      </x:c>
      <x:c r="P582" s="42" t="str"/>
      <x:c r="Q582" s="42" t="str">
        <x:v>Airport / passenger and cargo aviation</x:v>
      </x:c>
      <x:c r="R582" s="42" t="str"/>
      <x:c r="S582" s="42" t="str">
        <x:v>Two major earthquakes severely damaged airport runways and buildings, closing the country's main airport before partial operations resumed in September.</x:v>
      </x:c>
      <x:c r="T582" s="42" t="str"/>
      <x:c r="U582" s="42" t="str"/>
      <x:c r="V582" s="42" t="str"/>
      <x:c r="W582" s="42" t="str">
        <x:v>Extended airport closure; reduced cargo/passenger capacity; temporary facilities required</x:v>
      </x:c>
      <x:c r="X582" s="42" t="str"/>
      <x:c r="Y582" s="42" t="str">
        <x:v>Recovery / partial reopening</x:v>
      </x:c>
      <x:c r="Z582" s="42" t="str">
        <x:v>High</x:v>
      </x:c>
      <x:c r="AA582" s="42" t="str">
        <x:v>https://apnews.com/article/74144da8c39b41ba7f3559ff3bd264d7</x:v>
      </x:c>
      <x:c r="AB582" s="42" t="str">
        <x:v>Needs canonical event resolution</x:v>
      </x:c>
      <x:c r="AC582" s="42" t="str">
        <x:v>Seed cross-domain disruption event for weather/labour/civil-unrest/natural-hazard model.</x:v>
      </x:c>
    </x:row>
    <x:row r="583">
      <x:c r="A583" s="42" t="str">
        <x:v>OBS_000582</x:v>
      </x:c>
      <x:c r="B583" s="42" t="str"/>
      <x:c r="C583" s="42" t="str">
        <x:v>external_disruptions_v1</x:v>
      </x:c>
      <x:c r="D583" s="42" t="str">
        <x:v>EXT_0005</x:v>
      </x:c>
      <x:c r="E583" s="42" t="str">
        <x:v>2026-09-02</x:v>
      </x:c>
      <x:c r="F583" s="42" t="str">
        <x:v>Civil Unrest / Insecurity</x:v>
      </x:c>
      <x:c r="G583" s="42" t="str">
        <x:v>Gang violence / aviation restriction</x:v>
      </x:c>
      <x:c r="H583" s="42" t="str"/>
      <x:c r="I583" s="42" t="str">
        <x:v>Aviation</x:v>
      </x:c>
      <x:c r="J583" s="42" t="str"/>
      <x:c r="K583" s="42" t="str">
        <x:v>Haiti</x:v>
      </x:c>
      <x:c r="L583" s="42" t="str">
        <x:v>Port-au-Prince / Toussaint Louverture International Airport</x:v>
      </x:c>
      <x:c r="M583" s="42" t="str"/>
      <x:c r="N583" s="42" t="str"/>
      <x:c r="O583" s="42" t="str">
        <x:v>FAA extends Port-au-Prince flight restriction</x:v>
      </x:c>
      <x:c r="P583" s="42" t="str"/>
      <x:c r="Q583" s="42" t="str">
        <x:v>Airport / aviation / air cargo</x:v>
      </x:c>
      <x:c r="R583" s="42" t="str"/>
      <x:c r="S583" s="42" t="str">
        <x:v>Persistent gang violence and prior attacks on aircraft led the FAA to extend restrictions on U.S. commercial and civil aviation over Port-au-Prince.</x:v>
      </x:c>
      <x:c r="T583" s="42" t="str"/>
      <x:c r="U583" s="42" t="str"/>
      <x:c r="V583" s="42" t="str"/>
      <x:c r="W583" s="42" t="str">
        <x:v>Commercial aviation access remains constrained; Port-au-Prince continues to be isolated from normal U.S.-linked air service</x:v>
      </x:c>
      <x:c r="X583" s="42" t="str"/>
      <x:c r="Y583" s="42" t="str">
        <x:v>Active</x:v>
      </x:c>
      <x:c r="Z583" s="42" t="str">
        <x:v>High</x:v>
      </x:c>
      <x:c r="AA583" s="42" t="str">
        <x:v>https://apnews.com/article/70e3aa409fb24c7916568b4d904bfa4a</x:v>
      </x:c>
      <x:c r="AB583" s="42" t="str">
        <x:v>Needs canonical event resolution</x:v>
      </x:c>
      <x:c r="AC583" s="42" t="str">
        <x:v>Seed cross-domain disruption event for weather/labour/civil-unrest/natural-hazard model.</x:v>
      </x:c>
    </x:row>
    <x:row r="584">
      <x:c r="A584" s="42" t="str">
        <x:v>OBS_000583</x:v>
      </x:c>
      <x:c r="B584" s="42" t="str"/>
      <x:c r="C584" s="42" t="str">
        <x:v>external_disruptions_v1</x:v>
      </x:c>
      <x:c r="D584" s="42" t="str">
        <x:v>EXT_0006</x:v>
      </x:c>
      <x:c r="E584" s="42" t="str">
        <x:v>2026-04-13</x:v>
      </x:c>
      <x:c r="F584" s="42" t="str">
        <x:v>Protest / Labour</x:v>
      </x:c>
      <x:c r="G584" s="42" t="str">
        <x:v>Worker protest</x:v>
      </x:c>
      <x:c r="H584" s="42" t="str"/>
      <x:c r="I584" s="42" t="str">
        <x:v>Road / Industrial / Urban logistics</x:v>
      </x:c>
      <x:c r="J584" s="42" t="str"/>
      <x:c r="K584" s="42" t="str">
        <x:v>Haiti</x:v>
      </x:c>
      <x:c r="L584" s="42" t="str">
        <x:v>Port-au-Prince</x:v>
      </x:c>
      <x:c r="M584" s="42" t="str"/>
      <x:c r="N584" s="42" t="str"/>
      <x:c r="O584" s="42" t="str">
        <x:v>Haitian workers protest fuel-price shock</x:v>
      </x:c>
      <x:c r="P584" s="42" t="str"/>
      <x:c r="Q584" s="42" t="str">
        <x:v>Industrial workforce / road movement</x:v>
      </x:c>
      <x:c r="R584" s="42" t="str"/>
      <x:c r="S584" s="42" t="str">
        <x:v>More than 1,000 workers protested for higher wages after sharp fuel-price increases, illustrating how energy shocks can feed into labour and transport pressure.</x:v>
      </x:c>
      <x:c r="T584" s="42" t="str"/>
      <x:c r="U584" s="42" t="str"/>
      <x:c r="V584" s="42" t="str"/>
      <x:c r="W584" s="42" t="str">
        <x:v>Potential production and commuting disruption; indicator of labour and cost-of-living pressure</x:v>
      </x:c>
      <x:c r="X584" s="42" t="str"/>
      <x:c r="Y584" s="42" t="str">
        <x:v>Occurred</x:v>
      </x:c>
      <x:c r="Z584" s="42" t="str">
        <x:v>High</x:v>
      </x:c>
      <x:c r="AA584" s="42" t="str">
        <x:v>https://apnews.com/article/70b2c1166fc63788b36f9341d396e617</x:v>
      </x:c>
      <x:c r="AB584" s="42" t="str">
        <x:v>Needs canonical event resolution</x:v>
      </x:c>
      <x:c r="AC584" s="42" t="str">
        <x:v>Seed cross-domain disruption event for weather/labour/civil-unrest/natural-hazard model.</x:v>
      </x:c>
    </x:row>
    <x:row r="585">
      <x:c r="A585" s="42" t="str">
        <x:v>OBS_000584</x:v>
      </x:c>
      <x:c r="B585" s="42" t="str"/>
      <x:c r="C585" s="42" t="str">
        <x:v>external_disruptions_v1</x:v>
      </x:c>
      <x:c r="D585" s="42" t="str">
        <x:v>EXT_0007</x:v>
      </x:c>
      <x:c r="E585" s="42" t="str">
        <x:v>2026-06-16</x:v>
      </x:c>
      <x:c r="F585" s="42" t="str">
        <x:v>Civil Unrest / Insecurity</x:v>
      </x:c>
      <x:c r="G585" s="42" t="str">
        <x:v>Gang clashes affecting port operations</x:v>
      </x:c>
      <x:c r="H585" s="42" t="str"/>
      <x:c r="I585" s="42" t="str">
        <x:v>Port / Fuel / Road</x:v>
      </x:c>
      <x:c r="J585" s="42" t="str"/>
      <x:c r="K585" s="42" t="str">
        <x:v>Haiti</x:v>
      </x:c>
      <x:c r="L585" s="42" t="str">
        <x:v>Port-au-Prince port / Varreux fuel terminal</x:v>
      </x:c>
      <x:c r="M585" s="42" t="str"/>
      <x:c r="N585" s="42" t="str"/>
      <x:c r="O585" s="42" t="str">
        <x:v>Gang clashes disrupt Port-au-Prince and Varreux operations</x:v>
      </x:c>
      <x:c r="P585" s="42" t="str"/>
      <x:c r="Q585" s="42" t="str">
        <x:v>Port / fuel terminal / cargo trucking</x:v>
      </x:c>
      <x:c r="R585" s="42" t="str"/>
      <x:c r="S585" s="42" t="str">
        <x:v>Armed clashes brought activity at the Port-au-Prince seaport and Varreux fuel terminal close to a standstill, although the port was not formally closed.</x:v>
      </x:c>
      <x:c r="T585" s="42" t="str"/>
      <x:c r="U585" s="42" t="str"/>
      <x:c r="V585" s="42" t="str"/>
      <x:c r="W585" s="42" t="str">
        <x:v>Port and fuel-terminal operations severely constrained; implications for imports, fuel and inland distribution</x:v>
      </x:c>
      <x:c r="X585" s="42" t="str"/>
      <x:c r="Y585" s="42" t="str">
        <x:v>Severely disrupted</x:v>
      </x:c>
      <x:c r="Z585" s="42" t="str">
        <x:v>Moderate / High</x:v>
      </x:c>
      <x:c r="AA585" s="42" t="str">
        <x:v>https://lenouvelliste.com/en/article/268530/escalating-gang-violence-affects-activities-at-the-apn-and-varreux-terminal | https://www.mag.wcoomd.org/magazine/wco-news-110-issue-2-2026/revisiting-haiti/</x:v>
      </x:c>
      <x:c r="AB585" s="42" t="str">
        <x:v>Needs canonical event resolution</x:v>
      </x:c>
      <x:c r="AC585" s="42" t="str">
        <x:v>Seed cross-domain disruption event for weather/labour/civil-unrest/natural-hazard model.</x:v>
      </x:c>
    </x:row>
    <x:row r="586">
      <x:c r="A586" s="42" t="str">
        <x:v>OBS_000585</x:v>
      </x:c>
      <x:c r="B586" s="42" t="str"/>
      <x:c r="C586" s="42" t="str">
        <x:v>external_disruptions_v1</x:v>
      </x:c>
      <x:c r="D586" s="42" t="str">
        <x:v>EXT_0008</x:v>
      </x:c>
      <x:c r="E586" s="42" t="str">
        <x:v>2026-08-26</x:v>
      </x:c>
      <x:c r="F586" s="42" t="str">
        <x:v>Natural Hazard</x:v>
      </x:c>
      <x:c r="G586" s="42" t="str">
        <x:v>Glacial collapse / mudslide</x:v>
      </x:c>
      <x:c r="H586" s="42" t="str"/>
      <x:c r="I586" s="42" t="str">
        <x:v>Land / Border Trade</x:v>
      </x:c>
      <x:c r="J586" s="42" t="str"/>
      <x:c r="K586" s="42" t="str">
        <x:v>China / Nepal</x:v>
      </x:c>
      <x:c r="L586" s="42" t="str">
        <x:v>Gyirong border crossing</x:v>
      </x:c>
      <x:c r="M586" s="42" t="str"/>
      <x:c r="N586" s="42" t="str"/>
      <x:c r="O586" s="42" t="str">
        <x:v>Glacial collapse destroys China-Nepal trade port</x:v>
      </x:c>
      <x:c r="P586" s="42" t="str"/>
      <x:c r="Q586" s="42" t="str">
        <x:v>Border port / customs / road corridor</x:v>
      </x:c>
      <x:c r="R586" s="42" t="str"/>
      <x:c r="S586" s="42" t="str">
        <x:v>A glacial collapse triggered a massive mudslide that destroyed the Gyirong border crossing and customs infrastructure.</x:v>
      </x:c>
      <x:c r="T586" s="42" t="str"/>
      <x:c r="U586" s="42" t="str"/>
      <x:c r="V586" s="42" t="str"/>
      <x:c r="W586" s="42" t="str">
        <x:v>Cross-border trade route physically destroyed; customs and road access lost</x:v>
      </x:c>
      <x:c r="X586" s="42" t="str"/>
      <x:c r="Y586" s="42" t="str">
        <x:v>Closed / destroyed</x:v>
      </x:c>
      <x:c r="Z586" s="42" t="str">
        <x:v>High</x:v>
      </x:c>
      <x:c r="AA586" s="42" t="str">
        <x:v>https://www.reuters.com/world/china/flood-destroyed-china-nepal-border-no-sign-once-busy-port-reuters-witnesses-2026-09-06/</x:v>
      </x:c>
      <x:c r="AB586" s="42" t="str">
        <x:v>Needs canonical event resolution</x:v>
      </x:c>
      <x:c r="AC586" s="42" t="str">
        <x:v>Seed cross-domain disruption event for weather/labour/civil-unrest/natural-hazard model.</x:v>
      </x:c>
    </x:row>
    <x:row r="587">
      <x:c r="A587" s="42" t="str">
        <x:v>OBS_000586</x:v>
      </x:c>
      <x:c r="B587" s="42" t="str"/>
      <x:c r="C587" s="42" t="str">
        <x:v>external_disruptions_v1</x:v>
      </x:c>
      <x:c r="D587" s="42" t="str">
        <x:v>EXT_0009</x:v>
      </x:c>
      <x:c r="E587" s="42" t="str">
        <x:v>2026-09-06</x:v>
      </x:c>
      <x:c r="F587" s="42" t="str">
        <x:v>Transport Accident</x:v>
      </x:c>
      <x:c r="G587" s="42" t="str">
        <x:v>Cargo aircraft runway overrun / crash</x:v>
      </x:c>
      <x:c r="H587" s="42" t="str"/>
      <x:c r="I587" s="42" t="str">
        <x:v>Aviation / Air Cargo</x:v>
      </x:c>
      <x:c r="J587" s="42" t="str"/>
      <x:c r="K587" s="42" t="str">
        <x:v>United States</x:v>
      </x:c>
      <x:c r="L587" s="42" t="str">
        <x:v>Miami International Airport</x:v>
      </x:c>
      <x:c r="M587" s="42" t="str"/>
      <x:c r="N587" s="42" t="str"/>
      <x:c r="O587" s="42" t="str">
        <x:v>Amazon Prime Air cargo aircraft crash</x:v>
      </x:c>
      <x:c r="P587" s="42" t="str"/>
      <x:c r="Q587" s="42" t="str">
        <x:v>Cargo aircraft / airport / runways</x:v>
      </x:c>
      <x:c r="R587" s="42" t="str"/>
      <x:c r="S587" s="42" t="str">
        <x:v>A Boeing 767 freighter operated by 21 Air for Amazon Prime Air overran the runway, causing fatalities, injuries, fuel leakage and substantial flight disruption.</x:v>
      </x:c>
      <x:c r="T587" s="42" t="str"/>
      <x:c r="U587" s="42" t="str"/>
      <x:c r="V587" s="42" t="str"/>
      <x:c r="W587" s="42" t="str">
        <x:v>Runway disruption; cancellations and delays; cargo-aircraft loss; emergency response</x:v>
      </x:c>
      <x:c r="X587" s="42" t="str"/>
      <x:c r="Y587" s="42" t="str">
        <x:v>Recovery</x:v>
      </x:c>
      <x:c r="Z587" s="42" t="str">
        <x:v>High</x:v>
      </x:c>
      <x:c r="AA587" s="42" t="str">
        <x:v>https://www.reuters.com/business/aerospace-defense/amazon-prime-air-boeing-767-overruns-runway-miami-airport-2026-09-06/</x:v>
      </x:c>
      <x:c r="AB587" s="42" t="str">
        <x:v>Needs canonical event resolution</x:v>
      </x:c>
      <x:c r="AC587" s="42" t="str">
        <x:v>Seed cross-domain disruption event for weather/labour/civil-unrest/natural-hazard model.</x:v>
      </x:c>
    </x:row>
    <x:row r="588">
      <x:c r="A588" s="102" t="str">
        <x:v>OBS_000587</x:v>
      </x:c>
      <x:c r="B588" s="102"/>
      <x:c r="C588" s="102" t="str">
        <x:v>external_disruptions_v2</x:v>
      </x:c>
      <x:c r="D588" s="102" t="str">
        <x:v>EXT_0010</x:v>
      </x:c>
      <x:c r="E588" s="102" t="str">
        <x:v>2026-08-09</x:v>
      </x:c>
      <x:c r="F588" s="102" t="str">
        <x:v>Weather</x:v>
      </x:c>
      <x:c r="G588" s="102" t="str">
        <x:v>Drought / extreme low water</x:v>
      </x:c>
      <x:c r="H588" s="102" t="str">
        <x:v>River navigation restriction</x:v>
      </x:c>
      <x:c r="I588" s="102" t="str">
        <x:v>Inland Waterway / Barge / Industrial Logistics</x:v>
      </x:c>
      <x:c r="J588" s="102" t="str">
        <x:v>Europe</x:v>
      </x:c>
      <x:c r="K588" s="102" t="str">
        <x:v>Germany</x:v>
      </x:c>
      <x:c r="L588" s="102" t="str">
        <x:v>Rhine / Kaub</x:v>
      </x:c>
      <x:c r="M588" s="102"/>
      <x:c r="N588" s="102"/>
      <x:c r="O588" s="102" t="str">
        <x:v>Rhine</x:v>
      </x:c>
      <x:c r="P588" s="102"/>
      <x:c r="Q588" s="102" t="str">
        <x:v>Rhine barges / inland terminals / industrial supply chains</x:v>
      </x:c>
      <x:c r="R588" s="102" t="str">
        <x:v>Drought / prolonged heat and limited rainfall</x:v>
      </x:c>
      <x:c r="S588" s="102" t="str">
        <x:v>Critically low Rhine water levels threatened to halt commercial cargo traffic through the Kaub bottleneck and forced vessels to sail part-loaded.</x:v>
      </x:c>
      <x:c r="T588" s="102" t="str">
        <x:v>Observed / partially improving</x:v>
      </x:c>
      <x:c r="U588" s="102"/>
      <x:c r="V588" s="102"/>
      <x:c r="W588" s="102" t="str">
        <x:v>Draft restrictions; reduced cargo lift; more voyages required; cargo shifted toward road and rail</x:v>
      </x:c>
      <x:c r="X588" s="102" t="str">
        <x:v>Higher inland freight costs; industrial logistics bottlenecks; CMA CGM later imposed an inland emergency fee</x:v>
      </x:c>
      <x:c r="Y588" s="102" t="str">
        <x:v>High</x:v>
      </x:c>
      <x:c r="Z588" s="102" t="str">
        <x:v>High</x:v>
      </x:c>
      <x:c r="AA588" s="102" t="str">
        <x:v>https://www.reuters.com/business/environment/german-shippers-warn-rhine-could-be-split-two-by-low-water-2026-08-09/ | https://www.reuters.com/business/energy/frances-cma-cgm-charge-inland-emergency-fee-due-lower-river-levels-2026-08-21/</x:v>
      </x:c>
      <x:c r="AB588" s="102" t="str">
        <x:v>Needs canonical event resolution</x:v>
      </x:c>
      <x:c r="AC588" s="102" t="str">
        <x:v>v1.10 weather/labour/protest first-pass population; operationally relevant event only.</x:v>
      </x:c>
    </x:row>
    <x:row r="589">
      <x:c r="A589" s="102" t="str">
        <x:v>OBS_000588</x:v>
      </x:c>
      <x:c r="B589" s="102"/>
      <x:c r="C589" s="102" t="str">
        <x:v>external_disruptions_v2</x:v>
      </x:c>
      <x:c r="D589" s="102" t="str">
        <x:v>EXT_0011</x:v>
      </x:c>
      <x:c r="E589" s="102" t="str">
        <x:v>2026-07-16</x:v>
      </x:c>
      <x:c r="F589" s="102" t="str">
        <x:v>Weather</x:v>
      </x:c>
      <x:c r="G589" s="102" t="str">
        <x:v>Drought / extreme low water</x:v>
      </x:c>
      <x:c r="H589" s="102" t="str">
        <x:v>River navigation restriction</x:v>
      </x:c>
      <x:c r="I589" s="102" t="str">
        <x:v>Inland Waterway / Cruise / Passenger</x:v>
      </x:c>
      <x:c r="J589" s="102" t="str">
        <x:v>Europe</x:v>
      </x:c>
      <x:c r="K589" s="102" t="str">
        <x:v>Hungary</x:v>
      </x:c>
      <x:c r="L589" s="102" t="str">
        <x:v>Danube / Budapest / Gonyu / Komarom / Mohacs</x:v>
      </x:c>
      <x:c r="M589" s="102"/>
      <x:c r="N589" s="102"/>
      <x:c r="O589" s="102" t="str">
        <x:v>Danube</x:v>
      </x:c>
      <x:c r="P589" s="102"/>
      <x:c r="Q589" s="102" t="str">
        <x:v>Danube navigation / river cruise vessels / passenger terminals</x:v>
      </x:c>
      <x:c r="R589" s="102" t="str">
        <x:v>Drought / low river flow</x:v>
      </x:c>
      <x:c r="S589" s="102" t="str">
        <x:v>Near-record low Danube water levels stranded or delayed river-cruise vessels and suspended some sightseeing operations in Hungary.</x:v>
      </x:c>
      <x:c r="T589" s="102" t="str">
        <x:v>Occurred / low-water constrained</x:v>
      </x:c>
      <x:c r="U589" s="102"/>
      <x:c r="V589" s="102"/>
      <x:c r="W589" s="102" t="str">
        <x:v>Vessels stranded or held in ports; sightseeing services suspended north of Budapest</x:v>
      </x:c>
      <x:c r="X589" s="102" t="str">
        <x:v>Passenger-shipping and tourism disruption; reduced operational flexibility on the Danube corridor</x:v>
      </x:c>
      <x:c r="Y589" s="102" t="str">
        <x:v>Moderate / High</x:v>
      </x:c>
      <x:c r="Z589" s="102" t="str">
        <x:v>High</x:v>
      </x:c>
      <x:c r="AA589" s="102" t="str">
        <x:v>https://www.reuters.com/world/near-record-low-water-levels-disrupt-tourism-danube-2026-07-16/</x:v>
      </x:c>
      <x:c r="AB589" s="102" t="str">
        <x:v>Needs canonical event resolution</x:v>
      </x:c>
      <x:c r="AC589" s="102" t="str">
        <x:v>v1.10 weather/labour/protest first-pass population; operationally relevant event only.</x:v>
      </x:c>
    </x:row>
    <x:row r="590">
      <x:c r="A590" s="102" t="str">
        <x:v>OBS_000589</x:v>
      </x:c>
      <x:c r="B590" s="102"/>
      <x:c r="C590" s="102" t="str">
        <x:v>external_disruptions_v2</x:v>
      </x:c>
      <x:c r="D590" s="102" t="str">
        <x:v>EXT_0012</x:v>
      </x:c>
      <x:c r="E590" s="102" t="str">
        <x:v>2026-07-11</x:v>
      </x:c>
      <x:c r="F590" s="102" t="str">
        <x:v>Weather</x:v>
      </x:c>
      <x:c r="G590" s="102" t="str">
        <x:v>Typhoon</x:v>
      </x:c>
      <x:c r="H590" s="102" t="str">
        <x:v>High wind / heavy rain / flooding</x:v>
      </x:c>
      <x:c r="I590" s="102" t="str">
        <x:v>Multimodal</x:v>
      </x:c>
      <x:c r="J590" s="102" t="str">
        <x:v>East Asia / Western Pacific</x:v>
      </x:c>
      <x:c r="K590" s="102" t="str">
        <x:v>China / Taiwan / Japan / Philippines</x:v>
      </x:c>
      <x:c r="L590" s="102" t="str">
        <x:v>Zhejiang / Taizhou / Taiwan / Sakishima Islands</x:v>
      </x:c>
      <x:c r="M590" s="102"/>
      <x:c r="N590" s="102"/>
      <x:c r="O590" s="102" t="str">
        <x:v>Zhejiang</x:v>
      </x:c>
      <x:c r="P590" s="102"/>
      <x:c r="Q590" s="102" t="str">
        <x:v>Airports / rail / roads / coastal shipping / urban logistics</x:v>
      </x:c>
      <x:c r="R590" s="102" t="str">
        <x:v>Typhoon Bavi</x:v>
      </x:c>
      <x:c r="S590" s="102" t="str">
        <x:v>Typhoon Bavi crossed the western Pacific and made landfall in eastern China after forcing mass evacuations and widespread transport restrictions in Taiwan and the region.</x:v>
      </x:c>
      <x:c r="T590" s="102" t="str">
        <x:v>Occurred</x:v>
      </x:c>
      <x:c r="U590" s="102"/>
      <x:c r="V590" s="102"/>
      <x:c r="W590" s="102" t="str">
        <x:v>Large-scale flight cancellations; reduced rail service; evacuations and weather restrictions across coastal transport systems</x:v>
      </x:c>
      <x:c r="X590" s="102" t="str">
        <x:v>Air-cargo and passenger disruption; potential manufacturing and port-hinterland delays in eastern China and Taiwan</x:v>
      </x:c>
      <x:c r="Y590" s="102" t="str">
        <x:v>High</x:v>
      </x:c>
      <x:c r="Z590" s="102" t="str">
        <x:v>High</x:v>
      </x:c>
      <x:c r="AA590" s="102" t="str">
        <x:v>https://www.reuters.com/business/environment/thousands-evacuated-taiwan-shuts-down-typhoon-bavi-2026-07-11/</x:v>
      </x:c>
      <x:c r="AB590" s="102" t="str">
        <x:v>Needs canonical event resolution</x:v>
      </x:c>
      <x:c r="AC590" s="102" t="str">
        <x:v>v1.10 weather/labour/protest first-pass population; operationally relevant event only.</x:v>
      </x:c>
    </x:row>
    <x:row r="591">
      <x:c r="A591" s="102" t="str">
        <x:v>OBS_000590</x:v>
      </x:c>
      <x:c r="B591" s="102"/>
      <x:c r="C591" s="102" t="str">
        <x:v>external_disruptions_v2</x:v>
      </x:c>
      <x:c r="D591" s="102" t="str">
        <x:v>EXT_0013</x:v>
      </x:c>
      <x:c r="E591" s="102" t="str">
        <x:v>2025-03-06</x:v>
      </x:c>
      <x:c r="F591" s="102" t="str">
        <x:v>Weather</x:v>
      </x:c>
      <x:c r="G591" s="102" t="str">
        <x:v>Tropical cyclone</x:v>
      </x:c>
      <x:c r="H591" s="102" t="str">
        <x:v>Flood / high wind / coastal surge</x:v>
      </x:c>
      <x:c r="I591" s="102" t="str">
        <x:v>Aviation / Road / Urban Logistics</x:v>
      </x:c>
      <x:c r="J591" s="102" t="str">
        <x:v>Oceania</x:v>
      </x:c>
      <x:c r="K591" s="102" t="str">
        <x:v>Australia</x:v>
      </x:c>
      <x:c r="L591" s="102" t="str">
        <x:v>Brisbane / southeast Queensland / northern New South Wales</x:v>
      </x:c>
      <x:c r="M591" s="102"/>
      <x:c r="N591" s="102"/>
      <x:c r="O591" s="102" t="str">
        <x:v>Brisbane</x:v>
      </x:c>
      <x:c r="P591" s="102"/>
      <x:c r="Q591" s="102" t="str">
        <x:v>Brisbane Airport / airlines / public transport / roads / utilities</x:v>
      </x:c>
      <x:c r="R591" s="102" t="str">
        <x:v>Cyclone Alfred</x:v>
      </x:c>
      <x:c r="S591" s="102" t="str">
        <x:v>Cyclone Alfred prompted closure of Brisbane Airport, suspension of public transport and broad emergency preparations across southeast Queensland and northern New South Wales.</x:v>
      </x:c>
      <x:c r="T591" s="102" t="str">
        <x:v>Occurred / recovery</x:v>
      </x:c>
      <x:c r="U591" s="102"/>
      <x:c r="V591" s="102"/>
      <x:c r="W591" s="102" t="str">
        <x:v>Airport operations suspended; Qantas flights curtailed; public transport shut; power outages and flood risk</x:v>
      </x:c>
      <x:c r="X591" s="102" t="str">
        <x:v>Air-cargo and passenger capacity loss; urban distribution delays and supply-chain disruption around Brisbane</x:v>
      </x:c>
      <x:c r="Y591" s="102" t="str">
        <x:v>High</x:v>
      </x:c>
      <x:c r="Z591" s="102" t="str">
        <x:v>High</x:v>
      </x:c>
      <x:c r="AA591" s="102" t="str">
        <x:v>https://www.reuters.com/business/environment/cyclone-alfred-stalls-off-australias-east-residents-sandbag-homes-transport-2025-03-06/</x:v>
      </x:c>
      <x:c r="AB591" s="102" t="str">
        <x:v>Needs canonical event resolution</x:v>
      </x:c>
      <x:c r="AC591" s="102" t="str">
        <x:v>v1.10 weather/labour/protest first-pass population; operationally relevant event only.</x:v>
      </x:c>
    </x:row>
    <x:row r="592">
      <x:c r="A592" s="102" t="str">
        <x:v>OBS_000591</x:v>
      </x:c>
      <x:c r="B592" s="102"/>
      <x:c r="C592" s="102" t="str">
        <x:v>external_disruptions_v2</x:v>
      </x:c>
      <x:c r="D592" s="102" t="str">
        <x:v>EXT_0014</x:v>
      </x:c>
      <x:c r="E592" s="102" t="str">
        <x:v>2025-07-22</x:v>
      </x:c>
      <x:c r="F592" s="102" t="str">
        <x:v>Weather</x:v>
      </x:c>
      <x:c r="G592" s="102" t="str">
        <x:v>Typhoon / tropical storm</x:v>
      </x:c>
      <x:c r="H592" s="102" t="str">
        <x:v>Heavy rain / flooding / high wind</x:v>
      </x:c>
      <x:c r="I592" s="102" t="str">
        <x:v>Multimodal</x:v>
      </x:c>
      <x:c r="J592" s="102" t="str">
        <x:v>Southeast Asia / South China Sea</x:v>
      </x:c>
      <x:c r="K592" s="102" t="str">
        <x:v>Vietnam / China / Hong Kong / Philippines</x:v>
      </x:c>
      <x:c r="L592" s="102" t="str">
        <x:v>Northern Vietnam / Haiphong / Hong Kong / northern Philippines</x:v>
      </x:c>
      <x:c r="M592" s="102"/>
      <x:c r="N592" s="102"/>
      <x:c r="O592" s="102" t="str">
        <x:v>Northern Vietnam</x:v>
      </x:c>
      <x:c r="P592" s="102"/>
      <x:c r="Q592" s="102" t="str">
        <x:v>Ports / airports / rail / coastal shipping / urban transport</x:v>
      </x:c>
      <x:c r="R592" s="102" t="str">
        <x:v>Typhoon / Tropical Storm Wipha</x:v>
      </x:c>
      <x:c r="S592" s="102" t="str">
        <x:v>Wipha moved through Hong Kong and southern China before making landfall in northern Vietnam, with port, airport and rail suspensions and severe monsoon flooding in the Philippines.</x:v>
      </x:c>
      <x:c r="T592" s="102" t="str">
        <x:v>Occurred</x:v>
      </x:c>
      <x:c r="U592" s="102"/>
      <x:c r="V592" s="102"/>
      <x:c r="W592" s="102" t="str">
        <x:v>Port and transport services suspended in Vietnam; flight cancellations; flooding and government closures in the Philippines</x:v>
      </x:c>
      <x:c r="X592" s="102" t="str">
        <x:v>Regional cargo delay and distribution disruption across South China Sea supply chains</x:v>
      </x:c>
      <x:c r="Y592" s="102" t="str">
        <x:v>High</x:v>
      </x:c>
      <x:c r="Z592" s="102" t="str">
        <x:v>High</x:v>
      </x:c>
      <x:c r="AA592" s="102" t="str">
        <x:v>https://www.reuters.com/business/environment/tropical-storm-wipha-makes-landfall-vietnam-heavy-rains-persist-philippines-2025-07-22/</x:v>
      </x:c>
      <x:c r="AB592" s="102" t="str">
        <x:v>Needs canonical event resolution</x:v>
      </x:c>
      <x:c r="AC592" s="102" t="str">
        <x:v>v1.10 weather/labour/protest first-pass population; operationally relevant event only.</x:v>
      </x:c>
    </x:row>
    <x:row r="593">
      <x:c r="A593" s="102" t="str">
        <x:v>OBS_000592</x:v>
      </x:c>
      <x:c r="B593" s="102"/>
      <x:c r="C593" s="102" t="str">
        <x:v>external_disruptions_v2</x:v>
      </x:c>
      <x:c r="D593" s="102" t="str">
        <x:v>EXT_0015</x:v>
      </x:c>
      <x:c r="E593" s="102" t="str">
        <x:v>2025-09-24</x:v>
      </x:c>
      <x:c r="F593" s="102" t="str">
        <x:v>Weather</x:v>
      </x:c>
      <x:c r="G593" s="102" t="str">
        <x:v>Super typhoon</x:v>
      </x:c>
      <x:c r="H593" s="102" t="str">
        <x:v>Hurricane-force wind / storm surge / flooding</x:v>
      </x:c>
      <x:c r="I593" s="102" t="str">
        <x:v>Multimodal</x:v>
      </x:c>
      <x:c r="J593" s="102" t="str">
        <x:v>East Asia / Pearl River Delta</x:v>
      </x:c>
      <x:c r="K593" s="102" t="str">
        <x:v>China / Hong Kong / Taiwan</x:v>
      </x:c>
      <x:c r="L593" s="102" t="str">
        <x:v>Hong Kong / Guangdong / Shenzhen / Pearl River Delta / Taiwan</x:v>
      </x:c>
      <x:c r="M593" s="102"/>
      <x:c r="N593" s="102"/>
      <x:c r="O593" s="102" t="str">
        <x:v>Hong Kong</x:v>
      </x:c>
      <x:c r="P593" s="102"/>
      <x:c r="Q593" s="102" t="str">
        <x:v>Airports / roads / coastal infrastructure / urban logistics / marine approaches</x:v>
      </x:c>
      <x:c r="R593" s="102" t="str">
        <x:v>Super Typhoon Ragasa</x:v>
      </x:c>
      <x:c r="S593" s="102" t="str">
        <x:v>Ragasa brought Hong Kong to a standstill and drove large-scale evacuations and transport restrictions across southern China and Taiwan.</x:v>
      </x:c>
      <x:c r="T593" s="102" t="str">
        <x:v>Occurred</x:v>
      </x:c>
      <x:c r="U593" s="102"/>
      <x:c r="V593" s="102"/>
      <x:c r="W593" s="102" t="str">
        <x:v>Flight disruption, transport shutdowns, storm-surge warnings and widespread closures</x:v>
      </x:c>
      <x:c r="X593" s="102" t="str">
        <x:v>Short-term disruption across one of the world's densest manufacturing, logistics and port regions</x:v>
      </x:c>
      <x:c r="Y593" s="102" t="str">
        <x:v>High</x:v>
      </x:c>
      <x:c r="Z593" s="102" t="str">
        <x:v>High</x:v>
      </x:c>
      <x:c r="AA593" s="102" t="str">
        <x:v>https://www.reuters.com/business/environment/super-typhoon-lashes-hong-kong-with-hurricane-force-winds-heavy-rain-2025-09-23/</x:v>
      </x:c>
      <x:c r="AB593" s="102" t="str">
        <x:v>Needs canonical event resolution</x:v>
      </x:c>
      <x:c r="AC593" s="102" t="str">
        <x:v>v1.10 weather/labour/protest first-pass population; operationally relevant event only.</x:v>
      </x:c>
    </x:row>
    <x:row r="594">
      <x:c r="A594" s="102" t="str">
        <x:v>OBS_000593</x:v>
      </x:c>
      <x:c r="B594" s="102"/>
      <x:c r="C594" s="102" t="str">
        <x:v>external_disruptions_v2</x:v>
      </x:c>
      <x:c r="D594" s="102" t="str">
        <x:v>EXT_0016</x:v>
      </x:c>
      <x:c r="E594" s="102" t="str">
        <x:v>2025-10-09</x:v>
      </x:c>
      <x:c r="F594" s="102" t="str">
        <x:v>Weather</x:v>
      </x:c>
      <x:c r="G594" s="102" t="str">
        <x:v>Severe storm / high wind</x:v>
      </x:c>
      <x:c r="H594" s="102" t="str">
        <x:v>Residual port congestion after storm</x:v>
      </x:c>
      <x:c r="I594" s="102" t="str">
        <x:v>Maritime / Port</x:v>
      </x:c>
      <x:c r="J594" s="102" t="str">
        <x:v>Europe</x:v>
      </x:c>
      <x:c r="K594" s="102" t="str">
        <x:v>Netherlands</x:v>
      </x:c>
      <x:c r="L594" s="102" t="str">
        <x:v>Port of Rotterdam</x:v>
      </x:c>
      <x:c r="M594" s="102"/>
      <x:c r="N594" s="102"/>
      <x:c r="O594" s="102" t="str">
        <x:v>Port of Rotterdam</x:v>
      </x:c>
      <x:c r="P594" s="102"/>
      <x:c r="Q594" s="102" t="str">
        <x:v>Container terminals / vessel queues / port approaches</x:v>
      </x:c>
      <x:c r="R594" s="102" t="str">
        <x:v>Storm Amy</x:v>
      </x:c>
      <x:c r="S594" s="102" t="str">
        <x:v>A post-storm vessel queue at Rotterdam remained elevated after Storm Amy, with later labour action adding to the congestion.</x:v>
      </x:c>
      <x:c r="T594" s="102" t="str">
        <x:v>Occurred / residual backlog</x:v>
      </x:c>
      <x:c r="U594" s="102"/>
      <x:c r="V594" s="102"/>
      <x:c r="W594" s="102" t="str">
        <x:v>Ship queue roughly doubled from normal levels before strike effects became dominant</x:v>
      </x:c>
      <x:c r="X594" s="102" t="str">
        <x:v>Container delays and reduced ability to absorb further disruption at Europe's largest port</x:v>
      </x:c>
      <x:c r="Y594" s="102" t="str">
        <x:v>Moderate / High</x:v>
      </x:c>
      <x:c r="Z594" s="102" t="str">
        <x:v>High</x:v>
      </x:c>
      <x:c r="AA594" s="102" t="str">
        <x:v>https://www.reuters.com/business/world-at-work/lashers-strike-causes-growing-ship-backlog-rotterdam-port-2025-10-09/</x:v>
      </x:c>
      <x:c r="AB594" s="102" t="str">
        <x:v>Needs canonical event resolution</x:v>
      </x:c>
      <x:c r="AC594" s="102" t="str">
        <x:v>v1.10 weather/labour/protest first-pass population; operationally relevant event only.</x:v>
      </x:c>
    </x:row>
    <x:row r="595">
      <x:c r="A595" s="102" t="str">
        <x:v>OBS_000594</x:v>
      </x:c>
      <x:c r="B595" s="102"/>
      <x:c r="C595" s="102" t="str">
        <x:v>external_disruptions_v2</x:v>
      </x:c>
      <x:c r="D595" s="102" t="str">
        <x:v>EXT_0017</x:v>
      </x:c>
      <x:c r="E595" s="102" t="str">
        <x:v>2026-02-18</x:v>
      </x:c>
      <x:c r="F595" s="102" t="str">
        <x:v>Labour / Industrial Action</x:v>
      </x:c>
      <x:c r="G595" s="102" t="str">
        <x:v>Maritime workers strike</x:v>
      </x:c>
      <x:c r="H595" s="102" t="str">
        <x:v>48-hour port / maritime stoppage</x:v>
      </x:c>
      <x:c r="I595" s="102" t="str">
        <x:v>Maritime / Port / Agricultural Exports</x:v>
      </x:c>
      <x:c r="J595" s="102" t="str">
        <x:v>South America</x:v>
      </x:c>
      <x:c r="K595" s="102" t="str">
        <x:v>Argentina</x:v>
      </x:c>
      <x:c r="L595" s="102" t="str">
        <x:v>Rosario / Parana-Paraguay export corridor</x:v>
      </x:c>
      <x:c r="M595" s="102"/>
      <x:c r="N595" s="102"/>
      <x:c r="O595" s="102" t="str">
        <x:v>Rosario</x:v>
      </x:c>
      <x:c r="P595" s="102"/>
      <x:c r="Q595" s="102" t="str">
        <x:v>Grain terminals / commercial vessels / pilots / port services</x:v>
      </x:c>
      <x:c r="R595" s="102" t="str">
        <x:v>FESIMAF maritime workers federation</x:v>
      </x:c>
      <x:c r="S595" s="102" t="str">
        <x:v>FESIMAF maritime workers launched a 48-hour strike against labour reform, disrupting loading, unloading, pilot transfers and commercial-vessel services around Rosario.</x:v>
      </x:c>
      <x:c r="T595" s="102" t="str">
        <x:v>Occurred</x:v>
      </x:c>
      <x:c r="U595" s="102"/>
      <x:c r="V595" s="102"/>
      <x:c r="W595" s="102" t="str">
        <x:v>Agro-export activity brought close to a standstill and vessel dispatch constrained</x:v>
      </x:c>
      <x:c r="X595" s="102" t="str">
        <x:v>Disruption to a major global grain, soybean-oil and soybean-meal export system</x:v>
      </x:c>
      <x:c r="Y595" s="102" t="str">
        <x:v>High</x:v>
      </x:c>
      <x:c r="Z595" s="102" t="str">
        <x:v>High</x:v>
      </x:c>
      <x:c r="AA595" s="102" t="str">
        <x:v>https://www.reuters.com/business/world-at-work/argentine-maritime-workers-begin-48-hour-strike-against-labor-reform-2026-02-18/</x:v>
      </x:c>
      <x:c r="AB595" s="102" t="str">
        <x:v>Needs canonical event resolution</x:v>
      </x:c>
      <x:c r="AC595" s="102" t="str">
        <x:v>v1.10 weather/labour/protest first-pass population; operationally relevant event only.</x:v>
      </x:c>
    </x:row>
    <x:row r="596">
      <x:c r="A596" s="102" t="str">
        <x:v>OBS_000595</x:v>
      </x:c>
      <x:c r="B596" s="102"/>
      <x:c r="C596" s="102" t="str">
        <x:v>external_disruptions_v2</x:v>
      </x:c>
      <x:c r="D596" s="102" t="str">
        <x:v>EXT_0018</x:v>
      </x:c>
      <x:c r="E596" s="102" t="str">
        <x:v>2026-03-05</x:v>
      </x:c>
      <x:c r="F596" s="102" t="str">
        <x:v>Labour / Industrial Action</x:v>
      </x:c>
      <x:c r="G596" s="102" t="str">
        <x:v>Seafarers strike</x:v>
      </x:c>
      <x:c r="H596" s="102" t="str">
        <x:v>24-hour ferry stoppage</x:v>
      </x:c>
      <x:c r="I596" s="102" t="str">
        <x:v>Ferry / Maritime</x:v>
      </x:c>
      <x:c r="J596" s="102" t="str">
        <x:v>Europe / Eastern Mediterranean</x:v>
      </x:c>
      <x:c r="K596" s="102" t="str">
        <x:v>Greece</x:v>
      </x:c>
      <x:c r="L596" s="102" t="str">
        <x:v>Piraeus / Greek domestic ferry network</x:v>
      </x:c>
      <x:c r="M596" s="102"/>
      <x:c r="N596" s="102"/>
      <x:c r="O596" s="102" t="str">
        <x:v>Piraeus</x:v>
      </x:c>
      <x:c r="P596" s="102"/>
      <x:c r="Q596" s="102" t="str">
        <x:v>Domestic ferry services / passenger and vehicle movements</x:v>
      </x:c>
      <x:c r="R596" s="102" t="str">
        <x:v>PNO and Greek seafarer unions</x:v>
      </x:c>
      <x:c r="S596" s="102" t="str">
        <x:v>Greek seafarers held a 24-hour strike over crews stranded in the Gulf conflict, halting local ferry services and demanding evacuation protections.</x:v>
      </x:c>
      <x:c r="T596" s="102" t="str">
        <x:v>Occurred</x:v>
      </x:c>
      <x:c r="U596" s="102"/>
      <x:c r="V596" s="102"/>
      <x:c r="W596" s="102" t="str">
        <x:v>Ferry sailings halted for the duration of the strike</x:v>
      </x:c>
      <x:c r="X596" s="102" t="str">
        <x:v>Passenger, vehicle and island-supply movements delayed; labour action tied directly to maritime security risk</x:v>
      </x:c>
      <x:c r="Y596" s="102" t="str">
        <x:v>High</x:v>
      </x:c>
      <x:c r="Z596" s="102" t="str">
        <x:v>High</x:v>
      </x:c>
      <x:c r="AA596" s="102" t="str">
        <x:v>https://www.reuters.com/world/europe/greek-seafarers-strike-over-crews-stranded-gulf-by-iran-war-2026-03-05/</x:v>
      </x:c>
      <x:c r="AB596" s="102" t="str">
        <x:v>Needs canonical event resolution</x:v>
      </x:c>
      <x:c r="AC596" s="102" t="str">
        <x:v>v1.10 weather/labour/protest first-pass population; operationally relevant event only.</x:v>
      </x:c>
    </x:row>
    <x:row r="597">
      <x:c r="A597" s="102" t="str">
        <x:v>OBS_000596</x:v>
      </x:c>
      <x:c r="B597" s="102"/>
      <x:c r="C597" s="102" t="str">
        <x:v>external_disruptions_v2</x:v>
      </x:c>
      <x:c r="D597" s="102" t="str">
        <x:v>EXT_0019</x:v>
      </x:c>
      <x:c r="E597" s="102" t="str">
        <x:v>2026-06-12</x:v>
      </x:c>
      <x:c r="F597" s="102" t="str">
        <x:v>Labour / Industrial Action</x:v>
      </x:c>
      <x:c r="G597" s="102" t="str">
        <x:v>Transport workers stoppage</x:v>
      </x:c>
      <x:c r="H597" s="102" t="str">
        <x:v>Concrete-delivery suspension / blockade</x:v>
      </x:c>
      <x:c r="I597" s="102" t="str">
        <x:v>Road / Industrial Construction</x:v>
      </x:c>
      <x:c r="J597" s="102" t="str">
        <x:v>East Asia</x:v>
      </x:c>
      <x:c r="K597" s="102" t="str">
        <x:v>South Korea</x:v>
      </x:c>
      <x:c r="L597" s="102" t="str">
        <x:v>Seoul metropolitan area / Pyeongtaek / Yongin</x:v>
      </x:c>
      <x:c r="M597" s="102"/>
      <x:c r="N597" s="102"/>
      <x:c r="O597" s="102" t="str">
        <x:v>Seoul metropolitan area</x:v>
      </x:c>
      <x:c r="P597" s="102"/>
      <x:c r="Q597" s="102" t="str">
        <x:v>Concrete plants / truck delivery / semiconductor construction</x:v>
      </x:c>
      <x:c r="R597" s="102" t="str">
        <x:v>National Ready-Mixed Concrete Transport Workers' Union</x:v>
      </x:c>
      <x:c r="S597" s="102" t="str">
        <x:v>Around 8,000 ready-mixed concrete transport workers suspended deliveries, halting concrete work at major Samsung and SK Hynix semiconductor expansion sites.</x:v>
      </x:c>
      <x:c r="T597" s="102" t="str">
        <x:v>Occurred / prolonged dispute</x:v>
      </x:c>
      <x:c r="U597" s="102"/>
      <x:c r="V597" s="102"/>
      <x:c r="W597" s="102" t="str">
        <x:v>Concrete deliveries blocked and pouring halted at strategic chip-factory construction sites</x:v>
      </x:c>
      <x:c r="X597" s="102" t="str">
        <x:v>Potential schedule slippage for semiconductor capacity expansion if stoppage persisted</x:v>
      </x:c>
      <x:c r="Y597" s="102" t="str">
        <x:v>Moderate / High</x:v>
      </x:c>
      <x:c r="Z597" s="102" t="str">
        <x:v>High</x:v>
      </x:c>
      <x:c r="AA597" s="102" t="str">
        <x:v>https://www.reuters.com/business/world-at-work/south-korea-concrete-delivery-halt-threatens-samsung-sk-hynix-chip-plant-work-2026-06-12/</x:v>
      </x:c>
      <x:c r="AB597" s="102" t="str">
        <x:v>Needs canonical event resolution</x:v>
      </x:c>
      <x:c r="AC597" s="102" t="str">
        <x:v>v1.10 weather/labour/protest first-pass population; operationally relevant event only.</x:v>
      </x:c>
    </x:row>
    <x:row r="598">
      <x:c r="A598" s="102" t="str">
        <x:v>OBS_000597</x:v>
      </x:c>
      <x:c r="B598" s="102"/>
      <x:c r="C598" s="102" t="str">
        <x:v>external_disruptions_v2</x:v>
      </x:c>
      <x:c r="D598" s="102" t="str">
        <x:v>EXT_0020</x:v>
      </x:c>
      <x:c r="E598" s="102" t="str">
        <x:v>2025-10-09</x:v>
      </x:c>
      <x:c r="F598" s="102" t="str">
        <x:v>Labour / Industrial Action</x:v>
      </x:c>
      <x:c r="G598" s="102" t="str">
        <x:v>Port strike</x:v>
      </x:c>
      <x:c r="H598" s="102" t="str">
        <x:v>Lashers / cargo securing</x:v>
      </x:c>
      <x:c r="I598" s="102" t="str">
        <x:v>Maritime / Container Port</x:v>
      </x:c>
      <x:c r="J598" s="102" t="str">
        <x:v>Europe</x:v>
      </x:c>
      <x:c r="K598" s="102" t="str">
        <x:v>Netherlands</x:v>
      </x:c>
      <x:c r="L598" s="102" t="str">
        <x:v>Port of Rotterdam</x:v>
      </x:c>
      <x:c r="M598" s="102"/>
      <x:c r="N598" s="102"/>
      <x:c r="O598" s="102" t="str">
        <x:v>Port of Rotterdam</x:v>
      </x:c>
      <x:c r="P598" s="102"/>
      <x:c r="Q598" s="102" t="str">
        <x:v>Container terminals / ship loading and unloading</x:v>
      </x:c>
      <x:c r="R598" s="102" t="str">
        <x:v>FNV / Rotterdam lashers</x:v>
      </x:c>
      <x:c r="S598" s="102" t="str">
        <x:v>All approximately 700 lashers at Rotterdam joined a wage strike, preventing container ships from loading or unloading and expanding a vessel backlog.</x:v>
      </x:c>
      <x:c r="T598" s="102" t="str">
        <x:v>Occurred / temporarily suspended</x:v>
      </x:c>
      <x:c r="U598" s="102"/>
      <x:c r="V598" s="102"/>
      <x:c r="W598" s="102" t="str">
        <x:v>Container loading/unloading effectively halted; vessel queue expanded</x:v>
      </x:c>
      <x:c r="X598" s="102" t="str">
        <x:v>Backlogs at Europe's largest port with limited diversion capacity because Antwerp was also disrupted</x:v>
      </x:c>
      <x:c r="Y598" s="102" t="str">
        <x:v>High</x:v>
      </x:c>
      <x:c r="Z598" s="102" t="str">
        <x:v>High</x:v>
      </x:c>
      <x:c r="AA598" s="102" t="str">
        <x:v>https://www.reuters.com/business/world-at-work/lashers-strike-causes-growing-ship-backlog-rotterdam-port-2025-10-09/ | https://www.reuters.com/business/world-at-work/rotterdam-port-lashers-suspend-strike-monday-2025-10-12/</x:v>
      </x:c>
      <x:c r="AB598" s="102" t="str">
        <x:v>Needs canonical event resolution</x:v>
      </x:c>
      <x:c r="AC598" s="102" t="str">
        <x:v>v1.10 weather/labour/protest first-pass population; operationally relevant event only.</x:v>
      </x:c>
    </x:row>
    <x:row r="599">
      <x:c r="A599" s="102" t="str">
        <x:v>OBS_000598</x:v>
      </x:c>
      <x:c r="B599" s="102"/>
      <x:c r="C599" s="102" t="str">
        <x:v>external_disruptions_v2</x:v>
      </x:c>
      <x:c r="D599" s="102" t="str">
        <x:v>EXT_0021</x:v>
      </x:c>
      <x:c r="E599" s="102" t="str">
        <x:v>2025-10-08</x:v>
      </x:c>
      <x:c r="F599" s="102" t="str">
        <x:v>Labour / Industrial Action</x:v>
      </x:c>
      <x:c r="G599" s="102" t="str">
        <x:v>Work-to-rule</x:v>
      </x:c>
      <x:c r="H599" s="102" t="str">
        <x:v>Harbour pilots protest</x:v>
      </x:c>
      <x:c r="I599" s="102" t="str">
        <x:v>Maritime / Port</x:v>
      </x:c>
      <x:c r="J599" s="102" t="str">
        <x:v>Europe</x:v>
      </x:c>
      <x:c r="K599" s="102" t="str">
        <x:v>Belgium</x:v>
      </x:c>
      <x:c r="L599" s="102" t="str">
        <x:v>Port of Antwerp-Bruges / Zeebrugge</x:v>
      </x:c>
      <x:c r="M599" s="102"/>
      <x:c r="N599" s="102"/>
      <x:c r="O599" s="102" t="str">
        <x:v>Port of Antwerp-Bruges</x:v>
      </x:c>
      <x:c r="P599" s="102"/>
      <x:c r="Q599" s="102" t="str">
        <x:v>Pilotage / port approaches / vessel traffic</x:v>
      </x:c>
      <x:c r="R599" s="102" t="str">
        <x:v>Flemish harbour pilots</x:v>
      </x:c>
      <x:c r="S599" s="102" t="str">
        <x:v>Flemish harbour pilots worked to rule over pension reforms, sharply reducing vessel movements at Antwerp and causing delays, strandings and diversions.</x:v>
      </x:c>
      <x:c r="T599" s="102" t="str">
        <x:v>Occurred</x:v>
      </x:c>
      <x:c r="U599" s="102"/>
      <x:c r="V599" s="102"/>
      <x:c r="W599" s="102" t="str">
        <x:v>Antwerp handled only 31 ships on a day when 60-80 was typical; delays spread to Zeebrugge</x:v>
      </x:c>
      <x:c r="X599" s="102" t="str">
        <x:v>Reduced gateway capacity and weaker diversion options for congestion at nearby Rotterdam</x:v>
      </x:c>
      <x:c r="Y599" s="102" t="str">
        <x:v>High</x:v>
      </x:c>
      <x:c r="Z599" s="102" t="str">
        <x:v>High</x:v>
      </x:c>
      <x:c r="AA599" s="102" t="str">
        <x:v>https://www.reuters.com/business/industrial-action-by-harbour-pilots-disrupts-shipping-antwerp-bruges-2025-10-08/</x:v>
      </x:c>
      <x:c r="AB599" s="102" t="str">
        <x:v>Needs canonical event resolution</x:v>
      </x:c>
      <x:c r="AC599" s="102" t="str">
        <x:v>v1.10 weather/labour/protest first-pass population; operationally relevant event only.</x:v>
      </x:c>
    </x:row>
    <x:row r="600">
      <x:c r="A600" s="102" t="str">
        <x:v>OBS_000599</x:v>
      </x:c>
      <x:c r="B600" s="102"/>
      <x:c r="C600" s="102" t="str">
        <x:v>external_disruptions_v2</x:v>
      </x:c>
      <x:c r="D600" s="102" t="str">
        <x:v>EXT_0022</x:v>
      </x:c>
      <x:c r="E600" s="102" t="str">
        <x:v>2025-09-22</x:v>
      </x:c>
      <x:c r="F600" s="102" t="str">
        <x:v>Protest / Labour</x:v>
      </x:c>
      <x:c r="G600" s="102" t="str">
        <x:v>Dockworker strike / port blockade</x:v>
      </x:c>
      <x:c r="H600" s="102" t="str">
        <x:v>Political solidarity protest</x:v>
      </x:c>
      <x:c r="I600" s="102" t="str">
        <x:v>Port / Road / Rail</x:v>
      </x:c>
      <x:c r="J600" s="102" t="str">
        <x:v>Europe</x:v>
      </x:c>
      <x:c r="K600" s="102" t="str">
        <x:v>Italy</x:v>
      </x:c>
      <x:c r="L600" s="102" t="str">
        <x:v>Genoa / Livorno</x:v>
      </x:c>
      <x:c r="M600" s="102"/>
      <x:c r="N600" s="102"/>
      <x:c r="O600" s="102" t="str">
        <x:v>Genoa</x:v>
      </x:c>
      <x:c r="P600" s="102"/>
      <x:c r="Q600" s="102" t="str">
        <x:v>Port access roads / dock labour / regional rail</x:v>
      </x:c>
      <x:c r="R600" s="102" t="str">
        <x:v>Italian dockworker and labour unions</x:v>
      </x:c>
      <x:c r="S600" s="102" t="str">
        <x:v>Dockworkers joined nationwide Gaza-related strikes and protests, blocking roads into Genoa and access at Livorno while broader transport services were disrupted.</x:v>
      </x:c>
      <x:c r="T600" s="102" t="str">
        <x:v>Occurred</x:v>
      </x:c>
      <x:c r="U600" s="102"/>
      <x:c r="V600" s="102"/>
      <x:c r="W600" s="102" t="str">
        <x:v>Port access impeded and some transport services disrupted</x:v>
      </x:c>
      <x:c r="X600" s="102" t="str">
        <x:v>Localized cargo and hinterland disruption; demonstration of politically driven port-labour action</x:v>
      </x:c>
      <x:c r="Y600" s="102" t="str">
        <x:v>Moderate / High</x:v>
      </x:c>
      <x:c r="Z600" s="102" t="str">
        <x:v>High</x:v>
      </x:c>
      <x:c r="AA600" s="102" t="str">
        <x:v>https://www.reuters.com/world/europe/genoa-dockers-walk-out-italian-unions-protest-against-israel-2025-09-22/</x:v>
      </x:c>
      <x:c r="AB600" s="102" t="str">
        <x:v>Needs canonical event resolution</x:v>
      </x:c>
      <x:c r="AC600" s="102" t="str">
        <x:v>v1.10 weather/labour/protest first-pass population; operationally relevant event only.</x:v>
      </x:c>
    </x:row>
    <x:row r="601">
      <x:c r="A601" s="102" t="str">
        <x:v>OBS_000600</x:v>
      </x:c>
      <x:c r="B601" s="102"/>
      <x:c r="C601" s="102" t="str">
        <x:v>external_disruptions_v2</x:v>
      </x:c>
      <x:c r="D601" s="102" t="str">
        <x:v>EXT_0023</x:v>
      </x:c>
      <x:c r="E601" s="102" t="str">
        <x:v>2025-11-28</x:v>
      </x:c>
      <x:c r="F601" s="102" t="str">
        <x:v>Labour / Industrial Action</x:v>
      </x:c>
      <x:c r="G601" s="102" t="str">
        <x:v>National transport strike</x:v>
      </x:c>
      <x:c r="H601" s="102" t="str">
        <x:v>Aviation / rail / urban transport stoppages</x:v>
      </x:c>
      <x:c r="I601" s="102" t="str">
        <x:v>Multimodal</x:v>
      </x:c>
      <x:c r="J601" s="102" t="str">
        <x:v>Europe</x:v>
      </x:c>
      <x:c r="K601" s="102" t="str">
        <x:v>Italy</x:v>
      </x:c>
      <x:c r="L601" s="102" t="str">
        <x:v>Milan / Bologna / Rome / Turin / Genoa / Venice / Naples</x:v>
      </x:c>
      <x:c r="M601" s="102"/>
      <x:c r="N601" s="102"/>
      <x:c r="O601" s="102" t="str">
        <x:v>Milan</x:v>
      </x:c>
      <x:c r="P601" s="102"/>
      <x:c r="Q601" s="102" t="str">
        <x:v>Airports / airlines / rail / urban public transport</x:v>
      </x:c>
      <x:c r="R601" s="102" t="str">
        <x:v>USB and other labour organisations</x:v>
      </x:c>
      <x:c r="S601" s="102" t="str">
        <x:v>A one-day labour action against government budget policy caused dozens of flight cancellations and disrupted train and urban transport services across Italy.</x:v>
      </x:c>
      <x:c r="T601" s="102" t="str">
        <x:v>Occurred</x:v>
      </x:c>
      <x:c r="U601" s="102"/>
      <x:c r="V601" s="102"/>
      <x:c r="W601" s="102" t="str">
        <x:v>Flight cancellations, train disruption and urban transport delays</x:v>
      </x:c>
      <x:c r="X601" s="102" t="str">
        <x:v>Air-cargo and business-travel disruption plus inland logistics friction across multiple Italian hubs</x:v>
      </x:c>
      <x:c r="Y601" s="102" t="str">
        <x:v>High</x:v>
      </x:c>
      <x:c r="Z601" s="102" t="str">
        <x:v>High</x:v>
      </x:c>
      <x:c r="AA601" s="102" t="str">
        <x:v>https://www.reuters.com/business/aerospace-defense/transport-italy-disrupted-by-strikes-against-pm-meloni-2025-11-28/</x:v>
      </x:c>
      <x:c r="AB601" s="102" t="str">
        <x:v>Needs canonical event resolution</x:v>
      </x:c>
      <x:c r="AC601" s="102" t="str">
        <x:v>v1.10 weather/labour/protest first-pass population; operationally relevant event only.</x:v>
      </x:c>
    </x:row>
    <x:row r="602">
      <x:c r="A602" s="102" t="str">
        <x:v>OBS_000601</x:v>
      </x:c>
      <x:c r="B602" s="102"/>
      <x:c r="C602" s="102" t="str">
        <x:v>external_disruptions_v2</x:v>
      </x:c>
      <x:c r="D602" s="102" t="str">
        <x:v>EXT_0024</x:v>
      </x:c>
      <x:c r="E602" s="102" t="str">
        <x:v>2025-12-10</x:v>
      </x:c>
      <x:c r="F602" s="102" t="str">
        <x:v>Protest / Labour</x:v>
      </x:c>
      <x:c r="G602" s="102" t="str">
        <x:v>Farmers protest / blockade</x:v>
      </x:c>
      <x:c r="H602" s="102" t="str">
        <x:v>Port and road blockade</x:v>
      </x:c>
      <x:c r="I602" s="102" t="str">
        <x:v>Port / Road / Border Trade</x:v>
      </x:c>
      <x:c r="J602" s="102" t="str">
        <x:v>Europe</x:v>
      </x:c>
      <x:c r="K602" s="102" t="str">
        <x:v>Greece</x:v>
      </x:c>
      <x:c r="L602" s="102" t="str">
        <x:v>Volos / national motorways / Promachonas border</x:v>
      </x:c>
      <x:c r="M602" s="102"/>
      <x:c r="N602" s="102"/>
      <x:c r="O602" s="102" t="str">
        <x:v>Volos</x:v>
      </x:c>
      <x:c r="P602" s="102"/>
      <x:c r="Q602" s="102" t="str">
        <x:v>Volos port / highways / Bulgaria border crossing</x:v>
      </x:c>
      <x:c r="R602" s="102" t="str">
        <x:v>Greek farmers' protest groups</x:v>
      </x:c>
      <x:c r="S602" s="102" t="str">
        <x:v>Farmers used tractors and trucks in nationwide protests, disrupting operations around Volos port and intermittently restricting border and motorway traffic.</x:v>
      </x:c>
      <x:c r="T602" s="102" t="str">
        <x:v>Occurred / continuing at source date</x:v>
      </x:c>
      <x:c r="U602" s="102"/>
      <x:c r="V602" s="102"/>
      <x:c r="W602" s="102" t="str">
        <x:v>Port-area disruption; road queues and intermittent border restrictions</x:v>
      </x:c>
      <x:c r="X602" s="102" t="str">
        <x:v>Agricultural, trucking and cross-border cargo delays with potential spillover to regional logistics</x:v>
      </x:c>
      <x:c r="Y602" s="102" t="str">
        <x:v>Moderate / High</x:v>
      </x:c>
      <x:c r="Z602" s="102" t="str">
        <x:v>High</x:v>
      </x:c>
      <x:c r="AA602" s="102" t="str">
        <x:v>https://www.reuters.com/business/environment/protesting-greek-farmers-disrupt-port-operations-nationwide-blockades-persist-2025-12-10/</x:v>
      </x:c>
      <x:c r="AB602" s="102" t="str">
        <x:v>Needs canonical event resolution</x:v>
      </x:c>
      <x:c r="AC602" s="102" t="str">
        <x:v>v1.10 weather/labour/protest first-pass population; operationally relevant event only.</x:v>
      </x:c>
    </x:row>
    <x:row r="603">
      <x:c r="A603" s="102" t="str">
        <x:v>OBS_000602</x:v>
      </x:c>
      <x:c r="B603" s="102"/>
      <x:c r="C603" s="102" t="str">
        <x:v>external_disruptions_v2</x:v>
      </x:c>
      <x:c r="D603" s="102" t="str">
        <x:v>EXT_0025</x:v>
      </x:c>
      <x:c r="E603" s="102" t="str">
        <x:v>2025-02-27</x:v>
      </x:c>
      <x:c r="F603" s="102" t="str">
        <x:v>Protest / Labour</x:v>
      </x:c>
      <x:c r="G603" s="102" t="str">
        <x:v>Farmers protest / border blockade</x:v>
      </x:c>
      <x:c r="H603" s="102" t="str">
        <x:v>Tractor blockade</x:v>
      </x:c>
      <x:c r="I603" s="102" t="str">
        <x:v>Land / Border Trade</x:v>
      </x:c>
      <x:c r="J603" s="102" t="str">
        <x:v>Central Europe</x:v>
      </x:c>
      <x:c r="K603" s="102" t="str">
        <x:v>Czech Republic / Slovakia</x:v>
      </x:c>
      <x:c r="L603" s="102" t="str">
        <x:v>Czech-Slovak border crossing / regional border points</x:v>
      </x:c>
      <x:c r="M603" s="102"/>
      <x:c r="N603" s="102"/>
      <x:c r="O603" s="102" t="str">
        <x:v>Czech-Slovak border crossing</x:v>
      </x:c>
      <x:c r="P603" s="102"/>
      <x:c r="Q603" s="102" t="str">
        <x:v>Road freight / border crossing</x:v>
      </x:c>
      <x:c r="R603" s="102" t="str">
        <x:v>Czech, Slovak and allied farmer groups</x:v>
      </x:c>
      <x:c r="S603" s="102" t="str">
        <x:v>Farmers from several Central European countries used tractors to disrupt a border crossing while protesting non-EU imports and agricultural policy.</x:v>
      </x:c>
      <x:c r="T603" s="102" t="str">
        <x:v>Occurred</x:v>
      </x:c>
      <x:c r="U603" s="102"/>
      <x:c r="V603" s="102"/>
      <x:c r="W603" s="102" t="str">
        <x:v>Border-crossing operations disrupted and road traffic constrained</x:v>
      </x:c>
      <x:c r="X603" s="102" t="str">
        <x:v>Short-duration cross-border trucking friction and agricultural trade disruption</x:v>
      </x:c>
      <x:c r="Y603" s="102" t="str">
        <x:v>Moderate</x:v>
      </x:c>
      <x:c r="Z603" s="102" t="str">
        <x:v>Medium</x:v>
      </x:c>
      <x:c r="AA603" s="102" t="str">
        <x:v>https://www.reuters.com/world/europe/czech-slovak-farmers-clog-border-crossing-protest-non-eu-imports-2025-02-27/</x:v>
      </x:c>
      <x:c r="AB603" s="102" t="str">
        <x:v>Needs canonical event resolution</x:v>
      </x:c>
      <x:c r="AC603" s="102" t="str">
        <x:v>v1.10 weather/labour/protest first-pass population; operationally relevant event only.</x:v>
      </x:c>
    </x:row>
    <x:row r="604">
      <x:c r="A604" s="102" t="str">
        <x:v>OBS_000603</x:v>
      </x:c>
      <x:c r="B604" s="102"/>
      <x:c r="C604" s="102" t="str">
        <x:v>external_disruptions_v2</x:v>
      </x:c>
      <x:c r="D604" s="102" t="str">
        <x:v>EXT_0026</x:v>
      </x:c>
      <x:c r="E604" s="102" t="str">
        <x:v>2026-09-05</x:v>
      </x:c>
      <x:c r="F604" s="102" t="str">
        <x:v>Protest / Labour</x:v>
      </x:c>
      <x:c r="G604" s="102" t="str">
        <x:v>Road blockade / protest</x:v>
      </x:c>
      <x:c r="H604" s="102" t="str">
        <x:v>Port access disruption</x:v>
      </x:c>
      <x:c r="I604" s="102" t="str">
        <x:v>Port / Road / Ferry</x:v>
      </x:c>
      <x:c r="J604" s="102" t="str">
        <x:v>Europe</x:v>
      </x:c>
      <x:c r="K604" s="102" t="str">
        <x:v>United Kingdom</x:v>
      </x:c>
      <x:c r="L604" s="102" t="str">
        <x:v>Port of Dover / Portsmouth</x:v>
      </x:c>
      <x:c r="M604" s="102"/>
      <x:c r="N604" s="102"/>
      <x:c r="O604" s="102" t="str">
        <x:v>Port of Dover</x:v>
      </x:c>
      <x:c r="P604" s="102"/>
      <x:c r="Q604" s="102" t="str">
        <x:v>Port access roads / ferry passengers and cargo traffic</x:v>
      </x:c>
      <x:c r="R604" s="102" t="str">
        <x:v>Anti-migrant protest groups</x:v>
      </x:c>
      <x:c r="S604" s="102" t="str">
        <x:v>Masked anti-migrant protesters blocked roads around the Port of Dover and later streets in Portsmouth, causing traffic disruption around important Channel ferry access points.</x:v>
      </x:c>
      <x:c r="T604" s="102" t="str">
        <x:v>Occurred / contained</x:v>
      </x:c>
      <x:c r="U604" s="102"/>
      <x:c r="V604" s="102"/>
      <x:c r="W604" s="102" t="str">
        <x:v>Road access disrupted; ferry passengers delayed; access later restored</x:v>
      </x:c>
      <x:c r="X604" s="102" t="str">
        <x:v>Localized friction at the UK's main cross-Channel ferry gateway; no confirmed prolonged port shutdown</x:v>
      </x:c>
      <x:c r="Y604" s="102" t="str">
        <x:v>Moderate</x:v>
      </x:c>
      <x:c r="Z604" s="102" t="str">
        <x:v>Medium</x:v>
      </x:c>
      <x:c r="AA604" s="102" t="str">
        <x:v>https://www.reuters.com/world/uk/uk-minister-condemns-anti-migrant-protests-portsmouth-2026-09-07/ | https://apnews.com/article/8e263817b1ad5abd49beec7a6a8f88a4</x:v>
      </x:c>
      <x:c r="AB604" s="102" t="str">
        <x:v>Needs canonical event resolution</x:v>
      </x:c>
      <x:c r="AC604" s="102" t="str">
        <x:v>v1.10 weather/labour/protest first-pass population; operationally relevant event only.</x:v>
      </x:c>
    </x:row>
  </x:sheetData>
  <x:pageMargins left="0.7" right="0.7" top="0.75" bottom="0.75" header="0.3" footer="0.3"/>
  <x:tableParts count="1">
    <x:tablePart xmlns:r="http://schemas.openxmlformats.org/officeDocument/2006/relationships" r:id="Rddbc31f6f1bf4ae6"/>
  </x:tableParts>
</x:worksheet>
</file>

<file path=xl/worksheets/sheet24.xml><?xml version="1.0" encoding="utf-8"?>
<x:worksheet xmlns:x="http://schemas.openxmlformats.org/spreadsheetml/2006/main">
  <x:sheetFormatPr defaultRowHeight="15"/>
  <x:cols>
    <x:col min="1" max="1" width="17" hidden="0" customWidth="1"/>
    <x:col min="2" max="2" width="17" hidden="0" customWidth="1"/>
    <x:col min="3" max="3" width="24" hidden="0" customWidth="1"/>
    <x:col min="4" max="4" width="24" hidden="0" customWidth="1"/>
    <x:col min="5" max="5" width="17" hidden="0" customWidth="1"/>
    <x:col min="6" max="6" width="17" hidden="0" customWidth="1"/>
    <x:col min="7" max="7" width="24" hidden="0" customWidth="1"/>
    <x:col min="8" max="8" width="17" hidden="0" customWidth="1"/>
    <x:col min="9" max="9" width="34" hidden="0" customWidth="1"/>
    <x:col min="10" max="10" width="24" hidden="0" customWidth="1"/>
    <x:col min="11" max="11" width="34" hidden="0" customWidth="1"/>
    <x:col min="12" max="12" width="17" hidden="0" customWidth="1"/>
    <x:col min="13" max="13" width="17" hidden="0" customWidth="1"/>
    <x:col min="14" max="14" width="38" hidden="0" customWidth="1"/>
    <x:col min="15" max="15" width="38" hidden="0" customWidth="1"/>
  </x:cols>
  <x:sheetData>
    <x:row r="1">
      <x:c r="A1" s="50" t="str">
        <x:v>External Event ID</x:v>
      </x:c>
      <x:c r="B1" s="50" t="str">
        <x:v>Date</x:v>
      </x:c>
      <x:c r="C1" s="50" t="str">
        <x:v>Event Family</x:v>
      </x:c>
      <x:c r="D1" s="50" t="str">
        <x:v>Event Type</x:v>
      </x:c>
      <x:c r="E1" s="50" t="str">
        <x:v>Mode</x:v>
      </x:c>
      <x:c r="F1" s="50" t="str">
        <x:v>Country / Countries</x:v>
      </x:c>
      <x:c r="G1" s="50" t="str">
        <x:v>Location</x:v>
      </x:c>
      <x:c r="H1" s="50" t="str">
        <x:v>Title</x:v>
      </x:c>
      <x:c r="I1" s="50" t="str">
        <x:v>Description</x:v>
      </x:c>
      <x:c r="J1" s="50" t="str">
        <x:v>Assets / Modes Affected</x:v>
      </x:c>
      <x:c r="K1" s="50" t="str">
        <x:v>Operational / Trade Impact</x:v>
      </x:c>
      <x:c r="L1" s="50" t="str">
        <x:v>Status</x:v>
      </x:c>
      <x:c r="M1" s="50" t="str">
        <x:v>Confidence</x:v>
      </x:c>
      <x:c r="N1" s="50" t="str">
        <x:v>Primary Source</x:v>
      </x:c>
      <x:c r="O1" s="50" t="str">
        <x:v>Secondary Source</x:v>
      </x:c>
    </x:row>
    <x:row r="2">
      <x:c r="A2" s="42" t="str">
        <x:v>EXT_0001</x:v>
      </x:c>
      <x:c r="B2" s="42" t="str">
        <x:v>2026-09-06</x:v>
      </x:c>
      <x:c r="C2" s="42" t="str">
        <x:v>Natural Hazard</x:v>
      </x:c>
      <x:c r="D2" s="42" t="str">
        <x:v>Volcanic eruption / ash</x:v>
      </x:c>
      <x:c r="E2" s="42" t="str">
        <x:v>Multimodal</x:v>
      </x:c>
      <x:c r="F2" s="42" t="str">
        <x:v>Indonesia</x:v>
      </x:c>
      <x:c r="G2" s="42" t="str">
        <x:v>Jakarta / Lampung / West Java / Sunda Strait</x:v>
      </x:c>
      <x:c r="H2" s="42" t="str">
        <x:v>Anak Krakatau eruption</x:v>
      </x:c>
      <x:c r="I2" s="42" t="str">
        <x:v>Volcanic ash forced suspension of operations at eight Indonesian airports; ferry operations in the Sunda Strait continued with caution and fishing activity was halted.</x:v>
      </x:c>
      <x:c r="J2" s="42" t="str">
        <x:v>Airports / air cargo / ferries / fishing</x:v>
      </x:c>
      <x:c r="K2" s="42" t="str">
        <x:v>Airport closures; flight cancellations; air-cargo interruption; maritime caution</x:v>
      </x:c>
      <x:c r="L2" s="42" t="str">
        <x:v>Active / developing</x:v>
      </x:c>
      <x:c r="M2" s="42" t="str">
        <x:v>High</x:v>
      </x:c>
      <x:c r="N2" s="42" t="str">
        <x:v>https://www.reuters.com/business/environment/indonesias-jakarta-airport-suspends-flights-due-ash-mount-anak-krakatau-2026-09-06/</x:v>
      </x:c>
      <x:c r="O2" s="42" t="str">
        <x:v>https://www.powerncorridors.com/regional-logistics-alert-06-sept-2026-indonesia-sunda-strait/</x:v>
      </x:c>
    </x:row>
    <x:row r="3">
      <x:c r="A3" s="42" t="str">
        <x:v>EXT_0002</x:v>
      </x:c>
      <x:c r="B3" s="42" t="str">
        <x:v>2026-09-02</x:v>
      </x:c>
      <x:c r="C3" s="42" t="str">
        <x:v>Labour / Industrial Action</x:v>
      </x:c>
      <x:c r="D3" s="42" t="str">
        <x:v>Port strike</x:v>
      </x:c>
      <x:c r="E3" s="42" t="str">
        <x:v>Maritime / Port / Inland</x:v>
      </x:c>
      <x:c r="F3" s="42" t="str">
        <x:v>Germany / Netherlands</x:v>
      </x:c>
      <x:c r="G3" s="42" t="str">
        <x:v>Northern European ports</x:v>
      </x:c>
      <x:c r="H3" s="42" t="str">
        <x:v>German and Dutch port industrial action</x:v>
      </x:c>
      <x:c r="I3" s="42" t="str">
        <x:v>Sequential industrial action affected German ports and was followed by planned stoppages in Rotterdam, Amsterdam and Zeeland.</x:v>
      </x:c>
      <x:c r="J3" s="42" t="str">
        <x:v>Ports / terminals / vessel handling / inland cargo</x:v>
      </x:c>
      <x:c r="K3" s="42" t="str">
        <x:v>Vessel delay; terminal handling interruption; cargo backlog and congestion displacement risk</x:v>
      </x:c>
      <x:c r="L3" s="42" t="str">
        <x:v>Active / developing</x:v>
      </x:c>
      <x:c r="M3" s="42" t="str">
        <x:v>High</x:v>
      </x:c>
      <x:c r="N3" s="42" t="str">
        <x:v>https://www.powerncorridors.com/regional-trade-alert-04-sept-2026-northern-europe/</x:v>
      </x:c>
      <x:c r="O3" s="42" t="str"/>
    </x:row>
    <x:row r="4">
      <x:c r="A4" s="42" t="str">
        <x:v>EXT_0003</x:v>
      </x:c>
      <x:c r="B4" s="42" t="str">
        <x:v>2026-08-08</x:v>
      </x:c>
      <x:c r="C4" s="42" t="str">
        <x:v>Weather</x:v>
      </x:c>
      <x:c r="D4" s="42" t="str">
        <x:v>Typhoon</x:v>
      </x:c>
      <x:c r="E4" s="42" t="str">
        <x:v>Multimodal</x:v>
      </x:c>
      <x:c r="F4" s="42" t="str">
        <x:v>China / Japan / Taiwan</x:v>
      </x:c>
      <x:c r="G4" s="42" t="str">
        <x:v>Okinawa / Zhejiang / Shanghai / Taiwan Strait</x:v>
      </x:c>
      <x:c r="H4" s="42" t="str">
        <x:v>Typhoon Dolphin</x:v>
      </x:c>
      <x:c r="I4" s="42" t="str">
        <x:v>Typhoon Dolphin disrupted Okinawa and triggered Chinese port closures, ferry suspensions, vessel clearances, airport shutdowns and rail restrictions ahead of landfall.</x:v>
      </x:c>
      <x:c r="J4" s="42" t="str">
        <x:v>Ports / shipping / aviation / rail</x:v>
      </x:c>
      <x:c r="K4" s="42" t="str">
        <x:v>Port closure; vessel clearance; airport closure; flight cancellation; ferry and rail suspension</x:v>
      </x:c>
      <x:c r="L4" s="42" t="str">
        <x:v>Closed / precautionary disruption</x:v>
      </x:c>
      <x:c r="M4" s="42" t="str">
        <x:v>High</x:v>
      </x:c>
      <x:c r="N4" s="42" t="str">
        <x:v>https://www.reuters.com/business/environment/typhoon-dolphin-hits-japans-okinawa-china-shuts-ports-ahead-landfall-2026-08-08/</x:v>
      </x:c>
      <x:c r="O4" s="42" t="str"/>
    </x:row>
    <x:row r="5">
      <x:c r="A5" s="42" t="str">
        <x:v>EXT_0004</x:v>
      </x:c>
      <x:c r="B5" s="42" t="str">
        <x:v>2026-06-24</x:v>
      </x:c>
      <x:c r="C5" s="42" t="str">
        <x:v>Natural Hazard</x:v>
      </x:c>
      <x:c r="D5" s="42" t="str">
        <x:v>Earthquake</x:v>
      </x:c>
      <x:c r="E5" s="42" t="str">
        <x:v>Aviation / Airport</x:v>
      </x:c>
      <x:c r="F5" s="42" t="str">
        <x:v>Venezuela</x:v>
      </x:c>
      <x:c r="G5" s="42" t="str">
        <x:v>Simón Bolívar International Airport / La Guaira</x:v>
      </x:c>
      <x:c r="H5" s="42" t="str">
        <x:v>Venezuela earthquakes</x:v>
      </x:c>
      <x:c r="I5" s="42" t="str">
        <x:v>Two major earthquakes severely damaged airport runways and buildings, closing the country's main airport before partial operations resumed in September.</x:v>
      </x:c>
      <x:c r="J5" s="42" t="str">
        <x:v>Airport / passenger and cargo aviation</x:v>
      </x:c>
      <x:c r="K5" s="42" t="str">
        <x:v>Extended airport closure; reduced cargo/passenger capacity; temporary facilities required</x:v>
      </x:c>
      <x:c r="L5" s="42" t="str">
        <x:v>Recovery / partial reopening</x:v>
      </x:c>
      <x:c r="M5" s="42" t="str">
        <x:v>High</x:v>
      </x:c>
      <x:c r="N5" s="42" t="str">
        <x:v>https://apnews.com/article/74144da8c39b41ba7f3559ff3bd264d7</x:v>
      </x:c>
      <x:c r="O5" s="42" t="str"/>
    </x:row>
    <x:row r="6">
      <x:c r="A6" s="42" t="str">
        <x:v>EXT_0005</x:v>
      </x:c>
      <x:c r="B6" s="42" t="str">
        <x:v>2026-09-02</x:v>
      </x:c>
      <x:c r="C6" s="42" t="str">
        <x:v>Civil Unrest / Insecurity</x:v>
      </x:c>
      <x:c r="D6" s="42" t="str">
        <x:v>Gang violence / aviation restriction</x:v>
      </x:c>
      <x:c r="E6" s="42" t="str">
        <x:v>Aviation</x:v>
      </x:c>
      <x:c r="F6" s="42" t="str">
        <x:v>Haiti</x:v>
      </x:c>
      <x:c r="G6" s="42" t="str">
        <x:v>Port-au-Prince / Toussaint Louverture International Airport</x:v>
      </x:c>
      <x:c r="H6" s="42" t="str">
        <x:v>FAA extends Port-au-Prince flight restriction</x:v>
      </x:c>
      <x:c r="I6" s="42" t="str">
        <x:v>Persistent gang violence and prior attacks on aircraft led the FAA to extend restrictions on U.S. commercial and civil aviation over Port-au-Prince.</x:v>
      </x:c>
      <x:c r="J6" s="42" t="str">
        <x:v>Airport / aviation / air cargo</x:v>
      </x:c>
      <x:c r="K6" s="42" t="str">
        <x:v>Commercial aviation access remains constrained; Port-au-Prince continues to be isolated from normal U.S.-linked air service</x:v>
      </x:c>
      <x:c r="L6" s="42" t="str">
        <x:v>Active</x:v>
      </x:c>
      <x:c r="M6" s="42" t="str">
        <x:v>High</x:v>
      </x:c>
      <x:c r="N6" s="42" t="str">
        <x:v>https://apnews.com/article/70e3aa409fb24c7916568b4d904bfa4a</x:v>
      </x:c>
      <x:c r="O6" s="42" t="str"/>
    </x:row>
    <x:row r="7">
      <x:c r="A7" s="42" t="str">
        <x:v>EXT_0006</x:v>
      </x:c>
      <x:c r="B7" s="42" t="str">
        <x:v>2026-04-13</x:v>
      </x:c>
      <x:c r="C7" s="42" t="str">
        <x:v>Protest / Labour</x:v>
      </x:c>
      <x:c r="D7" s="42" t="str">
        <x:v>Worker protest</x:v>
      </x:c>
      <x:c r="E7" s="42" t="str">
        <x:v>Road / Industrial / Urban logistics</x:v>
      </x:c>
      <x:c r="F7" s="42" t="str">
        <x:v>Haiti</x:v>
      </x:c>
      <x:c r="G7" s="42" t="str">
        <x:v>Port-au-Prince</x:v>
      </x:c>
      <x:c r="H7" s="42" t="str">
        <x:v>Haitian workers protest fuel-price shock</x:v>
      </x:c>
      <x:c r="I7" s="42" t="str">
        <x:v>More than 1,000 workers protested for higher wages after sharp fuel-price increases, illustrating how energy shocks can feed into labour and transport pressure.</x:v>
      </x:c>
      <x:c r="J7" s="42" t="str">
        <x:v>Industrial workforce / road movement</x:v>
      </x:c>
      <x:c r="K7" s="42" t="str">
        <x:v>Potential production and commuting disruption; indicator of labour and cost-of-living pressure</x:v>
      </x:c>
      <x:c r="L7" s="42" t="str">
        <x:v>Occurred</x:v>
      </x:c>
      <x:c r="M7" s="42" t="str">
        <x:v>High</x:v>
      </x:c>
      <x:c r="N7" s="42" t="str">
        <x:v>https://apnews.com/article/70b2c1166fc63788b36f9341d396e617</x:v>
      </x:c>
      <x:c r="O7" s="42" t="str"/>
    </x:row>
    <x:row r="8">
      <x:c r="A8" s="42" t="str">
        <x:v>EXT_0007</x:v>
      </x:c>
      <x:c r="B8" s="42" t="str">
        <x:v>2026-06-16</x:v>
      </x:c>
      <x:c r="C8" s="42" t="str">
        <x:v>Civil Unrest / Insecurity</x:v>
      </x:c>
      <x:c r="D8" s="42" t="str">
        <x:v>Gang clashes affecting port operations</x:v>
      </x:c>
      <x:c r="E8" s="42" t="str">
        <x:v>Port / Fuel / Road</x:v>
      </x:c>
      <x:c r="F8" s="42" t="str">
        <x:v>Haiti</x:v>
      </x:c>
      <x:c r="G8" s="42" t="str">
        <x:v>Port-au-Prince port / Varreux fuel terminal</x:v>
      </x:c>
      <x:c r="H8" s="42" t="str">
        <x:v>Gang clashes disrupt Port-au-Prince and Varreux operations</x:v>
      </x:c>
      <x:c r="I8" s="42" t="str">
        <x:v>Armed clashes brought activity at the Port-au-Prince seaport and Varreux fuel terminal close to a standstill, although the port was not formally closed.</x:v>
      </x:c>
      <x:c r="J8" s="42" t="str">
        <x:v>Port / fuel terminal / cargo trucking</x:v>
      </x:c>
      <x:c r="K8" s="42" t="str">
        <x:v>Port and fuel-terminal operations severely constrained; implications for imports, fuel and inland distribution</x:v>
      </x:c>
      <x:c r="L8" s="42" t="str">
        <x:v>Severely disrupted</x:v>
      </x:c>
      <x:c r="M8" s="42" t="str">
        <x:v>Moderate / High</x:v>
      </x:c>
      <x:c r="N8" s="42" t="str">
        <x:v>https://lenouvelliste.com/en/article/268530/escalating-gang-violence-affects-activities-at-the-apn-and-varreux-terminal</x:v>
      </x:c>
      <x:c r="O8" s="42" t="str">
        <x:v>https://www.mag.wcoomd.org/magazine/wco-news-110-issue-2-2026/revisiting-haiti/</x:v>
      </x:c>
    </x:row>
    <x:row r="9">
      <x:c r="A9" s="42" t="str">
        <x:v>EXT_0008</x:v>
      </x:c>
      <x:c r="B9" s="42" t="str">
        <x:v>2026-08-26</x:v>
      </x:c>
      <x:c r="C9" s="42" t="str">
        <x:v>Natural Hazard</x:v>
      </x:c>
      <x:c r="D9" s="42" t="str">
        <x:v>Glacial collapse / mudslide</x:v>
      </x:c>
      <x:c r="E9" s="42" t="str">
        <x:v>Land / Border Trade</x:v>
      </x:c>
      <x:c r="F9" s="42" t="str">
        <x:v>China / Nepal</x:v>
      </x:c>
      <x:c r="G9" s="42" t="str">
        <x:v>Gyirong border crossing</x:v>
      </x:c>
      <x:c r="H9" s="42" t="str">
        <x:v>Glacial collapse destroys China-Nepal trade port</x:v>
      </x:c>
      <x:c r="I9" s="42" t="str">
        <x:v>A glacial collapse triggered a massive mudslide that destroyed the Gyirong border crossing and customs infrastructure.</x:v>
      </x:c>
      <x:c r="J9" s="42" t="str">
        <x:v>Border port / customs / road corridor</x:v>
      </x:c>
      <x:c r="K9" s="42" t="str">
        <x:v>Cross-border trade route physically destroyed; customs and road access lost</x:v>
      </x:c>
      <x:c r="L9" s="42" t="str">
        <x:v>Closed / destroyed</x:v>
      </x:c>
      <x:c r="M9" s="42" t="str">
        <x:v>High</x:v>
      </x:c>
      <x:c r="N9" s="42" t="str">
        <x:v>https://www.reuters.com/world/china/flood-destroyed-china-nepal-border-no-sign-once-busy-port-reuters-witnesses-2026-09-06/</x:v>
      </x:c>
      <x:c r="O9" s="42" t="str"/>
    </x:row>
    <x:row r="10">
      <x:c r="A10" s="42" t="str">
        <x:v>EXT_0009</x:v>
      </x:c>
      <x:c r="B10" s="42" t="str">
        <x:v>2026-09-06</x:v>
      </x:c>
      <x:c r="C10" s="42" t="str">
        <x:v>Transport Accident</x:v>
      </x:c>
      <x:c r="D10" s="42" t="str">
        <x:v>Cargo aircraft runway overrun / crash</x:v>
      </x:c>
      <x:c r="E10" s="42" t="str">
        <x:v>Aviation / Air Cargo</x:v>
      </x:c>
      <x:c r="F10" s="42" t="str">
        <x:v>United States</x:v>
      </x:c>
      <x:c r="G10" s="42" t="str">
        <x:v>Miami International Airport</x:v>
      </x:c>
      <x:c r="H10" s="42" t="str">
        <x:v>Amazon Prime Air cargo aircraft crash</x:v>
      </x:c>
      <x:c r="I10" s="42" t="str">
        <x:v>A Boeing 767 freighter operated by 21 Air for Amazon Prime Air overran the runway, causing fatalities, injuries, fuel leakage and substantial flight disruption.</x:v>
      </x:c>
      <x:c r="J10" s="42" t="str">
        <x:v>Cargo aircraft / airport / runways</x:v>
      </x:c>
      <x:c r="K10" s="42" t="str">
        <x:v>Runway disruption; cancellations and delays; cargo-aircraft loss; emergency response</x:v>
      </x:c>
      <x:c r="L10" s="42" t="str">
        <x:v>Recovery</x:v>
      </x:c>
      <x:c r="M10" s="42" t="str">
        <x:v>High</x:v>
      </x:c>
      <x:c r="N10" s="42" t="str">
        <x:v>https://www.reuters.com/business/aerospace-defense/amazon-prime-air-boeing-767-overruns-runway-miami-airport-2026-09-06/</x:v>
      </x:c>
      <x:c r="O10" s="42" t="str"/>
    </x:row>
    <x:row r="11">
      <x:c r="A11" s="102" t="str">
        <x:v>EXT_0010</x:v>
      </x:c>
      <x:c r="B11" s="102" t="str">
        <x:v>2026-08-09</x:v>
      </x:c>
      <x:c r="C11" s="102" t="str">
        <x:v>Weather</x:v>
      </x:c>
      <x:c r="D11" s="102" t="str">
        <x:v>Drought / extreme low water</x:v>
      </x:c>
      <x:c r="E11" s="102" t="str">
        <x:v>Inland Waterway / Barge / Industrial Logistics</x:v>
      </x:c>
      <x:c r="F11" s="102" t="str">
        <x:v>Germany</x:v>
      </x:c>
      <x:c r="G11" s="102" t="str">
        <x:v>Rhine / Kaub</x:v>
      </x:c>
      <x:c r="H11" s="102" t="str">
        <x:v>Rhine low-water shipping constraint</x:v>
      </x:c>
      <x:c r="I11" s="102" t="str">
        <x:v>Critically low Rhine water levels threatened to halt commercial cargo traffic through the Kaub bottleneck and forced vessels to sail part-loaded.</x:v>
      </x:c>
      <x:c r="J11" s="102" t="str">
        <x:v>Rhine barges / inland terminals / industrial supply chains</x:v>
      </x:c>
      <x:c r="K11" s="102" t="str">
        <x:v>Draft restrictions; reduced cargo lift; more voyages required; cargo shifted toward road and rail; Higher inland freight costs; industrial logistics bottlenecks; CMA CGM later imposed an inland emergency fee</x:v>
      </x:c>
      <x:c r="L11" s="102" t="str">
        <x:v>Observed / partially improving</x:v>
      </x:c>
      <x:c r="M11" s="102" t="str">
        <x:v>High</x:v>
      </x:c>
      <x:c r="N11" s="102" t="str">
        <x:v>https://www.reuters.com/business/environment/german-shippers-warn-rhine-could-be-split-two-by-low-water-2026-08-09/</x:v>
      </x:c>
      <x:c r="O11" s="102" t="str">
        <x:v>https://www.reuters.com/business/energy/frances-cma-cgm-charge-inland-emergency-fee-due-lower-river-levels-2026-08-21/</x:v>
      </x:c>
    </x:row>
    <x:row r="12">
      <x:c r="A12" s="102" t="str">
        <x:v>EXT_0011</x:v>
      </x:c>
      <x:c r="B12" s="102" t="str">
        <x:v>2026-07-16</x:v>
      </x:c>
      <x:c r="C12" s="102" t="str">
        <x:v>Weather</x:v>
      </x:c>
      <x:c r="D12" s="102" t="str">
        <x:v>Drought / extreme low water</x:v>
      </x:c>
      <x:c r="E12" s="102" t="str">
        <x:v>Inland Waterway / Cruise / Passenger</x:v>
      </x:c>
      <x:c r="F12" s="102" t="str">
        <x:v>Hungary</x:v>
      </x:c>
      <x:c r="G12" s="102" t="str">
        <x:v>Danube / Budapest / Gonyu / Komarom / Mohacs</x:v>
      </x:c>
      <x:c r="H12" s="102" t="str">
        <x:v>Danube near-record low-water disruption</x:v>
      </x:c>
      <x:c r="I12" s="102" t="str">
        <x:v>Near-record low Danube water levels stranded or delayed river-cruise vessels and suspended some sightseeing operations in Hungary.</x:v>
      </x:c>
      <x:c r="J12" s="102" t="str">
        <x:v>Danube navigation / river cruise vessels / passenger terminals</x:v>
      </x:c>
      <x:c r="K12" s="102" t="str">
        <x:v>Vessels stranded or held in ports; sightseeing services suspended north of Budapest; Passenger-shipping and tourism disruption; reduced operational flexibility on the Danube corridor</x:v>
      </x:c>
      <x:c r="L12" s="102" t="str">
        <x:v>Occurred / low-water constrained</x:v>
      </x:c>
      <x:c r="M12" s="102" t="str">
        <x:v>Moderate / High</x:v>
      </x:c>
      <x:c r="N12" s="102" t="str">
        <x:v>https://www.reuters.com/world/near-record-low-water-levels-disrupt-tourism-danube-2026-07-16/</x:v>
      </x:c>
      <x:c r="O12" s="102"/>
    </x:row>
    <x:row r="13">
      <x:c r="A13" s="102" t="str">
        <x:v>EXT_0012</x:v>
      </x:c>
      <x:c r="B13" s="102" t="str">
        <x:v>2026-07-11</x:v>
      </x:c>
      <x:c r="C13" s="102" t="str">
        <x:v>Weather</x:v>
      </x:c>
      <x:c r="D13" s="102" t="str">
        <x:v>Typhoon</x:v>
      </x:c>
      <x:c r="E13" s="102" t="str">
        <x:v>Multimodal</x:v>
      </x:c>
      <x:c r="F13" s="102" t="str">
        <x:v>China / Taiwan / Japan / Philippines</x:v>
      </x:c>
      <x:c r="G13" s="102" t="str">
        <x:v>Zhejiang / Taizhou / Taiwan / Sakishima Islands</x:v>
      </x:c>
      <x:c r="H13" s="102" t="str">
        <x:v>Typhoon Bavi regional transport disruption</x:v>
      </x:c>
      <x:c r="I13" s="102" t="str">
        <x:v>Typhoon Bavi crossed the western Pacific and made landfall in eastern China after forcing mass evacuations and widespread transport restrictions in Taiwan and the region.</x:v>
      </x:c>
      <x:c r="J13" s="102" t="str">
        <x:v>Airports / rail / roads / coastal shipping / urban logistics</x:v>
      </x:c>
      <x:c r="K13" s="102" t="str">
        <x:v>Large-scale flight cancellations; reduced rail service; evacuations and weather restrictions across coastal transport systems; Air-cargo and passenger disruption; potential manufacturing and port-hinterland delays in eastern China and Taiwan</x:v>
      </x:c>
      <x:c r="L13" s="102" t="str">
        <x:v>Occurred</x:v>
      </x:c>
      <x:c r="M13" s="102" t="str">
        <x:v>High</x:v>
      </x:c>
      <x:c r="N13" s="102" t="str">
        <x:v>https://www.reuters.com/business/environment/thousands-evacuated-taiwan-shuts-down-typhoon-bavi-2026-07-11/</x:v>
      </x:c>
      <x:c r="O13" s="102"/>
    </x:row>
    <x:row r="14">
      <x:c r="A14" s="102" t="str">
        <x:v>EXT_0013</x:v>
      </x:c>
      <x:c r="B14" s="102" t="str">
        <x:v>2025-03-06</x:v>
      </x:c>
      <x:c r="C14" s="102" t="str">
        <x:v>Weather</x:v>
      </x:c>
      <x:c r="D14" s="102" t="str">
        <x:v>Tropical cyclone</x:v>
      </x:c>
      <x:c r="E14" s="102" t="str">
        <x:v>Aviation / Road / Urban Logistics</x:v>
      </x:c>
      <x:c r="F14" s="102" t="str">
        <x:v>Australia</x:v>
      </x:c>
      <x:c r="G14" s="102" t="str">
        <x:v>Brisbane / southeast Queensland / northern New South Wales</x:v>
      </x:c>
      <x:c r="H14" s="102" t="str">
        <x:v>Cyclone Alfred disrupts Brisbane transport system</x:v>
      </x:c>
      <x:c r="I14" s="102" t="str">
        <x:v>Cyclone Alfred prompted closure of Brisbane Airport, suspension of public transport and broad emergency preparations across southeast Queensland and northern New South Wales.</x:v>
      </x:c>
      <x:c r="J14" s="102" t="str">
        <x:v>Brisbane Airport / airlines / public transport / roads / utilities</x:v>
      </x:c>
      <x:c r="K14" s="102" t="str">
        <x:v>Airport operations suspended; Qantas flights curtailed; public transport shut; power outages and flood risk; Air-cargo and passenger capacity loss; urban distribution delays and supply-chain disruption around Brisbane</x:v>
      </x:c>
      <x:c r="L14" s="102" t="str">
        <x:v>Occurred / recovery</x:v>
      </x:c>
      <x:c r="M14" s="102" t="str">
        <x:v>High</x:v>
      </x:c>
      <x:c r="N14" s="102" t="str">
        <x:v>https://www.reuters.com/business/environment/cyclone-alfred-stalls-off-australias-east-residents-sandbag-homes-transport-2025-03-06/</x:v>
      </x:c>
      <x:c r="O14" s="102"/>
    </x:row>
    <x:row r="15">
      <x:c r="A15" s="102" t="str">
        <x:v>EXT_0014</x:v>
      </x:c>
      <x:c r="B15" s="102" t="str">
        <x:v>2025-07-22</x:v>
      </x:c>
      <x:c r="C15" s="102" t="str">
        <x:v>Weather</x:v>
      </x:c>
      <x:c r="D15" s="102" t="str">
        <x:v>Typhoon / tropical storm</x:v>
      </x:c>
      <x:c r="E15" s="102" t="str">
        <x:v>Multimodal</x:v>
      </x:c>
      <x:c r="F15" s="102" t="str">
        <x:v>Vietnam / China / Hong Kong / Philippines</x:v>
      </x:c>
      <x:c r="G15" s="102" t="str">
        <x:v>Northern Vietnam / Haiphong / Hong Kong / northern Philippines</x:v>
      </x:c>
      <x:c r="H15" s="102" t="str">
        <x:v>Wipha disrupts regional port, airport and rail services</x:v>
      </x:c>
      <x:c r="I15" s="102" t="str">
        <x:v>Wipha moved through Hong Kong and southern China before making landfall in northern Vietnam, with port, airport and rail suspensions and severe monsoon flooding in the Philippines.</x:v>
      </x:c>
      <x:c r="J15" s="102" t="str">
        <x:v>Ports / airports / rail / coastal shipping / urban transport</x:v>
      </x:c>
      <x:c r="K15" s="102" t="str">
        <x:v>Port and transport services suspended in Vietnam; flight cancellations; flooding and government closures in the Philippines; Regional cargo delay and distribution disruption across South China Sea supply chains</x:v>
      </x:c>
      <x:c r="L15" s="102" t="str">
        <x:v>Occurred</x:v>
      </x:c>
      <x:c r="M15" s="102" t="str">
        <x:v>High</x:v>
      </x:c>
      <x:c r="N15" s="102" t="str">
        <x:v>https://www.reuters.com/business/environment/tropical-storm-wipha-makes-landfall-vietnam-heavy-rains-persist-philippines-2025-07-22/</x:v>
      </x:c>
      <x:c r="O15" s="102"/>
    </x:row>
    <x:row r="16">
      <x:c r="A16" s="102" t="str">
        <x:v>EXT_0015</x:v>
      </x:c>
      <x:c r="B16" s="102" t="str">
        <x:v>2025-09-24</x:v>
      </x:c>
      <x:c r="C16" s="102" t="str">
        <x:v>Weather</x:v>
      </x:c>
      <x:c r="D16" s="102" t="str">
        <x:v>Super typhoon</x:v>
      </x:c>
      <x:c r="E16" s="102" t="str">
        <x:v>Multimodal</x:v>
      </x:c>
      <x:c r="F16" s="102" t="str">
        <x:v>China / Hong Kong / Taiwan</x:v>
      </x:c>
      <x:c r="G16" s="102" t="str">
        <x:v>Hong Kong / Guangdong / Shenzhen / Pearl River Delta / Taiwan</x:v>
      </x:c>
      <x:c r="H16" s="102" t="str">
        <x:v>Super Typhoon Ragasa disrupts Pearl River Delta</x:v>
      </x:c>
      <x:c r="I16" s="102" t="str">
        <x:v>Ragasa brought Hong Kong to a standstill and drove large-scale evacuations and transport restrictions across southern China and Taiwan.</x:v>
      </x:c>
      <x:c r="J16" s="102" t="str">
        <x:v>Airports / roads / coastal infrastructure / urban logistics / marine approaches</x:v>
      </x:c>
      <x:c r="K16" s="102" t="str">
        <x:v>Flight disruption, transport shutdowns, storm-surge warnings and widespread closures; Short-term disruption across one of the world's densest manufacturing, logistics and port regions</x:v>
      </x:c>
      <x:c r="L16" s="102" t="str">
        <x:v>Occurred</x:v>
      </x:c>
      <x:c r="M16" s="102" t="str">
        <x:v>High</x:v>
      </x:c>
      <x:c r="N16" s="102" t="str">
        <x:v>https://www.reuters.com/business/environment/super-typhoon-lashes-hong-kong-with-hurricane-force-winds-heavy-rain-2025-09-23/</x:v>
      </x:c>
      <x:c r="O16" s="102"/>
    </x:row>
    <x:row r="17">
      <x:c r="A17" s="102" t="str">
        <x:v>EXT_0016</x:v>
      </x:c>
      <x:c r="B17" s="102" t="str">
        <x:v>2025-10-09</x:v>
      </x:c>
      <x:c r="C17" s="102" t="str">
        <x:v>Weather</x:v>
      </x:c>
      <x:c r="D17" s="102" t="str">
        <x:v>Severe storm / high wind</x:v>
      </x:c>
      <x:c r="E17" s="102" t="str">
        <x:v>Maritime / Port</x:v>
      </x:c>
      <x:c r="F17" s="102" t="str">
        <x:v>Netherlands</x:v>
      </x:c>
      <x:c r="G17" s="102" t="str">
        <x:v>Port of Rotterdam</x:v>
      </x:c>
      <x:c r="H17" s="102" t="str">
        <x:v>Storm Amy contributes to Rotterdam vessel backlog</x:v>
      </x:c>
      <x:c r="I17" s="102" t="str">
        <x:v>A post-storm vessel queue at Rotterdam remained elevated after Storm Amy, with later labour action adding to the congestion.</x:v>
      </x:c>
      <x:c r="J17" s="102" t="str">
        <x:v>Container terminals / vessel queues / port approaches</x:v>
      </x:c>
      <x:c r="K17" s="102" t="str">
        <x:v>Ship queue roughly doubled from normal levels before strike effects became dominant; Container delays and reduced ability to absorb further disruption at Europe's largest port</x:v>
      </x:c>
      <x:c r="L17" s="102" t="str">
        <x:v>Occurred / residual backlog</x:v>
      </x:c>
      <x:c r="M17" s="102" t="str">
        <x:v>Moderate / High</x:v>
      </x:c>
      <x:c r="N17" s="102" t="str">
        <x:v>https://www.reuters.com/business/world-at-work/lashers-strike-causes-growing-ship-backlog-rotterdam-port-2025-10-09/</x:v>
      </x:c>
      <x:c r="O17" s="102"/>
    </x:row>
    <x:row r="18">
      <x:c r="A18" s="102" t="str">
        <x:v>EXT_0017</x:v>
      </x:c>
      <x:c r="B18" s="102" t="str">
        <x:v>2026-02-18</x:v>
      </x:c>
      <x:c r="C18" s="102" t="str">
        <x:v>Labour / Industrial Action</x:v>
      </x:c>
      <x:c r="D18" s="102" t="str">
        <x:v>Maritime workers strike</x:v>
      </x:c>
      <x:c r="E18" s="102" t="str">
        <x:v>Maritime / Port / Agricultural Exports</x:v>
      </x:c>
      <x:c r="F18" s="102" t="str">
        <x:v>Argentina</x:v>
      </x:c>
      <x:c r="G18" s="102" t="str">
        <x:v>Rosario / Parana-Paraguay export corridor</x:v>
      </x:c>
      <x:c r="H18" s="102" t="str">
        <x:v>Argentine maritime strike halts grain-export activity</x:v>
      </x:c>
      <x:c r="I18" s="102" t="str">
        <x:v>FESIMAF maritime workers launched a 48-hour strike against labour reform, disrupting loading, unloading, pilot transfers and commercial-vessel services around Rosario.</x:v>
      </x:c>
      <x:c r="J18" s="102" t="str">
        <x:v>Grain terminals / commercial vessels / pilots / port services</x:v>
      </x:c>
      <x:c r="K18" s="102" t="str">
        <x:v>Agro-export activity brought close to a standstill and vessel dispatch constrained; Disruption to a major global grain, soybean-oil and soybean-meal export system</x:v>
      </x:c>
      <x:c r="L18" s="102" t="str">
        <x:v>Occurred</x:v>
      </x:c>
      <x:c r="M18" s="102" t="str">
        <x:v>High</x:v>
      </x:c>
      <x:c r="N18" s="102" t="str">
        <x:v>https://www.reuters.com/business/world-at-work/argentine-maritime-workers-begin-48-hour-strike-against-labor-reform-2026-02-18/</x:v>
      </x:c>
      <x:c r="O18" s="102"/>
    </x:row>
    <x:row r="19">
      <x:c r="A19" s="102" t="str">
        <x:v>EXT_0018</x:v>
      </x:c>
      <x:c r="B19" s="102" t="str">
        <x:v>2026-03-05</x:v>
      </x:c>
      <x:c r="C19" s="102" t="str">
        <x:v>Labour / Industrial Action</x:v>
      </x:c>
      <x:c r="D19" s="102" t="str">
        <x:v>Seafarers strike</x:v>
      </x:c>
      <x:c r="E19" s="102" t="str">
        <x:v>Ferry / Maritime</x:v>
      </x:c>
      <x:c r="F19" s="102" t="str">
        <x:v>Greece</x:v>
      </x:c>
      <x:c r="G19" s="102" t="str">
        <x:v>Piraeus / Greek domestic ferry network</x:v>
      </x:c>
      <x:c r="H19" s="102" t="str">
        <x:v>Greek seafarers strike halts ferry services</x:v>
      </x:c>
      <x:c r="I19" s="102" t="str">
        <x:v>Greek seafarers held a 24-hour strike over crews stranded in the Gulf conflict, halting local ferry services and demanding evacuation protections.</x:v>
      </x:c>
      <x:c r="J19" s="102" t="str">
        <x:v>Domestic ferry services / passenger and vehicle movements</x:v>
      </x:c>
      <x:c r="K19" s="102" t="str">
        <x:v>Ferry sailings halted for the duration of the strike; Passenger, vehicle and island-supply movements delayed; labour action tied directly to maritime security risk</x:v>
      </x:c>
      <x:c r="L19" s="102" t="str">
        <x:v>Occurred</x:v>
      </x:c>
      <x:c r="M19" s="102" t="str">
        <x:v>High</x:v>
      </x:c>
      <x:c r="N19" s="102" t="str">
        <x:v>https://www.reuters.com/world/europe/greek-seafarers-strike-over-crews-stranded-gulf-by-iran-war-2026-03-05/</x:v>
      </x:c>
      <x:c r="O19" s="102"/>
    </x:row>
    <x:row r="20">
      <x:c r="A20" s="102" t="str">
        <x:v>EXT_0019</x:v>
      </x:c>
      <x:c r="B20" s="102" t="str">
        <x:v>2026-06-12</x:v>
      </x:c>
      <x:c r="C20" s="102" t="str">
        <x:v>Labour / Industrial Action</x:v>
      </x:c>
      <x:c r="D20" s="102" t="str">
        <x:v>Transport workers stoppage</x:v>
      </x:c>
      <x:c r="E20" s="102" t="str">
        <x:v>Road / Industrial Construction</x:v>
      </x:c>
      <x:c r="F20" s="102" t="str">
        <x:v>South Korea</x:v>
      </x:c>
      <x:c r="G20" s="102" t="str">
        <x:v>Seoul metropolitan area / Pyeongtaek / Yongin</x:v>
      </x:c>
      <x:c r="H20" s="102" t="str">
        <x:v>Concrete transport strike disrupts semiconductor construction</x:v>
      </x:c>
      <x:c r="I20" s="102" t="str">
        <x:v>Around 8,000 ready-mixed concrete transport workers suspended deliveries, halting concrete work at major Samsung and SK Hynix semiconductor expansion sites.</x:v>
      </x:c>
      <x:c r="J20" s="102" t="str">
        <x:v>Concrete plants / truck delivery / semiconductor construction</x:v>
      </x:c>
      <x:c r="K20" s="102" t="str">
        <x:v>Concrete deliveries blocked and pouring halted at strategic chip-factory construction sites; Potential schedule slippage for semiconductor capacity expansion if stoppage persisted</x:v>
      </x:c>
      <x:c r="L20" s="102" t="str">
        <x:v>Occurred / prolonged dispute</x:v>
      </x:c>
      <x:c r="M20" s="102" t="str">
        <x:v>Moderate / High</x:v>
      </x:c>
      <x:c r="N20" s="102" t="str">
        <x:v>https://www.reuters.com/business/world-at-work/south-korea-concrete-delivery-halt-threatens-samsung-sk-hynix-chip-plant-work-2026-06-12/</x:v>
      </x:c>
      <x:c r="O20" s="102"/>
    </x:row>
    <x:row r="21">
      <x:c r="A21" s="102" t="str">
        <x:v>EXT_0020</x:v>
      </x:c>
      <x:c r="B21" s="102" t="str">
        <x:v>2025-10-09</x:v>
      </x:c>
      <x:c r="C21" s="102" t="str">
        <x:v>Labour / Industrial Action</x:v>
      </x:c>
      <x:c r="D21" s="102" t="str">
        <x:v>Port strike</x:v>
      </x:c>
      <x:c r="E21" s="102" t="str">
        <x:v>Maritime / Container Port</x:v>
      </x:c>
      <x:c r="F21" s="102" t="str">
        <x:v>Netherlands</x:v>
      </x:c>
      <x:c r="G21" s="102" t="str">
        <x:v>Port of Rotterdam</x:v>
      </x:c>
      <x:c r="H21" s="102" t="str">
        <x:v>Rotterdam lashers strike blocks container handling</x:v>
      </x:c>
      <x:c r="I21" s="102" t="str">
        <x:v>All approximately 700 lashers at Rotterdam joined a wage strike, preventing container ships from loading or unloading and expanding a vessel backlog.</x:v>
      </x:c>
      <x:c r="J21" s="102" t="str">
        <x:v>Container terminals / ship loading and unloading</x:v>
      </x:c>
      <x:c r="K21" s="102" t="str">
        <x:v>Container loading/unloading effectively halted; vessel queue expanded; Backlogs at Europe's largest port with limited diversion capacity because Antwerp was also disrupted</x:v>
      </x:c>
      <x:c r="L21" s="102" t="str">
        <x:v>Occurred / temporarily suspended</x:v>
      </x:c>
      <x:c r="M21" s="102" t="str">
        <x:v>High</x:v>
      </x:c>
      <x:c r="N21" s="102" t="str">
        <x:v>https://www.reuters.com/business/world-at-work/lashers-strike-causes-growing-ship-backlog-rotterdam-port-2025-10-09/</x:v>
      </x:c>
      <x:c r="O21" s="102" t="str">
        <x:v>https://www.reuters.com/business/world-at-work/rotterdam-port-lashers-suspend-strike-monday-2025-10-12/</x:v>
      </x:c>
    </x:row>
    <x:row r="22">
      <x:c r="A22" s="102" t="str">
        <x:v>EXT_0021</x:v>
      </x:c>
      <x:c r="B22" s="102" t="str">
        <x:v>2025-10-08</x:v>
      </x:c>
      <x:c r="C22" s="102" t="str">
        <x:v>Labour / Industrial Action</x:v>
      </x:c>
      <x:c r="D22" s="102" t="str">
        <x:v>Work-to-rule</x:v>
      </x:c>
      <x:c r="E22" s="102" t="str">
        <x:v>Maritime / Port</x:v>
      </x:c>
      <x:c r="F22" s="102" t="str">
        <x:v>Belgium</x:v>
      </x:c>
      <x:c r="G22" s="102" t="str">
        <x:v>Port of Antwerp-Bruges / Zeebrugge</x:v>
      </x:c>
      <x:c r="H22" s="102" t="str">
        <x:v>Antwerp-Bruges harbour pilots disrupt marine traffic</x:v>
      </x:c>
      <x:c r="I22" s="102" t="str">
        <x:v>Flemish harbour pilots worked to rule over pension reforms, sharply reducing vessel movements at Antwerp and causing delays, strandings and diversions.</x:v>
      </x:c>
      <x:c r="J22" s="102" t="str">
        <x:v>Pilotage / port approaches / vessel traffic</x:v>
      </x:c>
      <x:c r="K22" s="102" t="str">
        <x:v>Antwerp handled only 31 ships on a day when 60-80 was typical; delays spread to Zeebrugge; Reduced gateway capacity and weaker diversion options for congestion at nearby Rotterdam</x:v>
      </x:c>
      <x:c r="L22" s="102" t="str">
        <x:v>Occurred</x:v>
      </x:c>
      <x:c r="M22" s="102" t="str">
        <x:v>High</x:v>
      </x:c>
      <x:c r="N22" s="102" t="str">
        <x:v>https://www.reuters.com/business/industrial-action-by-harbour-pilots-disrupts-shipping-antwerp-bruges-2025-10-08/</x:v>
      </x:c>
      <x:c r="O22" s="102"/>
    </x:row>
    <x:row r="23">
      <x:c r="A23" s="102" t="str">
        <x:v>EXT_0022</x:v>
      </x:c>
      <x:c r="B23" s="102" t="str">
        <x:v>2025-09-22</x:v>
      </x:c>
      <x:c r="C23" s="102" t="str">
        <x:v>Protest / Labour</x:v>
      </x:c>
      <x:c r="D23" s="102" t="str">
        <x:v>Dockworker strike / port blockade</x:v>
      </x:c>
      <x:c r="E23" s="102" t="str">
        <x:v>Port / Road / Rail</x:v>
      </x:c>
      <x:c r="F23" s="102" t="str">
        <x:v>Italy</x:v>
      </x:c>
      <x:c r="G23" s="102" t="str">
        <x:v>Genoa / Livorno</x:v>
      </x:c>
      <x:c r="H23" s="102" t="str">
        <x:v>Genoa and Livorno dockworkers block port access</x:v>
      </x:c>
      <x:c r="I23" s="102" t="str">
        <x:v>Dockworkers joined nationwide Gaza-related strikes and protests, blocking roads into Genoa and access at Livorno while broader transport services were disrupted.</x:v>
      </x:c>
      <x:c r="J23" s="102" t="str">
        <x:v>Port access roads / dock labour / regional rail</x:v>
      </x:c>
      <x:c r="K23" s="102" t="str">
        <x:v>Port access impeded and some transport services disrupted; Localized cargo and hinterland disruption; demonstration of politically driven port-labour action</x:v>
      </x:c>
      <x:c r="L23" s="102" t="str">
        <x:v>Occurred</x:v>
      </x:c>
      <x:c r="M23" s="102" t="str">
        <x:v>Moderate / High</x:v>
      </x:c>
      <x:c r="N23" s="102" t="str">
        <x:v>https://www.reuters.com/world/europe/genoa-dockers-walk-out-italian-unions-protest-against-israel-2025-09-22/</x:v>
      </x:c>
      <x:c r="O23" s="102"/>
    </x:row>
    <x:row r="24">
      <x:c r="A24" s="102" t="str">
        <x:v>EXT_0023</x:v>
      </x:c>
      <x:c r="B24" s="102" t="str">
        <x:v>2025-11-28</x:v>
      </x:c>
      <x:c r="C24" s="102" t="str">
        <x:v>Labour / Industrial Action</x:v>
      </x:c>
      <x:c r="D24" s="102" t="str">
        <x:v>National transport strike</x:v>
      </x:c>
      <x:c r="E24" s="102" t="str">
        <x:v>Multimodal</x:v>
      </x:c>
      <x:c r="F24" s="102" t="str">
        <x:v>Italy</x:v>
      </x:c>
      <x:c r="G24" s="102" t="str">
        <x:v>Milan / Bologna / Rome / Turin / Genoa / Venice / Naples</x:v>
      </x:c>
      <x:c r="H24" s="102" t="str">
        <x:v>Italian national strikes disrupt aviation and rail</x:v>
      </x:c>
      <x:c r="I24" s="102" t="str">
        <x:v>A one-day labour action against government budget policy caused dozens of flight cancellations and disrupted train and urban transport services across Italy.</x:v>
      </x:c>
      <x:c r="J24" s="102" t="str">
        <x:v>Airports / airlines / rail / urban public transport</x:v>
      </x:c>
      <x:c r="K24" s="102" t="str">
        <x:v>Flight cancellations, train disruption and urban transport delays; Air-cargo and business-travel disruption plus inland logistics friction across multiple Italian hubs</x:v>
      </x:c>
      <x:c r="L24" s="102" t="str">
        <x:v>Occurred</x:v>
      </x:c>
      <x:c r="M24" s="102" t="str">
        <x:v>High</x:v>
      </x:c>
      <x:c r="N24" s="102" t="str">
        <x:v>https://www.reuters.com/business/aerospace-defense/transport-italy-disrupted-by-strikes-against-pm-meloni-2025-11-28/</x:v>
      </x:c>
      <x:c r="O24" s="102"/>
    </x:row>
    <x:row r="25">
      <x:c r="A25" s="102" t="str">
        <x:v>EXT_0024</x:v>
      </x:c>
      <x:c r="B25" s="102" t="str">
        <x:v>2025-12-10</x:v>
      </x:c>
      <x:c r="C25" s="102" t="str">
        <x:v>Protest / Labour</x:v>
      </x:c>
      <x:c r="D25" s="102" t="str">
        <x:v>Farmers protest / blockade</x:v>
      </x:c>
      <x:c r="E25" s="102" t="str">
        <x:v>Port / Road / Border Trade</x:v>
      </x:c>
      <x:c r="F25" s="102" t="str">
        <x:v>Greece</x:v>
      </x:c>
      <x:c r="G25" s="102" t="str">
        <x:v>Volos / national motorways / Promachonas border</x:v>
      </x:c>
      <x:c r="H25" s="102" t="str">
        <x:v>Greek farmer blockades disrupt port and border traffic</x:v>
      </x:c>
      <x:c r="I25" s="102" t="str">
        <x:v>Farmers used tractors and trucks in nationwide protests, disrupting operations around Volos port and intermittently restricting border and motorway traffic.</x:v>
      </x:c>
      <x:c r="J25" s="102" t="str">
        <x:v>Volos port / highways / Bulgaria border crossing</x:v>
      </x:c>
      <x:c r="K25" s="102" t="str">
        <x:v>Port-area disruption; road queues and intermittent border restrictions; Agricultural, trucking and cross-border cargo delays with potential spillover to regional logistics</x:v>
      </x:c>
      <x:c r="L25" s="102" t="str">
        <x:v>Occurred / continuing at source date</x:v>
      </x:c>
      <x:c r="M25" s="102" t="str">
        <x:v>Moderate / High</x:v>
      </x:c>
      <x:c r="N25" s="102" t="str">
        <x:v>https://www.reuters.com/business/environment/protesting-greek-farmers-disrupt-port-operations-nationwide-blockades-persist-2025-12-10/</x:v>
      </x:c>
      <x:c r="O25" s="102"/>
    </x:row>
    <x:row r="26">
      <x:c r="A26" s="102" t="str">
        <x:v>EXT_0025</x:v>
      </x:c>
      <x:c r="B26" s="102" t="str">
        <x:v>2025-02-27</x:v>
      </x:c>
      <x:c r="C26" s="102" t="str">
        <x:v>Protest / Labour</x:v>
      </x:c>
      <x:c r="D26" s="102" t="str">
        <x:v>Farmers protest / border blockade</x:v>
      </x:c>
      <x:c r="E26" s="102" t="str">
        <x:v>Land / Border Trade</x:v>
      </x:c>
      <x:c r="F26" s="102" t="str">
        <x:v>Czech Republic / Slovakia</x:v>
      </x:c>
      <x:c r="G26" s="102" t="str">
        <x:v>Czech-Slovak border crossing / regional border points</x:v>
      </x:c>
      <x:c r="H26" s="102" t="str">
        <x:v>Czech and Slovak farmers disrupt border crossing</x:v>
      </x:c>
      <x:c r="I26" s="102" t="str">
        <x:v>Farmers from several Central European countries used tractors to disrupt a border crossing while protesting non-EU imports and agricultural policy.</x:v>
      </x:c>
      <x:c r="J26" s="102" t="str">
        <x:v>Road freight / border crossing</x:v>
      </x:c>
      <x:c r="K26" s="102" t="str">
        <x:v>Border-crossing operations disrupted and road traffic constrained; Short-duration cross-border trucking friction and agricultural trade disruption</x:v>
      </x:c>
      <x:c r="L26" s="102" t="str">
        <x:v>Occurred</x:v>
      </x:c>
      <x:c r="M26" s="102" t="str">
        <x:v>Moderate</x:v>
      </x:c>
      <x:c r="N26" s="102" t="str">
        <x:v>https://www.reuters.com/world/europe/czech-slovak-farmers-clog-border-crossing-protest-non-eu-imports-2025-02-27/</x:v>
      </x:c>
      <x:c r="O26" s="102"/>
    </x:row>
    <x:row r="27">
      <x:c r="A27" s="102" t="str">
        <x:v>EXT_0026</x:v>
      </x:c>
      <x:c r="B27" s="102" t="str">
        <x:v>2026-09-05</x:v>
      </x:c>
      <x:c r="C27" s="102" t="str">
        <x:v>Protest / Labour</x:v>
      </x:c>
      <x:c r="D27" s="102" t="str">
        <x:v>Road blockade / protest</x:v>
      </x:c>
      <x:c r="E27" s="102" t="str">
        <x:v>Port / Road / Ferry</x:v>
      </x:c>
      <x:c r="F27" s="102" t="str">
        <x:v>United Kingdom</x:v>
      </x:c>
      <x:c r="G27" s="102" t="str">
        <x:v>Port of Dover / Portsmouth</x:v>
      </x:c>
      <x:c r="H27" s="102" t="str">
        <x:v>Dover and Portsmouth anti-migrant protests disrupt access</x:v>
      </x:c>
      <x:c r="I27" s="102" t="str">
        <x:v>Masked anti-migrant protesters blocked roads around the Port of Dover and later streets in Portsmouth, causing traffic disruption around important Channel ferry access points.</x:v>
      </x:c>
      <x:c r="J27" s="102" t="str">
        <x:v>Port access roads / ferry passengers and cargo traffic</x:v>
      </x:c>
      <x:c r="K27" s="102" t="str">
        <x:v>Road access disrupted; ferry passengers delayed; access later restored; Localized friction at the UK's main cross-Channel ferry gateway; no confirmed prolonged port shutdown</x:v>
      </x:c>
      <x:c r="L27" s="102" t="str">
        <x:v>Occurred / contained</x:v>
      </x:c>
      <x:c r="M27" s="102" t="str">
        <x:v>Moderate</x:v>
      </x:c>
      <x:c r="N27" s="102" t="str">
        <x:v>https://www.reuters.com/world/uk/uk-minister-condemns-anti-migrant-protests-portsmouth-2026-09-07/</x:v>
      </x:c>
      <x:c r="O27" s="102" t="str">
        <x:v>https://apnews.com/article/8e263817b1ad5abd49beec7a6a8f88a4</x:v>
      </x:c>
    </x:row>
  </x:sheetData>
  <x:pageMargins left="0.7" right="0.7" top="0.75" bottom="0.75" header="0.3" footer="0.3"/>
  <x:tableParts count="1">
    <x:tablePart xmlns:r="http://schemas.openxmlformats.org/officeDocument/2006/relationships" r:id="R0c24b036f9084e87"/>
  </x:tableParts>
</x:worksheet>
</file>

<file path=xl/worksheets/sheet25.xml><?xml version="1.0" encoding="utf-8"?>
<x:worksheet xmlns:x="http://schemas.openxmlformats.org/spreadsheetml/2006/main">
  <x:sheetFormatPr defaultRowHeight="15"/>
  <x:cols>
    <x:col min="1" max="1" width="34" hidden="0" customWidth="1"/>
    <x:col min="2" max="2" width="17" hidden="0" customWidth="1"/>
    <x:col min="3" max="3" width="17" hidden="0" customWidth="1"/>
    <x:col min="4" max="4" width="34" hidden="0" customWidth="1"/>
    <x:col min="5" max="5" width="24" hidden="0" customWidth="1"/>
    <x:col min="6" max="6" width="17" hidden="0" customWidth="1"/>
    <x:col min="7" max="7" width="17" hidden="0" customWidth="1"/>
    <x:col min="8" max="8" width="17" hidden="0" customWidth="1"/>
    <x:col min="9" max="9" width="17" hidden="0" customWidth="1"/>
    <x:col min="10" max="10" width="17" hidden="0" customWidth="1"/>
  </x:cols>
  <x:sheetData>
    <x:row r="1">
      <x:c r="A1" s="50" t="str">
        <x:v>Impact ID</x:v>
      </x:c>
      <x:c r="B1" s="50" t="str">
        <x:v>External Event ID</x:v>
      </x:c>
      <x:c r="C1" s="50" t="str">
        <x:v>Mode</x:v>
      </x:c>
      <x:c r="D1" s="50" t="str">
        <x:v>Impact Type</x:v>
      </x:c>
      <x:c r="E1" s="50" t="str">
        <x:v>Asset / Geography</x:v>
      </x:c>
      <x:c r="F1" s="50" t="str">
        <x:v>Status</x:v>
      </x:c>
      <x:c r="G1" s="50" t="str">
        <x:v>Severity</x:v>
      </x:c>
      <x:c r="H1" s="50" t="str">
        <x:v>Time Horizon</x:v>
      </x:c>
      <x:c r="I1" s="50" t="str">
        <x:v>Operational Effect</x:v>
      </x:c>
      <x:c r="J1" s="50" t="str">
        <x:v>Trade / Commercial Effect</x:v>
      </x:c>
    </x:row>
    <x:row r="2">
      <x:c r="A2" s="42" t="str">
        <x:v>IMPACT_0001</x:v>
      </x:c>
      <x:c r="B2" s="42" t="str">
        <x:v>EXT_0001</x:v>
      </x:c>
      <x:c r="C2" s="42" t="str">
        <x:v>Air Cargo</x:v>
      </x:c>
      <x:c r="D2" s="42" t="str">
        <x:v>Airport closure</x:v>
      </x:c>
      <x:c r="E2" s="42" t="str">
        <x:v>Jakarta and regional airports</x:v>
      </x:c>
      <x:c r="F2" s="42" t="str">
        <x:v>Closed / suspended</x:v>
      </x:c>
      <x:c r="G2" s="42" t="str">
        <x:v>High</x:v>
      </x:c>
      <x:c r="H2" s="42" t="str">
        <x:v>Immediate</x:v>
      </x:c>
      <x:c r="I2" s="42" t="str">
        <x:v>Flight and cargo capacity removed from affected airports</x:v>
      </x:c>
      <x:c r="J2" s="42" t="str">
        <x:v>Air cargo diversion / backlog risk</x:v>
      </x:c>
    </x:row>
    <x:row r="3">
      <x:c r="A3" s="42" t="str">
        <x:v>IMPACT_0002</x:v>
      </x:c>
      <x:c r="B3" s="42" t="str">
        <x:v>EXT_0001</x:v>
      </x:c>
      <x:c r="C3" s="42" t="str">
        <x:v>Maritime</x:v>
      </x:c>
      <x:c r="D3" s="42" t="str">
        <x:v>Ferry / shipping caution</x:v>
      </x:c>
      <x:c r="E3" s="42" t="str">
        <x:v>Sunda Strait</x:v>
      </x:c>
      <x:c r="F3" s="42" t="str">
        <x:v>Operating with caution</x:v>
      </x:c>
      <x:c r="G3" s="42" t="str">
        <x:v>Moderate</x:v>
      </x:c>
      <x:c r="H3" s="42" t="str">
        <x:v>Immediate</x:v>
      </x:c>
      <x:c r="I3" s="42" t="str">
        <x:v>Waterway remained operational</x:v>
      </x:c>
      <x:c r="J3" s="42" t="str">
        <x:v>Potential delay / safety restrictions rather than closure</x:v>
      </x:c>
    </x:row>
    <x:row r="4">
      <x:c r="A4" s="42" t="str">
        <x:v>IMPACT_0003</x:v>
      </x:c>
      <x:c r="B4" s="42" t="str">
        <x:v>EXT_0002</x:v>
      </x:c>
      <x:c r="C4" s="42" t="str">
        <x:v>Maritime / Port</x:v>
      </x:c>
      <x:c r="D4" s="42" t="str">
        <x:v>Labour stoppage</x:v>
      </x:c>
      <x:c r="E4" s="42" t="str">
        <x:v>German / Dutch port network</x:v>
      </x:c>
      <x:c r="F4" s="42" t="str">
        <x:v>Disrupted</x:v>
      </x:c>
      <x:c r="G4" s="42" t="str">
        <x:v>High</x:v>
      </x:c>
      <x:c r="H4" s="42" t="str">
        <x:v>24-72h</x:v>
      </x:c>
      <x:c r="I4" s="42" t="str">
        <x:v>Vessel and terminal handling constrained</x:v>
      </x:c>
      <x:c r="J4" s="42" t="str">
        <x:v>Backlogs can propagate into inland logistics and adjacent ports</x:v>
      </x:c>
    </x:row>
    <x:row r="5">
      <x:c r="A5" s="42" t="str">
        <x:v>IMPACT_0004</x:v>
      </x:c>
      <x:c r="B5" s="42" t="str">
        <x:v>EXT_0003</x:v>
      </x:c>
      <x:c r="C5" s="42" t="str">
        <x:v>Maritime / Port</x:v>
      </x:c>
      <x:c r="D5" s="42" t="str">
        <x:v>Port closure</x:v>
      </x:c>
      <x:c r="E5" s="42" t="str">
        <x:v>Zhejiang / Shanghai</x:v>
      </x:c>
      <x:c r="F5" s="42" t="str">
        <x:v>Closed / cleared</x:v>
      </x:c>
      <x:c r="G5" s="42" t="str">
        <x:v>High</x:v>
      </x:c>
      <x:c r="H5" s="42" t="str">
        <x:v>Immediate</x:v>
      </x:c>
      <x:c r="I5" s="42" t="str">
        <x:v>Port operations halted or vessels cleared</x:v>
      </x:c>
      <x:c r="J5" s="42" t="str">
        <x:v>Container and feeder schedules disrupted</x:v>
      </x:c>
    </x:row>
    <x:row r="6">
      <x:c r="A6" s="42" t="str">
        <x:v>IMPACT_0005</x:v>
      </x:c>
      <x:c r="B6" s="42" t="str">
        <x:v>EXT_0003</x:v>
      </x:c>
      <x:c r="C6" s="42" t="str">
        <x:v>Aviation</x:v>
      </x:c>
      <x:c r="D6" s="42" t="str">
        <x:v>Airport closure</x:v>
      </x:c>
      <x:c r="E6" s="42" t="str">
        <x:v>Ningbo and regional aviation</x:v>
      </x:c>
      <x:c r="F6" s="42" t="str">
        <x:v>Closed / cancelled</x:v>
      </x:c>
      <x:c r="G6" s="42" t="str">
        <x:v>High</x:v>
      </x:c>
      <x:c r="H6" s="42" t="str">
        <x:v>Immediate</x:v>
      </x:c>
      <x:c r="I6" s="42" t="str">
        <x:v>Air transport suspended</x:v>
      </x:c>
      <x:c r="J6" s="42" t="str">
        <x:v>Air cargo delay / diversion</x:v>
      </x:c>
    </x:row>
    <x:row r="7">
      <x:c r="A7" s="42" t="str">
        <x:v>IMPACT_0006</x:v>
      </x:c>
      <x:c r="B7" s="42" t="str">
        <x:v>EXT_0004</x:v>
      </x:c>
      <x:c r="C7" s="42" t="str">
        <x:v>Aviation</x:v>
      </x:c>
      <x:c r="D7" s="42" t="str">
        <x:v>Airport infrastructure damage</x:v>
      </x:c>
      <x:c r="E7" s="42" t="str">
        <x:v>Simón Bolívar International Airport</x:v>
      </x:c>
      <x:c r="F7" s="42" t="str">
        <x:v>Closed then partial</x:v>
      </x:c>
      <x:c r="G7" s="42" t="str">
        <x:v>Severe</x:v>
      </x:c>
      <x:c r="H7" s="42" t="str">
        <x:v>Weeks / months</x:v>
      </x:c>
      <x:c r="I7" s="42" t="str">
        <x:v>Runways/buildings damaged</x:v>
      </x:c>
      <x:c r="J7" s="42" t="str">
        <x:v>Reduced international air-cargo capacity</x:v>
      </x:c>
    </x:row>
    <x:row r="8">
      <x:c r="A8" s="42" t="str">
        <x:v>IMPACT_0007</x:v>
      </x:c>
      <x:c r="B8" s="42" t="str">
        <x:v>EXT_0005</x:v>
      </x:c>
      <x:c r="C8" s="42" t="str">
        <x:v>Aviation</x:v>
      </x:c>
      <x:c r="D8" s="42" t="str">
        <x:v>Regulatory flight restriction</x:v>
      </x:c>
      <x:c r="E8" s="42" t="str">
        <x:v>Port-au-Prince</x:v>
      </x:c>
      <x:c r="F8" s="42" t="str">
        <x:v>Restricted</x:v>
      </x:c>
      <x:c r="G8" s="42" t="str">
        <x:v>High</x:v>
      </x:c>
      <x:c r="H8" s="42" t="str">
        <x:v>Months</x:v>
      </x:c>
      <x:c r="I8" s="42" t="str">
        <x:v>U.S.-linked commercial aviation constrained</x:v>
      </x:c>
      <x:c r="J8" s="42" t="str">
        <x:v>Isolation and air-cargo access friction</x:v>
      </x:c>
    </x:row>
    <x:row r="9">
      <x:c r="A9" s="42" t="str">
        <x:v>IMPACT_0008</x:v>
      </x:c>
      <x:c r="B9" s="42" t="str">
        <x:v>EXT_0007</x:v>
      </x:c>
      <x:c r="C9" s="42" t="str">
        <x:v>Port / Fuel</x:v>
      </x:c>
      <x:c r="D9" s="42" t="str">
        <x:v>Security disruption</x:v>
      </x:c>
      <x:c r="E9" s="42" t="str">
        <x:v>Port-au-Prince / Varreux</x:v>
      </x:c>
      <x:c r="F9" s="42" t="str">
        <x:v>Near standstill</x:v>
      </x:c>
      <x:c r="G9" s="42" t="str">
        <x:v>Severe</x:v>
      </x:c>
      <x:c r="H9" s="42" t="str">
        <x:v>Immediate</x:v>
      </x:c>
      <x:c r="I9" s="42" t="str">
        <x:v>Port and fuel-terminal activity heavily constrained</x:v>
      </x:c>
      <x:c r="J9" s="42" t="str">
        <x:v>Import, fuel and inland-distribution risk</x:v>
      </x:c>
    </x:row>
    <x:row r="10">
      <x:c r="A10" s="42" t="str">
        <x:v>IMPACT_0009</x:v>
      </x:c>
      <x:c r="B10" s="42" t="str">
        <x:v>EXT_0008</x:v>
      </x:c>
      <x:c r="C10" s="42" t="str">
        <x:v>Land / Border</x:v>
      </x:c>
      <x:c r="D10" s="42" t="str">
        <x:v>Border-port destruction</x:v>
      </x:c>
      <x:c r="E10" s="42" t="str">
        <x:v>Gyirong</x:v>
      </x:c>
      <x:c r="F10" s="42" t="str">
        <x:v>Destroyed</x:v>
      </x:c>
      <x:c r="G10" s="42" t="str">
        <x:v>Severe</x:v>
      </x:c>
      <x:c r="H10" s="42" t="str">
        <x:v>Long duration</x:v>
      </x:c>
      <x:c r="I10" s="42" t="str">
        <x:v>Customs and road infrastructure destroyed</x:v>
      </x:c>
      <x:c r="J10" s="42" t="str">
        <x:v>China-Nepal trade corridor interruption</x:v>
      </x:c>
    </x:row>
    <x:row r="11">
      <x:c r="A11" s="42" t="str">
        <x:v>IMPACT_0010</x:v>
      </x:c>
      <x:c r="B11" s="42" t="str">
        <x:v>EXT_0009</x:v>
      </x:c>
      <x:c r="C11" s="42" t="str">
        <x:v>Air Cargo</x:v>
      </x:c>
      <x:c r="D11" s="42" t="str">
        <x:v>Cargo aircraft accident / runway disruption</x:v>
      </x:c>
      <x:c r="E11" s="42" t="str">
        <x:v>Miami International Airport</x:v>
      </x:c>
      <x:c r="F11" s="42" t="str">
        <x:v>Partially disrupted</x:v>
      </x:c>
      <x:c r="G11" s="42" t="str">
        <x:v>High</x:v>
      </x:c>
      <x:c r="H11" s="42" t="str">
        <x:v>Hours / days</x:v>
      </x:c>
      <x:c r="I11" s="42" t="str">
        <x:v>Runway and emergency response constraints</x:v>
      </x:c>
      <x:c r="J11" s="42" t="str">
        <x:v>Cargo and passenger delay; aircraft capacity loss</x:v>
      </x:c>
    </x:row>
    <x:row r="12">
      <x:c r="A12" s="102" t="str">
        <x:v>IMPACT_0011</x:v>
      </x:c>
      <x:c r="B12" s="102" t="str">
        <x:v>EXT_0010</x:v>
      </x:c>
      <x:c r="C12" s="102" t="str">
        <x:v>Inland Waterway / Barge / Industrial Logistics</x:v>
      </x:c>
      <x:c r="D12" s="102" t="str">
        <x:v>Draft / navigation restriction</x:v>
      </x:c>
      <x:c r="E12" s="102" t="str">
        <x:v>Rhine / Kaub</x:v>
      </x:c>
      <x:c r="F12" s="102" t="str">
        <x:v>Observed / partially improving</x:v>
      </x:c>
      <x:c r="G12" s="102" t="str">
        <x:v>High</x:v>
      </x:c>
      <x:c r="H12" s="102" t="str">
        <x:v>Weeks</x:v>
      </x:c>
      <x:c r="I12" s="102" t="str">
        <x:v>Draft restrictions; reduced cargo lift; more voyages required; cargo shifted toward road and rail</x:v>
      </x:c>
      <x:c r="J12" s="102" t="str">
        <x:v>Higher inland freight costs; industrial logistics bottlenecks; CMA CGM later imposed an inland emergency fee</x:v>
      </x:c>
    </x:row>
    <x:row r="13">
      <x:c r="A13" s="102" t="str">
        <x:v>IMPACT_0012</x:v>
      </x:c>
      <x:c r="B13" s="102" t="str">
        <x:v>EXT_0011</x:v>
      </x:c>
      <x:c r="C13" s="102" t="str">
        <x:v>Inland Waterway / Cruise / Passenger</x:v>
      </x:c>
      <x:c r="D13" s="102" t="str">
        <x:v>Draft / navigation restriction</x:v>
      </x:c>
      <x:c r="E13" s="102" t="str">
        <x:v>Danube / Budapest / Gonyu / Komarom / Mohacs</x:v>
      </x:c>
      <x:c r="F13" s="102" t="str">
        <x:v>Occurred / low-water constrained</x:v>
      </x:c>
      <x:c r="G13" s="102" t="str">
        <x:v>Moderate / High</x:v>
      </x:c>
      <x:c r="H13" s="102" t="str">
        <x:v>Days / weeks</x:v>
      </x:c>
      <x:c r="I13" s="102" t="str">
        <x:v>Vessels stranded or held in ports; sightseeing services suspended north of Budapest</x:v>
      </x:c>
      <x:c r="J13" s="102" t="str">
        <x:v>Passenger-shipping and tourism disruption; reduced operational flexibility on the Danube corridor</x:v>
      </x:c>
    </x:row>
    <x:row r="14">
      <x:c r="A14" s="102" t="str">
        <x:v>IMPACT_0013</x:v>
      </x:c>
      <x:c r="B14" s="102" t="str">
        <x:v>EXT_0012</x:v>
      </x:c>
      <x:c r="C14" s="102" t="str">
        <x:v>Multimodal</x:v>
      </x:c>
      <x:c r="D14" s="102" t="str">
        <x:v>Weather closure / restriction</x:v>
      </x:c>
      <x:c r="E14" s="102" t="str">
        <x:v>Zhejiang / Taizhou / Taiwan / Sakishima Islands</x:v>
      </x:c>
      <x:c r="F14" s="102" t="str">
        <x:v>Occurred</x:v>
      </x:c>
      <x:c r="G14" s="102" t="str">
        <x:v>High</x:v>
      </x:c>
      <x:c r="H14" s="102" t="str">
        <x:v>Immediate / days</x:v>
      </x:c>
      <x:c r="I14" s="102" t="str">
        <x:v>Large-scale flight cancellations; reduced rail service; evacuations and weather restrictions across coastal transport systems</x:v>
      </x:c>
      <x:c r="J14" s="102" t="str">
        <x:v>Air-cargo and passenger disruption; potential manufacturing and port-hinterland delays in eastern China and Taiwan</x:v>
      </x:c>
    </x:row>
    <x:row r="15">
      <x:c r="A15" s="102" t="str">
        <x:v>IMPACT_0014</x:v>
      </x:c>
      <x:c r="B15" s="102" t="str">
        <x:v>EXT_0013</x:v>
      </x:c>
      <x:c r="C15" s="102" t="str">
        <x:v>Aviation / Road / Urban Logistics</x:v>
      </x:c>
      <x:c r="D15" s="102" t="str">
        <x:v>Weather closure / restriction</x:v>
      </x:c>
      <x:c r="E15" s="102" t="str">
        <x:v>Brisbane / southeast Queensland / northern New South Wales</x:v>
      </x:c>
      <x:c r="F15" s="102" t="str">
        <x:v>Occurred / recovery</x:v>
      </x:c>
      <x:c r="G15" s="102" t="str">
        <x:v>High</x:v>
      </x:c>
      <x:c r="H15" s="102" t="str">
        <x:v>Days</x:v>
      </x:c>
      <x:c r="I15" s="102" t="str">
        <x:v>Airport operations suspended; Qantas flights curtailed; public transport shut; power outages and flood risk</x:v>
      </x:c>
      <x:c r="J15" s="102" t="str">
        <x:v>Air-cargo and passenger capacity loss; urban distribution delays and supply-chain disruption around Brisbane</x:v>
      </x:c>
    </x:row>
    <x:row r="16">
      <x:c r="A16" s="102" t="str">
        <x:v>IMPACT_0015</x:v>
      </x:c>
      <x:c r="B16" s="102" t="str">
        <x:v>EXT_0014</x:v>
      </x:c>
      <x:c r="C16" s="102" t="str">
        <x:v>Multimodal</x:v>
      </x:c>
      <x:c r="D16" s="102" t="str">
        <x:v>Weather closure / restriction</x:v>
      </x:c>
      <x:c r="E16" s="102" t="str">
        <x:v>Northern Vietnam / Haiphong / Hong Kong / northern Philippines</x:v>
      </x:c>
      <x:c r="F16" s="102" t="str">
        <x:v>Occurred</x:v>
      </x:c>
      <x:c r="G16" s="102" t="str">
        <x:v>High</x:v>
      </x:c>
      <x:c r="H16" s="102" t="str">
        <x:v>Days</x:v>
      </x:c>
      <x:c r="I16" s="102" t="str">
        <x:v>Port and transport services suspended in Vietnam; flight cancellations; flooding and government closures in the Philippines</x:v>
      </x:c>
      <x:c r="J16" s="102" t="str">
        <x:v>Regional cargo delay and distribution disruption across South China Sea supply chains</x:v>
      </x:c>
    </x:row>
    <x:row r="17">
      <x:c r="A17" s="102" t="str">
        <x:v>IMPACT_0016</x:v>
      </x:c>
      <x:c r="B17" s="102" t="str">
        <x:v>EXT_0015</x:v>
      </x:c>
      <x:c r="C17" s="102" t="str">
        <x:v>Multimodal</x:v>
      </x:c>
      <x:c r="D17" s="102" t="str">
        <x:v>Weather closure / restriction</x:v>
      </x:c>
      <x:c r="E17" s="102" t="str">
        <x:v>Hong Kong / Guangdong / Shenzhen / Pearl River Delta / Taiwan</x:v>
      </x:c>
      <x:c r="F17" s="102" t="str">
        <x:v>Occurred</x:v>
      </x:c>
      <x:c r="G17" s="102" t="str">
        <x:v>High</x:v>
      </x:c>
      <x:c r="H17" s="102" t="str">
        <x:v>Days</x:v>
      </x:c>
      <x:c r="I17" s="102" t="str">
        <x:v>Flight disruption, transport shutdowns, storm-surge warnings and widespread closures</x:v>
      </x:c>
      <x:c r="J17" s="102" t="str">
        <x:v>Short-term disruption across one of the world's densest manufacturing, logistics and port regions</x:v>
      </x:c>
    </x:row>
    <x:row r="18">
      <x:c r="A18" s="102" t="str">
        <x:v>IMPACT_0017</x:v>
      </x:c>
      <x:c r="B18" s="102" t="str">
        <x:v>EXT_0016</x:v>
      </x:c>
      <x:c r="C18" s="102" t="str">
        <x:v>Maritime / Port</x:v>
      </x:c>
      <x:c r="D18" s="102" t="str">
        <x:v>Weather closure / restriction</x:v>
      </x:c>
      <x:c r="E18" s="102" t="str">
        <x:v>Port of Rotterdam</x:v>
      </x:c>
      <x:c r="F18" s="102" t="str">
        <x:v>Occurred / residual backlog</x:v>
      </x:c>
      <x:c r="G18" s="102" t="str">
        <x:v>Moderate / High</x:v>
      </x:c>
      <x:c r="H18" s="102" t="str">
        <x:v>Days</x:v>
      </x:c>
      <x:c r="I18" s="102" t="str">
        <x:v>Ship queue roughly doubled from normal levels before strike effects became dominant</x:v>
      </x:c>
      <x:c r="J18" s="102" t="str">
        <x:v>Container delays and reduced ability to absorb further disruption at Europe's largest port</x:v>
      </x:c>
    </x:row>
    <x:row r="19">
      <x:c r="A19" s="102" t="str">
        <x:v>IMPACT_0018</x:v>
      </x:c>
      <x:c r="B19" s="102" t="str">
        <x:v>EXT_0017</x:v>
      </x:c>
      <x:c r="C19" s="102" t="str">
        <x:v>Maritime / Port / Agricultural Exports</x:v>
      </x:c>
      <x:c r="D19" s="102" t="str">
        <x:v>Labour stoppage / capacity loss</x:v>
      </x:c>
      <x:c r="E19" s="102" t="str">
        <x:v>Rosario / Parana-Paraguay export corridor</x:v>
      </x:c>
      <x:c r="F19" s="102" t="str">
        <x:v>Occurred</x:v>
      </x:c>
      <x:c r="G19" s="102" t="str">
        <x:v>High</x:v>
      </x:c>
      <x:c r="H19" s="102" t="str">
        <x:v>48 hours / backlog recovery</x:v>
      </x:c>
      <x:c r="I19" s="102" t="str">
        <x:v>Agro-export activity brought close to a standstill and vessel dispatch constrained</x:v>
      </x:c>
      <x:c r="J19" s="102" t="str">
        <x:v>Disruption to a major global grain, soybean-oil and soybean-meal export system</x:v>
      </x:c>
    </x:row>
    <x:row r="20">
      <x:c r="A20" s="102" t="str">
        <x:v>IMPACT_0019</x:v>
      </x:c>
      <x:c r="B20" s="102" t="str">
        <x:v>EXT_0018</x:v>
      </x:c>
      <x:c r="C20" s="102" t="str">
        <x:v>Ferry / Maritime</x:v>
      </x:c>
      <x:c r="D20" s="102" t="str">
        <x:v>Labour stoppage / capacity loss</x:v>
      </x:c>
      <x:c r="E20" s="102" t="str">
        <x:v>Piraeus / Greek domestic ferry network</x:v>
      </x:c>
      <x:c r="F20" s="102" t="str">
        <x:v>Occurred</x:v>
      </x:c>
      <x:c r="G20" s="102" t="str">
        <x:v>High</x:v>
      </x:c>
      <x:c r="H20" s="102" t="str">
        <x:v>24 hours</x:v>
      </x:c>
      <x:c r="I20" s="102" t="str">
        <x:v>Ferry sailings halted for the duration of the strike</x:v>
      </x:c>
      <x:c r="J20" s="102" t="str">
        <x:v>Passenger, vehicle and island-supply movements delayed; labour action tied directly to maritime security risk</x:v>
      </x:c>
    </x:row>
    <x:row r="21">
      <x:c r="A21" s="102" t="str">
        <x:v>IMPACT_0020</x:v>
      </x:c>
      <x:c r="B21" s="102" t="str">
        <x:v>EXT_0019</x:v>
      </x:c>
      <x:c r="C21" s="102" t="str">
        <x:v>Road / Industrial Construction</x:v>
      </x:c>
      <x:c r="D21" s="102" t="str">
        <x:v>Labour stoppage / capacity loss</x:v>
      </x:c>
      <x:c r="E21" s="102" t="str">
        <x:v>Seoul metropolitan area / Pyeongtaek / Yongin</x:v>
      </x:c>
      <x:c r="F21" s="102" t="str">
        <x:v>Occurred / prolonged dispute</x:v>
      </x:c>
      <x:c r="G21" s="102" t="str">
        <x:v>Moderate / High</x:v>
      </x:c>
      <x:c r="H21" s="102" t="str">
        <x:v>Days / potentially longer</x:v>
      </x:c>
      <x:c r="I21" s="102" t="str">
        <x:v>Concrete deliveries blocked and pouring halted at strategic chip-factory construction sites</x:v>
      </x:c>
      <x:c r="J21" s="102" t="str">
        <x:v>Potential schedule slippage for semiconductor capacity expansion if stoppage persisted</x:v>
      </x:c>
    </x:row>
    <x:row r="22">
      <x:c r="A22" s="102" t="str">
        <x:v>IMPACT_0021</x:v>
      </x:c>
      <x:c r="B22" s="102" t="str">
        <x:v>EXT_0020</x:v>
      </x:c>
      <x:c r="C22" s="102" t="str">
        <x:v>Maritime / Container Port</x:v>
      </x:c>
      <x:c r="D22" s="102" t="str">
        <x:v>Labour stoppage / capacity loss</x:v>
      </x:c>
      <x:c r="E22" s="102" t="str">
        <x:v>Port of Rotterdam</x:v>
      </x:c>
      <x:c r="F22" s="102" t="str">
        <x:v>Occurred / temporarily suspended</x:v>
      </x:c>
      <x:c r="G22" s="102" t="str">
        <x:v>High</x:v>
      </x:c>
      <x:c r="H22" s="102" t="str">
        <x:v>Days</x:v>
      </x:c>
      <x:c r="I22" s="102" t="str">
        <x:v>Container loading/unloading effectively halted; vessel queue expanded</x:v>
      </x:c>
      <x:c r="J22" s="102" t="str">
        <x:v>Backlogs at Europe's largest port with limited diversion capacity because Antwerp was also disrupted</x:v>
      </x:c>
    </x:row>
    <x:row r="23">
      <x:c r="A23" s="102" t="str">
        <x:v>IMPACT_0022</x:v>
      </x:c>
      <x:c r="B23" s="102" t="str">
        <x:v>EXT_0021</x:v>
      </x:c>
      <x:c r="C23" s="102" t="str">
        <x:v>Maritime / Port</x:v>
      </x:c>
      <x:c r="D23" s="102" t="str">
        <x:v>Labour stoppage / capacity loss</x:v>
      </x:c>
      <x:c r="E23" s="102" t="str">
        <x:v>Port of Antwerp-Bruges / Zeebrugge</x:v>
      </x:c>
      <x:c r="F23" s="102" t="str">
        <x:v>Occurred</x:v>
      </x:c>
      <x:c r="G23" s="102" t="str">
        <x:v>High</x:v>
      </x:c>
      <x:c r="H23" s="102" t="str">
        <x:v>Several days</x:v>
      </x:c>
      <x:c r="I23" s="102" t="str">
        <x:v>Antwerp handled only 31 ships on a day when 60-80 was typical; delays spread to Zeebrugge</x:v>
      </x:c>
      <x:c r="J23" s="102" t="str">
        <x:v>Reduced gateway capacity and weaker diversion options for congestion at nearby Rotterdam</x:v>
      </x:c>
    </x:row>
    <x:row r="24">
      <x:c r="A24" s="102" t="str">
        <x:v>IMPACT_0023</x:v>
      </x:c>
      <x:c r="B24" s="102" t="str">
        <x:v>EXT_0022</x:v>
      </x:c>
      <x:c r="C24" s="102" t="str">
        <x:v>Port / Road / Rail</x:v>
      </x:c>
      <x:c r="D24" s="102" t="str">
        <x:v>Labour stoppage / capacity loss</x:v>
      </x:c>
      <x:c r="E24" s="102" t="str">
        <x:v>Genoa / Livorno</x:v>
      </x:c>
      <x:c r="F24" s="102" t="str">
        <x:v>Occurred</x:v>
      </x:c>
      <x:c r="G24" s="102" t="str">
        <x:v>Moderate / High</x:v>
      </x:c>
      <x:c r="H24" s="102" t="str">
        <x:v>Hours / one day</x:v>
      </x:c>
      <x:c r="I24" s="102" t="str">
        <x:v>Port access impeded and some transport services disrupted</x:v>
      </x:c>
      <x:c r="J24" s="102" t="str">
        <x:v>Localized cargo and hinterland disruption; demonstration of politically driven port-labour action</x:v>
      </x:c>
    </x:row>
    <x:row r="25">
      <x:c r="A25" s="102" t="str">
        <x:v>IMPACT_0024</x:v>
      </x:c>
      <x:c r="B25" s="102" t="str">
        <x:v>EXT_0023</x:v>
      </x:c>
      <x:c r="C25" s="102" t="str">
        <x:v>Multimodal</x:v>
      </x:c>
      <x:c r="D25" s="102" t="str">
        <x:v>Labour stoppage / capacity loss</x:v>
      </x:c>
      <x:c r="E25" s="102" t="str">
        <x:v>Milan / Bologna / Rome / Turin / Genoa / Venice / Naples</x:v>
      </x:c>
      <x:c r="F25" s="102" t="str">
        <x:v>Occurred</x:v>
      </x:c>
      <x:c r="G25" s="102" t="str">
        <x:v>High</x:v>
      </x:c>
      <x:c r="H25" s="102" t="str">
        <x:v>One day / short recovery</x:v>
      </x:c>
      <x:c r="I25" s="102" t="str">
        <x:v>Flight cancellations, train disruption and urban transport delays</x:v>
      </x:c>
      <x:c r="J25" s="102" t="str">
        <x:v>Air-cargo and business-travel disruption plus inland logistics friction across multiple Italian hubs</x:v>
      </x:c>
    </x:row>
    <x:row r="26">
      <x:c r="A26" s="102" t="str">
        <x:v>IMPACT_0025</x:v>
      </x:c>
      <x:c r="B26" s="102" t="str">
        <x:v>EXT_0024</x:v>
      </x:c>
      <x:c r="C26" s="102" t="str">
        <x:v>Port / Road / Border Trade</x:v>
      </x:c>
      <x:c r="D26" s="102" t="str">
        <x:v>Access / movement disruption</x:v>
      </x:c>
      <x:c r="E26" s="102" t="str">
        <x:v>Volos / national motorways / Promachonas border</x:v>
      </x:c>
      <x:c r="F26" s="102" t="str">
        <x:v>Occurred / continuing at source date</x:v>
      </x:c>
      <x:c r="G26" s="102" t="str">
        <x:v>Moderate / High</x:v>
      </x:c>
      <x:c r="H26" s="102" t="str">
        <x:v>Days</x:v>
      </x:c>
      <x:c r="I26" s="102" t="str">
        <x:v>Port-area disruption; road queues and intermittent border restrictions</x:v>
      </x:c>
      <x:c r="J26" s="102" t="str">
        <x:v>Agricultural, trucking and cross-border cargo delays with potential spillover to regional logistics</x:v>
      </x:c>
    </x:row>
    <x:row r="27">
      <x:c r="A27" s="102" t="str">
        <x:v>IMPACT_0026</x:v>
      </x:c>
      <x:c r="B27" s="102" t="str">
        <x:v>EXT_0025</x:v>
      </x:c>
      <x:c r="C27" s="102" t="str">
        <x:v>Land / Border Trade</x:v>
      </x:c>
      <x:c r="D27" s="102" t="str">
        <x:v>Access / movement disruption</x:v>
      </x:c>
      <x:c r="E27" s="102" t="str">
        <x:v>Czech-Slovak border crossing / regional border points</x:v>
      </x:c>
      <x:c r="F27" s="102" t="str">
        <x:v>Occurred</x:v>
      </x:c>
      <x:c r="G27" s="102" t="str">
        <x:v>Moderate</x:v>
      </x:c>
      <x:c r="H27" s="102" t="str">
        <x:v>Hours / one day</x:v>
      </x:c>
      <x:c r="I27" s="102" t="str">
        <x:v>Border-crossing operations disrupted and road traffic constrained</x:v>
      </x:c>
      <x:c r="J27" s="102" t="str">
        <x:v>Short-duration cross-border trucking friction and agricultural trade disruption</x:v>
      </x:c>
    </x:row>
    <x:row r="28">
      <x:c r="A28" s="102" t="str">
        <x:v>IMPACT_0027</x:v>
      </x:c>
      <x:c r="B28" s="102" t="str">
        <x:v>EXT_0026</x:v>
      </x:c>
      <x:c r="C28" s="102" t="str">
        <x:v>Port / Road / Ferry</x:v>
      </x:c>
      <x:c r="D28" s="102" t="str">
        <x:v>Access / movement disruption</x:v>
      </x:c>
      <x:c r="E28" s="102" t="str">
        <x:v>Port of Dover / Portsmouth</x:v>
      </x:c>
      <x:c r="F28" s="102" t="str">
        <x:v>Occurred / contained</x:v>
      </x:c>
      <x:c r="G28" s="102" t="str">
        <x:v>Moderate</x:v>
      </x:c>
      <x:c r="H28" s="102" t="str">
        <x:v>Hours</x:v>
      </x:c>
      <x:c r="I28" s="102" t="str">
        <x:v>Road access disrupted; ferry passengers delayed; access later restored</x:v>
      </x:c>
      <x:c r="J28" s="102" t="str">
        <x:v>Localized friction at the UK's main cross-Channel ferry gateway; no confirmed prolonged port shutdown</x:v>
      </x:c>
    </x:row>
  </x:sheetData>
  <x:pageMargins left="0.7" right="0.7" top="0.75" bottom="0.75" header="0.3" footer="0.3"/>
  <x:tableParts count="1">
    <x:tablePart xmlns:r="http://schemas.openxmlformats.org/officeDocument/2006/relationships" r:id="Re373468a9158449a"/>
  </x:tableParts>
</x:worksheet>
</file>

<file path=xl/worksheets/sheet26.xml><?xml version="1.0" encoding="utf-8"?>
<x:worksheet xmlns:x="http://schemas.openxmlformats.org/spreadsheetml/2006/main">
  <x:sheetFormatPr defaultRowHeight="15"/>
  <x:cols>
    <x:col min="1" max="1" width="38" hidden="0" customWidth="1"/>
    <x:col min="2" max="2" width="17" hidden="0" customWidth="1"/>
    <x:col min="3" max="3" width="17" hidden="0" customWidth="1"/>
    <x:col min="4" max="4" width="17" hidden="0" customWidth="1"/>
    <x:col min="5" max="5" width="34" hidden="0" customWidth="1"/>
  </x:cols>
  <x:sheetData>
    <x:row r="1">
      <x:c r="A1" s="50" t="str">
        <x:v>Source Dataset</x:v>
      </x:c>
      <x:c r="B1" s="50" t="str">
        <x:v>Rows</x:v>
      </x:c>
      <x:c r="C1" s="50" t="str">
        <x:v>Model Role</x:v>
      </x:c>
      <x:c r="D1" s="50" t="str">
        <x:v>Primary Family / Layer</x:v>
      </x:c>
      <x:c r="E1" s="50" t="str">
        <x:v>Treatment</x:v>
      </x:c>
    </x:row>
    <x:row r="2">
      <x:c r="A2" s="42" t="str">
        <x:v>maritime_attacks_2026.csv</x:v>
      </x:c>
      <x:c r="B2" s="42" t="str">
        <x:v>67</x:v>
      </x:c>
      <x:c r="C2" s="42" t="str">
        <x:v>Event observation</x:v>
      </x:c>
      <x:c r="D2" s="42" t="str">
        <x:v>Conflict / Security</x:v>
      </x:c>
      <x:c r="E2" s="42" t="str">
        <x:v>Keep source row; resolve duplicates against IMO/UKMTO/P&amp;C</x:v>
      </x:c>
    </x:row>
    <x:row r="3">
      <x:c r="A3" s="42" t="str">
        <x:v>piracy_2026.csv</x:v>
      </x:c>
      <x:c r="B3" s="42" t="str">
        <x:v>21</x:v>
      </x:c>
      <x:c r="C3" s="42" t="str">
        <x:v>Event observation</x:v>
      </x:c>
      <x:c r="D3" s="42" t="str">
        <x:v>Maritime Crime</x:v>
      </x:c>
      <x:c r="E3" s="42" t="str">
        <x:v>Keep source row; resolve duplicates against ReCAAP/UKMTO</x:v>
      </x:c>
    </x:row>
    <x:row r="4">
      <x:c r="A4" s="42" t="str">
        <x:v>ukmto_warnings_2026.csv</x:v>
      </x:c>
      <x:c r="B4" s="42" t="str">
        <x:v>103</x:v>
      </x:c>
      <x:c r="C4" s="42" t="str">
        <x:v>Warning observation</x:v>
      </x:c>
      <x:c r="D4" s="42" t="str">
        <x:v>Maritime Security Warning</x:v>
      </x:c>
      <x:c r="E4" s="42" t="str">
        <x:v>Warnings may map to confirmed events or remain advisory-only</x:v>
      </x:c>
    </x:row>
    <x:row r="5">
      <x:c r="A5" s="42" t="str">
        <x:v>centcom_maritime_actions_2026.csv</x:v>
      </x:c>
      <x:c r="B5" s="42" t="str">
        <x:v>15</x:v>
      </x:c>
      <x:c r="C5" s="42" t="str">
        <x:v>Event observation</x:v>
      </x:c>
      <x:c r="D5" s="42" t="str">
        <x:v>Military / Enforcement</x:v>
      </x:c>
      <x:c r="E5" s="42" t="str">
        <x:v>Link vessel IMO to vessel entity</x:v>
      </x:c>
    </x:row>
    <x:row r="6">
      <x:c r="A6" s="42" t="str">
        <x:v>imo_gulf_confirmed_2026.csv</x:v>
      </x:c>
      <x:c r="B6" s="42" t="str">
        <x:v>25</x:v>
      </x:c>
      <x:c r="C6" s="42" t="str">
        <x:v>Event observation</x:v>
      </x:c>
      <x:c r="D6" s="42" t="str">
        <x:v>Conflict / Security</x:v>
      </x:c>
      <x:c r="E6" s="42" t="str">
        <x:v>Preserve IMO description separately from assessed actor</x:v>
      </x:c>
    </x:row>
    <x:row r="7">
      <x:c r="A7" s="42" t="str">
        <x:v>port_incidents_2026.csv</x:v>
      </x:c>
      <x:c r="B7" s="42" t="str">
        <x:v>44</x:v>
      </x:c>
      <x:c r="C7" s="42" t="str">
        <x:v>Event observation</x:v>
      </x:c>
      <x:c r="D7" s="42" t="str">
        <x:v>Port / Infrastructure Incident</x:v>
      </x:c>
      <x:c r="E7" s="42" t="str">
        <x:v>Link port/terminal/operator entities</x:v>
      </x:c>
    </x:row>
    <x:row r="8">
      <x:c r="A8" s="42" t="str">
        <x:v>recaap_incidents_2024_2026.csv</x:v>
      </x:c>
      <x:c r="B8" s="42" t="str">
        <x:v>277</x:v>
      </x:c>
      <x:c r="C8" s="42" t="str">
        <x:v>Event observation</x:v>
      </x:c>
      <x:c r="D8" s="42" t="str">
        <x:v>Maritime Crime</x:v>
      </x:c>
      <x:c r="E8" s="42" t="str">
        <x:v>Retain precise coordinates where supplied</x:v>
      </x:c>
    </x:row>
    <x:row r="9">
      <x:c r="A9" s="42" t="str">
        <x:v>blacksea_conflict_vessels_2026.csv</x:v>
      </x:c>
      <x:c r="B9" s="42" t="str">
        <x:v>17</x:v>
      </x:c>
      <x:c r="C9" s="42" t="str">
        <x:v>Event observation</x:v>
      </x:c>
      <x:c r="D9" s="42" t="str">
        <x:v>Conflict / Security</x:v>
      </x:c>
      <x:c r="E9" s="42" t="str">
        <x:v>Link IMO to vessel entity</x:v>
      </x:c>
    </x:row>
    <x:row r="10">
      <x:c r="A10" s="42" t="str">
        <x:v>blacksea_port_attacks_2026.csv</x:v>
      </x:c>
      <x:c r="B10" s="42" t="str">
        <x:v>8</x:v>
      </x:c>
      <x:c r="C10" s="42" t="str">
        <x:v>Event observation</x:v>
      </x:c>
      <x:c r="D10" s="42" t="str">
        <x:v>Conflict / Security</x:v>
      </x:c>
      <x:c r="E10" s="42" t="str">
        <x:v>Link port entity / infrastructure</x:v>
      </x:c>
    </x:row>
    <x:row r="11">
      <x:c r="A11" s="42" t="str">
        <x:v>external_disruptions_v2.csv</x:v>
      </x:c>
      <x:c r="B11" s="42" t="n">
        <x:v>26</x:v>
      </x:c>
      <x:c r="C11" s="42" t="str">
        <x:v>Event observation</x:v>
      </x:c>
      <x:c r="D11" s="42" t="str">
        <x:v>Weather / Labour / Protest / Civil / Natural / Accident</x:v>
      </x:c>
      <x:c r="E11" s="42" t="str">
        <x:v>Expanded first-pass operational-disruption feed; includes v1 seed rows plus 17 new weather/labour/protest events</x:v>
      </x:c>
    </x:row>
    <x:row r="12">
      <x:c r="A12" s="42" t="str">
        <x:v>port_investments_2026.csv</x:v>
      </x:c>
      <x:c r="B12" s="42" t="str">
        <x:v>Not event feed</x:v>
      </x:c>
      <x:c r="C12" s="42" t="str">
        <x:v>Investment</x:v>
      </x:c>
      <x:c r="D12" s="42" t="str">
        <x:v>Commercial / Infrastructure</x:v>
      </x:c>
      <x:c r="E12" s="42" t="str">
        <x:v>Remain in investment model</x:v>
      </x:c>
    </x:row>
    <x:row r="13">
      <x:c r="A13" s="42" t="str">
        <x:v>naval_shipbuilding_2026.csv</x:v>
      </x:c>
      <x:c r="B13" s="42" t="str">
        <x:v>Not event feed</x:v>
      </x:c>
      <x:c r="C13" s="42" t="str">
        <x:v>Fleet order / industrial event</x:v>
      </x:c>
      <x:c r="D13" s="42" t="str">
        <x:v>Defence / Shipbuilding</x:v>
      </x:c>
      <x:c r="E13" s="42" t="str">
        <x:v>Remain in fleet-order and shipyard model</x:v>
      </x:c>
    </x:row>
    <x:row r="14">
      <x:c r="A14" s="42" t="str">
        <x:v>blacksea_voyages_2026.csv</x:v>
      </x:c>
      <x:c r="B14" s="42" t="str">
        <x:v>Not event feed</x:v>
      </x:c>
      <x:c r="C14" s="42" t="str">
        <x:v>Movement observation</x:v>
      </x:c>
      <x:c r="D14" s="42" t="str">
        <x:v>Vessel movement</x:v>
      </x:c>
      <x:c r="E14" s="42" t="str">
        <x:v>Future movement layer</x:v>
      </x:c>
    </x:row>
    <x:row r="15">
      <x:c r="A15" s="42" t="str">
        <x:v>vessel_watchlists.csv</x:v>
      </x:c>
      <x:c r="B15" s="42" t="str">
        <x:v>Not event feed</x:v>
      </x:c>
      <x:c r="C15" s="42" t="str">
        <x:v>Compliance observation</x:v>
      </x:c>
      <x:c r="D15" s="42" t="str">
        <x:v>Sanctions / Watchlist</x:v>
      </x:c>
      <x:c r="E15" s="42" t="str">
        <x:v>Future compliance layer</x:v>
      </x:c>
    </x:row>
    <x:row r="16">
      <x:c r="A16" s="42" t="str">
        <x:v>iuu_fishing_index_2019_2025.csv</x:v>
      </x:c>
      <x:c r="B16" s="42" t="str">
        <x:v>Not event feed</x:v>
      </x:c>
      <x:c r="C16" s="42" t="str">
        <x:v>Risk indicator</x:v>
      </x:c>
      <x:c r="D16" s="42" t="str">
        <x:v>IUU / maritime governance</x:v>
      </x:c>
      <x:c r="E16" s="42" t="str">
        <x:v>Future risk-indicator layer</x:v>
      </x:c>
    </x:row>
  </x:sheetData>
  <x:pageMargins left="0.7" right="0.7" top="0.75" bottom="0.75" header="0.3" footer="0.3"/>
  <x:tableParts count="1">
    <x:tablePart xmlns:r="http://schemas.openxmlformats.org/officeDocument/2006/relationships" r:id="R3666dc87d951413f"/>
  </x:tableParts>
</x:worksheet>
</file>

<file path=xl/worksheets/sheet27.xml><?xml version="1.0" encoding="utf-8"?>
<x:worksheet xmlns:x="http://schemas.openxmlformats.org/spreadsheetml/2006/main">
  <x:sheetFormatPr defaultRowHeight="15"/>
  <x:sheetData>
    <x:row r="1">
      <x:c r="A1" s="51" t="str">
        <x:v>P&amp;C Event / Disruption Layer v1.2</x:v>
      </x:c>
      <x:c r="B1" s="51"/>
      <x:c r="C1" s="51"/>
      <x:c r="D1" s="51"/>
      <x:c r="E1" s="51"/>
      <x:c r="F1" s="51"/>
      <x:c r="G1" s="51"/>
      <x:c r="H1" s="51"/>
    </x:row>
    <x:row r="2">
      <x:c r="A2" s="54" t="str">
        <x:v>Operational incident feeds now include an expanded first pass for weather, natural hazards, labour action, protest and civil unrest, alongside conflict, maritime crime, enforcement, port incidents and transport accidents.</x:v>
      </x:c>
      <x:c r="B2" s="54"/>
      <x:c r="C2" s="54"/>
      <x:c r="D2" s="54"/>
      <x:c r="E2" s="54"/>
      <x:c r="F2" s="54"/>
      <x:c r="G2" s="54"/>
      <x:c r="H2" s="54"/>
    </x:row>
    <x:row r="4">
      <x:c r="A4" s="56" t="str">
        <x:v>Metric</x:v>
      </x:c>
      <x:c r="B4" s="56" t="str">
        <x:v>Count</x:v>
      </x:c>
      <x:c r="D4" s="56" t="str">
        <x:v>Deduplication rule</x:v>
      </x:c>
      <x:c r="E4" s="56"/>
      <x:c r="F4" s="56"/>
      <x:c r="G4" s="56"/>
      <x:c r="H4" s="56"/>
    </x:row>
    <x:row r="5">
      <x:c r="A5" s="58" t="str">
        <x:v>Current-source event observations</x:v>
      </x:c>
      <x:c r="B5" s="58" t="n">
        <x:v>577</x:v>
      </x:c>
      <x:c r="D5" s="61" t="str">
        <x:v>A source row is not automatically a unique real-world event. UKMTO, IMO, ReCAAP, a company release and P&amp;C may describe the same incident. Event Observations preserve the evidence; Canonical Event ID will merge matching observations after entity/date/location resolution.</x:v>
      </x:c>
      <x:c r="E5" s="61"/>
      <x:c r="F5" s="61"/>
      <x:c r="G5" s="61"/>
      <x:c r="H5" s="61"/>
    </x:row>
    <x:row r="6">
      <x:c r="A6" s="58" t="str">
        <x:v>External disruption events</x:v>
      </x:c>
      <x:c r="B6" s="58" t="n">
        <x:v>26</x:v>
      </x:c>
      <x:c r="D6" s="61"/>
      <x:c r="E6" s="61"/>
      <x:c r="F6" s="61"/>
      <x:c r="G6" s="61"/>
      <x:c r="H6" s="61"/>
    </x:row>
    <x:row r="7">
      <x:c r="A7" s="58" t="str">
        <x:v>Total event observations</x:v>
      </x:c>
      <x:c r="B7" s="58" t="n">
        <x:v>603</x:v>
      </x:c>
      <x:c r="D7" s="61"/>
      <x:c r="E7" s="61"/>
      <x:c r="F7" s="61"/>
      <x:c r="G7" s="61"/>
      <x:c r="H7" s="61"/>
    </x:row>
    <x:row r="8">
      <x:c r="A8" s="58" t="str">
        <x:v>Event taxonomy families</x:v>
      </x:c>
      <x:c r="B8" s="58" t="n">
        <x:v>15</x:v>
      </x:c>
      <x:c r="D8" s="61"/>
      <x:c r="E8" s="61"/>
      <x:c r="F8" s="61"/>
      <x:c r="G8" s="61"/>
      <x:c r="H8" s="61"/>
    </x:row>
    <x:row r="9">
      <x:c r="A9" s="58" t="str">
        <x:v>Structured impact records</x:v>
      </x:c>
      <x:c r="B9" s="58" t="n">
        <x:v>27</x:v>
      </x:c>
      <x:c r="D9" s="61"/>
      <x:c r="E9" s="61"/>
      <x:c r="F9" s="61"/>
      <x:c r="G9" s="61"/>
      <x:c r="H9" s="61"/>
    </x:row>
    <x:row r="10">
      <x:c r="A10" t="str">
        <x:v>Weather / labour / protest focused events</x:v>
      </x:c>
      <x:c r="B10" t="n">
        <x:v>25</x:v>
      </x:c>
    </x:row>
  </x:sheetData>
  <x:mergeCells>
    <x:mergeCell ref="A1:H1"/>
    <x:mergeCell ref="A2:H2"/>
    <x:mergeCell ref="D4:H4"/>
    <x:mergeCell ref="D5:H9"/>
  </x:mergeCells>
  <x:pageMargins left="0.7" right="0.7" top="0.75" bottom="0.75" header="0.3" footer="0.3"/>
</x:worksheet>
</file>

<file path=xl/worksheets/sheet28.xml><?xml version="1.0" encoding="utf-8"?>
<x:worksheet xmlns:x="http://schemas.openxmlformats.org/spreadsheetml/2006/main">
  <x:sheetFormatPr defaultRowHeight="15"/>
  <x:cols>
    <x:col min="1" max="1" width="30" hidden="0" customWidth="1"/>
    <x:col min="2" max="2" width="24" hidden="0" customWidth="1"/>
    <x:col min="3" max="3" width="24" hidden="0" customWidth="1"/>
    <x:col min="4" max="4" width="24" hidden="0" customWidth="1"/>
    <x:col min="5" max="5" width="30" hidden="0" customWidth="1"/>
    <x:col min="6" max="6" width="18" hidden="0" customWidth="1"/>
    <x:col min="7" max="7" width="18" hidden="0" customWidth="1"/>
    <x:col min="8" max="8" width="18" hidden="0" customWidth="1"/>
    <x:col min="9" max="9" width="20" hidden="0" customWidth="1"/>
    <x:col min="10" max="10" width="30" hidden="0" customWidth="1"/>
  </x:cols>
  <x:sheetData>
    <x:row r="1">
      <x:c r="A1" s="166" t="str">
        <x:v>Vessel Relationship ID</x:v>
      </x:c>
      <x:c r="B1" s="166" t="str">
        <x:v>Vessel ID</x:v>
      </x:c>
      <x:c r="C1" s="166" t="str">
        <x:v>Vessel Name</x:v>
      </x:c>
      <x:c r="D1" s="166" t="str">
        <x:v>Company ID</x:v>
      </x:c>
      <x:c r="E1" s="166" t="str">
        <x:v>Relationship Type</x:v>
      </x:c>
      <x:c r="F1" s="166" t="str">
        <x:v>Effective From</x:v>
      </x:c>
      <x:c r="G1" s="166" t="str">
        <x:v>Effective To</x:v>
      </x:c>
      <x:c r="H1" s="166" t="str">
        <x:v>Confidence</x:v>
      </x:c>
      <x:c r="I1" s="166" t="str">
        <x:v>Source ID</x:v>
      </x:c>
      <x:c r="J1" s="166" t="str">
        <x:v>Notes</x:v>
      </x:c>
      <x:c r="K1" s="165"/>
      <x:c r="L1" s="165"/>
      <x:c r="M1" s="165"/>
      <x:c r="N1" s="165"/>
      <x:c r="O1" s="165"/>
      <x:c r="P1" s="165"/>
      <x:c r="Q1" s="165"/>
      <x:c r="R1" s="165"/>
      <x:c r="S1" s="165"/>
      <x:c r="T1" s="165"/>
      <x:c r="U1" s="165"/>
      <x:c r="V1" s="165"/>
      <x:c r="W1" s="165"/>
      <x:c r="X1" s="165"/>
      <x:c r="Y1" s="165"/>
      <x:c r="Z1" s="165"/>
      <x:c r="AA1" s="165"/>
      <x:c r="AB1" s="165"/>
      <x:c r="AC1" s="165"/>
      <x:c r="AD1" s="165"/>
      <x:c r="AE1" s="165"/>
      <x:c r="AF1" s="165"/>
      <x:c r="AG1" s="165"/>
      <x:c r="AH1" s="165"/>
      <x:c r="AI1" s="165"/>
      <x:c r="AJ1" s="165"/>
      <x:c r="AK1" s="165"/>
      <x:c r="AL1" s="165"/>
      <x:c r="AM1" s="165"/>
      <x:c r="AN1" s="165"/>
      <x:c r="AO1" s="165"/>
      <x:c r="AP1" s="165"/>
      <x:c r="AQ1" s="165"/>
      <x:c r="AR1" s="165"/>
      <x:c r="AS1" s="165"/>
      <x:c r="AT1" s="165"/>
      <x:c r="AU1" s="165"/>
      <x:c r="AV1" s="165"/>
      <x:c r="AW1" s="165"/>
      <x:c r="AX1" s="165"/>
      <x:c r="AY1" s="165"/>
      <x:c r="AZ1" s="165"/>
    </x:row>
    <x:row r="2">
      <x:c r="A2" s="42" t="str">
        <x:v>VREL_000001</x:v>
      </x:c>
      <x:c r="B2" s="42" t="str">
        <x:v>VESSEL_00016</x:v>
      </x:c>
      <x:c r="C2" s="42" t="str">
        <x:v>Al Sadaf</x:v>
      </x:c>
      <x:c r="D2" s="42" t="str">
        <x:v>COMP_ADNOC_LS</x:v>
      </x:c>
      <x:c r="E2" s="42" t="str">
        <x:v>OWNER</x:v>
      </x:c>
      <x:c r="F2" s="42"/>
      <x:c r="G2" s="42"/>
      <x:c r="H2" s="42" t="str">
        <x:v>High</x:v>
      </x:c>
      <x:c r="I2" s="42" t="str">
        <x:v>SRC_0066</x:v>
      </x:c>
      <x:c r="J2" s="42" t="str">
        <x:v>Owner field from seeded vessel record.</x:v>
      </x:c>
    </x:row>
    <x:row r="3">
      <x:c r="A3" s="42" t="str">
        <x:v>VREL_000002</x:v>
      </x:c>
      <x:c r="B3" s="42" t="str">
        <x:v>VESSEL_00016</x:v>
      </x:c>
      <x:c r="C3" s="42" t="str">
        <x:v>Al Sadaf</x:v>
      </x:c>
      <x:c r="D3" s="42" t="str">
        <x:v>COMP_ADNOC_LS</x:v>
      </x:c>
      <x:c r="E3" s="42" t="str">
        <x:v>OPERATOR</x:v>
      </x:c>
      <x:c r="F3" s="42"/>
      <x:c r="G3" s="42"/>
      <x:c r="H3" s="42" t="str">
        <x:v>High</x:v>
      </x:c>
      <x:c r="I3" s="42" t="str">
        <x:v>SRC_0066</x:v>
      </x:c>
      <x:c r="J3" s="42" t="str">
        <x:v>Operator field from seeded vessel record.</x:v>
      </x:c>
    </x:row>
    <x:row r="4">
      <x:c r="A4" s="42" t="str">
        <x:v>VREL_000003</x:v>
      </x:c>
      <x:c r="B4" s="42" t="str">
        <x:v>VESSEL_00017</x:v>
      </x:c>
      <x:c r="C4" s="42" t="str">
        <x:v>Arada</x:v>
      </x:c>
      <x:c r="D4" s="42" t="str">
        <x:v>COMP_ADNOC_LS</x:v>
      </x:c>
      <x:c r="E4" s="42" t="str">
        <x:v>OWNER</x:v>
      </x:c>
      <x:c r="F4" s="42"/>
      <x:c r="G4" s="42"/>
      <x:c r="H4" s="42" t="str">
        <x:v>High</x:v>
      </x:c>
      <x:c r="I4" s="42" t="str">
        <x:v>SRC_0066</x:v>
      </x:c>
      <x:c r="J4" s="42" t="str">
        <x:v>Owner field from seeded vessel record.</x:v>
      </x:c>
    </x:row>
    <x:row r="5">
      <x:c r="A5" s="42" t="str">
        <x:v>VREL_000004</x:v>
      </x:c>
      <x:c r="B5" s="42" t="str">
        <x:v>VESSEL_00017</x:v>
      </x:c>
      <x:c r="C5" s="42" t="str">
        <x:v>Arada</x:v>
      </x:c>
      <x:c r="D5" s="42" t="str">
        <x:v>COMP_ADNOC_LS</x:v>
      </x:c>
      <x:c r="E5" s="42" t="str">
        <x:v>OPERATOR</x:v>
      </x:c>
      <x:c r="F5" s="42"/>
      <x:c r="G5" s="42"/>
      <x:c r="H5" s="42" t="str">
        <x:v>High</x:v>
      </x:c>
      <x:c r="I5" s="42" t="str">
        <x:v>SRC_0066</x:v>
      </x:c>
      <x:c r="J5" s="42" t="str">
        <x:v>Operator field from seeded vessel record.</x:v>
      </x:c>
    </x:row>
    <x:row r="6">
      <x:c r="A6" s="42" t="str">
        <x:v>VREL_000005</x:v>
      </x:c>
      <x:c r="B6" s="42" t="str">
        <x:v>VESSEL_00018</x:v>
      </x:c>
      <x:c r="C6" s="42" t="str">
        <x:v>Al Taweelah</x:v>
      </x:c>
      <x:c r="D6" s="42" t="str">
        <x:v>COMP_ADNOC_LS</x:v>
      </x:c>
      <x:c r="E6" s="42" t="str">
        <x:v>OWNER</x:v>
      </x:c>
      <x:c r="F6" s="42"/>
      <x:c r="G6" s="42"/>
      <x:c r="H6" s="42" t="str">
        <x:v>High</x:v>
      </x:c>
      <x:c r="I6" s="42" t="str">
        <x:v>SRC_0066</x:v>
      </x:c>
      <x:c r="J6" s="42" t="str">
        <x:v>Owner field from seeded vessel record.</x:v>
      </x:c>
    </x:row>
    <x:row r="7">
      <x:c r="A7" s="42" t="str">
        <x:v>VREL_000006</x:v>
      </x:c>
      <x:c r="B7" s="42" t="str">
        <x:v>VESSEL_00018</x:v>
      </x:c>
      <x:c r="C7" s="42" t="str">
        <x:v>Al Taweelah</x:v>
      </x:c>
      <x:c r="D7" s="42" t="str">
        <x:v>COMP_ADNOC_LS</x:v>
      </x:c>
      <x:c r="E7" s="42" t="str">
        <x:v>OPERATOR</x:v>
      </x:c>
      <x:c r="F7" s="42"/>
      <x:c r="G7" s="42"/>
      <x:c r="H7" s="42" t="str">
        <x:v>High</x:v>
      </x:c>
      <x:c r="I7" s="42" t="str">
        <x:v>SRC_0066</x:v>
      </x:c>
      <x:c r="J7" s="42" t="str">
        <x:v>Operator field from seeded vessel record.</x:v>
      </x:c>
    </x:row>
    <x:row r="8">
      <x:c r="A8" s="42" t="str">
        <x:v>VREL_000007</x:v>
      </x:c>
      <x:c r="B8" s="42" t="str">
        <x:v>VESSEL_00019</x:v>
      </x:c>
      <x:c r="C8" s="42" t="str">
        <x:v>Al Hamra</x:v>
      </x:c>
      <x:c r="D8" s="42" t="str">
        <x:v>COMP_ADNOC_LS</x:v>
      </x:c>
      <x:c r="E8" s="42" t="str">
        <x:v>OWNER</x:v>
      </x:c>
      <x:c r="F8" s="42"/>
      <x:c r="G8" s="42"/>
      <x:c r="H8" s="42" t="str">
        <x:v>High</x:v>
      </x:c>
      <x:c r="I8" s="42" t="str">
        <x:v>SRC_0066</x:v>
      </x:c>
      <x:c r="J8" s="42" t="str">
        <x:v>Owner field from seeded vessel record.</x:v>
      </x:c>
    </x:row>
    <x:row r="9">
      <x:c r="A9" s="42" t="str">
        <x:v>VREL_000008</x:v>
      </x:c>
      <x:c r="B9" s="42" t="str">
        <x:v>VESSEL_00019</x:v>
      </x:c>
      <x:c r="C9" s="42" t="str">
        <x:v>Al Hamra</x:v>
      </x:c>
      <x:c r="D9" s="42" t="str">
        <x:v>COMP_ADNOC_LS</x:v>
      </x:c>
      <x:c r="E9" s="42" t="str">
        <x:v>OPERATOR</x:v>
      </x:c>
      <x:c r="F9" s="42"/>
      <x:c r="G9" s="42"/>
      <x:c r="H9" s="42" t="str">
        <x:v>High</x:v>
      </x:c>
      <x:c r="I9" s="42" t="str">
        <x:v>SRC_0066</x:v>
      </x:c>
      <x:c r="J9" s="42" t="str">
        <x:v>Operator field from seeded vessel record.</x:v>
      </x:c>
    </x:row>
    <x:row r="10">
      <x:c r="A10" s="42" t="str">
        <x:v>VREL_000009</x:v>
      </x:c>
      <x:c r="B10" s="42" t="str">
        <x:v>VESSEL_00020</x:v>
      </x:c>
      <x:c r="C10" s="42" t="str">
        <x:v>Al Rahba</x:v>
      </x:c>
      <x:c r="D10" s="42" t="str">
        <x:v>COMP_ADNOC_LS</x:v>
      </x:c>
      <x:c r="E10" s="42" t="str">
        <x:v>OWNER</x:v>
      </x:c>
      <x:c r="F10" s="42"/>
      <x:c r="G10" s="42"/>
      <x:c r="H10" s="42" t="str">
        <x:v>High</x:v>
      </x:c>
      <x:c r="I10" s="42" t="str">
        <x:v>SRC_0066</x:v>
      </x:c>
      <x:c r="J10" s="42" t="str">
        <x:v>Owner field from seeded vessel record.</x:v>
      </x:c>
    </x:row>
    <x:row r="11">
      <x:c r="A11" s="42" t="str">
        <x:v>VREL_000010</x:v>
      </x:c>
      <x:c r="B11" s="42" t="str">
        <x:v>VESSEL_00020</x:v>
      </x:c>
      <x:c r="C11" s="42" t="str">
        <x:v>Al Rahba</x:v>
      </x:c>
      <x:c r="D11" s="42" t="str">
        <x:v>COMP_ADNOC_LS</x:v>
      </x:c>
      <x:c r="E11" s="42" t="str">
        <x:v>OPERATOR</x:v>
      </x:c>
      <x:c r="F11" s="42"/>
      <x:c r="G11" s="42"/>
      <x:c r="H11" s="42" t="str">
        <x:v>High</x:v>
      </x:c>
      <x:c r="I11" s="42" t="str">
        <x:v>SRC_0066</x:v>
      </x:c>
      <x:c r="J11" s="42" t="str">
        <x:v>Operator field from seeded vessel record.</x:v>
      </x:c>
    </x:row>
    <x:row r="12">
      <x:c r="A12" s="42" t="str">
        <x:v>VREL_000011</x:v>
      </x:c>
      <x:c r="B12" s="42" t="str">
        <x:v>VESSEL_00021</x:v>
      </x:c>
      <x:c r="C12" s="42" t="str">
        <x:v>Al Reef</x:v>
      </x:c>
      <x:c r="D12" s="42" t="str">
        <x:v>COMP_ADNOC_LS</x:v>
      </x:c>
      <x:c r="E12" s="42" t="str">
        <x:v>OWNER</x:v>
      </x:c>
      <x:c r="F12" s="42"/>
      <x:c r="G12" s="42"/>
      <x:c r="H12" s="42" t="str">
        <x:v>High</x:v>
      </x:c>
      <x:c r="I12" s="42" t="str">
        <x:v>SRC_0066</x:v>
      </x:c>
      <x:c r="J12" s="42" t="str">
        <x:v>Owner field from seeded vessel record.</x:v>
      </x:c>
    </x:row>
    <x:row r="13">
      <x:c r="A13" s="42" t="str">
        <x:v>VREL_000012</x:v>
      </x:c>
      <x:c r="B13" s="42" t="str">
        <x:v>VESSEL_00021</x:v>
      </x:c>
      <x:c r="C13" s="42" t="str">
        <x:v>Al Reef</x:v>
      </x:c>
      <x:c r="D13" s="42" t="str">
        <x:v>COMP_ADNOC_LS</x:v>
      </x:c>
      <x:c r="E13" s="42" t="str">
        <x:v>OPERATOR</x:v>
      </x:c>
      <x:c r="F13" s="42"/>
      <x:c r="G13" s="42"/>
      <x:c r="H13" s="42" t="str">
        <x:v>High</x:v>
      </x:c>
      <x:c r="I13" s="42" t="str">
        <x:v>SRC_0066</x:v>
      </x:c>
      <x:c r="J13" s="42" t="str">
        <x:v>Operator field from seeded vessel record.</x:v>
      </x:c>
    </x:row>
    <x:row r="14">
      <x:c r="A14" s="42" t="str">
        <x:v>VREL_000013</x:v>
      </x:c>
      <x:c r="B14" s="42" t="str">
        <x:v>VESSEL_00022</x:v>
      </x:c>
      <x:c r="C14" s="42" t="str">
        <x:v>Al Shelila</x:v>
      </x:c>
      <x:c r="D14" s="42" t="str">
        <x:v>COMP_ADNOC_LS</x:v>
      </x:c>
      <x:c r="E14" s="42" t="str">
        <x:v>OWNER</x:v>
      </x:c>
      <x:c r="F14" s="42"/>
      <x:c r="G14" s="42"/>
      <x:c r="H14" s="42" t="str">
        <x:v>High</x:v>
      </x:c>
      <x:c r="I14" s="42" t="str">
        <x:v>SRC_0066</x:v>
      </x:c>
      <x:c r="J14" s="42" t="str">
        <x:v>Owner field from seeded vessel record.</x:v>
      </x:c>
    </x:row>
    <x:row r="15">
      <x:c r="A15" s="42" t="str">
        <x:v>VREL_000014</x:v>
      </x:c>
      <x:c r="B15" s="42" t="str">
        <x:v>VESSEL_00022</x:v>
      </x:c>
      <x:c r="C15" s="42" t="str">
        <x:v>Al Shelila</x:v>
      </x:c>
      <x:c r="D15" s="42" t="str">
        <x:v>COMP_ADNOC_LS</x:v>
      </x:c>
      <x:c r="E15" s="42" t="str">
        <x:v>OPERATOR</x:v>
      </x:c>
      <x:c r="F15" s="42"/>
      <x:c r="G15" s="42"/>
      <x:c r="H15" s="42" t="str">
        <x:v>High</x:v>
      </x:c>
      <x:c r="I15" s="42" t="str">
        <x:v>SRC_0066</x:v>
      </x:c>
      <x:c r="J15" s="42" t="str">
        <x:v>Operator field from seeded vessel record.</x:v>
      </x:c>
    </x:row>
    <x:row r="16">
      <x:c r="A16" s="42" t="str">
        <x:v>VREL_000015</x:v>
      </x:c>
      <x:c r="B16" s="42" t="str">
        <x:v>VESSEL_00023</x:v>
      </x:c>
      <x:c r="C16" s="42" t="str">
        <x:v>Ish (FSU)</x:v>
      </x:c>
      <x:c r="D16" s="42" t="str">
        <x:v>COMP_ADNOC_LS</x:v>
      </x:c>
      <x:c r="E16" s="42" t="str">
        <x:v>OWNER</x:v>
      </x:c>
      <x:c r="F16" s="42"/>
      <x:c r="G16" s="42"/>
      <x:c r="H16" s="42" t="str">
        <x:v>High</x:v>
      </x:c>
      <x:c r="I16" s="42" t="str">
        <x:v>SRC_0066</x:v>
      </x:c>
      <x:c r="J16" s="42" t="str">
        <x:v>Owner field from seeded vessel record.</x:v>
      </x:c>
    </x:row>
    <x:row r="17">
      <x:c r="A17" s="42" t="str">
        <x:v>VREL_000016</x:v>
      </x:c>
      <x:c r="B17" s="42" t="str">
        <x:v>VESSEL_00023</x:v>
      </x:c>
      <x:c r="C17" s="42" t="str">
        <x:v>Ish (FSU)</x:v>
      </x:c>
      <x:c r="D17" s="42" t="str">
        <x:v>COMP_ADNOC_LS</x:v>
      </x:c>
      <x:c r="E17" s="42" t="str">
        <x:v>OPERATOR</x:v>
      </x:c>
      <x:c r="F17" s="42"/>
      <x:c r="G17" s="42"/>
      <x:c r="H17" s="42" t="str">
        <x:v>High</x:v>
      </x:c>
      <x:c r="I17" s="42" t="str">
        <x:v>SRC_0066</x:v>
      </x:c>
      <x:c r="J17" s="42" t="str">
        <x:v>Operator field from seeded vessel record.</x:v>
      </x:c>
    </x:row>
    <x:row r="18">
      <x:c r="A18" s="42" t="str">
        <x:v>VREL_000017</x:v>
      </x:c>
      <x:c r="B18" s="42" t="str">
        <x:v>VESSEL_00024</x:v>
      </x:c>
      <x:c r="C18" s="42" t="str">
        <x:v>Mraweh</x:v>
      </x:c>
      <x:c r="D18" s="42" t="str">
        <x:v>COMP_ADNOC_LS</x:v>
      </x:c>
      <x:c r="E18" s="42" t="str">
        <x:v>OWNER</x:v>
      </x:c>
      <x:c r="F18" s="42"/>
      <x:c r="G18" s="42"/>
      <x:c r="H18" s="42" t="str">
        <x:v>High</x:v>
      </x:c>
      <x:c r="I18" s="42" t="str">
        <x:v>SRC_0066</x:v>
      </x:c>
      <x:c r="J18" s="42" t="str">
        <x:v>Owner field from seeded vessel record.</x:v>
      </x:c>
    </x:row>
    <x:row r="19">
      <x:c r="A19" s="42" t="str">
        <x:v>VREL_000018</x:v>
      </x:c>
      <x:c r="B19" s="42" t="str">
        <x:v>VESSEL_00024</x:v>
      </x:c>
      <x:c r="C19" s="42" t="str">
        <x:v>Mraweh</x:v>
      </x:c>
      <x:c r="D19" s="42" t="str">
        <x:v>COMP_ADNOC_LS</x:v>
      </x:c>
      <x:c r="E19" s="42" t="str">
        <x:v>OPERATOR</x:v>
      </x:c>
      <x:c r="F19" s="42"/>
      <x:c r="G19" s="42"/>
      <x:c r="H19" s="42" t="str">
        <x:v>High</x:v>
      </x:c>
      <x:c r="I19" s="42" t="str">
        <x:v>SRC_0066</x:v>
      </x:c>
      <x:c r="J19" s="42" t="str">
        <x:v>Operator field from seeded vessel record.</x:v>
      </x:c>
    </x:row>
    <x:row r="20">
      <x:c r="A20" s="42" t="str">
        <x:v>VREL_000019</x:v>
      </x:c>
      <x:c r="B20" s="42" t="str">
        <x:v>VESSEL_00025</x:v>
      </x:c>
      <x:c r="C20" s="42" t="str">
        <x:v>Mubaraz</x:v>
      </x:c>
      <x:c r="D20" s="42" t="str">
        <x:v>COMP_ADNOC_LS</x:v>
      </x:c>
      <x:c r="E20" s="42" t="str">
        <x:v>OWNER</x:v>
      </x:c>
      <x:c r="F20" s="42"/>
      <x:c r="G20" s="42"/>
      <x:c r="H20" s="42" t="str">
        <x:v>High</x:v>
      </x:c>
      <x:c r="I20" s="42" t="str">
        <x:v>SRC_0066</x:v>
      </x:c>
      <x:c r="J20" s="42" t="str">
        <x:v>Owner field from seeded vessel record.</x:v>
      </x:c>
    </x:row>
    <x:row r="21">
      <x:c r="A21" s="42" t="str">
        <x:v>VREL_000020</x:v>
      </x:c>
      <x:c r="B21" s="42" t="str">
        <x:v>VESSEL_00025</x:v>
      </x:c>
      <x:c r="C21" s="42" t="str">
        <x:v>Mubaraz</x:v>
      </x:c>
      <x:c r="D21" s="42" t="str">
        <x:v>COMP_ADNOC_LS</x:v>
      </x:c>
      <x:c r="E21" s="42" t="str">
        <x:v>OPERATOR</x:v>
      </x:c>
      <x:c r="F21" s="42"/>
      <x:c r="G21" s="42"/>
      <x:c r="H21" s="42" t="str">
        <x:v>High</x:v>
      </x:c>
      <x:c r="I21" s="42" t="str">
        <x:v>SRC_0066</x:v>
      </x:c>
      <x:c r="J21" s="42" t="str">
        <x:v>Operator field from seeded vessel record.</x:v>
      </x:c>
    </x:row>
    <x:row r="22">
      <x:c r="A22" s="42" t="str">
        <x:v>VREL_000021</x:v>
      </x:c>
      <x:c r="B22" s="42" t="str">
        <x:v>VESSEL_00026</x:v>
      </x:c>
      <x:c r="C22" s="42" t="str">
        <x:v>Shahamah</x:v>
      </x:c>
      <x:c r="D22" s="42" t="str">
        <x:v>COMP_ADNOC_LS</x:v>
      </x:c>
      <x:c r="E22" s="42" t="str">
        <x:v>OWNER</x:v>
      </x:c>
      <x:c r="F22" s="42"/>
      <x:c r="G22" s="42"/>
      <x:c r="H22" s="42" t="str">
        <x:v>High</x:v>
      </x:c>
      <x:c r="I22" s="42" t="str">
        <x:v>SRC_0066</x:v>
      </x:c>
      <x:c r="J22" s="42" t="str">
        <x:v>Owner field from seeded vessel record.</x:v>
      </x:c>
    </x:row>
    <x:row r="23">
      <x:c r="A23" s="42" t="str">
        <x:v>VREL_000022</x:v>
      </x:c>
      <x:c r="B23" s="42" t="str">
        <x:v>VESSEL_00026</x:v>
      </x:c>
      <x:c r="C23" s="42" t="str">
        <x:v>Shahamah</x:v>
      </x:c>
      <x:c r="D23" s="42" t="str">
        <x:v>COMP_ADNOC_LS</x:v>
      </x:c>
      <x:c r="E23" s="42" t="str">
        <x:v>OPERATOR</x:v>
      </x:c>
      <x:c r="F23" s="42"/>
      <x:c r="G23" s="42"/>
      <x:c r="H23" s="42" t="str">
        <x:v>High</x:v>
      </x:c>
      <x:c r="I23" s="42" t="str">
        <x:v>SRC_0066</x:v>
      </x:c>
      <x:c r="J23" s="42" t="str">
        <x:v>Operator field from seeded vessel record.</x:v>
      </x:c>
    </x:row>
    <x:row r="24">
      <x:c r="A24" s="42" t="str">
        <x:v>VREL_000023</x:v>
      </x:c>
      <x:c r="B24" s="42" t="str">
        <x:v>VESSEL_00027</x:v>
      </x:c>
      <x:c r="C24" s="42" t="str">
        <x:v>Umm Al Ashtan</x:v>
      </x:c>
      <x:c r="D24" s="42" t="str">
        <x:v>COMP_ADNOC_LS</x:v>
      </x:c>
      <x:c r="E24" s="42" t="str">
        <x:v>OWNER</x:v>
      </x:c>
      <x:c r="F24" s="42"/>
      <x:c r="G24" s="42"/>
      <x:c r="H24" s="42" t="str">
        <x:v>High</x:v>
      </x:c>
      <x:c r="I24" s="42" t="str">
        <x:v>SRC_0066</x:v>
      </x:c>
      <x:c r="J24" s="42" t="str">
        <x:v>Owner field from seeded vessel record.</x:v>
      </x:c>
    </x:row>
    <x:row r="25">
      <x:c r="A25" s="42" t="str">
        <x:v>VREL_000024</x:v>
      </x:c>
      <x:c r="B25" s="42" t="str">
        <x:v>VESSEL_00027</x:v>
      </x:c>
      <x:c r="C25" s="42" t="str">
        <x:v>Umm Al Ashtan</x:v>
      </x:c>
      <x:c r="D25" s="42" t="str">
        <x:v>COMP_ADNOC_LS</x:v>
      </x:c>
      <x:c r="E25" s="42" t="str">
        <x:v>OPERATOR</x:v>
      </x:c>
      <x:c r="F25" s="42"/>
      <x:c r="G25" s="42"/>
      <x:c r="H25" s="42" t="str">
        <x:v>High</x:v>
      </x:c>
      <x:c r="I25" s="42" t="str">
        <x:v>SRC_0066</x:v>
      </x:c>
      <x:c r="J25" s="42" t="str">
        <x:v>Operator field from seeded vessel record.</x:v>
      </x:c>
    </x:row>
    <x:row r="26">
      <x:c r="A26" s="42" t="str">
        <x:v>VREL_000025</x:v>
      </x:c>
      <x:c r="B26" s="42" t="str">
        <x:v>VESSEL_00028</x:v>
      </x:c>
      <x:c r="C26" s="42" t="str">
        <x:v>Ruwais LNG H2711</x:v>
      </x:c>
      <x:c r="D26" s="42" t="str">
        <x:v>COMP_ADNOC_LS</x:v>
      </x:c>
      <x:c r="E26" s="42" t="str">
        <x:v>OWNER</x:v>
      </x:c>
      <x:c r="F26" s="42"/>
      <x:c r="G26" s="42"/>
      <x:c r="H26" s="42" t="str">
        <x:v>High</x:v>
      </x:c>
      <x:c r="I26" s="42" t="str">
        <x:v>SRC_0066</x:v>
      </x:c>
      <x:c r="J26" s="42" t="str">
        <x:v>Owner field from seeded vessel record.</x:v>
      </x:c>
    </x:row>
    <x:row r="27">
      <x:c r="A27" s="42" t="str">
        <x:v>VREL_000026</x:v>
      </x:c>
      <x:c r="B27" s="42" t="str">
        <x:v>VESSEL_00028</x:v>
      </x:c>
      <x:c r="C27" s="42" t="str">
        <x:v>Ruwais LNG H2711</x:v>
      </x:c>
      <x:c r="D27" s="42" t="str">
        <x:v>COMP_ADNOC_LS</x:v>
      </x:c>
      <x:c r="E27" s="42" t="str">
        <x:v>OPERATOR</x:v>
      </x:c>
      <x:c r="F27" s="42"/>
      <x:c r="G27" s="42"/>
      <x:c r="H27" s="42" t="str">
        <x:v>High</x:v>
      </x:c>
      <x:c r="I27" s="42" t="str">
        <x:v>SRC_0066</x:v>
      </x:c>
      <x:c r="J27" s="42" t="str">
        <x:v>Operator field from seeded vessel record.</x:v>
      </x:c>
    </x:row>
    <x:row r="28">
      <x:c r="A28" s="42" t="str">
        <x:v>VREL_000027</x:v>
      </x:c>
      <x:c r="B28" s="42" t="str">
        <x:v>VESSEL_00029</x:v>
      </x:c>
      <x:c r="C28" s="42" t="str">
        <x:v>Ruwais LNG H2712</x:v>
      </x:c>
      <x:c r="D28" s="42" t="str">
        <x:v>COMP_ADNOC_LS</x:v>
      </x:c>
      <x:c r="E28" s="42" t="str">
        <x:v>OWNER</x:v>
      </x:c>
      <x:c r="F28" s="42"/>
      <x:c r="G28" s="42"/>
      <x:c r="H28" s="42" t="str">
        <x:v>High</x:v>
      </x:c>
      <x:c r="I28" s="42" t="str">
        <x:v>SRC_0066</x:v>
      </x:c>
      <x:c r="J28" s="42" t="str">
        <x:v>Owner field from seeded vessel record.</x:v>
      </x:c>
    </x:row>
    <x:row r="29">
      <x:c r="A29" s="42" t="str">
        <x:v>VREL_000028</x:v>
      </x:c>
      <x:c r="B29" s="42" t="str">
        <x:v>VESSEL_00029</x:v>
      </x:c>
      <x:c r="C29" s="42" t="str">
        <x:v>Ruwais LNG H2712</x:v>
      </x:c>
      <x:c r="D29" s="42" t="str">
        <x:v>COMP_ADNOC_LS</x:v>
      </x:c>
      <x:c r="E29" s="42" t="str">
        <x:v>OPERATOR</x:v>
      </x:c>
      <x:c r="F29" s="42"/>
      <x:c r="G29" s="42"/>
      <x:c r="H29" s="42" t="str">
        <x:v>High</x:v>
      </x:c>
      <x:c r="I29" s="42" t="str">
        <x:v>SRC_0066</x:v>
      </x:c>
      <x:c r="J29" s="42" t="str">
        <x:v>Operator field from seeded vessel record.</x:v>
      </x:c>
    </x:row>
    <x:row r="30">
      <x:c r="A30" s="42" t="str">
        <x:v>VREL_000029</x:v>
      </x:c>
      <x:c r="B30" s="42" t="str">
        <x:v>VESSEL_00030</x:v>
      </x:c>
      <x:c r="C30" s="42" t="str">
        <x:v>Ruwais LNG H2713</x:v>
      </x:c>
      <x:c r="D30" s="42" t="str">
        <x:v>COMP_ADNOC_LS</x:v>
      </x:c>
      <x:c r="E30" s="42" t="str">
        <x:v>OWNER</x:v>
      </x:c>
      <x:c r="F30" s="42"/>
      <x:c r="G30" s="42"/>
      <x:c r="H30" s="42" t="str">
        <x:v>High</x:v>
      </x:c>
      <x:c r="I30" s="42" t="str">
        <x:v>SRC_0066</x:v>
      </x:c>
      <x:c r="J30" s="42" t="str">
        <x:v>Owner field from seeded vessel record.</x:v>
      </x:c>
    </x:row>
    <x:row r="31">
      <x:c r="A31" s="42" t="str">
        <x:v>VREL_000030</x:v>
      </x:c>
      <x:c r="B31" s="42" t="str">
        <x:v>VESSEL_00030</x:v>
      </x:c>
      <x:c r="C31" s="42" t="str">
        <x:v>Ruwais LNG H2713</x:v>
      </x:c>
      <x:c r="D31" s="42" t="str">
        <x:v>COMP_ADNOC_LS</x:v>
      </x:c>
      <x:c r="E31" s="42" t="str">
        <x:v>OPERATOR</x:v>
      </x:c>
      <x:c r="F31" s="42"/>
      <x:c r="G31" s="42"/>
      <x:c r="H31" s="42" t="str">
        <x:v>High</x:v>
      </x:c>
      <x:c r="I31" s="42" t="str">
        <x:v>SRC_0066</x:v>
      </x:c>
      <x:c r="J31" s="42" t="str">
        <x:v>Operator field from seeded vessel record.</x:v>
      </x:c>
    </x:row>
    <x:row r="32">
      <x:c r="A32" s="42" t="str">
        <x:v>VREL_000031</x:v>
      </x:c>
      <x:c r="B32" s="42" t="str">
        <x:v>VESSEL_00031</x:v>
      </x:c>
      <x:c r="C32" s="42" t="str">
        <x:v>Ruwais LNG H2714</x:v>
      </x:c>
      <x:c r="D32" s="42" t="str">
        <x:v>COMP_ADNOC_LS</x:v>
      </x:c>
      <x:c r="E32" s="42" t="str">
        <x:v>OWNER</x:v>
      </x:c>
      <x:c r="F32" s="42"/>
      <x:c r="G32" s="42"/>
      <x:c r="H32" s="42" t="str">
        <x:v>High</x:v>
      </x:c>
      <x:c r="I32" s="42" t="str">
        <x:v>SRC_0066</x:v>
      </x:c>
      <x:c r="J32" s="42" t="str">
        <x:v>Owner field from seeded vessel record.</x:v>
      </x:c>
    </x:row>
    <x:row r="33">
      <x:c r="A33" s="42" t="str">
        <x:v>VREL_000032</x:v>
      </x:c>
      <x:c r="B33" s="42" t="str">
        <x:v>VESSEL_00031</x:v>
      </x:c>
      <x:c r="C33" s="42" t="str">
        <x:v>Ruwais LNG H2714</x:v>
      </x:c>
      <x:c r="D33" s="42" t="str">
        <x:v>COMP_ADNOC_LS</x:v>
      </x:c>
      <x:c r="E33" s="42" t="str">
        <x:v>OPERATOR</x:v>
      </x:c>
      <x:c r="F33" s="42"/>
      <x:c r="G33" s="42"/>
      <x:c r="H33" s="42" t="str">
        <x:v>High</x:v>
      </x:c>
      <x:c r="I33" s="42" t="str">
        <x:v>SRC_0066</x:v>
      </x:c>
      <x:c r="J33" s="42" t="str">
        <x:v>Operator field from seeded vessel record.</x:v>
      </x:c>
    </x:row>
    <x:row r="34">
      <x:c r="A34" s="42" t="str">
        <x:v>VREL_000033</x:v>
      </x:c>
      <x:c r="B34" s="42" t="str">
        <x:v>VESSEL_00032</x:v>
      </x:c>
      <x:c r="C34" s="42" t="str">
        <x:v>Ruwais LNG H2598</x:v>
      </x:c>
      <x:c r="D34" s="42" t="str">
        <x:v>COMP_ADNOC_LS</x:v>
      </x:c>
      <x:c r="E34" s="42" t="str">
        <x:v>OWNER</x:v>
      </x:c>
      <x:c r="F34" s="42"/>
      <x:c r="G34" s="42"/>
      <x:c r="H34" s="42" t="str">
        <x:v>High</x:v>
      </x:c>
      <x:c r="I34" s="42" t="str">
        <x:v>SRC_0066</x:v>
      </x:c>
      <x:c r="J34" s="42" t="str">
        <x:v>Owner field from seeded vessel record.</x:v>
      </x:c>
    </x:row>
    <x:row r="35">
      <x:c r="A35" s="42" t="str">
        <x:v>VREL_000034</x:v>
      </x:c>
      <x:c r="B35" s="42" t="str">
        <x:v>VESSEL_00032</x:v>
      </x:c>
      <x:c r="C35" s="42" t="str">
        <x:v>Ruwais LNG H2598</x:v>
      </x:c>
      <x:c r="D35" s="42" t="str">
        <x:v>COMP_ADNOC_LS</x:v>
      </x:c>
      <x:c r="E35" s="42" t="str">
        <x:v>OPERATOR</x:v>
      </x:c>
      <x:c r="F35" s="42"/>
      <x:c r="G35" s="42"/>
      <x:c r="H35" s="42" t="str">
        <x:v>High</x:v>
      </x:c>
      <x:c r="I35" s="42" t="str">
        <x:v>SRC_0066</x:v>
      </x:c>
      <x:c r="J35" s="42" t="str">
        <x:v>Operator field from seeded vessel record.</x:v>
      </x:c>
    </x:row>
    <x:row r="36">
      <x:c r="A36" s="42" t="str">
        <x:v>VREL_000035</x:v>
      </x:c>
      <x:c r="B36" s="42" t="str">
        <x:v>VESSEL_00033</x:v>
      </x:c>
      <x:c r="C36" s="42" t="str">
        <x:v>Ruwais LNG H2599</x:v>
      </x:c>
      <x:c r="D36" s="42" t="str">
        <x:v>COMP_ADNOC_LS</x:v>
      </x:c>
      <x:c r="E36" s="42" t="str">
        <x:v>OWNER</x:v>
      </x:c>
      <x:c r="F36" s="42"/>
      <x:c r="G36" s="42"/>
      <x:c r="H36" s="42" t="str">
        <x:v>High</x:v>
      </x:c>
      <x:c r="I36" s="42" t="str">
        <x:v>SRC_0066</x:v>
      </x:c>
      <x:c r="J36" s="42" t="str">
        <x:v>Owner field from seeded vessel record.</x:v>
      </x:c>
    </x:row>
    <x:row r="37">
      <x:c r="A37" s="42" t="str">
        <x:v>VREL_000036</x:v>
      </x:c>
      <x:c r="B37" s="42" t="str">
        <x:v>VESSEL_00033</x:v>
      </x:c>
      <x:c r="C37" s="42" t="str">
        <x:v>Ruwais LNG H2599</x:v>
      </x:c>
      <x:c r="D37" s="42" t="str">
        <x:v>COMP_ADNOC_LS</x:v>
      </x:c>
      <x:c r="E37" s="42" t="str">
        <x:v>OPERATOR</x:v>
      </x:c>
      <x:c r="F37" s="42"/>
      <x:c r="G37" s="42"/>
      <x:c r="H37" s="42" t="str">
        <x:v>High</x:v>
      </x:c>
      <x:c r="I37" s="42" t="str">
        <x:v>SRC_0066</x:v>
      </x:c>
      <x:c r="J37" s="42" t="str">
        <x:v>Operator field from seeded vessel record.</x:v>
      </x:c>
    </x:row>
    <x:row r="38">
      <x:c r="A38" s="42" t="str">
        <x:v>VREL_000037</x:v>
      </x:c>
      <x:c r="B38" s="42" t="str">
        <x:v>VESSEL_00034</x:v>
      </x:c>
      <x:c r="C38" s="42" t="str">
        <x:v>Ruwais LNG H2600</x:v>
      </x:c>
      <x:c r="D38" s="42" t="str">
        <x:v>COMP_ADNOC_LS</x:v>
      </x:c>
      <x:c r="E38" s="42" t="str">
        <x:v>OWNER</x:v>
      </x:c>
      <x:c r="F38" s="42"/>
      <x:c r="G38" s="42"/>
      <x:c r="H38" s="42" t="str">
        <x:v>High</x:v>
      </x:c>
      <x:c r="I38" s="42" t="str">
        <x:v>SRC_0066</x:v>
      </x:c>
      <x:c r="J38" s="42" t="str">
        <x:v>Owner field from seeded vessel record.</x:v>
      </x:c>
    </x:row>
    <x:row r="39">
      <x:c r="A39" s="42" t="str">
        <x:v>VREL_000038</x:v>
      </x:c>
      <x:c r="B39" s="42" t="str">
        <x:v>VESSEL_00034</x:v>
      </x:c>
      <x:c r="C39" s="42" t="str">
        <x:v>Ruwais LNG H2600</x:v>
      </x:c>
      <x:c r="D39" s="42" t="str">
        <x:v>COMP_ADNOC_LS</x:v>
      </x:c>
      <x:c r="E39" s="42" t="str">
        <x:v>OPERATOR</x:v>
      </x:c>
      <x:c r="F39" s="42"/>
      <x:c r="G39" s="42"/>
      <x:c r="H39" s="42" t="str">
        <x:v>High</x:v>
      </x:c>
      <x:c r="I39" s="42" t="str">
        <x:v>SRC_0066</x:v>
      </x:c>
      <x:c r="J39" s="42" t="str">
        <x:v>Operator field from seeded vessel record.</x:v>
      </x:c>
    </x:row>
    <x:row r="40">
      <x:c r="A40" s="42" t="str">
        <x:v>VREL_000039</x:v>
      </x:c>
      <x:c r="B40" s="42" t="str">
        <x:v>VESSEL_00035</x:v>
      </x:c>
      <x:c r="C40" s="42" t="str">
        <x:v>Ruwais LNG H2601</x:v>
      </x:c>
      <x:c r="D40" s="42" t="str">
        <x:v>COMP_ADNOC_LS</x:v>
      </x:c>
      <x:c r="E40" s="42" t="str">
        <x:v>OWNER</x:v>
      </x:c>
      <x:c r="F40" s="42"/>
      <x:c r="G40" s="42"/>
      <x:c r="H40" s="42" t="str">
        <x:v>High</x:v>
      </x:c>
      <x:c r="I40" s="42" t="str">
        <x:v>SRC_0066</x:v>
      </x:c>
      <x:c r="J40" s="42" t="str">
        <x:v>Owner field from seeded vessel record.</x:v>
      </x:c>
    </x:row>
    <x:row r="41">
      <x:c r="A41" s="42" t="str">
        <x:v>VREL_000040</x:v>
      </x:c>
      <x:c r="B41" s="42" t="str">
        <x:v>VESSEL_00035</x:v>
      </x:c>
      <x:c r="C41" s="42" t="str">
        <x:v>Ruwais LNG H2601</x:v>
      </x:c>
      <x:c r="D41" s="42" t="str">
        <x:v>COMP_ADNOC_LS</x:v>
      </x:c>
      <x:c r="E41" s="42" t="str">
        <x:v>OPERATOR</x:v>
      </x:c>
      <x:c r="F41" s="42"/>
      <x:c r="G41" s="42"/>
      <x:c r="H41" s="42" t="str">
        <x:v>High</x:v>
      </x:c>
      <x:c r="I41" s="42" t="str">
        <x:v>SRC_0066</x:v>
      </x:c>
      <x:c r="J41" s="42" t="str">
        <x:v>Operator field from seeded vessel record.</x:v>
      </x:c>
    </x:row>
    <x:row r="42">
      <x:c r="A42" s="42" t="str">
        <x:v>VREL_000041</x:v>
      </x:c>
      <x:c r="B42" s="42" t="str">
        <x:v>VESSEL_00036</x:v>
      </x:c>
      <x:c r="C42" s="42" t="str">
        <x:v>Al Maryah</x:v>
      </x:c>
      <x:c r="D42" s="42" t="str">
        <x:v>COMP_ADNOC_LS</x:v>
      </x:c>
      <x:c r="E42" s="42" t="str">
        <x:v>OWNER</x:v>
      </x:c>
      <x:c r="F42" s="42"/>
      <x:c r="G42" s="42"/>
      <x:c r="H42" s="42" t="str">
        <x:v>High</x:v>
      </x:c>
      <x:c r="I42" s="42" t="str">
        <x:v>SRC_0066</x:v>
      </x:c>
      <x:c r="J42" s="42" t="str">
        <x:v>Owner field from seeded vessel record.</x:v>
      </x:c>
    </x:row>
    <x:row r="43">
      <x:c r="A43" s="42" t="str">
        <x:v>VREL_000042</x:v>
      </x:c>
      <x:c r="B43" s="42" t="str">
        <x:v>VESSEL_00036</x:v>
      </x:c>
      <x:c r="C43" s="42" t="str">
        <x:v>Al Maryah</x:v>
      </x:c>
      <x:c r="D43" s="42" t="str">
        <x:v>COMP_ADNOC_LS</x:v>
      </x:c>
      <x:c r="E43" s="42" t="str">
        <x:v>OPERATOR</x:v>
      </x:c>
      <x:c r="F43" s="42"/>
      <x:c r="G43" s="42"/>
      <x:c r="H43" s="42" t="str">
        <x:v>High</x:v>
      </x:c>
      <x:c r="I43" s="42" t="str">
        <x:v>SRC_0066</x:v>
      </x:c>
      <x:c r="J43" s="42" t="str">
        <x:v>Operator field from seeded vessel record.</x:v>
      </x:c>
    </x:row>
    <x:row r="44">
      <x:c r="A44" s="42" t="str">
        <x:v>VREL_000043</x:v>
      </x:c>
      <x:c r="B44" s="42" t="str">
        <x:v>VESSEL_00037</x:v>
      </x:c>
      <x:c r="C44" s="42" t="str">
        <x:v>AWS-Delma</x:v>
      </x:c>
      <x:c r="D44" s="42" t="str">
        <x:v>COMP_AW_SHIPPING</x:v>
      </x:c>
      <x:c r="E44" s="42" t="str">
        <x:v>OWNER</x:v>
      </x:c>
      <x:c r="F44" s="42"/>
      <x:c r="G44" s="42"/>
      <x:c r="H44" s="42" t="str">
        <x:v>High</x:v>
      </x:c>
      <x:c r="I44" s="42" t="str">
        <x:v>SRC_0066</x:v>
      </x:c>
      <x:c r="J44" s="42" t="str">
        <x:v>Owner field from seeded vessel record.</x:v>
      </x:c>
    </x:row>
    <x:row r="45">
      <x:c r="A45" s="42" t="str">
        <x:v>VREL_000044</x:v>
      </x:c>
      <x:c r="B45" s="42" t="str">
        <x:v>VESSEL_00037</x:v>
      </x:c>
      <x:c r="C45" s="42" t="str">
        <x:v>AWS-Delma</x:v>
      </x:c>
      <x:c r="D45" s="42" t="str">
        <x:v>COMP_AW_SHIPPING</x:v>
      </x:c>
      <x:c r="E45" s="42" t="str">
        <x:v>OPERATOR</x:v>
      </x:c>
      <x:c r="F45" s="42"/>
      <x:c r="G45" s="42"/>
      <x:c r="H45" s="42" t="str">
        <x:v>High</x:v>
      </x:c>
      <x:c r="I45" s="42" t="str">
        <x:v>SRC_0066</x:v>
      </x:c>
      <x:c r="J45" s="42" t="str">
        <x:v>Operator field from seeded vessel record.</x:v>
      </x:c>
    </x:row>
    <x:row r="46">
      <x:c r="A46" s="42" t="str">
        <x:v>VREL_000045</x:v>
      </x:c>
      <x:c r="B46" s="42" t="str">
        <x:v>VESSEL_00038</x:v>
      </x:c>
      <x:c r="C46" s="42" t="str">
        <x:v>AWS-Al Ain</x:v>
      </x:c>
      <x:c r="D46" s="42" t="str">
        <x:v>COMP_AW_SHIPPING</x:v>
      </x:c>
      <x:c r="E46" s="42" t="str">
        <x:v>OWNER</x:v>
      </x:c>
      <x:c r="F46" s="42"/>
      <x:c r="G46" s="42"/>
      <x:c r="H46" s="42" t="str">
        <x:v>High</x:v>
      </x:c>
      <x:c r="I46" s="42" t="str">
        <x:v>SRC_0066</x:v>
      </x:c>
      <x:c r="J46" s="42" t="str">
        <x:v>Owner field from seeded vessel record.</x:v>
      </x:c>
    </x:row>
    <x:row r="47">
      <x:c r="A47" s="42" t="str">
        <x:v>VREL_000046</x:v>
      </x:c>
      <x:c r="B47" s="42" t="str">
        <x:v>VESSEL_00038</x:v>
      </x:c>
      <x:c r="C47" s="42" t="str">
        <x:v>AWS-Al Ain</x:v>
      </x:c>
      <x:c r="D47" s="42" t="str">
        <x:v>COMP_AW_SHIPPING</x:v>
      </x:c>
      <x:c r="E47" s="42" t="str">
        <x:v>OPERATOR</x:v>
      </x:c>
      <x:c r="F47" s="42"/>
      <x:c r="G47" s="42"/>
      <x:c r="H47" s="42" t="str">
        <x:v>High</x:v>
      </x:c>
      <x:c r="I47" s="42" t="str">
        <x:v>SRC_0066</x:v>
      </x:c>
      <x:c r="J47" s="42" t="str">
        <x:v>Operator field from seeded vessel record.</x:v>
      </x:c>
    </x:row>
    <x:row r="48">
      <x:c r="A48" s="42" t="str">
        <x:v>VREL_000047</x:v>
      </x:c>
      <x:c r="B48" s="42" t="str">
        <x:v>VESSEL_00039</x:v>
      </x:c>
      <x:c r="C48" s="42" t="str">
        <x:v>AWS-Zakher</x:v>
      </x:c>
      <x:c r="D48" s="42" t="str">
        <x:v>COMP_AW_SHIPPING</x:v>
      </x:c>
      <x:c r="E48" s="42" t="str">
        <x:v>OWNER</x:v>
      </x:c>
      <x:c r="F48" s="42"/>
      <x:c r="G48" s="42"/>
      <x:c r="H48" s="42" t="str">
        <x:v>High</x:v>
      </x:c>
      <x:c r="I48" s="42" t="str">
        <x:v>SRC_0066</x:v>
      </x:c>
      <x:c r="J48" s="42" t="str">
        <x:v>Owner field from seeded vessel record.</x:v>
      </x:c>
    </x:row>
    <x:row r="49">
      <x:c r="A49" s="42" t="str">
        <x:v>VREL_000048</x:v>
      </x:c>
      <x:c r="B49" s="42" t="str">
        <x:v>VESSEL_00039</x:v>
      </x:c>
      <x:c r="C49" s="42" t="str">
        <x:v>AWS-Zakher</x:v>
      </x:c>
      <x:c r="D49" s="42" t="str">
        <x:v>COMP_AW_SHIPPING</x:v>
      </x:c>
      <x:c r="E49" s="42" t="str">
        <x:v>OPERATOR</x:v>
      </x:c>
      <x:c r="F49" s="42"/>
      <x:c r="G49" s="42"/>
      <x:c r="H49" s="42" t="str">
        <x:v>High</x:v>
      </x:c>
      <x:c r="I49" s="42" t="str">
        <x:v>SRC_0066</x:v>
      </x:c>
      <x:c r="J49" s="42" t="str">
        <x:v>Operator field from seeded vessel record.</x:v>
      </x:c>
    </x:row>
    <x:row r="50">
      <x:c r="A50" s="42" t="str">
        <x:v>VREL_000049</x:v>
      </x:c>
      <x:c r="B50" s="42" t="str">
        <x:v>VESSEL_00040</x:v>
      </x:c>
      <x:c r="C50" s="42" t="str">
        <x:v>AWS-Rabdan</x:v>
      </x:c>
      <x:c r="D50" s="42" t="str">
        <x:v>COMP_AW_SHIPPING</x:v>
      </x:c>
      <x:c r="E50" s="42" t="str">
        <x:v>OWNER</x:v>
      </x:c>
      <x:c r="F50" s="42"/>
      <x:c r="G50" s="42"/>
      <x:c r="H50" s="42" t="str">
        <x:v>High</x:v>
      </x:c>
      <x:c r="I50" s="42" t="str">
        <x:v>SRC_0066</x:v>
      </x:c>
      <x:c r="J50" s="42" t="str">
        <x:v>Owner field from seeded vessel record.</x:v>
      </x:c>
    </x:row>
    <x:row r="51">
      <x:c r="A51" s="42" t="str">
        <x:v>VREL_000050</x:v>
      </x:c>
      <x:c r="B51" s="42" t="str">
        <x:v>VESSEL_00040</x:v>
      </x:c>
      <x:c r="C51" s="42" t="str">
        <x:v>AWS-Rabdan</x:v>
      </x:c>
      <x:c r="D51" s="42" t="str">
        <x:v>COMP_AW_SHIPPING</x:v>
      </x:c>
      <x:c r="E51" s="42" t="str">
        <x:v>OPERATOR</x:v>
      </x:c>
      <x:c r="F51" s="42"/>
      <x:c r="G51" s="42"/>
      <x:c r="H51" s="42" t="str">
        <x:v>High</x:v>
      </x:c>
      <x:c r="I51" s="42" t="str">
        <x:v>SRC_0066</x:v>
      </x:c>
      <x:c r="J51" s="42" t="str">
        <x:v>Operator field from seeded vessel record.</x:v>
      </x:c>
    </x:row>
    <x:row r="52">
      <x:c r="A52" s="42" t="str">
        <x:v>VREL_000051</x:v>
      </x:c>
      <x:c r="B52" s="42" t="str">
        <x:v>VESSEL_00041</x:v>
      </x:c>
      <x:c r="C52" s="42" t="str">
        <x:v>AWS-Al Salam</x:v>
      </x:c>
      <x:c r="D52" s="42" t="str">
        <x:v>COMP_AW_SHIPPING</x:v>
      </x:c>
      <x:c r="E52" s="42" t="str">
        <x:v>OWNER</x:v>
      </x:c>
      <x:c r="F52" s="42"/>
      <x:c r="G52" s="42"/>
      <x:c r="H52" s="42" t="str">
        <x:v>High</x:v>
      </x:c>
      <x:c r="I52" s="42" t="str">
        <x:v>SRC_0066</x:v>
      </x:c>
      <x:c r="J52" s="42" t="str">
        <x:v>Owner field from seeded vessel record.</x:v>
      </x:c>
    </x:row>
    <x:row r="53">
      <x:c r="A53" s="42" t="str">
        <x:v>VREL_000052</x:v>
      </x:c>
      <x:c r="B53" s="42" t="str">
        <x:v>VESSEL_00041</x:v>
      </x:c>
      <x:c r="C53" s="42" t="str">
        <x:v>AWS-Al Salam</x:v>
      </x:c>
      <x:c r="D53" s="42" t="str">
        <x:v>COMP_AW_SHIPPING</x:v>
      </x:c>
      <x:c r="E53" s="42" t="str">
        <x:v>OPERATOR</x:v>
      </x:c>
      <x:c r="F53" s="42"/>
      <x:c r="G53" s="42"/>
      <x:c r="H53" s="42" t="str">
        <x:v>High</x:v>
      </x:c>
      <x:c r="I53" s="42" t="str">
        <x:v>SRC_0066</x:v>
      </x:c>
      <x:c r="J53" s="42" t="str">
        <x:v>Operator field from seeded vessel record.</x:v>
      </x:c>
    </x:row>
    <x:row r="54">
      <x:c r="A54" s="42" t="str">
        <x:v>VREL_000053</x:v>
      </x:c>
      <x:c r="B54" s="42" t="str">
        <x:v>VESSEL_00042</x:v>
      </x:c>
      <x:c r="C54" s="42" t="str">
        <x:v>AWS-Baynounah</x:v>
      </x:c>
      <x:c r="D54" s="42" t="str">
        <x:v>COMP_AW_SHIPPING</x:v>
      </x:c>
      <x:c r="E54" s="42" t="str">
        <x:v>OWNER</x:v>
      </x:c>
      <x:c r="F54" s="42"/>
      <x:c r="G54" s="42"/>
      <x:c r="H54" s="42" t="str">
        <x:v>High</x:v>
      </x:c>
      <x:c r="I54" s="42" t="str">
        <x:v>SRC_0066</x:v>
      </x:c>
      <x:c r="J54" s="42" t="str">
        <x:v>Owner field from seeded vessel record.</x:v>
      </x:c>
    </x:row>
    <x:row r="55">
      <x:c r="A55" s="42" t="str">
        <x:v>VREL_000054</x:v>
      </x:c>
      <x:c r="B55" s="42" t="str">
        <x:v>VESSEL_00042</x:v>
      </x:c>
      <x:c r="C55" s="42" t="str">
        <x:v>AWS-Baynounah</x:v>
      </x:c>
      <x:c r="D55" s="42" t="str">
        <x:v>COMP_AW_SHIPPING</x:v>
      </x:c>
      <x:c r="E55" s="42" t="str">
        <x:v>OPERATOR</x:v>
      </x:c>
      <x:c r="F55" s="42"/>
      <x:c r="G55" s="42"/>
      <x:c r="H55" s="42" t="str">
        <x:v>High</x:v>
      </x:c>
      <x:c r="I55" s="42" t="str">
        <x:v>SRC_0066</x:v>
      </x:c>
      <x:c r="J55" s="42" t="str">
        <x:v>Operator field from seeded vessel record.</x:v>
      </x:c>
    </x:row>
    <x:row r="56">
      <x:c r="A56" s="42" t="str">
        <x:v>VREL_000055</x:v>
      </x:c>
      <x:c r="B56" s="42" t="str">
        <x:v>VESSEL_00043</x:v>
      </x:c>
      <x:c r="C56" s="42" t="str">
        <x:v>Meera</x:v>
      </x:c>
      <x:c r="D56" s="42" t="str">
        <x:v>COMP_AW_SHIPPING</x:v>
      </x:c>
      <x:c r="E56" s="42" t="str">
        <x:v>OWNER</x:v>
      </x:c>
      <x:c r="F56" s="42"/>
      <x:c r="G56" s="42"/>
      <x:c r="H56" s="42" t="str">
        <x:v>High</x:v>
      </x:c>
      <x:c r="I56" s="42" t="str">
        <x:v>SRC_0066</x:v>
      </x:c>
      <x:c r="J56" s="42" t="str">
        <x:v>Owner field from seeded vessel record.</x:v>
      </x:c>
    </x:row>
    <x:row r="57">
      <x:c r="A57" s="42" t="str">
        <x:v>VREL_000056</x:v>
      </x:c>
      <x:c r="B57" s="42" t="str">
        <x:v>VESSEL_00043</x:v>
      </x:c>
      <x:c r="C57" s="42" t="str">
        <x:v>Meera</x:v>
      </x:c>
      <x:c r="D57" s="42" t="str">
        <x:v>COMP_AW_SHIPPING</x:v>
      </x:c>
      <x:c r="E57" s="42" t="str">
        <x:v>OPERATOR</x:v>
      </x:c>
      <x:c r="F57" s="42"/>
      <x:c r="G57" s="42"/>
      <x:c r="H57" s="42" t="str">
        <x:v>High</x:v>
      </x:c>
      <x:c r="I57" s="42" t="str">
        <x:v>SRC_0066</x:v>
      </x:c>
      <x:c r="J57" s="42" t="str">
        <x:v>Operator field from seeded vessel record.</x:v>
      </x:c>
    </x:row>
    <x:row r="58">
      <x:c r="A58" s="42" t="str">
        <x:v>VREL_000057</x:v>
      </x:c>
      <x:c r="B58" s="42" t="str">
        <x:v>VESSEL_00044</x:v>
      </x:c>
      <x:c r="C58" s="42" t="str">
        <x:v>Dana</x:v>
      </x:c>
      <x:c r="D58" s="42" t="str">
        <x:v>COMP_AW_SHIPPING</x:v>
      </x:c>
      <x:c r="E58" s="42" t="str">
        <x:v>OWNER</x:v>
      </x:c>
      <x:c r="F58" s="42"/>
      <x:c r="G58" s="42"/>
      <x:c r="H58" s="42" t="str">
        <x:v>High</x:v>
      </x:c>
      <x:c r="I58" s="42" t="str">
        <x:v>SRC_0066</x:v>
      </x:c>
      <x:c r="J58" s="42" t="str">
        <x:v>Owner field from seeded vessel record.</x:v>
      </x:c>
    </x:row>
    <x:row r="59">
      <x:c r="A59" s="42" t="str">
        <x:v>VREL_000058</x:v>
      </x:c>
      <x:c r="B59" s="42" t="str">
        <x:v>VESSEL_00044</x:v>
      </x:c>
      <x:c r="C59" s="42" t="str">
        <x:v>Dana</x:v>
      </x:c>
      <x:c r="D59" s="42" t="str">
        <x:v>COMP_AW_SHIPPING</x:v>
      </x:c>
      <x:c r="E59" s="42" t="str">
        <x:v>OPERATOR</x:v>
      </x:c>
      <x:c r="F59" s="42"/>
      <x:c r="G59" s="42"/>
      <x:c r="H59" s="42" t="str">
        <x:v>High</x:v>
      </x:c>
      <x:c r="I59" s="42" t="str">
        <x:v>SRC_0066</x:v>
      </x:c>
      <x:c r="J59" s="42" t="str">
        <x:v>Operator field from seeded vessel record.</x:v>
      </x:c>
    </x:row>
    <x:row r="60">
      <x:c r="A60" s="42" t="str">
        <x:v>VREL_000059</x:v>
      </x:c>
      <x:c r="B60" s="42" t="str">
        <x:v>VESSEL_00045</x:v>
      </x:c>
      <x:c r="C60" s="42" t="str">
        <x:v>Al Ghadeer</x:v>
      </x:c>
      <x:c r="D60" s="42" t="str">
        <x:v>COMP_AW_SHIPPING</x:v>
      </x:c>
      <x:c r="E60" s="42" t="str">
        <x:v>OWNER</x:v>
      </x:c>
      <x:c r="F60" s="42"/>
      <x:c r="G60" s="42"/>
      <x:c r="H60" s="42" t="str">
        <x:v>High</x:v>
      </x:c>
      <x:c r="I60" s="42" t="str">
        <x:v>SRC_0066</x:v>
      </x:c>
      <x:c r="J60" s="42" t="str">
        <x:v>Owner field from seeded vessel record.</x:v>
      </x:c>
    </x:row>
    <x:row r="61">
      <x:c r="A61" s="42" t="str">
        <x:v>VREL_000060</x:v>
      </x:c>
      <x:c r="B61" s="42" t="str">
        <x:v>VESSEL_00045</x:v>
      </x:c>
      <x:c r="C61" s="42" t="str">
        <x:v>Al Ghadeer</x:v>
      </x:c>
      <x:c r="D61" s="42" t="str">
        <x:v>COMP_AW_SHIPPING</x:v>
      </x:c>
      <x:c r="E61" s="42" t="str">
        <x:v>OPERATOR</x:v>
      </x:c>
      <x:c r="F61" s="42"/>
      <x:c r="G61" s="42"/>
      <x:c r="H61" s="42" t="str">
        <x:v>High</x:v>
      </x:c>
      <x:c r="I61" s="42" t="str">
        <x:v>SRC_0066</x:v>
      </x:c>
      <x:c r="J61" s="42" t="str">
        <x:v>Operator field from seeded vessel record.</x:v>
      </x:c>
    </x:row>
    <x:row r="62">
      <x:c r="A62" s="42" t="str">
        <x:v>VREL_000061</x:v>
      </x:c>
      <x:c r="B62" s="42" t="str">
        <x:v>VESSEL_00046</x:v>
      </x:c>
      <x:c r="C62" s="42" t="str">
        <x:v>Rimah</x:v>
      </x:c>
      <x:c r="D62" s="42" t="str">
        <x:v>COMP_AW_SHIPPING</x:v>
      </x:c>
      <x:c r="E62" s="42" t="str">
        <x:v>OWNER</x:v>
      </x:c>
      <x:c r="F62" s="42"/>
      <x:c r="G62" s="42"/>
      <x:c r="H62" s="42" t="str">
        <x:v>High</x:v>
      </x:c>
      <x:c r="I62" s="42" t="str">
        <x:v>SRC_0066</x:v>
      </x:c>
      <x:c r="J62" s="42" t="str">
        <x:v>Owner field from seeded vessel record.</x:v>
      </x:c>
    </x:row>
    <x:row r="63">
      <x:c r="A63" s="42" t="str">
        <x:v>VREL_000062</x:v>
      </x:c>
      <x:c r="B63" s="42" t="str">
        <x:v>VESSEL_00046</x:v>
      </x:c>
      <x:c r="C63" s="42" t="str">
        <x:v>Rimah</x:v>
      </x:c>
      <x:c r="D63" s="42" t="str">
        <x:v>COMP_AW_SHIPPING</x:v>
      </x:c>
      <x:c r="E63" s="42" t="str">
        <x:v>OPERATOR</x:v>
      </x:c>
      <x:c r="F63" s="42"/>
      <x:c r="G63" s="42"/>
      <x:c r="H63" s="42" t="str">
        <x:v>High</x:v>
      </x:c>
      <x:c r="I63" s="42" t="str">
        <x:v>SRC_0066</x:v>
      </x:c>
      <x:c r="J63" s="42" t="str">
        <x:v>Operator field from seeded vessel record.</x:v>
      </x:c>
    </x:row>
    <x:row r="64">
      <x:c r="A64" s="42" t="str">
        <x:v>VREL_000063</x:v>
      </x:c>
      <x:c r="B64" s="42" t="str">
        <x:v>VESSEL_00047</x:v>
      </x:c>
      <x:c r="C64" s="42" t="str">
        <x:v>Umm Al Lulu I</x:v>
      </x:c>
      <x:c r="D64" s="42" t="str">
        <x:v>COMP_ADNOC_LS</x:v>
      </x:c>
      <x:c r="E64" s="42" t="str">
        <x:v>OWNER</x:v>
      </x:c>
      <x:c r="F64" s="42"/>
      <x:c r="G64" s="42"/>
      <x:c r="H64" s="42" t="str">
        <x:v>High</x:v>
      </x:c>
      <x:c r="I64" s="42" t="str">
        <x:v>SRC_0066</x:v>
      </x:c>
      <x:c r="J64" s="42" t="str">
        <x:v>Owner field from seeded vessel record.</x:v>
      </x:c>
    </x:row>
    <x:row r="65">
      <x:c r="A65" s="42" t="str">
        <x:v>VREL_000064</x:v>
      </x:c>
      <x:c r="B65" s="42" t="str">
        <x:v>VESSEL_00047</x:v>
      </x:c>
      <x:c r="C65" s="42" t="str">
        <x:v>Umm Al Lulu I</x:v>
      </x:c>
      <x:c r="D65" s="42" t="str">
        <x:v>COMP_ADNOC_LS</x:v>
      </x:c>
      <x:c r="E65" s="42" t="str">
        <x:v>OPERATOR</x:v>
      </x:c>
      <x:c r="F65" s="42"/>
      <x:c r="G65" s="42"/>
      <x:c r="H65" s="42" t="str">
        <x:v>High</x:v>
      </x:c>
      <x:c r="I65" s="42" t="str">
        <x:v>SRC_0066</x:v>
      </x:c>
      <x:c r="J65" s="42" t="str">
        <x:v>Operator field from seeded vessel record.</x:v>
      </x:c>
    </x:row>
    <x:row r="66">
      <x:c r="A66" s="42" t="str">
        <x:v>VREL_000065</x:v>
      </x:c>
      <x:c r="B66" s="42" t="str">
        <x:v>VESSEL_00048</x:v>
      </x:c>
      <x:c r="C66" s="42" t="str">
        <x:v>Al Samha</x:v>
      </x:c>
      <x:c r="D66" s="42" t="str">
        <x:v>COMP_ADNOC_LS</x:v>
      </x:c>
      <x:c r="E66" s="42" t="str">
        <x:v>OWNER</x:v>
      </x:c>
      <x:c r="F66" s="42"/>
      <x:c r="G66" s="42"/>
      <x:c r="H66" s="42" t="str">
        <x:v>High</x:v>
      </x:c>
      <x:c r="I66" s="42" t="str">
        <x:v>SRC_0066</x:v>
      </x:c>
      <x:c r="J66" s="42" t="str">
        <x:v>Owner field from seeded vessel record.</x:v>
      </x:c>
    </x:row>
    <x:row r="67">
      <x:c r="A67" s="42" t="str">
        <x:v>VREL_000066</x:v>
      </x:c>
      <x:c r="B67" s="42" t="str">
        <x:v>VESSEL_00048</x:v>
      </x:c>
      <x:c r="C67" s="42" t="str">
        <x:v>Al Samha</x:v>
      </x:c>
      <x:c r="D67" s="42" t="str">
        <x:v>COMP_ADNOC_LS</x:v>
      </x:c>
      <x:c r="E67" s="42" t="str">
        <x:v>OPERATOR</x:v>
      </x:c>
      <x:c r="F67" s="42"/>
      <x:c r="G67" s="42"/>
      <x:c r="H67" s="42" t="str">
        <x:v>High</x:v>
      </x:c>
      <x:c r="I67" s="42" t="str">
        <x:v>SRC_0066</x:v>
      </x:c>
      <x:c r="J67" s="42" t="str">
        <x:v>Operator field from seeded vessel record.</x:v>
      </x:c>
    </x:row>
    <x:row r="68">
      <x:c r="A68" s="42" t="str">
        <x:v>VREL_000067</x:v>
      </x:c>
      <x:c r="B68" s="42" t="str">
        <x:v>VESSEL_00049</x:v>
      </x:c>
      <x:c r="C68" s="42" t="str">
        <x:v>Bani Yas</x:v>
      </x:c>
      <x:c r="D68" s="42" t="str">
        <x:v>COMP_ADNOC_LS</x:v>
      </x:c>
      <x:c r="E68" s="42" t="str">
        <x:v>OWNER</x:v>
      </x:c>
      <x:c r="F68" s="42"/>
      <x:c r="G68" s="42"/>
      <x:c r="H68" s="42" t="str">
        <x:v>High</x:v>
      </x:c>
      <x:c r="I68" s="42" t="str">
        <x:v>SRC_0066</x:v>
      </x:c>
      <x:c r="J68" s="42" t="str">
        <x:v>Owner field from seeded vessel record.</x:v>
      </x:c>
    </x:row>
    <x:row r="69">
      <x:c r="A69" s="42" t="str">
        <x:v>VREL_000068</x:v>
      </x:c>
      <x:c r="B69" s="42" t="str">
        <x:v>VESSEL_00049</x:v>
      </x:c>
      <x:c r="C69" s="42" t="str">
        <x:v>Bani Yas</x:v>
      </x:c>
      <x:c r="D69" s="42" t="str">
        <x:v>COMP_ADNOC_LS</x:v>
      </x:c>
      <x:c r="E69" s="42" t="str">
        <x:v>OPERATOR</x:v>
      </x:c>
      <x:c r="F69" s="42"/>
      <x:c r="G69" s="42"/>
      <x:c r="H69" s="42" t="str">
        <x:v>High</x:v>
      </x:c>
      <x:c r="I69" s="42" t="str">
        <x:v>SRC_0066</x:v>
      </x:c>
      <x:c r="J69" s="42" t="str">
        <x:v>Operator field from seeded vessel record.</x:v>
      </x:c>
    </x:row>
    <x:row r="70">
      <x:c r="A70" s="42" t="str">
        <x:v>VREL_000069</x:v>
      </x:c>
      <x:c r="B70" s="42" t="str">
        <x:v>VESSEL_00050</x:v>
      </x:c>
      <x:c r="C70" s="42" t="str">
        <x:v>Diyyinah I</x:v>
      </x:c>
      <x:c r="D70" s="42" t="str">
        <x:v>COMP_ADNOC_LS</x:v>
      </x:c>
      <x:c r="E70" s="42" t="str">
        <x:v>OWNER</x:v>
      </x:c>
      <x:c r="F70" s="42"/>
      <x:c r="G70" s="42"/>
      <x:c r="H70" s="42" t="str">
        <x:v>High</x:v>
      </x:c>
      <x:c r="I70" s="42" t="str">
        <x:v>SRC_0066</x:v>
      </x:c>
      <x:c r="J70" s="42" t="str">
        <x:v>Owner field from seeded vessel record.</x:v>
      </x:c>
    </x:row>
    <x:row r="71">
      <x:c r="A71" s="42" t="str">
        <x:v>VREL_000070</x:v>
      </x:c>
      <x:c r="B71" s="42" t="str">
        <x:v>VESSEL_00050</x:v>
      </x:c>
      <x:c r="C71" s="42" t="str">
        <x:v>Diyyinah I</x:v>
      </x:c>
      <x:c r="D71" s="42" t="str">
        <x:v>COMP_ADNOC_LS</x:v>
      </x:c>
      <x:c r="E71" s="42" t="str">
        <x:v>OPERATOR</x:v>
      </x:c>
      <x:c r="F71" s="42"/>
      <x:c r="G71" s="42"/>
      <x:c r="H71" s="42" t="str">
        <x:v>High</x:v>
      </x:c>
      <x:c r="I71" s="42" t="str">
        <x:v>SRC_0066</x:v>
      </x:c>
      <x:c r="J71" s="42" t="str">
        <x:v>Operator field from seeded vessel record.</x:v>
      </x:c>
    </x:row>
    <x:row r="72">
      <x:c r="A72" s="42" t="str">
        <x:v>VREL_000071</x:v>
      </x:c>
      <x:c r="B72" s="42" t="str">
        <x:v>VESSEL_00051</x:v>
      </x:c>
      <x:c r="C72" s="42" t="str">
        <x:v>Mezaira'a</x:v>
      </x:c>
      <x:c r="D72" s="42" t="str">
        <x:v>COMP_ADNOC_LS</x:v>
      </x:c>
      <x:c r="E72" s="42" t="str">
        <x:v>OWNER</x:v>
      </x:c>
      <x:c r="F72" s="42"/>
      <x:c r="G72" s="42"/>
      <x:c r="H72" s="42" t="str">
        <x:v>High</x:v>
      </x:c>
      <x:c r="I72" s="42" t="str">
        <x:v>SRC_0066</x:v>
      </x:c>
      <x:c r="J72" s="42" t="str">
        <x:v>Owner field from seeded vessel record.</x:v>
      </x:c>
    </x:row>
    <x:row r="73">
      <x:c r="A73" s="42" t="str">
        <x:v>VREL_000072</x:v>
      </x:c>
      <x:c r="B73" s="42" t="str">
        <x:v>VESSEL_00051</x:v>
      </x:c>
      <x:c r="C73" s="42" t="str">
        <x:v>Mezaira'a</x:v>
      </x:c>
      <x:c r="D73" s="42" t="str">
        <x:v>COMP_ADNOC_LS</x:v>
      </x:c>
      <x:c r="E73" s="42" t="str">
        <x:v>OPERATOR</x:v>
      </x:c>
      <x:c r="F73" s="42"/>
      <x:c r="G73" s="42"/>
      <x:c r="H73" s="42" t="str">
        <x:v>High</x:v>
      </x:c>
      <x:c r="I73" s="42" t="str">
        <x:v>SRC_0066</x:v>
      </x:c>
      <x:c r="J73" s="42" t="str">
        <x:v>Operator field from seeded vessel record.</x:v>
      </x:c>
    </x:row>
    <x:row r="74">
      <x:c r="A74" s="42" t="str">
        <x:v>VREL_000073</x:v>
      </x:c>
      <x:c r="B74" s="42" t="str">
        <x:v>VESSEL_00052</x:v>
      </x:c>
      <x:c r="C74" s="42" t="str">
        <x:v>Yamilah-III</x:v>
      </x:c>
      <x:c r="D74" s="42" t="str">
        <x:v>COMP_ADNOC_LS</x:v>
      </x:c>
      <x:c r="E74" s="42" t="str">
        <x:v>OWNER</x:v>
      </x:c>
      <x:c r="F74" s="42"/>
      <x:c r="G74" s="42"/>
      <x:c r="H74" s="42" t="str">
        <x:v>High</x:v>
      </x:c>
      <x:c r="I74" s="42" t="str">
        <x:v>SRC_0066</x:v>
      </x:c>
      <x:c r="J74" s="42" t="str">
        <x:v>Owner field from seeded vessel record.</x:v>
      </x:c>
    </x:row>
    <x:row r="75">
      <x:c r="A75" s="42" t="str">
        <x:v>VREL_000074</x:v>
      </x:c>
      <x:c r="B75" s="42" t="str">
        <x:v>VESSEL_00052</x:v>
      </x:c>
      <x:c r="C75" s="42" t="str">
        <x:v>Yamilah-III</x:v>
      </x:c>
      <x:c r="D75" s="42" t="str">
        <x:v>COMP_ADNOC_LS</x:v>
      </x:c>
      <x:c r="E75" s="42" t="str">
        <x:v>OPERATOR</x:v>
      </x:c>
      <x:c r="F75" s="42"/>
      <x:c r="G75" s="42"/>
      <x:c r="H75" s="42" t="str">
        <x:v>High</x:v>
      </x:c>
      <x:c r="I75" s="42" t="str">
        <x:v>SRC_0066</x:v>
      </x:c>
      <x:c r="J75" s="42" t="str">
        <x:v>Operator field from seeded vessel record.</x:v>
      </x:c>
    </x:row>
    <x:row r="76">
      <x:c r="A76" s="42" t="str">
        <x:v>VREL_000075</x:v>
      </x:c>
      <x:c r="B76" s="42" t="str">
        <x:v>VESSEL_00053</x:v>
      </x:c>
      <x:c r="C76" s="42" t="str">
        <x:v>Navig8 Honor</x:v>
      </x:c>
      <x:c r="D76" s="42" t="str">
        <x:v>COMP_NAVIG8</x:v>
      </x:c>
      <x:c r="E76" s="42" t="str">
        <x:v>OWNER</x:v>
      </x:c>
      <x:c r="F76" s="42"/>
      <x:c r="G76" s="42"/>
      <x:c r="H76" s="42" t="str">
        <x:v>High</x:v>
      </x:c>
      <x:c r="I76" s="42" t="str">
        <x:v>SRC_0066</x:v>
      </x:c>
      <x:c r="J76" s="42" t="str">
        <x:v>Owner field from seeded vessel record.</x:v>
      </x:c>
    </x:row>
    <x:row r="77">
      <x:c r="A77" s="42" t="str">
        <x:v>VREL_000076</x:v>
      </x:c>
      <x:c r="B77" s="42" t="str">
        <x:v>VESSEL_00053</x:v>
      </x:c>
      <x:c r="C77" s="42" t="str">
        <x:v>Navig8 Honor</x:v>
      </x:c>
      <x:c r="D77" s="42" t="str">
        <x:v>COMP_NAVIG8</x:v>
      </x:c>
      <x:c r="E77" s="42" t="str">
        <x:v>OPERATOR</x:v>
      </x:c>
      <x:c r="F77" s="42"/>
      <x:c r="G77" s="42"/>
      <x:c r="H77" s="42" t="str">
        <x:v>High</x:v>
      </x:c>
      <x:c r="I77" s="42" t="str">
        <x:v>SRC_0066</x:v>
      </x:c>
      <x:c r="J77" s="42" t="str">
        <x:v>Operator field from seeded vessel record.</x:v>
      </x:c>
    </x:row>
    <x:row r="78">
      <x:c r="A78" s="42" t="str">
        <x:v>VREL_000077</x:v>
      </x:c>
      <x:c r="B78" s="42" t="str">
        <x:v>VESSEL_00054</x:v>
      </x:c>
      <x:c r="C78" s="42" t="str">
        <x:v>Navig8 Martinez</x:v>
      </x:c>
      <x:c r="D78" s="42" t="str">
        <x:v>COMP_NAVIG8</x:v>
      </x:c>
      <x:c r="E78" s="42" t="str">
        <x:v>OWNER</x:v>
      </x:c>
      <x:c r="F78" s="42"/>
      <x:c r="G78" s="42"/>
      <x:c r="H78" s="42" t="str">
        <x:v>High</x:v>
      </x:c>
      <x:c r="I78" s="42" t="str">
        <x:v>SRC_0066</x:v>
      </x:c>
      <x:c r="J78" s="42" t="str">
        <x:v>Owner field from seeded vessel record.</x:v>
      </x:c>
    </x:row>
    <x:row r="79">
      <x:c r="A79" s="42" t="str">
        <x:v>VREL_000078</x:v>
      </x:c>
      <x:c r="B79" s="42" t="str">
        <x:v>VESSEL_00054</x:v>
      </x:c>
      <x:c r="C79" s="42" t="str">
        <x:v>Navig8 Martinez</x:v>
      </x:c>
      <x:c r="D79" s="42" t="str">
        <x:v>COMP_NAVIG8</x:v>
      </x:c>
      <x:c r="E79" s="42" t="str">
        <x:v>OPERATOR</x:v>
      </x:c>
      <x:c r="F79" s="42"/>
      <x:c r="G79" s="42"/>
      <x:c r="H79" s="42" t="str">
        <x:v>High</x:v>
      </x:c>
      <x:c r="I79" s="42" t="str">
        <x:v>SRC_0066</x:v>
      </x:c>
      <x:c r="J79" s="42" t="str">
        <x:v>Operator field from seeded vessel record.</x:v>
      </x:c>
    </x:row>
    <x:row r="80">
      <x:c r="A80" s="42" t="str">
        <x:v>VREL_000079</x:v>
      </x:c>
      <x:c r="B80" s="42" t="str">
        <x:v>VESSEL_00055</x:v>
      </x:c>
      <x:c r="C80" s="42" t="str">
        <x:v>Navig8 Messi</x:v>
      </x:c>
      <x:c r="D80" s="42" t="str">
        <x:v>COMP_NAVIG8</x:v>
      </x:c>
      <x:c r="E80" s="42" t="str">
        <x:v>OWNER</x:v>
      </x:c>
      <x:c r="F80" s="42"/>
      <x:c r="G80" s="42"/>
      <x:c r="H80" s="42" t="str">
        <x:v>High</x:v>
      </x:c>
      <x:c r="I80" s="42" t="str">
        <x:v>SRC_0066</x:v>
      </x:c>
      <x:c r="J80" s="42" t="str">
        <x:v>Owner field from seeded vessel record.</x:v>
      </x:c>
    </x:row>
    <x:row r="81">
      <x:c r="A81" s="42" t="str">
        <x:v>VREL_000080</x:v>
      </x:c>
      <x:c r="B81" s="42" t="str">
        <x:v>VESSEL_00055</x:v>
      </x:c>
      <x:c r="C81" s="42" t="str">
        <x:v>Navig8 Messi</x:v>
      </x:c>
      <x:c r="D81" s="42" t="str">
        <x:v>COMP_NAVIG8</x:v>
      </x:c>
      <x:c r="E81" s="42" t="str">
        <x:v>OPERATOR</x:v>
      </x:c>
      <x:c r="F81" s="42"/>
      <x:c r="G81" s="42"/>
      <x:c r="H81" s="42" t="str">
        <x:v>High</x:v>
      </x:c>
      <x:c r="I81" s="42" t="str">
        <x:v>SRC_0066</x:v>
      </x:c>
      <x:c r="J81" s="42" t="str">
        <x:v>Operator field from seeded vessel record.</x:v>
      </x:c>
    </x:row>
    <x:row r="82">
      <x:c r="A82" s="42" t="str">
        <x:v>VREL_000081</x:v>
      </x:c>
      <x:c r="B82" s="42" t="str">
        <x:v>VESSEL_00056</x:v>
      </x:c>
      <x:c r="C82" s="42" t="str">
        <x:v>Navig8 Montiel</x:v>
      </x:c>
      <x:c r="D82" s="42" t="str">
        <x:v>COMP_NAVIG8</x:v>
      </x:c>
      <x:c r="E82" s="42" t="str">
        <x:v>OWNER</x:v>
      </x:c>
      <x:c r="F82" s="42"/>
      <x:c r="G82" s="42"/>
      <x:c r="H82" s="42" t="str">
        <x:v>High</x:v>
      </x:c>
      <x:c r="I82" s="42" t="str">
        <x:v>SRC_0066</x:v>
      </x:c>
      <x:c r="J82" s="42" t="str">
        <x:v>Owner field from seeded vessel record.</x:v>
      </x:c>
    </x:row>
    <x:row r="83">
      <x:c r="A83" s="42" t="str">
        <x:v>VREL_000082</x:v>
      </x:c>
      <x:c r="B83" s="42" t="str">
        <x:v>VESSEL_00056</x:v>
      </x:c>
      <x:c r="C83" s="42" t="str">
        <x:v>Navig8 Montiel</x:v>
      </x:c>
      <x:c r="D83" s="42" t="str">
        <x:v>COMP_NAVIG8</x:v>
      </x:c>
      <x:c r="E83" s="42" t="str">
        <x:v>OPERATOR</x:v>
      </x:c>
      <x:c r="F83" s="42"/>
      <x:c r="G83" s="42"/>
      <x:c r="H83" s="42" t="str">
        <x:v>High</x:v>
      </x:c>
      <x:c r="I83" s="42" t="str">
        <x:v>SRC_0066</x:v>
      </x:c>
      <x:c r="J83" s="42" t="str">
        <x:v>Operator field from seeded vessel record.</x:v>
      </x:c>
    </x:row>
    <x:row r="84">
      <x:c r="A84" s="42" t="str">
        <x:v>VREL_000083</x:v>
      </x:c>
      <x:c r="B84" s="42" t="str">
        <x:v>VESSEL_00057</x:v>
      </x:c>
      <x:c r="C84" s="42" t="str">
        <x:v>Abu Dhabi-III</x:v>
      </x:c>
      <x:c r="D84" s="42" t="str">
        <x:v>COMP_ADNOC_LS</x:v>
      </x:c>
      <x:c r="E84" s="42" t="str">
        <x:v>OWNER</x:v>
      </x:c>
      <x:c r="F84" s="42"/>
      <x:c r="G84" s="42"/>
      <x:c r="H84" s="42" t="str">
        <x:v>High</x:v>
      </x:c>
      <x:c r="I84" s="42" t="str">
        <x:v>SRC_0066</x:v>
      </x:c>
      <x:c r="J84" s="42" t="str">
        <x:v>Owner field from seeded vessel record.</x:v>
      </x:c>
    </x:row>
    <x:row r="85">
      <x:c r="A85" s="42" t="str">
        <x:v>VREL_000084</x:v>
      </x:c>
      <x:c r="B85" s="42" t="str">
        <x:v>VESSEL_00057</x:v>
      </x:c>
      <x:c r="C85" s="42" t="str">
        <x:v>Abu Dhabi-III</x:v>
      </x:c>
      <x:c r="D85" s="42" t="str">
        <x:v>COMP_ADNOC_LS</x:v>
      </x:c>
      <x:c r="E85" s="42" t="str">
        <x:v>OPERATOR</x:v>
      </x:c>
      <x:c r="F85" s="42"/>
      <x:c r="G85" s="42"/>
      <x:c r="H85" s="42" t="str">
        <x:v>High</x:v>
      </x:c>
      <x:c r="I85" s="42" t="str">
        <x:v>SRC_0066</x:v>
      </x:c>
      <x:c r="J85" s="42" t="str">
        <x:v>Operator field from seeded vessel record.</x:v>
      </x:c>
    </x:row>
    <x:row r="86">
      <x:c r="A86" s="42" t="str">
        <x:v>VREL_000085</x:v>
      </x:c>
      <x:c r="B86" s="42" t="str">
        <x:v>VESSEL_00058</x:v>
      </x:c>
      <x:c r="C86" s="42" t="str">
        <x:v>Liwa V</x:v>
      </x:c>
      <x:c r="D86" s="42" t="str">
        <x:v>COMP_ADNOC_LS</x:v>
      </x:c>
      <x:c r="E86" s="42" t="str">
        <x:v>OWNER</x:v>
      </x:c>
      <x:c r="F86" s="42"/>
      <x:c r="G86" s="42"/>
      <x:c r="H86" s="42" t="str">
        <x:v>High</x:v>
      </x:c>
      <x:c r="I86" s="42" t="str">
        <x:v>SRC_0066</x:v>
      </x:c>
      <x:c r="J86" s="42" t="str">
        <x:v>Owner field from seeded vessel record.</x:v>
      </x:c>
    </x:row>
    <x:row r="87">
      <x:c r="A87" s="42" t="str">
        <x:v>VREL_000086</x:v>
      </x:c>
      <x:c r="B87" s="42" t="str">
        <x:v>VESSEL_00058</x:v>
      </x:c>
      <x:c r="C87" s="42" t="str">
        <x:v>Liwa V</x:v>
      </x:c>
      <x:c r="D87" s="42" t="str">
        <x:v>COMP_ADNOC_LS</x:v>
      </x:c>
      <x:c r="E87" s="42" t="str">
        <x:v>OPERATOR</x:v>
      </x:c>
      <x:c r="F87" s="42"/>
      <x:c r="G87" s="42"/>
      <x:c r="H87" s="42" t="str">
        <x:v>High</x:v>
      </x:c>
      <x:c r="I87" s="42" t="str">
        <x:v>SRC_0066</x:v>
      </x:c>
      <x:c r="J87" s="42" t="str">
        <x:v>Operator field from seeded vessel record.</x:v>
      </x:c>
    </x:row>
    <x:row r="88">
      <x:c r="A88" s="42" t="str">
        <x:v>VREL_000087</x:v>
      </x:c>
      <x:c r="B88" s="42" t="str">
        <x:v>VESSEL_00059</x:v>
      </x:c>
      <x:c r="C88" s="42" t="str">
        <x:v>Al Bateen</x:v>
      </x:c>
      <x:c r="D88" s="42" t="str">
        <x:v>COMP_ADNOC_LS</x:v>
      </x:c>
      <x:c r="E88" s="42" t="str">
        <x:v>OWNER</x:v>
      </x:c>
      <x:c r="F88" s="42"/>
      <x:c r="G88" s="42"/>
      <x:c r="H88" s="42" t="str">
        <x:v>High</x:v>
      </x:c>
      <x:c r="I88" s="42" t="str">
        <x:v>SRC_0066</x:v>
      </x:c>
      <x:c r="J88" s="42" t="str">
        <x:v>Owner field from seeded vessel record.</x:v>
      </x:c>
    </x:row>
    <x:row r="89">
      <x:c r="A89" s="42" t="str">
        <x:v>VREL_000088</x:v>
      </x:c>
      <x:c r="B89" s="42" t="str">
        <x:v>VESSEL_00059</x:v>
      </x:c>
      <x:c r="C89" s="42" t="str">
        <x:v>Al Bateen</x:v>
      </x:c>
      <x:c r="D89" s="42" t="str">
        <x:v>COMP_ADNOC_LS</x:v>
      </x:c>
      <x:c r="E89" s="42" t="str">
        <x:v>OPERATOR</x:v>
      </x:c>
      <x:c r="F89" s="42"/>
      <x:c r="G89" s="42"/>
      <x:c r="H89" s="42" t="str">
        <x:v>High</x:v>
      </x:c>
      <x:c r="I89" s="42" t="str">
        <x:v>SRC_0066</x:v>
      </x:c>
      <x:c r="J89" s="42" t="str">
        <x:v>Operator field from seeded vessel record.</x:v>
      </x:c>
    </x:row>
    <x:row r="90">
      <x:c r="A90" s="42" t="str">
        <x:v>VREL_000089</x:v>
      </x:c>
      <x:c r="B90" s="42" t="str">
        <x:v>VESSEL_00060</x:v>
      </x:c>
      <x:c r="C90" s="42" t="str">
        <x:v>Al Falah</x:v>
      </x:c>
      <x:c r="D90" s="42" t="str">
        <x:v>COMP_ADNOC_LS</x:v>
      </x:c>
      <x:c r="E90" s="42" t="str">
        <x:v>OWNER</x:v>
      </x:c>
      <x:c r="F90" s="42"/>
      <x:c r="G90" s="42"/>
      <x:c r="H90" s="42" t="str">
        <x:v>High</x:v>
      </x:c>
      <x:c r="I90" s="42" t="str">
        <x:v>SRC_0066</x:v>
      </x:c>
      <x:c r="J90" s="42" t="str">
        <x:v>Owner field from seeded vessel record.</x:v>
      </x:c>
    </x:row>
    <x:row r="91">
      <x:c r="A91" s="42" t="str">
        <x:v>VREL_000090</x:v>
      </x:c>
      <x:c r="B91" s="42" t="str">
        <x:v>VESSEL_00060</x:v>
      </x:c>
      <x:c r="C91" s="42" t="str">
        <x:v>Al Falah</x:v>
      </x:c>
      <x:c r="D91" s="42" t="str">
        <x:v>COMP_ADNOC_LS</x:v>
      </x:c>
      <x:c r="E91" s="42" t="str">
        <x:v>OPERATOR</x:v>
      </x:c>
      <x:c r="F91" s="42"/>
      <x:c r="G91" s="42"/>
      <x:c r="H91" s="42" t="str">
        <x:v>High</x:v>
      </x:c>
      <x:c r="I91" s="42" t="str">
        <x:v>SRC_0066</x:v>
      </x:c>
      <x:c r="J91" s="42" t="str">
        <x:v>Operator field from seeded vessel record.</x:v>
      </x:c>
    </x:row>
    <x:row r="92">
      <x:c r="A92" s="42" t="str">
        <x:v>VREL_000091</x:v>
      </x:c>
      <x:c r="B92" s="42" t="str">
        <x:v>VESSEL_00061</x:v>
      </x:c>
      <x:c r="C92" s="42" t="str">
        <x:v>Al Ruwais</x:v>
      </x:c>
      <x:c r="D92" s="42" t="str">
        <x:v>COMP_ADNOC_LS</x:v>
      </x:c>
      <x:c r="E92" s="42" t="str">
        <x:v>OWNER</x:v>
      </x:c>
      <x:c r="F92" s="42"/>
      <x:c r="G92" s="42"/>
      <x:c r="H92" s="42" t="str">
        <x:v>High</x:v>
      </x:c>
      <x:c r="I92" s="42" t="str">
        <x:v>SRC_0066</x:v>
      </x:c>
      <x:c r="J92" s="42" t="str">
        <x:v>Owner field from seeded vessel record.</x:v>
      </x:c>
    </x:row>
    <x:row r="93">
      <x:c r="A93" s="42" t="str">
        <x:v>VREL_000092</x:v>
      </x:c>
      <x:c r="B93" s="42" t="str">
        <x:v>VESSEL_00061</x:v>
      </x:c>
      <x:c r="C93" s="42" t="str">
        <x:v>Al Ruwais</x:v>
      </x:c>
      <x:c r="D93" s="42" t="str">
        <x:v>COMP_ADNOC_LS</x:v>
      </x:c>
      <x:c r="E93" s="42" t="str">
        <x:v>OPERATOR</x:v>
      </x:c>
      <x:c r="F93" s="42"/>
      <x:c r="G93" s="42"/>
      <x:c r="H93" s="42" t="str">
        <x:v>High</x:v>
      </x:c>
      <x:c r="I93" s="42" t="str">
        <x:v>SRC_0066</x:v>
      </x:c>
      <x:c r="J93" s="42" t="str">
        <x:v>Operator field from seeded vessel record.</x:v>
      </x:c>
    </x:row>
    <x:row r="94">
      <x:c r="A94" s="42" t="str">
        <x:v>VREL_000093</x:v>
      </x:c>
      <x:c r="B94" s="42" t="str">
        <x:v>VESSEL_00062</x:v>
      </x:c>
      <x:c r="C94" s="42" t="str">
        <x:v>Al Khtam</x:v>
      </x:c>
      <x:c r="D94" s="42" t="str">
        <x:v>COMP_ADNOC_LS</x:v>
      </x:c>
      <x:c r="E94" s="42" t="str">
        <x:v>OWNER</x:v>
      </x:c>
      <x:c r="F94" s="42"/>
      <x:c r="G94" s="42"/>
      <x:c r="H94" s="42" t="str">
        <x:v>High</x:v>
      </x:c>
      <x:c r="I94" s="42" t="str">
        <x:v>SRC_0066</x:v>
      </x:c>
      <x:c r="J94" s="42" t="str">
        <x:v>Owner field from seeded vessel record.</x:v>
      </x:c>
    </x:row>
    <x:row r="95">
      <x:c r="A95" s="42" t="str">
        <x:v>VREL_000094</x:v>
      </x:c>
      <x:c r="B95" s="42" t="str">
        <x:v>VESSEL_00062</x:v>
      </x:c>
      <x:c r="C95" s="42" t="str">
        <x:v>Al Khtam</x:v>
      </x:c>
      <x:c r="D95" s="42" t="str">
        <x:v>COMP_ADNOC_LS</x:v>
      </x:c>
      <x:c r="E95" s="42" t="str">
        <x:v>OPERATOR</x:v>
      </x:c>
      <x:c r="F95" s="42"/>
      <x:c r="G95" s="42"/>
      <x:c r="H95" s="42" t="str">
        <x:v>High</x:v>
      </x:c>
      <x:c r="I95" s="42" t="str">
        <x:v>SRC_0066</x:v>
      </x:c>
      <x:c r="J95" s="42" t="str">
        <x:v>Operator field from seeded vessel record.</x:v>
      </x:c>
    </x:row>
    <x:row r="96">
      <x:c r="A96" s="42" t="str">
        <x:v>VREL_000095</x:v>
      </x:c>
      <x:c r="B96" s="42" t="str">
        <x:v>VESSEL_00063</x:v>
      </x:c>
      <x:c r="C96" s="42" t="str">
        <x:v>Yong Jiang (Gas Yongjiang)</x:v>
      </x:c>
      <x:c r="D96" s="42" t="str">
        <x:v>COMP_AW_SHIPPING</x:v>
      </x:c>
      <x:c r="E96" s="42" t="str">
        <x:v>OWNER</x:v>
      </x:c>
      <x:c r="F96" s="42"/>
      <x:c r="G96" s="42"/>
      <x:c r="H96" s="42" t="str">
        <x:v>High</x:v>
      </x:c>
      <x:c r="I96" s="42" t="str">
        <x:v>SRC_0066</x:v>
      </x:c>
      <x:c r="J96" s="42" t="str">
        <x:v>Owner field from seeded vessel record.</x:v>
      </x:c>
    </x:row>
    <x:row r="97">
      <x:c r="A97" s="42" t="str">
        <x:v>VREL_000096</x:v>
      </x:c>
      <x:c r="B97" s="42" t="str">
        <x:v>VESSEL_00063</x:v>
      </x:c>
      <x:c r="C97" s="42" t="str">
        <x:v>Yong Jiang (Gas Yongjiang)</x:v>
      </x:c>
      <x:c r="D97" s="42" t="str">
        <x:v>COMP_AW_SHIPPING</x:v>
      </x:c>
      <x:c r="E97" s="42" t="str">
        <x:v>OPERATOR</x:v>
      </x:c>
      <x:c r="F97" s="42"/>
      <x:c r="G97" s="42"/>
      <x:c r="H97" s="42" t="str">
        <x:v>High</x:v>
      </x:c>
      <x:c r="I97" s="42" t="str">
        <x:v>SRC_0066</x:v>
      </x:c>
      <x:c r="J97" s="42" t="str">
        <x:v>Operator field from seeded vessel record.</x:v>
      </x:c>
    </x:row>
    <x:row r="98">
      <x:c r="A98" s="42" t="str">
        <x:v>VREL_000097</x:v>
      </x:c>
      <x:c r="B98" s="42" t="str">
        <x:v>VESSEL_00064</x:v>
      </x:c>
      <x:c r="C98" s="42" t="str">
        <x:v>Min Jiang</x:v>
      </x:c>
      <x:c r="D98" s="42" t="str">
        <x:v>COMP_AW_SHIPPING</x:v>
      </x:c>
      <x:c r="E98" s="42" t="str">
        <x:v>OWNER</x:v>
      </x:c>
      <x:c r="F98" s="42"/>
      <x:c r="G98" s="42"/>
      <x:c r="H98" s="42" t="str">
        <x:v>High</x:v>
      </x:c>
      <x:c r="I98" s="42" t="str">
        <x:v>SRC_0066</x:v>
      </x:c>
      <x:c r="J98" s="42" t="str">
        <x:v>Owner field from seeded vessel record.</x:v>
      </x:c>
    </x:row>
    <x:row r="99">
      <x:c r="A99" s="42" t="str">
        <x:v>VREL_000098</x:v>
      </x:c>
      <x:c r="B99" s="42" t="str">
        <x:v>VESSEL_00064</x:v>
      </x:c>
      <x:c r="C99" s="42" t="str">
        <x:v>Min Jiang</x:v>
      </x:c>
      <x:c r="D99" s="42" t="str">
        <x:v>COMP_AW_SHIPPING</x:v>
      </x:c>
      <x:c r="E99" s="42" t="str">
        <x:v>OPERATOR</x:v>
      </x:c>
      <x:c r="F99" s="42"/>
      <x:c r="G99" s="42"/>
      <x:c r="H99" s="42" t="str">
        <x:v>High</x:v>
      </x:c>
      <x:c r="I99" s="42" t="str">
        <x:v>SRC_0066</x:v>
      </x:c>
      <x:c r="J99" s="42" t="str">
        <x:v>Operator field from seeded vessel record.</x:v>
      </x:c>
    </x:row>
    <x:row r="100">
      <x:c r="A100" s="42" t="str">
        <x:v>VREL_000099</x:v>
      </x:c>
      <x:c r="B100" s="42" t="str">
        <x:v>VESSEL_00065</x:v>
      </x:c>
      <x:c r="C100" s="42" t="str">
        <x:v>Al Bayraq</x:v>
      </x:c>
      <x:c r="D100" s="42" t="str">
        <x:v>COMP_AW_SHIPPING</x:v>
      </x:c>
      <x:c r="E100" s="42" t="str">
        <x:v>OWNER</x:v>
      </x:c>
      <x:c r="F100" s="42"/>
      <x:c r="G100" s="42"/>
      <x:c r="H100" s="42" t="str">
        <x:v>High</x:v>
      </x:c>
      <x:c r="I100" s="42" t="str">
        <x:v>SRC_0066</x:v>
      </x:c>
      <x:c r="J100" s="42" t="str">
        <x:v>Owner field from seeded vessel record.</x:v>
      </x:c>
    </x:row>
    <x:row r="101">
      <x:c r="A101" s="42" t="str">
        <x:v>VREL_000100</x:v>
      </x:c>
      <x:c r="B101" s="42" t="str">
        <x:v>VESSEL_00065</x:v>
      </x:c>
      <x:c r="C101" s="42" t="str">
        <x:v>Al Bayraq</x:v>
      </x:c>
      <x:c r="D101" s="42" t="str">
        <x:v>COMP_AW_SHIPPING</x:v>
      </x:c>
      <x:c r="E101" s="42" t="str">
        <x:v>OPERATOR</x:v>
      </x:c>
      <x:c r="F101" s="42"/>
      <x:c r="G101" s="42"/>
      <x:c r="H101" s="42" t="str">
        <x:v>High</x:v>
      </x:c>
      <x:c r="I101" s="42" t="str">
        <x:v>SRC_0066</x:v>
      </x:c>
      <x:c r="J101" s="42" t="str">
        <x:v>Operator field from seeded vessel record.</x:v>
      </x:c>
    </x:row>
    <x:row r="102">
      <x:c r="A102" s="42" t="str">
        <x:v>VREL_000101</x:v>
      </x:c>
      <x:c r="B102" s="42" t="str">
        <x:v>VESSEL_00066</x:v>
      </x:c>
      <x:c r="C102" s="42" t="str">
        <x:v>Alhosn</x:v>
      </x:c>
      <x:c r="D102" s="42" t="str">
        <x:v>COMP_AW_SHIPPING</x:v>
      </x:c>
      <x:c r="E102" s="42" t="str">
        <x:v>OWNER</x:v>
      </x:c>
      <x:c r="F102" s="42"/>
      <x:c r="G102" s="42"/>
      <x:c r="H102" s="42" t="str">
        <x:v>High</x:v>
      </x:c>
      <x:c r="I102" s="42" t="str">
        <x:v>SRC_0066</x:v>
      </x:c>
      <x:c r="J102" s="42" t="str">
        <x:v>Owner field from seeded vessel record.</x:v>
      </x:c>
    </x:row>
    <x:row r="103">
      <x:c r="A103" s="42" t="str">
        <x:v>VREL_000102</x:v>
      </x:c>
      <x:c r="B103" s="42" t="str">
        <x:v>VESSEL_00066</x:v>
      </x:c>
      <x:c r="C103" s="42" t="str">
        <x:v>Alhosn</x:v>
      </x:c>
      <x:c r="D103" s="42" t="str">
        <x:v>COMP_AW_SHIPPING</x:v>
      </x:c>
      <x:c r="E103" s="42" t="str">
        <x:v>OPERATOR</x:v>
      </x:c>
      <x:c r="F103" s="42"/>
      <x:c r="G103" s="42"/>
      <x:c r="H103" s="42" t="str">
        <x:v>High</x:v>
      </x:c>
      <x:c r="I103" s="42" t="str">
        <x:v>SRC_0066</x:v>
      </x:c>
      <x:c r="J103" s="42" t="str">
        <x:v>Operator field from seeded vessel record.</x:v>
      </x:c>
    </x:row>
    <x:row r="104">
      <x:c r="A104" s="42" t="str">
        <x:v>VREL_000103</x:v>
      </x:c>
      <x:c r="B104" s="42" t="str">
        <x:v>VESSEL_00067</x:v>
      </x:c>
      <x:c r="C104" s="42" t="str">
        <x:v>Al Aryam</x:v>
      </x:c>
      <x:c r="D104" s="42" t="str">
        <x:v>COMP_AW_SHIPPING</x:v>
      </x:c>
      <x:c r="E104" s="42" t="str">
        <x:v>OWNER</x:v>
      </x:c>
      <x:c r="F104" s="42"/>
      <x:c r="G104" s="42"/>
      <x:c r="H104" s="42" t="str">
        <x:v>High</x:v>
      </x:c>
      <x:c r="I104" s="42" t="str">
        <x:v>SRC_0066</x:v>
      </x:c>
      <x:c r="J104" s="42" t="str">
        <x:v>Owner field from seeded vessel record.</x:v>
      </x:c>
    </x:row>
    <x:row r="105">
      <x:c r="A105" s="42" t="str">
        <x:v>VREL_000104</x:v>
      </x:c>
      <x:c r="B105" s="42" t="str">
        <x:v>VESSEL_00067</x:v>
      </x:c>
      <x:c r="C105" s="42" t="str">
        <x:v>Al Aryam</x:v>
      </x:c>
      <x:c r="D105" s="42" t="str">
        <x:v>COMP_AW_SHIPPING</x:v>
      </x:c>
      <x:c r="E105" s="42" t="str">
        <x:v>OPERATOR</x:v>
      </x:c>
      <x:c r="F105" s="42"/>
      <x:c r="G105" s="42"/>
      <x:c r="H105" s="42" t="str">
        <x:v>High</x:v>
      </x:c>
      <x:c r="I105" s="42" t="str">
        <x:v>SRC_0066</x:v>
      </x:c>
      <x:c r="J105" s="42" t="str">
        <x:v>Operator field from seeded vessel record.</x:v>
      </x:c>
    </x:row>
    <x:row r="106">
      <x:c r="A106" s="42" t="str">
        <x:v>VREL_000105</x:v>
      </x:c>
      <x:c r="B106" s="42" t="str">
        <x:v>VESSEL_00068</x:v>
      </x:c>
      <x:c r="C106" s="42" t="str">
        <x:v>Al Saad</x:v>
      </x:c>
      <x:c r="D106" s="42" t="str">
        <x:v>COMP_AW_SHIPPING</x:v>
      </x:c>
      <x:c r="E106" s="42" t="str">
        <x:v>OWNER</x:v>
      </x:c>
      <x:c r="F106" s="42"/>
      <x:c r="G106" s="42"/>
      <x:c r="H106" s="42" t="str">
        <x:v>High</x:v>
      </x:c>
      <x:c r="I106" s="42" t="str">
        <x:v>SRC_0066</x:v>
      </x:c>
      <x:c r="J106" s="42" t="str">
        <x:v>Owner field from seeded vessel record.</x:v>
      </x:c>
    </x:row>
    <x:row r="107">
      <x:c r="A107" s="42" t="str">
        <x:v>VREL_000106</x:v>
      </x:c>
      <x:c r="B107" s="42" t="str">
        <x:v>VESSEL_00068</x:v>
      </x:c>
      <x:c r="C107" s="42" t="str">
        <x:v>Al Saad</x:v>
      </x:c>
      <x:c r="D107" s="42" t="str">
        <x:v>COMP_AW_SHIPPING</x:v>
      </x:c>
      <x:c r="E107" s="42" t="str">
        <x:v>OPERATOR</x:v>
      </x:c>
      <x:c r="F107" s="42"/>
      <x:c r="G107" s="42"/>
      <x:c r="H107" s="42" t="str">
        <x:v>High</x:v>
      </x:c>
      <x:c r="I107" s="42" t="str">
        <x:v>SRC_0066</x:v>
      </x:c>
      <x:c r="J107" s="42" t="str">
        <x:v>Operator field from seeded vessel record.</x:v>
      </x:c>
    </x:row>
    <x:row r="108">
      <x:c r="A108" s="42" t="str">
        <x:v>VREL_000107</x:v>
      </x:c>
      <x:c r="B108" s="42" t="str">
        <x:v>VESSEL_00069</x:v>
      </x:c>
      <x:c r="C108" s="42" t="str">
        <x:v>Al Muzn</x:v>
      </x:c>
      <x:c r="D108" s="42" t="str">
        <x:v>COMP_AW_SHIPPING</x:v>
      </x:c>
      <x:c r="E108" s="42" t="str">
        <x:v>OWNER</x:v>
      </x:c>
      <x:c r="F108" s="42"/>
      <x:c r="G108" s="42"/>
      <x:c r="H108" s="42" t="str">
        <x:v>High</x:v>
      </x:c>
      <x:c r="I108" s="42" t="str">
        <x:v>SRC_0066</x:v>
      </x:c>
      <x:c r="J108" s="42" t="str">
        <x:v>Owner field from seeded vessel record.</x:v>
      </x:c>
    </x:row>
    <x:row r="109">
      <x:c r="A109" s="42" t="str">
        <x:v>VREL_000108</x:v>
      </x:c>
      <x:c r="B109" s="42" t="str">
        <x:v>VESSEL_00069</x:v>
      </x:c>
      <x:c r="C109" s="42" t="str">
        <x:v>Al Muzn</x:v>
      </x:c>
      <x:c r="D109" s="42" t="str">
        <x:v>COMP_AW_SHIPPING</x:v>
      </x:c>
      <x:c r="E109" s="42" t="str">
        <x:v>OPERATOR</x:v>
      </x:c>
      <x:c r="F109" s="42"/>
      <x:c r="G109" s="42"/>
      <x:c r="H109" s="42" t="str">
        <x:v>High</x:v>
      </x:c>
      <x:c r="I109" s="42" t="str">
        <x:v>SRC_0066</x:v>
      </x:c>
      <x:c r="J109" s="42" t="str">
        <x:v>Operator field from seeded vessel record.</x:v>
      </x:c>
    </x:row>
    <x:row r="110">
      <x:c r="A110" s="42" t="str">
        <x:v>VREL_000109</x:v>
      </x:c>
      <x:c r="B110" s="42" t="str">
        <x:v>VESSEL_00070</x:v>
      </x:c>
      <x:c r="C110" s="42" t="str">
        <x:v>Al Taair</x:v>
      </x:c>
      <x:c r="D110" s="42" t="str">
        <x:v>COMP_AW_SHIPPING</x:v>
      </x:c>
      <x:c r="E110" s="42" t="str">
        <x:v>OWNER</x:v>
      </x:c>
      <x:c r="F110" s="42"/>
      <x:c r="G110" s="42"/>
      <x:c r="H110" s="42" t="str">
        <x:v>High</x:v>
      </x:c>
      <x:c r="I110" s="42" t="str">
        <x:v>SRC_0066</x:v>
      </x:c>
      <x:c r="J110" s="42" t="str">
        <x:v>Owner field from seeded vessel record.</x:v>
      </x:c>
    </x:row>
    <x:row r="111">
      <x:c r="A111" s="42" t="str">
        <x:v>VREL_000110</x:v>
      </x:c>
      <x:c r="B111" s="42" t="str">
        <x:v>VESSEL_00070</x:v>
      </x:c>
      <x:c r="C111" s="42" t="str">
        <x:v>Al Taair</x:v>
      </x:c>
      <x:c r="D111" s="42" t="str">
        <x:v>COMP_AW_SHIPPING</x:v>
      </x:c>
      <x:c r="E111" s="42" t="str">
        <x:v>OPERATOR</x:v>
      </x:c>
      <x:c r="F111" s="42"/>
      <x:c r="G111" s="42"/>
      <x:c r="H111" s="42" t="str">
        <x:v>High</x:v>
      </x:c>
      <x:c r="I111" s="42" t="str">
        <x:v>SRC_0066</x:v>
      </x:c>
      <x:c r="J111" s="42" t="str">
        <x:v>Operator field from seeded vessel record.</x:v>
      </x:c>
    </x:row>
    <x:row r="112">
      <x:c r="A112" s="42" t="str">
        <x:v>VREL_000111</x:v>
      </x:c>
      <x:c r="B112" s="42" t="str">
        <x:v>VESSEL_00071</x:v>
      </x:c>
      <x:c r="C112" s="42" t="str">
        <x:v>Al Sila</x:v>
      </x:c>
      <x:c r="D112" s="42" t="str">
        <x:v>COMP_AW_SHIPPING</x:v>
      </x:c>
      <x:c r="E112" s="42" t="str">
        <x:v>OWNER</x:v>
      </x:c>
      <x:c r="F112" s="42"/>
      <x:c r="G112" s="42"/>
      <x:c r="H112" s="42" t="str">
        <x:v>High</x:v>
      </x:c>
      <x:c r="I112" s="42" t="str">
        <x:v>SRC_0066</x:v>
      </x:c>
      <x:c r="J112" s="42" t="str">
        <x:v>Owner field from seeded vessel record.</x:v>
      </x:c>
    </x:row>
    <x:row r="113">
      <x:c r="A113" s="42" t="str">
        <x:v>VREL_000112</x:v>
      </x:c>
      <x:c r="B113" s="42" t="str">
        <x:v>VESSEL_00071</x:v>
      </x:c>
      <x:c r="C113" s="42" t="str">
        <x:v>Al Sila</x:v>
      </x:c>
      <x:c r="D113" s="42" t="str">
        <x:v>COMP_AW_SHIPPING</x:v>
      </x:c>
      <x:c r="E113" s="42" t="str">
        <x:v>OPERATOR</x:v>
      </x:c>
      <x:c r="F113" s="42"/>
      <x:c r="G113" s="42"/>
      <x:c r="H113" s="42" t="str">
        <x:v>High</x:v>
      </x:c>
      <x:c r="I113" s="42" t="str">
        <x:v>SRC_0066</x:v>
      </x:c>
      <x:c r="J113" s="42" t="str">
        <x:v>Operator field from seeded vessel record.</x:v>
      </x:c>
    </x:row>
    <x:row r="114">
      <x:c r="A114" s="42" t="str">
        <x:v>VREL_000113</x:v>
      </x:c>
      <x:c r="B114" s="42" t="str">
        <x:v>VESSEL_00072</x:v>
      </x:c>
      <x:c r="C114" s="42" t="str">
        <x:v>Janana</x:v>
      </x:c>
      <x:c r="D114" s="42" t="str">
        <x:v>COMP_ADNOC_LS</x:v>
      </x:c>
      <x:c r="E114" s="42" t="str">
        <x:v>OWNER</x:v>
      </x:c>
      <x:c r="F114" s="42"/>
      <x:c r="G114" s="42"/>
      <x:c r="H114" s="42" t="str">
        <x:v>High</x:v>
      </x:c>
      <x:c r="I114" s="42" t="str">
        <x:v>SRC_0066</x:v>
      </x:c>
      <x:c r="J114" s="42" t="str">
        <x:v>Owner field from seeded vessel record.</x:v>
      </x:c>
    </x:row>
    <x:row r="115">
      <x:c r="A115" s="42" t="str">
        <x:v>VREL_000114</x:v>
      </x:c>
      <x:c r="B115" s="42" t="str">
        <x:v>VESSEL_00072</x:v>
      </x:c>
      <x:c r="C115" s="42" t="str">
        <x:v>Janana</x:v>
      </x:c>
      <x:c r="D115" s="42" t="str">
        <x:v>COMP_ADNOC_LS</x:v>
      </x:c>
      <x:c r="E115" s="42" t="str">
        <x:v>OPERATOR</x:v>
      </x:c>
      <x:c r="F115" s="42"/>
      <x:c r="G115" s="42"/>
      <x:c r="H115" s="42" t="str">
        <x:v>High</x:v>
      </x:c>
      <x:c r="I115" s="42" t="str">
        <x:v>SRC_0066</x:v>
      </x:c>
      <x:c r="J115" s="42" t="str">
        <x:v>Operator field from seeded vessel record.</x:v>
      </x:c>
    </x:row>
    <x:row r="116">
      <x:c r="A116" s="42" t="str">
        <x:v>VREL_000115</x:v>
      </x:c>
      <x:c r="B116" s="42" t="str">
        <x:v>VESSEL_00073</x:v>
      </x:c>
      <x:c r="C116" s="42" t="str">
        <x:v>ADNOC L&amp;S molten sulphur newbuild</x:v>
      </x:c>
      <x:c r="D116" s="42" t="str">
        <x:v>COMP_ADNOC_LS</x:v>
      </x:c>
      <x:c r="E116" s="42" t="str">
        <x:v>OWNER</x:v>
      </x:c>
      <x:c r="F116" s="42"/>
      <x:c r="G116" s="42"/>
      <x:c r="H116" s="42" t="str">
        <x:v>High</x:v>
      </x:c>
      <x:c r="I116" s="42" t="str">
        <x:v>SRC_0066</x:v>
      </x:c>
      <x:c r="J116" s="42" t="str">
        <x:v>Owner field from seeded vessel record.</x:v>
      </x:c>
    </x:row>
    <x:row r="117">
      <x:c r="A117" s="42" t="str">
        <x:v>VREL_000116</x:v>
      </x:c>
      <x:c r="B117" s="42" t="str">
        <x:v>VESSEL_00073</x:v>
      </x:c>
      <x:c r="C117" s="42" t="str">
        <x:v>ADNOC L&amp;S molten sulphur newbuild</x:v>
      </x:c>
      <x:c r="D117" s="42" t="str">
        <x:v>COMP_ADNOC_LS</x:v>
      </x:c>
      <x:c r="E117" s="42" t="str">
        <x:v>OPERATOR</x:v>
      </x:c>
      <x:c r="F117" s="42"/>
      <x:c r="G117" s="42"/>
      <x:c r="H117" s="42" t="str">
        <x:v>High</x:v>
      </x:c>
      <x:c r="I117" s="42" t="str">
        <x:v>SRC_0066</x:v>
      </x:c>
      <x:c r="J117" s="42" t="str">
        <x:v>Operator field from seeded vessel record.</x:v>
      </x:c>
    </x:row>
    <x:row r="118">
      <x:c r="A118" s="42" t="str">
        <x:v>VREL_000117</x:v>
      </x:c>
      <x:c r="B118" s="42" t="str">
        <x:v>VESSEL_00074</x:v>
      </x:c>
      <x:c r="C118" s="42" t="str">
        <x:v>Jarnain</x:v>
      </x:c>
      <x:c r="D118" s="42" t="str">
        <x:v>COMP_ADNOC_LS</x:v>
      </x:c>
      <x:c r="E118" s="42" t="str">
        <x:v>OWNER</x:v>
      </x:c>
      <x:c r="F118" s="42"/>
      <x:c r="G118" s="42"/>
      <x:c r="H118" s="42" t="str">
        <x:v>High</x:v>
      </x:c>
      <x:c r="I118" s="42" t="str">
        <x:v>SRC_0066</x:v>
      </x:c>
      <x:c r="J118" s="42" t="str">
        <x:v>Owner field from seeded vessel record.</x:v>
      </x:c>
    </x:row>
    <x:row r="119">
      <x:c r="A119" s="42" t="str">
        <x:v>VREL_000118</x:v>
      </x:c>
      <x:c r="B119" s="42" t="str">
        <x:v>VESSEL_00074</x:v>
      </x:c>
      <x:c r="C119" s="42" t="str">
        <x:v>Jarnain</x:v>
      </x:c>
      <x:c r="D119" s="42" t="str">
        <x:v>COMP_ADNOC_LS</x:v>
      </x:c>
      <x:c r="E119" s="42" t="str">
        <x:v>OPERATOR</x:v>
      </x:c>
      <x:c r="F119" s="42"/>
      <x:c r="G119" s="42"/>
      <x:c r="H119" s="42" t="str">
        <x:v>High</x:v>
      </x:c>
      <x:c r="I119" s="42" t="str">
        <x:v>SRC_0066</x:v>
      </x:c>
      <x:c r="J119" s="42" t="str">
        <x:v>Operator field from seeded vessel record.</x:v>
      </x:c>
    </x:row>
    <x:row r="120">
      <x:c r="A120" s="42" t="str">
        <x:v>VREL_000119</x:v>
      </x:c>
      <x:c r="B120" s="42" t="str">
        <x:v>VESSEL_00075</x:v>
      </x:c>
      <x:c r="C120" s="42" t="str">
        <x:v>Tarif</x:v>
      </x:c>
      <x:c r="D120" s="42" t="str">
        <x:v>COMP_ADNOC_LS</x:v>
      </x:c>
      <x:c r="E120" s="42" t="str">
        <x:v>OWNER</x:v>
      </x:c>
      <x:c r="F120" s="42"/>
      <x:c r="G120" s="42"/>
      <x:c r="H120" s="42" t="str">
        <x:v>High</x:v>
      </x:c>
      <x:c r="I120" s="42" t="str">
        <x:v>SRC_0066</x:v>
      </x:c>
      <x:c r="J120" s="42" t="str">
        <x:v>Owner field from seeded vessel record.</x:v>
      </x:c>
    </x:row>
    <x:row r="121">
      <x:c r="A121" s="42" t="str">
        <x:v>VREL_000120</x:v>
      </x:c>
      <x:c r="B121" s="42" t="str">
        <x:v>VESSEL_00075</x:v>
      </x:c>
      <x:c r="C121" s="42" t="str">
        <x:v>Tarif</x:v>
      </x:c>
      <x:c r="D121" s="42" t="str">
        <x:v>COMP_ADNOC_LS</x:v>
      </x:c>
      <x:c r="E121" s="42" t="str">
        <x:v>OPERATOR</x:v>
      </x:c>
      <x:c r="F121" s="42"/>
      <x:c r="G121" s="42"/>
      <x:c r="H121" s="42" t="str">
        <x:v>High</x:v>
      </x:c>
      <x:c r="I121" s="42" t="str">
        <x:v>SRC_0066</x:v>
      </x:c>
      <x:c r="J121" s="42" t="str">
        <x:v>Operator field from seeded vessel record.</x:v>
      </x:c>
    </x:row>
    <x:row r="122">
      <x:c r="A122" s="42" t="str">
        <x:v>VREL_000121</x:v>
      </x:c>
      <x:c r="B122" s="42" t="str">
        <x:v>VESSEL_00076</x:v>
      </x:c>
      <x:c r="C122" s="42" t="str">
        <x:v>Navig8 Precision</x:v>
      </x:c>
      <x:c r="D122" s="42" t="str">
        <x:v>COMP_NAVIG8</x:v>
      </x:c>
      <x:c r="E122" s="42" t="str">
        <x:v>OWNER</x:v>
      </x:c>
      <x:c r="F122" s="42"/>
      <x:c r="G122" s="42"/>
      <x:c r="H122" s="42" t="str">
        <x:v>High</x:v>
      </x:c>
      <x:c r="I122" s="42" t="str">
        <x:v>SRC_0066</x:v>
      </x:c>
      <x:c r="J122" s="42" t="str">
        <x:v>Owner field from seeded vessel record.</x:v>
      </x:c>
    </x:row>
    <x:row r="123">
      <x:c r="A123" s="42" t="str">
        <x:v>VREL_000122</x:v>
      </x:c>
      <x:c r="B123" s="42" t="str">
        <x:v>VESSEL_00076</x:v>
      </x:c>
      <x:c r="C123" s="42" t="str">
        <x:v>Navig8 Precision</x:v>
      </x:c>
      <x:c r="D123" s="42" t="str">
        <x:v>COMP_NAVIG8</x:v>
      </x:c>
      <x:c r="E123" s="42" t="str">
        <x:v>OPERATOR</x:v>
      </x:c>
      <x:c r="F123" s="42"/>
      <x:c r="G123" s="42"/>
      <x:c r="H123" s="42" t="str">
        <x:v>High</x:v>
      </x:c>
      <x:c r="I123" s="42" t="str">
        <x:v>SRC_0066</x:v>
      </x:c>
      <x:c r="J123" s="42" t="str">
        <x:v>Operator field from seeded vessel record.</x:v>
      </x:c>
    </x:row>
    <x:row r="124">
      <x:c r="A124" s="42" t="str">
        <x:v>VREL_000123</x:v>
      </x:c>
      <x:c r="B124" s="42" t="str">
        <x:v>VESSEL_00077</x:v>
      </x:c>
      <x:c r="C124" s="42" t="str">
        <x:v>Navig8 Prestige</x:v>
      </x:c>
      <x:c r="D124" s="42" t="str">
        <x:v>COMP_NAVIG8</x:v>
      </x:c>
      <x:c r="E124" s="42" t="str">
        <x:v>OWNER</x:v>
      </x:c>
      <x:c r="F124" s="42"/>
      <x:c r="G124" s="42"/>
      <x:c r="H124" s="42" t="str">
        <x:v>High</x:v>
      </x:c>
      <x:c r="I124" s="42" t="str">
        <x:v>SRC_0066</x:v>
      </x:c>
      <x:c r="J124" s="42" t="str">
        <x:v>Owner field from seeded vessel record.</x:v>
      </x:c>
    </x:row>
    <x:row r="125">
      <x:c r="A125" s="42" t="str">
        <x:v>VREL_000124</x:v>
      </x:c>
      <x:c r="B125" s="42" t="str">
        <x:v>VESSEL_00077</x:v>
      </x:c>
      <x:c r="C125" s="42" t="str">
        <x:v>Navig8 Prestige</x:v>
      </x:c>
      <x:c r="D125" s="42" t="str">
        <x:v>COMP_NAVIG8</x:v>
      </x:c>
      <x:c r="E125" s="42" t="str">
        <x:v>OPERATOR</x:v>
      </x:c>
      <x:c r="F125" s="42"/>
      <x:c r="G125" s="42"/>
      <x:c r="H125" s="42" t="str">
        <x:v>High</x:v>
      </x:c>
      <x:c r="I125" s="42" t="str">
        <x:v>SRC_0066</x:v>
      </x:c>
      <x:c r="J125" s="42" t="str">
        <x:v>Operator field from seeded vessel record.</x:v>
      </x:c>
    </x:row>
    <x:row r="126">
      <x:c r="A126" s="42" t="str">
        <x:v>VREL_000125</x:v>
      </x:c>
      <x:c r="B126" s="42" t="str">
        <x:v>VESSEL_00078</x:v>
      </x:c>
      <x:c r="C126" s="42" t="str">
        <x:v>Navig8 Perseverance</x:v>
      </x:c>
      <x:c r="D126" s="42" t="str">
        <x:v>COMP_NAVIG8</x:v>
      </x:c>
      <x:c r="E126" s="42" t="str">
        <x:v>OWNER</x:v>
      </x:c>
      <x:c r="F126" s="42"/>
      <x:c r="G126" s="42"/>
      <x:c r="H126" s="42" t="str">
        <x:v>High</x:v>
      </x:c>
      <x:c r="I126" s="42" t="str">
        <x:v>SRC_0066</x:v>
      </x:c>
      <x:c r="J126" s="42" t="str">
        <x:v>Owner field from seeded vessel record.</x:v>
      </x:c>
    </x:row>
    <x:row r="127">
      <x:c r="A127" s="42" t="str">
        <x:v>VREL_000126</x:v>
      </x:c>
      <x:c r="B127" s="42" t="str">
        <x:v>VESSEL_00078</x:v>
      </x:c>
      <x:c r="C127" s="42" t="str">
        <x:v>Navig8 Perseverance</x:v>
      </x:c>
      <x:c r="D127" s="42" t="str">
        <x:v>COMP_NAVIG8</x:v>
      </x:c>
      <x:c r="E127" s="42" t="str">
        <x:v>OPERATOR</x:v>
      </x:c>
      <x:c r="F127" s="42"/>
      <x:c r="G127" s="42"/>
      <x:c r="H127" s="42" t="str">
        <x:v>High</x:v>
      </x:c>
      <x:c r="I127" s="42" t="str">
        <x:v>SRC_0066</x:v>
      </x:c>
      <x:c r="J127" s="42" t="str">
        <x:v>Operator field from seeded vessel record.</x:v>
      </x:c>
    </x:row>
    <x:row r="128">
      <x:c r="A128" s="42" t="str">
        <x:v>VREL_000127</x:v>
      </x:c>
      <x:c r="B128" s="42" t="str">
        <x:v>VESSEL_00079</x:v>
      </x:c>
      <x:c r="C128" s="42" t="str">
        <x:v>Navig8 Passion</x:v>
      </x:c>
      <x:c r="D128" s="42" t="str">
        <x:v>COMP_NAVIG8</x:v>
      </x:c>
      <x:c r="E128" s="42" t="str">
        <x:v>OWNER</x:v>
      </x:c>
      <x:c r="F128" s="42"/>
      <x:c r="G128" s="42"/>
      <x:c r="H128" s="42" t="str">
        <x:v>High</x:v>
      </x:c>
      <x:c r="I128" s="42" t="str">
        <x:v>SRC_0066</x:v>
      </x:c>
      <x:c r="J128" s="42" t="str">
        <x:v>Owner field from seeded vessel record.</x:v>
      </x:c>
    </x:row>
    <x:row r="129">
      <x:c r="A129" s="42" t="str">
        <x:v>VREL_000128</x:v>
      </x:c>
      <x:c r="B129" s="42" t="str">
        <x:v>VESSEL_00079</x:v>
      </x:c>
      <x:c r="C129" s="42" t="str">
        <x:v>Navig8 Passion</x:v>
      </x:c>
      <x:c r="D129" s="42" t="str">
        <x:v>COMP_NAVIG8</x:v>
      </x:c>
      <x:c r="E129" s="42" t="str">
        <x:v>OPERATOR</x:v>
      </x:c>
      <x:c r="F129" s="42"/>
      <x:c r="G129" s="42"/>
      <x:c r="H129" s="42" t="str">
        <x:v>High</x:v>
      </x:c>
      <x:c r="I129" s="42" t="str">
        <x:v>SRC_0066</x:v>
      </x:c>
      <x:c r="J129" s="42" t="str">
        <x:v>Operator field from seeded vessel record.</x:v>
      </x:c>
    </x:row>
    <x:row r="130">
      <x:c r="A130" s="42" t="str">
        <x:v>VREL_000129</x:v>
      </x:c>
      <x:c r="B130" s="42" t="str">
        <x:v>VESSEL_00080</x:v>
      </x:c>
      <x:c r="C130" s="42" t="str">
        <x:v>Navig8 Promise</x:v>
      </x:c>
      <x:c r="D130" s="42" t="str">
        <x:v>COMP_NAVIG8</x:v>
      </x:c>
      <x:c r="E130" s="42" t="str">
        <x:v>OWNER</x:v>
      </x:c>
      <x:c r="F130" s="42"/>
      <x:c r="G130" s="42"/>
      <x:c r="H130" s="42" t="str">
        <x:v>High</x:v>
      </x:c>
      <x:c r="I130" s="42" t="str">
        <x:v>SRC_0066</x:v>
      </x:c>
      <x:c r="J130" s="42" t="str">
        <x:v>Owner field from seeded vessel record.</x:v>
      </x:c>
    </x:row>
    <x:row r="131">
      <x:c r="A131" s="42" t="str">
        <x:v>VREL_000130</x:v>
      </x:c>
      <x:c r="B131" s="42" t="str">
        <x:v>VESSEL_00080</x:v>
      </x:c>
      <x:c r="C131" s="42" t="str">
        <x:v>Navig8 Promise</x:v>
      </x:c>
      <x:c r="D131" s="42" t="str">
        <x:v>COMP_NAVIG8</x:v>
      </x:c>
      <x:c r="E131" s="42" t="str">
        <x:v>OPERATOR</x:v>
      </x:c>
      <x:c r="F131" s="42"/>
      <x:c r="G131" s="42"/>
      <x:c r="H131" s="42" t="str">
        <x:v>High</x:v>
      </x:c>
      <x:c r="I131" s="42" t="str">
        <x:v>SRC_0066</x:v>
      </x:c>
      <x:c r="J131" s="42" t="str">
        <x:v>Operator field from seeded vessel record.</x:v>
      </x:c>
    </x:row>
    <x:row r="132">
      <x:c r="A132" s="42" t="str">
        <x:v>VREL_000131</x:v>
      </x:c>
      <x:c r="B132" s="42" t="str">
        <x:v>VESSEL_00081</x:v>
      </x:c>
      <x:c r="C132" s="42" t="str">
        <x:v>Navig8 Prosperity</x:v>
      </x:c>
      <x:c r="D132" s="42" t="str">
        <x:v>COMP_NAVIG8</x:v>
      </x:c>
      <x:c r="E132" s="42" t="str">
        <x:v>OWNER</x:v>
      </x:c>
      <x:c r="F132" s="42"/>
      <x:c r="G132" s="42"/>
      <x:c r="H132" s="42" t="str">
        <x:v>High</x:v>
      </x:c>
      <x:c r="I132" s="42" t="str">
        <x:v>SRC_0066</x:v>
      </x:c>
      <x:c r="J132" s="42" t="str">
        <x:v>Owner field from seeded vessel record.</x:v>
      </x:c>
    </x:row>
    <x:row r="133">
      <x:c r="A133" s="42" t="str">
        <x:v>VREL_000132</x:v>
      </x:c>
      <x:c r="B133" s="42" t="str">
        <x:v>VESSEL_00081</x:v>
      </x:c>
      <x:c r="C133" s="42" t="str">
        <x:v>Navig8 Prosperity</x:v>
      </x:c>
      <x:c r="D133" s="42" t="str">
        <x:v>COMP_NAVIG8</x:v>
      </x:c>
      <x:c r="E133" s="42" t="str">
        <x:v>OPERATOR</x:v>
      </x:c>
      <x:c r="F133" s="42"/>
      <x:c r="G133" s="42"/>
      <x:c r="H133" s="42" t="str">
        <x:v>High</x:v>
      </x:c>
      <x:c r="I133" s="42" t="str">
        <x:v>SRC_0066</x:v>
      </x:c>
      <x:c r="J133" s="42" t="str">
        <x:v>Operator field from seeded vessel record.</x:v>
      </x:c>
    </x:row>
    <x:row r="134">
      <x:c r="A134" s="42" t="str">
        <x:v>VREL_000133</x:v>
      </x:c>
      <x:c r="B134" s="42" t="str">
        <x:v>VESSEL_00082</x:v>
      </x:c>
      <x:c r="C134" s="42" t="str">
        <x:v>Navig8 Pride LHJ</x:v>
      </x:c>
      <x:c r="D134" s="42" t="str">
        <x:v>COMP_NAVIG8</x:v>
      </x:c>
      <x:c r="E134" s="42" t="str">
        <x:v>OWNER</x:v>
      </x:c>
      <x:c r="F134" s="42"/>
      <x:c r="G134" s="42"/>
      <x:c r="H134" s="42" t="str">
        <x:v>High</x:v>
      </x:c>
      <x:c r="I134" s="42" t="str">
        <x:v>SRC_0066</x:v>
      </x:c>
      <x:c r="J134" s="42" t="str">
        <x:v>Owner field from seeded vessel record.</x:v>
      </x:c>
    </x:row>
    <x:row r="135">
      <x:c r="A135" s="42" t="str">
        <x:v>VREL_000134</x:v>
      </x:c>
      <x:c r="B135" s="42" t="str">
        <x:v>VESSEL_00082</x:v>
      </x:c>
      <x:c r="C135" s="42" t="str">
        <x:v>Navig8 Pride LHJ</x:v>
      </x:c>
      <x:c r="D135" s="42" t="str">
        <x:v>COMP_NAVIG8</x:v>
      </x:c>
      <x:c r="E135" s="42" t="str">
        <x:v>OPERATOR</x:v>
      </x:c>
      <x:c r="F135" s="42"/>
      <x:c r="G135" s="42"/>
      <x:c r="H135" s="42" t="str">
        <x:v>High</x:v>
      </x:c>
      <x:c r="I135" s="42" t="str">
        <x:v>SRC_0066</x:v>
      </x:c>
      <x:c r="J135" s="42" t="str">
        <x:v>Operator field from seeded vessel record.</x:v>
      </x:c>
    </x:row>
    <x:row r="136">
      <x:c r="A136" s="42" t="str">
        <x:v>VREL_000135</x:v>
      </x:c>
      <x:c r="B136" s="42" t="str">
        <x:v>VESSEL_00083</x:v>
      </x:c>
      <x:c r="C136" s="42" t="str">
        <x:v>Navig8 Wolf</x:v>
      </x:c>
      <x:c r="D136" s="42" t="str">
        <x:v>COMP_NAVIG8</x:v>
      </x:c>
      <x:c r="E136" s="42" t="str">
        <x:v>OWNER</x:v>
      </x:c>
      <x:c r="F136" s="42"/>
      <x:c r="G136" s="42"/>
      <x:c r="H136" s="42" t="str">
        <x:v>High</x:v>
      </x:c>
      <x:c r="I136" s="42" t="str">
        <x:v>SRC_0066</x:v>
      </x:c>
      <x:c r="J136" s="42" t="str">
        <x:v>Owner field from seeded vessel record.</x:v>
      </x:c>
    </x:row>
    <x:row r="137">
      <x:c r="A137" s="42" t="str">
        <x:v>VREL_000136</x:v>
      </x:c>
      <x:c r="B137" s="42" t="str">
        <x:v>VESSEL_00083</x:v>
      </x:c>
      <x:c r="C137" s="42" t="str">
        <x:v>Navig8 Wolf</x:v>
      </x:c>
      <x:c r="D137" s="42" t="str">
        <x:v>COMP_NAVIG8</x:v>
      </x:c>
      <x:c r="E137" s="42" t="str">
        <x:v>OPERATOR</x:v>
      </x:c>
      <x:c r="F137" s="42"/>
      <x:c r="G137" s="42"/>
      <x:c r="H137" s="42" t="str">
        <x:v>High</x:v>
      </x:c>
      <x:c r="I137" s="42" t="str">
        <x:v>SRC_0066</x:v>
      </x:c>
      <x:c r="J137" s="42" t="str">
        <x:v>Operator field from seeded vessel record.</x:v>
      </x:c>
    </x:row>
    <x:row r="138">
      <x:c r="A138" s="42" t="str">
        <x:v>VREL_000137</x:v>
      </x:c>
      <x:c r="B138" s="42" t="str">
        <x:v>VESSEL_00084</x:v>
      </x:c>
      <x:c r="C138" s="42" t="str">
        <x:v>Navig8 Providence</x:v>
      </x:c>
      <x:c r="D138" s="42" t="str">
        <x:v>COMP_NAVIG8</x:v>
      </x:c>
      <x:c r="E138" s="42" t="str">
        <x:v>OWNER</x:v>
      </x:c>
      <x:c r="F138" s="42"/>
      <x:c r="G138" s="42"/>
      <x:c r="H138" s="42" t="str">
        <x:v>High</x:v>
      </x:c>
      <x:c r="I138" s="42" t="str">
        <x:v>SRC_0066</x:v>
      </x:c>
      <x:c r="J138" s="42" t="str">
        <x:v>Owner field from seeded vessel record.</x:v>
      </x:c>
    </x:row>
    <x:row r="139">
      <x:c r="A139" s="42" t="str">
        <x:v>VREL_000138</x:v>
      </x:c>
      <x:c r="B139" s="42" t="str">
        <x:v>VESSEL_00084</x:v>
      </x:c>
      <x:c r="C139" s="42" t="str">
        <x:v>Navig8 Providence</x:v>
      </x:c>
      <x:c r="D139" s="42" t="str">
        <x:v>COMP_NAVIG8</x:v>
      </x:c>
      <x:c r="E139" s="42" t="str">
        <x:v>OPERATOR</x:v>
      </x:c>
      <x:c r="F139" s="42"/>
      <x:c r="G139" s="42"/>
      <x:c r="H139" s="42" t="str">
        <x:v>High</x:v>
      </x:c>
      <x:c r="I139" s="42" t="str">
        <x:v>SRC_0066</x:v>
      </x:c>
      <x:c r="J139" s="42" t="str">
        <x:v>Operator field from seeded vessel record.</x:v>
      </x:c>
    </x:row>
    <x:row r="140">
      <x:c r="A140" s="42" t="str">
        <x:v>VREL_000139</x:v>
      </x:c>
      <x:c r="B140" s="42" t="str">
        <x:v>VESSEL_00085</x:v>
      </x:c>
      <x:c r="C140" s="42" t="str">
        <x:v>Leicester</x:v>
      </x:c>
      <x:c r="D140" s="42" t="str">
        <x:v>COMP_ADNOC_LS</x:v>
      </x:c>
      <x:c r="E140" s="42" t="str">
        <x:v>OWNER</x:v>
      </x:c>
      <x:c r="F140" s="42"/>
      <x:c r="G140" s="42"/>
      <x:c r="H140" s="42" t="str">
        <x:v>High</x:v>
      </x:c>
      <x:c r="I140" s="42" t="str">
        <x:v>SRC_0066</x:v>
      </x:c>
      <x:c r="J140" s="42" t="str">
        <x:v>Owner field from seeded vessel record.</x:v>
      </x:c>
    </x:row>
    <x:row r="141">
      <x:c r="A141" s="42" t="str">
        <x:v>VREL_000140</x:v>
      </x:c>
      <x:c r="B141" s="42" t="str">
        <x:v>VESSEL_00085</x:v>
      </x:c>
      <x:c r="C141" s="42" t="str">
        <x:v>Leicester</x:v>
      </x:c>
      <x:c r="D141" s="42" t="str">
        <x:v>COMP_ADNOC_LS</x:v>
      </x:c>
      <x:c r="E141" s="42" t="str">
        <x:v>OPERATOR</x:v>
      </x:c>
      <x:c r="F141" s="42"/>
      <x:c r="G141" s="42"/>
      <x:c r="H141" s="42" t="str">
        <x:v>High</x:v>
      </x:c>
      <x:c r="I141" s="42" t="str">
        <x:v>SRC_0066</x:v>
      </x:c>
      <x:c r="J141" s="42" t="str">
        <x:v>Operator field from seeded vessel record.</x:v>
      </x:c>
    </x:row>
    <x:row r="142">
      <x:c r="A142" s="42" t="str">
        <x:v>VREL_000141</x:v>
      </x:c>
      <x:c r="B142" s="42" t="str">
        <x:v>VESSEL_00086</x:v>
      </x:c>
      <x:c r="C142" s="42" t="str">
        <x:v>Hili</x:v>
      </x:c>
      <x:c r="D142" s="42" t="str">
        <x:v>COMP_ADNOC_LS</x:v>
      </x:c>
      <x:c r="E142" s="42" t="str">
        <x:v>OWNER</x:v>
      </x:c>
      <x:c r="F142" s="42"/>
      <x:c r="G142" s="42"/>
      <x:c r="H142" s="42" t="str">
        <x:v>High</x:v>
      </x:c>
      <x:c r="I142" s="42" t="str">
        <x:v>SRC_0066</x:v>
      </x:c>
      <x:c r="J142" s="42" t="str">
        <x:v>Owner field from seeded vessel record.</x:v>
      </x:c>
    </x:row>
    <x:row r="143">
      <x:c r="A143" s="42" t="str">
        <x:v>VREL_000142</x:v>
      </x:c>
      <x:c r="B143" s="42" t="str">
        <x:v>VESSEL_00086</x:v>
      </x:c>
      <x:c r="C143" s="42" t="str">
        <x:v>Hili</x:v>
      </x:c>
      <x:c r="D143" s="42" t="str">
        <x:v>COMP_ADNOC_LS</x:v>
      </x:c>
      <x:c r="E143" s="42" t="str">
        <x:v>OPERATOR</x:v>
      </x:c>
      <x:c r="F143" s="42"/>
      <x:c r="G143" s="42"/>
      <x:c r="H143" s="42" t="str">
        <x:v>High</x:v>
      </x:c>
      <x:c r="I143" s="42" t="str">
        <x:v>SRC_0066</x:v>
      </x:c>
      <x:c r="J143" s="42" t="str">
        <x:v>Operator field from seeded vessel record.</x:v>
      </x:c>
    </x:row>
    <x:row r="144">
      <x:c r="A144" s="42" t="str">
        <x:v>VREL_000143</x:v>
      </x:c>
      <x:c r="B144" s="42" t="str">
        <x:v>VESSEL_00087</x:v>
      </x:c>
      <x:c r="C144" s="42" t="str">
        <x:v>Zakum</x:v>
      </x:c>
      <x:c r="D144" s="42" t="str">
        <x:v>COMP_ADNOC_LS</x:v>
      </x:c>
      <x:c r="E144" s="42" t="str">
        <x:v>OWNER</x:v>
      </x:c>
      <x:c r="F144" s="42"/>
      <x:c r="G144" s="42"/>
      <x:c r="H144" s="42" t="str">
        <x:v>High</x:v>
      </x:c>
      <x:c r="I144" s="42" t="str">
        <x:v>SRC_0066</x:v>
      </x:c>
      <x:c r="J144" s="42" t="str">
        <x:v>Owner field from seeded vessel record.</x:v>
      </x:c>
    </x:row>
    <x:row r="145">
      <x:c r="A145" s="42" t="str">
        <x:v>VREL_000144</x:v>
      </x:c>
      <x:c r="B145" s="42" t="str">
        <x:v>VESSEL_00087</x:v>
      </x:c>
      <x:c r="C145" s="42" t="str">
        <x:v>Zakum</x:v>
      </x:c>
      <x:c r="D145" s="42" t="str">
        <x:v>COMP_ADNOC_LS</x:v>
      </x:c>
      <x:c r="E145" s="42" t="str">
        <x:v>OPERATOR</x:v>
      </x:c>
      <x:c r="F145" s="42"/>
      <x:c r="G145" s="42"/>
      <x:c r="H145" s="42" t="str">
        <x:v>High</x:v>
      </x:c>
      <x:c r="I145" s="42" t="str">
        <x:v>SRC_0066</x:v>
      </x:c>
      <x:c r="J145" s="42" t="str">
        <x:v>Operator field from seeded vessel record.</x:v>
      </x:c>
    </x:row>
    <x:row r="146">
      <x:c r="A146" s="42" t="str">
        <x:v>VREL_000145</x:v>
      </x:c>
      <x:c r="B146" s="42" t="str">
        <x:v>VESSEL_00088</x:v>
      </x:c>
      <x:c r="C146" s="42" t="str">
        <x:v>Barakah</x:v>
      </x:c>
      <x:c r="D146" s="42" t="str">
        <x:v>COMP_ADNOC_LS</x:v>
      </x:c>
      <x:c r="E146" s="42" t="str">
        <x:v>OWNER</x:v>
      </x:c>
      <x:c r="F146" s="42"/>
      <x:c r="G146" s="42"/>
      <x:c r="H146" s="42" t="str">
        <x:v>High</x:v>
      </x:c>
      <x:c r="I146" s="42" t="str">
        <x:v>SRC_0066</x:v>
      </x:c>
      <x:c r="J146" s="42" t="str">
        <x:v>Owner field from seeded vessel record.</x:v>
      </x:c>
    </x:row>
    <x:row r="147">
      <x:c r="A147" s="42" t="str">
        <x:v>VREL_000146</x:v>
      </x:c>
      <x:c r="B147" s="42" t="str">
        <x:v>VESSEL_00088</x:v>
      </x:c>
      <x:c r="C147" s="42" t="str">
        <x:v>Barakah</x:v>
      </x:c>
      <x:c r="D147" s="42" t="str">
        <x:v>COMP_ADNOC_LS</x:v>
      </x:c>
      <x:c r="E147" s="42" t="str">
        <x:v>OPERATOR</x:v>
      </x:c>
      <x:c r="F147" s="42"/>
      <x:c r="G147" s="42"/>
      <x:c r="H147" s="42" t="str">
        <x:v>High</x:v>
      </x:c>
      <x:c r="I147" s="42" t="str">
        <x:v>SRC_0066</x:v>
      </x:c>
      <x:c r="J147" s="42" t="str">
        <x:v>Operator field from seeded vessel record.</x:v>
      </x:c>
    </x:row>
    <x:row r="148">
      <x:c r="A148" s="42" t="str">
        <x:v>VREL_000147</x:v>
      </x:c>
      <x:c r="B148" s="42" t="str">
        <x:v>VESSEL_00089</x:v>
      </x:c>
      <x:c r="C148" s="42" t="str">
        <x:v>Hafeet</x:v>
      </x:c>
      <x:c r="D148" s="42" t="str">
        <x:v>COMP_ADNOC_LS</x:v>
      </x:c>
      <x:c r="E148" s="42" t="str">
        <x:v>OWNER</x:v>
      </x:c>
      <x:c r="F148" s="42"/>
      <x:c r="G148" s="42"/>
      <x:c r="H148" s="42" t="str">
        <x:v>High</x:v>
      </x:c>
      <x:c r="I148" s="42" t="str">
        <x:v>SRC_0066</x:v>
      </x:c>
      <x:c r="J148" s="42" t="str">
        <x:v>Owner field from seeded vessel record.</x:v>
      </x:c>
    </x:row>
    <x:row r="149">
      <x:c r="A149" s="42" t="str">
        <x:v>VREL_000148</x:v>
      </x:c>
      <x:c r="B149" s="42" t="str">
        <x:v>VESSEL_00089</x:v>
      </x:c>
      <x:c r="C149" s="42" t="str">
        <x:v>Hafeet</x:v>
      </x:c>
      <x:c r="D149" s="42" t="str">
        <x:v>COMP_ADNOC_LS</x:v>
      </x:c>
      <x:c r="E149" s="42" t="str">
        <x:v>OPERATOR</x:v>
      </x:c>
      <x:c r="F149" s="42"/>
      <x:c r="G149" s="42"/>
      <x:c r="H149" s="42" t="str">
        <x:v>High</x:v>
      </x:c>
      <x:c r="I149" s="42" t="str">
        <x:v>SRC_0066</x:v>
      </x:c>
      <x:c r="J149" s="42" t="str">
        <x:v>Operator field from seeded vessel record.</x:v>
      </x:c>
    </x:row>
    <x:row r="150">
      <x:c r="A150" s="42" t="str">
        <x:v>VREL_000149</x:v>
      </x:c>
      <x:c r="B150" s="42" t="str">
        <x:v>VESSEL_00090</x:v>
      </x:c>
      <x:c r="C150" s="42" t="str">
        <x:v>Habshan</x:v>
      </x:c>
      <x:c r="D150" s="42" t="str">
        <x:v>COMP_ADNOC_LS</x:v>
      </x:c>
      <x:c r="E150" s="42" t="str">
        <x:v>OWNER</x:v>
      </x:c>
      <x:c r="F150" s="42"/>
      <x:c r="G150" s="42"/>
      <x:c r="H150" s="42" t="str">
        <x:v>High</x:v>
      </x:c>
      <x:c r="I150" s="42" t="str">
        <x:v>SRC_0066</x:v>
      </x:c>
      <x:c r="J150" s="42" t="str">
        <x:v>Owner field from seeded vessel record.</x:v>
      </x:c>
    </x:row>
    <x:row r="151">
      <x:c r="A151" s="42" t="str">
        <x:v>VREL_000150</x:v>
      </x:c>
      <x:c r="B151" s="42" t="str">
        <x:v>VESSEL_00090</x:v>
      </x:c>
      <x:c r="C151" s="42" t="str">
        <x:v>Habshan</x:v>
      </x:c>
      <x:c r="D151" s="42" t="str">
        <x:v>COMP_ADNOC_LS</x:v>
      </x:c>
      <x:c r="E151" s="42" t="str">
        <x:v>OPERATOR</x:v>
      </x:c>
      <x:c r="F151" s="42"/>
      <x:c r="G151" s="42"/>
      <x:c r="H151" s="42" t="str">
        <x:v>High</x:v>
      </x:c>
      <x:c r="I151" s="42" t="str">
        <x:v>SRC_0066</x:v>
      </x:c>
      <x:c r="J151" s="42" t="str">
        <x:v>Operator field from seeded vessel record.</x:v>
      </x:c>
    </x:row>
    <x:row r="152">
      <x:c r="A152" s="42" t="str">
        <x:v>VREL_000151</x:v>
      </x:c>
      <x:c r="B152" s="42" t="str">
        <x:v>VESSEL_00091</x:v>
      </x:c>
      <x:c r="C152" s="42" t="str">
        <x:v>Arzanah</x:v>
      </x:c>
      <x:c r="D152" s="42" t="str">
        <x:v>COMP_ADNOC_LS</x:v>
      </x:c>
      <x:c r="E152" s="42" t="str">
        <x:v>OWNER</x:v>
      </x:c>
      <x:c r="F152" s="42"/>
      <x:c r="G152" s="42"/>
      <x:c r="H152" s="42" t="str">
        <x:v>High</x:v>
      </x:c>
      <x:c r="I152" s="42" t="str">
        <x:v>SRC_0066</x:v>
      </x:c>
      <x:c r="J152" s="42" t="str">
        <x:v>Owner field from seeded vessel record.</x:v>
      </x:c>
    </x:row>
    <x:row r="153">
      <x:c r="A153" s="42" t="str">
        <x:v>VREL_000152</x:v>
      </x:c>
      <x:c r="B153" s="42" t="str">
        <x:v>VESSEL_00091</x:v>
      </x:c>
      <x:c r="C153" s="42" t="str">
        <x:v>Arzanah</x:v>
      </x:c>
      <x:c r="D153" s="42" t="str">
        <x:v>COMP_ADNOC_LS</x:v>
      </x:c>
      <x:c r="E153" s="42" t="str">
        <x:v>OPERATOR</x:v>
      </x:c>
      <x:c r="F153" s="42"/>
      <x:c r="G153" s="42"/>
      <x:c r="H153" s="42" t="str">
        <x:v>High</x:v>
      </x:c>
      <x:c r="I153" s="42" t="str">
        <x:v>SRC_0066</x:v>
      </x:c>
      <x:c r="J153" s="42" t="str">
        <x:v>Operator field from seeded vessel record.</x:v>
      </x:c>
    </x:row>
    <x:row r="154">
      <x:c r="A154" s="42" t="str">
        <x:v>VREL_000153</x:v>
      </x:c>
      <x:c r="B154" s="42" t="str">
        <x:v>VESSEL_00092</x:v>
      </x:c>
      <x:c r="C154" s="42" t="str">
        <x:v>Al Bahyah</x:v>
      </x:c>
      <x:c r="D154" s="42" t="str">
        <x:v>COMP_ADNOC_LS</x:v>
      </x:c>
      <x:c r="E154" s="42" t="str">
        <x:v>OWNER</x:v>
      </x:c>
      <x:c r="F154" s="42"/>
      <x:c r="G154" s="42"/>
      <x:c r="H154" s="42" t="str">
        <x:v>High</x:v>
      </x:c>
      <x:c r="I154" s="42" t="str">
        <x:v>SRC_0066</x:v>
      </x:c>
      <x:c r="J154" s="42" t="str">
        <x:v>Owner field from seeded vessel record.</x:v>
      </x:c>
    </x:row>
    <x:row r="155">
      <x:c r="A155" s="42" t="str">
        <x:v>VREL_000154</x:v>
      </x:c>
      <x:c r="B155" s="42" t="str">
        <x:v>VESSEL_00092</x:v>
      </x:c>
      <x:c r="C155" s="42" t="str">
        <x:v>Al Bahyah</x:v>
      </x:c>
      <x:c r="D155" s="42" t="str">
        <x:v>COMP_ADNOC_LS</x:v>
      </x:c>
      <x:c r="E155" s="42" t="str">
        <x:v>OPERATOR</x:v>
      </x:c>
      <x:c r="F155" s="42"/>
      <x:c r="G155" s="42"/>
      <x:c r="H155" s="42" t="str">
        <x:v>High</x:v>
      </x:c>
      <x:c r="I155" s="42" t="str">
        <x:v>SRC_0066</x:v>
      </x:c>
      <x:c r="J155" s="42" t="str">
        <x:v>Operator field from seeded vessel record.</x:v>
      </x:c>
    </x:row>
    <x:row r="156">
      <x:c r="A156" s="42" t="str">
        <x:v>VREL_000155</x:v>
      </x:c>
      <x:c r="B156" s="42" t="str">
        <x:v>VESSEL_00093</x:v>
      </x:c>
      <x:c r="C156" s="42" t="str">
        <x:v>Navig8 Universe</x:v>
      </x:c>
      <x:c r="D156" s="42" t="str">
        <x:v>COMP_NAVIG8</x:v>
      </x:c>
      <x:c r="E156" s="42" t="str">
        <x:v>OWNER</x:v>
      </x:c>
      <x:c r="F156" s="42"/>
      <x:c r="G156" s="42"/>
      <x:c r="H156" s="42" t="str">
        <x:v>High</x:v>
      </x:c>
      <x:c r="I156" s="42" t="str">
        <x:v>SRC_0066</x:v>
      </x:c>
      <x:c r="J156" s="42" t="str">
        <x:v>Owner field from seeded vessel record.</x:v>
      </x:c>
    </x:row>
    <x:row r="157">
      <x:c r="A157" s="42" t="str">
        <x:v>VREL_000156</x:v>
      </x:c>
      <x:c r="B157" s="42" t="str">
        <x:v>VESSEL_00093</x:v>
      </x:c>
      <x:c r="C157" s="42" t="str">
        <x:v>Navig8 Universe</x:v>
      </x:c>
      <x:c r="D157" s="42" t="str">
        <x:v>COMP_NAVIG8</x:v>
      </x:c>
      <x:c r="E157" s="42" t="str">
        <x:v>OPERATOR</x:v>
      </x:c>
      <x:c r="F157" s="42"/>
      <x:c r="G157" s="42"/>
      <x:c r="H157" s="42" t="str">
        <x:v>High</x:v>
      </x:c>
      <x:c r="I157" s="42" t="str">
        <x:v>SRC_0066</x:v>
      </x:c>
      <x:c r="J157" s="42" t="str">
        <x:v>Operator field from seeded vessel record.</x:v>
      </x:c>
    </x:row>
    <x:row r="158">
      <x:c r="A158" s="42" t="str">
        <x:v>VREL_000157</x:v>
      </x:c>
      <x:c r="B158" s="42" t="str">
        <x:v>VESSEL_00094</x:v>
      </x:c>
      <x:c r="C158" s="42" t="str">
        <x:v>Navig8 Constellation</x:v>
      </x:c>
      <x:c r="D158" s="42" t="str">
        <x:v>COMP_NAVIG8</x:v>
      </x:c>
      <x:c r="E158" s="42" t="str">
        <x:v>OWNER</x:v>
      </x:c>
      <x:c r="F158" s="42"/>
      <x:c r="G158" s="42"/>
      <x:c r="H158" s="42" t="str">
        <x:v>High</x:v>
      </x:c>
      <x:c r="I158" s="42" t="str">
        <x:v>SRC_0066</x:v>
      </x:c>
      <x:c r="J158" s="42" t="str">
        <x:v>Owner field from seeded vessel record.</x:v>
      </x:c>
    </x:row>
    <x:row r="159">
      <x:c r="A159" s="42" t="str">
        <x:v>VREL_000158</x:v>
      </x:c>
      <x:c r="B159" s="42" t="str">
        <x:v>VESSEL_00094</x:v>
      </x:c>
      <x:c r="C159" s="42" t="str">
        <x:v>Navig8 Constellation</x:v>
      </x:c>
      <x:c r="D159" s="42" t="str">
        <x:v>COMP_NAVIG8</x:v>
      </x:c>
      <x:c r="E159" s="42" t="str">
        <x:v>OPERATOR</x:v>
      </x:c>
      <x:c r="F159" s="42"/>
      <x:c r="G159" s="42"/>
      <x:c r="H159" s="42" t="str">
        <x:v>High</x:v>
      </x:c>
      <x:c r="I159" s="42" t="str">
        <x:v>SRC_0066</x:v>
      </x:c>
      <x:c r="J159" s="42" t="str">
        <x:v>Operator field from seeded vessel record.</x:v>
      </x:c>
    </x:row>
    <x:row r="160">
      <x:c r="A160" s="42" t="str">
        <x:v>VREL_000159</x:v>
      </x:c>
      <x:c r="B160" s="42" t="str">
        <x:v>VESSEL_00095</x:v>
      </x:c>
      <x:c r="C160" s="42" t="str">
        <x:v>Navig8 Grace</x:v>
      </x:c>
      <x:c r="D160" s="42" t="str">
        <x:v>COMP_NAVIG8</x:v>
      </x:c>
      <x:c r="E160" s="42" t="str">
        <x:v>OWNER</x:v>
      </x:c>
      <x:c r="F160" s="42"/>
      <x:c r="G160" s="42"/>
      <x:c r="H160" s="42" t="str">
        <x:v>High</x:v>
      </x:c>
      <x:c r="I160" s="42" t="str">
        <x:v>SRC_0066</x:v>
      </x:c>
      <x:c r="J160" s="42" t="str">
        <x:v>Owner field from seeded vessel record.</x:v>
      </x:c>
    </x:row>
    <x:row r="161">
      <x:c r="A161" s="42" t="str">
        <x:v>VREL_000160</x:v>
      </x:c>
      <x:c r="B161" s="42" t="str">
        <x:v>VESSEL_00095</x:v>
      </x:c>
      <x:c r="C161" s="42" t="str">
        <x:v>Navig8 Grace</x:v>
      </x:c>
      <x:c r="D161" s="42" t="str">
        <x:v>COMP_NAVIG8</x:v>
      </x:c>
      <x:c r="E161" s="42" t="str">
        <x:v>OPERATOR</x:v>
      </x:c>
      <x:c r="F161" s="42"/>
      <x:c r="G161" s="42"/>
      <x:c r="H161" s="42" t="str">
        <x:v>High</x:v>
      </x:c>
      <x:c r="I161" s="42" t="str">
        <x:v>SRC_0066</x:v>
      </x:c>
      <x:c r="J161" s="42" t="str">
        <x:v>Operator field from seeded vessel record.</x:v>
      </x:c>
    </x:row>
    <x:row r="162">
      <x:c r="A162" s="42" t="str">
        <x:v>VREL_000161</x:v>
      </x:c>
      <x:c r="B162" s="42" t="str">
        <x:v>VESSEL_00096</x:v>
      </x:c>
      <x:c r="C162" s="42" t="str">
        <x:v>Navig8 Gallantry</x:v>
      </x:c>
      <x:c r="D162" s="42" t="str">
        <x:v>COMP_NAVIG8</x:v>
      </x:c>
      <x:c r="E162" s="42" t="str">
        <x:v>OWNER</x:v>
      </x:c>
      <x:c r="F162" s="42"/>
      <x:c r="G162" s="42"/>
      <x:c r="H162" s="42" t="str">
        <x:v>High</x:v>
      </x:c>
      <x:c r="I162" s="42" t="str">
        <x:v>SRC_0066</x:v>
      </x:c>
      <x:c r="J162" s="42" t="str">
        <x:v>Owner field from seeded vessel record.</x:v>
      </x:c>
    </x:row>
    <x:row r="163">
      <x:c r="A163" s="42" t="str">
        <x:v>VREL_000162</x:v>
      </x:c>
      <x:c r="B163" s="42" t="str">
        <x:v>VESSEL_00096</x:v>
      </x:c>
      <x:c r="C163" s="42" t="str">
        <x:v>Navig8 Gallantry</x:v>
      </x:c>
      <x:c r="D163" s="42" t="str">
        <x:v>COMP_NAVIG8</x:v>
      </x:c>
      <x:c r="E163" s="42" t="str">
        <x:v>OPERATOR</x:v>
      </x:c>
      <x:c r="F163" s="42"/>
      <x:c r="G163" s="42"/>
      <x:c r="H163" s="42" t="str">
        <x:v>High</x:v>
      </x:c>
      <x:c r="I163" s="42" t="str">
        <x:v>SRC_0066</x:v>
      </x:c>
      <x:c r="J163" s="42" t="str">
        <x:v>Operator field from seeded vessel record.</x:v>
      </x:c>
    </x:row>
    <x:row r="164">
      <x:c r="A164" s="42" t="str">
        <x:v>VREL_000163</x:v>
      </x:c>
      <x:c r="B164" s="42" t="str">
        <x:v>VESSEL_00097</x:v>
      </x:c>
      <x:c r="C164" s="42" t="str">
        <x:v>Navig8 Guard</x:v>
      </x:c>
      <x:c r="D164" s="42" t="str">
        <x:v>COMP_NAVIG8</x:v>
      </x:c>
      <x:c r="E164" s="42" t="str">
        <x:v>OWNER</x:v>
      </x:c>
      <x:c r="F164" s="42"/>
      <x:c r="G164" s="42"/>
      <x:c r="H164" s="42" t="str">
        <x:v>High</x:v>
      </x:c>
      <x:c r="I164" s="42" t="str">
        <x:v>SRC_0066</x:v>
      </x:c>
      <x:c r="J164" s="42" t="str">
        <x:v>Owner field from seeded vessel record.</x:v>
      </x:c>
    </x:row>
    <x:row r="165">
      <x:c r="A165" s="42" t="str">
        <x:v>VREL_000164</x:v>
      </x:c>
      <x:c r="B165" s="42" t="str">
        <x:v>VESSEL_00097</x:v>
      </x:c>
      <x:c r="C165" s="42" t="str">
        <x:v>Navig8 Guard</x:v>
      </x:c>
      <x:c r="D165" s="42" t="str">
        <x:v>COMP_NAVIG8</x:v>
      </x:c>
      <x:c r="E165" s="42" t="str">
        <x:v>OPERATOR</x:v>
      </x:c>
      <x:c r="F165" s="42"/>
      <x:c r="G165" s="42"/>
      <x:c r="H165" s="42" t="str">
        <x:v>High</x:v>
      </x:c>
      <x:c r="I165" s="42" t="str">
        <x:v>SRC_0066</x:v>
      </x:c>
      <x:c r="J165" s="42" t="str">
        <x:v>Operator field from seeded vessel record.</x:v>
      </x:c>
    </x:row>
    <x:row r="166">
      <x:c r="A166" s="42" t="str">
        <x:v>VREL_000165</x:v>
      </x:c>
      <x:c r="B166" s="42" t="str">
        <x:v>VESSEL_00098</x:v>
      </x:c>
      <x:c r="C166" s="42" t="str">
        <x:v>Navig8 Guide</x:v>
      </x:c>
      <x:c r="D166" s="42" t="str">
        <x:v>COMP_NAVIG8</x:v>
      </x:c>
      <x:c r="E166" s="42" t="str">
        <x:v>OWNER</x:v>
      </x:c>
      <x:c r="F166" s="42"/>
      <x:c r="G166" s="42"/>
      <x:c r="H166" s="42" t="str">
        <x:v>High</x:v>
      </x:c>
      <x:c r="I166" s="42" t="str">
        <x:v>SRC_0066</x:v>
      </x:c>
      <x:c r="J166" s="42" t="str">
        <x:v>Owner field from seeded vessel record.</x:v>
      </x:c>
    </x:row>
    <x:row r="167">
      <x:c r="A167" s="42" t="str">
        <x:v>VREL_000166</x:v>
      </x:c>
      <x:c r="B167" s="42" t="str">
        <x:v>VESSEL_00098</x:v>
      </x:c>
      <x:c r="C167" s="42" t="str">
        <x:v>Navig8 Guide</x:v>
      </x:c>
      <x:c r="D167" s="42" t="str">
        <x:v>COMP_NAVIG8</x:v>
      </x:c>
      <x:c r="E167" s="42" t="str">
        <x:v>OPERATOR</x:v>
      </x:c>
      <x:c r="F167" s="42"/>
      <x:c r="G167" s="42"/>
      <x:c r="H167" s="42" t="str">
        <x:v>High</x:v>
      </x:c>
      <x:c r="I167" s="42" t="str">
        <x:v>SRC_0066</x:v>
      </x:c>
      <x:c r="J167" s="42" t="str">
        <x:v>Operator field from seeded vessel record.</x:v>
      </x:c>
    </x:row>
    <x:row r="168">
      <x:c r="A168" s="42" t="str">
        <x:v>VREL_000167</x:v>
      </x:c>
      <x:c r="B168" s="42" t="str">
        <x:v>VESSEL_00099</x:v>
      </x:c>
      <x:c r="C168" s="42" t="str">
        <x:v>Navig8 Goal</x:v>
      </x:c>
      <x:c r="D168" s="42" t="str">
        <x:v>COMP_NAVIG8</x:v>
      </x:c>
      <x:c r="E168" s="42" t="str">
        <x:v>OWNER</x:v>
      </x:c>
      <x:c r="F168" s="42"/>
      <x:c r="G168" s="42"/>
      <x:c r="H168" s="42" t="str">
        <x:v>High</x:v>
      </x:c>
      <x:c r="I168" s="42" t="str">
        <x:v>SRC_0066</x:v>
      </x:c>
      <x:c r="J168" s="42" t="str">
        <x:v>Owner field from seeded vessel record.</x:v>
      </x:c>
    </x:row>
    <x:row r="169">
      <x:c r="A169" s="42" t="str">
        <x:v>VREL_000168</x:v>
      </x:c>
      <x:c r="B169" s="42" t="str">
        <x:v>VESSEL_00099</x:v>
      </x:c>
      <x:c r="C169" s="42" t="str">
        <x:v>Navig8 Goal</x:v>
      </x:c>
      <x:c r="D169" s="42" t="str">
        <x:v>COMP_NAVIG8</x:v>
      </x:c>
      <x:c r="E169" s="42" t="str">
        <x:v>OPERATOR</x:v>
      </x:c>
      <x:c r="F169" s="42"/>
      <x:c r="G169" s="42"/>
      <x:c r="H169" s="42" t="str">
        <x:v>High</x:v>
      </x:c>
      <x:c r="I169" s="42" t="str">
        <x:v>SRC_0066</x:v>
      </x:c>
      <x:c r="J169" s="42" t="str">
        <x:v>Operator field from seeded vessel record.</x:v>
      </x:c>
    </x:row>
    <x:row r="170">
      <x:c r="A170" s="42" t="str">
        <x:v>VREL_000169</x:v>
      </x:c>
      <x:c r="B170" s="42" t="str">
        <x:v>VESSEL_00100</x:v>
      </x:c>
      <x:c r="C170" s="42" t="str">
        <x:v>Navig8 Gauntlet</x:v>
      </x:c>
      <x:c r="D170" s="42" t="str">
        <x:v>COMP_NAVIG8</x:v>
      </x:c>
      <x:c r="E170" s="42" t="str">
        <x:v>OWNER</x:v>
      </x:c>
      <x:c r="F170" s="42"/>
      <x:c r="G170" s="42"/>
      <x:c r="H170" s="42" t="str">
        <x:v>High</x:v>
      </x:c>
      <x:c r="I170" s="42" t="str">
        <x:v>SRC_0066</x:v>
      </x:c>
      <x:c r="J170" s="42" t="str">
        <x:v>Owner field from seeded vessel record.</x:v>
      </x:c>
    </x:row>
    <x:row r="171">
      <x:c r="A171" s="42" t="str">
        <x:v>VREL_000170</x:v>
      </x:c>
      <x:c r="B171" s="42" t="str">
        <x:v>VESSEL_00100</x:v>
      </x:c>
      <x:c r="C171" s="42" t="str">
        <x:v>Navig8 Gauntlet</x:v>
      </x:c>
      <x:c r="D171" s="42" t="str">
        <x:v>COMP_NAVIG8</x:v>
      </x:c>
      <x:c r="E171" s="42" t="str">
        <x:v>OPERATOR</x:v>
      </x:c>
      <x:c r="F171" s="42"/>
      <x:c r="G171" s="42"/>
      <x:c r="H171" s="42" t="str">
        <x:v>High</x:v>
      </x:c>
      <x:c r="I171" s="42" t="str">
        <x:v>SRC_0066</x:v>
      </x:c>
      <x:c r="J171" s="42" t="str">
        <x:v>Operator field from seeded vessel record.</x:v>
      </x:c>
    </x:row>
    <x:row r="172">
      <x:c r="A172" s="42" t="str">
        <x:v>VREL_000171</x:v>
      </x:c>
      <x:c r="B172" s="42" t="str">
        <x:v>VESSEL_00101</x:v>
      </x:c>
      <x:c r="C172" s="42" t="str">
        <x:v>Navig8 Gladiator</x:v>
      </x:c>
      <x:c r="D172" s="42" t="str">
        <x:v>COMP_NAVIG8</x:v>
      </x:c>
      <x:c r="E172" s="42" t="str">
        <x:v>OWNER</x:v>
      </x:c>
      <x:c r="F172" s="42"/>
      <x:c r="G172" s="42"/>
      <x:c r="H172" s="42" t="str">
        <x:v>High</x:v>
      </x:c>
      <x:c r="I172" s="42" t="str">
        <x:v>SRC_0066</x:v>
      </x:c>
      <x:c r="J172" s="42" t="str">
        <x:v>Owner field from seeded vessel record.</x:v>
      </x:c>
    </x:row>
    <x:row r="173">
      <x:c r="A173" s="42" t="str">
        <x:v>VREL_000172</x:v>
      </x:c>
      <x:c r="B173" s="42" t="str">
        <x:v>VESSEL_00101</x:v>
      </x:c>
      <x:c r="C173" s="42" t="str">
        <x:v>Navig8 Gladiator</x:v>
      </x:c>
      <x:c r="D173" s="42" t="str">
        <x:v>COMP_NAVIG8</x:v>
      </x:c>
      <x:c r="E173" s="42" t="str">
        <x:v>OPERATOR</x:v>
      </x:c>
      <x:c r="F173" s="42"/>
      <x:c r="G173" s="42"/>
      <x:c r="H173" s="42" t="str">
        <x:v>High</x:v>
      </x:c>
      <x:c r="I173" s="42" t="str">
        <x:v>SRC_0066</x:v>
      </x:c>
      <x:c r="J173" s="42" t="str">
        <x:v>Operator field from seeded vessel record.</x:v>
      </x:c>
    </x:row>
    <x:row r="174">
      <x:c r="A174" s="42" t="str">
        <x:v>VREL_000173</x:v>
      </x:c>
      <x:c r="B174" s="42" t="str">
        <x:v>VESSEL_00102</x:v>
      </x:c>
      <x:c r="C174" s="42" t="str">
        <x:v>Navig8 Gratitude</x:v>
      </x:c>
      <x:c r="D174" s="42" t="str">
        <x:v>COMP_NAVIG8</x:v>
      </x:c>
      <x:c r="E174" s="42" t="str">
        <x:v>OWNER</x:v>
      </x:c>
      <x:c r="F174" s="42"/>
      <x:c r="G174" s="42"/>
      <x:c r="H174" s="42" t="str">
        <x:v>High</x:v>
      </x:c>
      <x:c r="I174" s="42" t="str">
        <x:v>SRC_0066</x:v>
      </x:c>
      <x:c r="J174" s="42" t="str">
        <x:v>Owner field from seeded vessel record.</x:v>
      </x:c>
    </x:row>
    <x:row r="175">
      <x:c r="A175" s="42" t="str">
        <x:v>VREL_000174</x:v>
      </x:c>
      <x:c r="B175" s="42" t="str">
        <x:v>VESSEL_00102</x:v>
      </x:c>
      <x:c r="C175" s="42" t="str">
        <x:v>Navig8 Gratitude</x:v>
      </x:c>
      <x:c r="D175" s="42" t="str">
        <x:v>COMP_NAVIG8</x:v>
      </x:c>
      <x:c r="E175" s="42" t="str">
        <x:v>OPERATOR</x:v>
      </x:c>
      <x:c r="F175" s="42"/>
      <x:c r="G175" s="42"/>
      <x:c r="H175" s="42" t="str">
        <x:v>High</x:v>
      </x:c>
      <x:c r="I175" s="42" t="str">
        <x:v>SRC_0066</x:v>
      </x:c>
      <x:c r="J175" s="42" t="str">
        <x:v>Operator field from seeded vessel record.</x:v>
      </x:c>
    </x:row>
    <x:row r="176">
      <x:c r="A176" s="42" t="str">
        <x:v>VREL_000175</x:v>
      </x:c>
      <x:c r="B176" s="42" t="str">
        <x:v>VESSEL_00103</x:v>
      </x:c>
      <x:c r="C176" s="42" t="str">
        <x:v>Navig8 Excel</x:v>
      </x:c>
      <x:c r="D176" s="42" t="str">
        <x:v>COMP_NAVIG8</x:v>
      </x:c>
      <x:c r="E176" s="42" t="str">
        <x:v>OWNER</x:v>
      </x:c>
      <x:c r="F176" s="42"/>
      <x:c r="G176" s="42"/>
      <x:c r="H176" s="42" t="str">
        <x:v>High</x:v>
      </x:c>
      <x:c r="I176" s="42" t="str">
        <x:v>SRC_0066</x:v>
      </x:c>
      <x:c r="J176" s="42" t="str">
        <x:v>Owner field from seeded vessel record.</x:v>
      </x:c>
    </x:row>
    <x:row r="177">
      <x:c r="A177" s="42" t="str">
        <x:v>VREL_000176</x:v>
      </x:c>
      <x:c r="B177" s="42" t="str">
        <x:v>VESSEL_00103</x:v>
      </x:c>
      <x:c r="C177" s="42" t="str">
        <x:v>Navig8 Excel</x:v>
      </x:c>
      <x:c r="D177" s="42" t="str">
        <x:v>COMP_NAVIG8</x:v>
      </x:c>
      <x:c r="E177" s="42" t="str">
        <x:v>OPERATOR</x:v>
      </x:c>
      <x:c r="F177" s="42"/>
      <x:c r="G177" s="42"/>
      <x:c r="H177" s="42" t="str">
        <x:v>High</x:v>
      </x:c>
      <x:c r="I177" s="42" t="str">
        <x:v>SRC_0066</x:v>
      </x:c>
      <x:c r="J177" s="42" t="str">
        <x:v>Operator field from seeded vessel record.</x:v>
      </x:c>
    </x:row>
    <x:row r="178">
      <x:c r="A178" s="42" t="str">
        <x:v>VREL_000177</x:v>
      </x:c>
      <x:c r="B178" s="42" t="str">
        <x:v>VESSEL_00104</x:v>
      </x:c>
      <x:c r="C178" s="42" t="str">
        <x:v>Navig8 Exceed</x:v>
      </x:c>
      <x:c r="D178" s="42" t="str">
        <x:v>COMP_NAVIG8</x:v>
      </x:c>
      <x:c r="E178" s="42" t="str">
        <x:v>OWNER</x:v>
      </x:c>
      <x:c r="F178" s="42"/>
      <x:c r="G178" s="42"/>
      <x:c r="H178" s="42" t="str">
        <x:v>High</x:v>
      </x:c>
      <x:c r="I178" s="42" t="str">
        <x:v>SRC_0066</x:v>
      </x:c>
      <x:c r="J178" s="42" t="str">
        <x:v>Owner field from seeded vessel record.</x:v>
      </x:c>
    </x:row>
    <x:row r="179">
      <x:c r="A179" s="42" t="str">
        <x:v>VREL_000178</x:v>
      </x:c>
      <x:c r="B179" s="42" t="str">
        <x:v>VESSEL_00104</x:v>
      </x:c>
      <x:c r="C179" s="42" t="str">
        <x:v>Navig8 Exceed</x:v>
      </x:c>
      <x:c r="D179" s="42" t="str">
        <x:v>COMP_NAVIG8</x:v>
      </x:c>
      <x:c r="E179" s="42" t="str">
        <x:v>OPERATOR</x:v>
      </x:c>
      <x:c r="F179" s="42"/>
      <x:c r="G179" s="42"/>
      <x:c r="H179" s="42" t="str">
        <x:v>High</x:v>
      </x:c>
      <x:c r="I179" s="42" t="str">
        <x:v>SRC_0066</x:v>
      </x:c>
      <x:c r="J179" s="42" t="str">
        <x:v>Operator field from seeded vessel record.</x:v>
      </x:c>
    </x:row>
    <x:row r="180">
      <x:c r="A180" s="42" t="str">
        <x:v>VREL_000179</x:v>
      </x:c>
      <x:c r="B180" s="42" t="str">
        <x:v>VESSEL_00105</x:v>
      </x:c>
      <x:c r="C180" s="42" t="str">
        <x:v>Navig8 Express</x:v>
      </x:c>
      <x:c r="D180" s="42" t="str">
        <x:v>COMP_NAVIG8</x:v>
      </x:c>
      <x:c r="E180" s="42" t="str">
        <x:v>OWNER</x:v>
      </x:c>
      <x:c r="F180" s="42"/>
      <x:c r="G180" s="42"/>
      <x:c r="H180" s="42" t="str">
        <x:v>High</x:v>
      </x:c>
      <x:c r="I180" s="42" t="str">
        <x:v>SRC_0066</x:v>
      </x:c>
      <x:c r="J180" s="42" t="str">
        <x:v>Owner field from seeded vessel record.</x:v>
      </x:c>
    </x:row>
    <x:row r="181">
      <x:c r="A181" s="42" t="str">
        <x:v>VREL_000180</x:v>
      </x:c>
      <x:c r="B181" s="42" t="str">
        <x:v>VESSEL_00105</x:v>
      </x:c>
      <x:c r="C181" s="42" t="str">
        <x:v>Navig8 Express</x:v>
      </x:c>
      <x:c r="D181" s="42" t="str">
        <x:v>COMP_NAVIG8</x:v>
      </x:c>
      <x:c r="E181" s="42" t="str">
        <x:v>OPERATOR</x:v>
      </x:c>
      <x:c r="F181" s="42"/>
      <x:c r="G181" s="42"/>
      <x:c r="H181" s="42" t="str">
        <x:v>High</x:v>
      </x:c>
      <x:c r="I181" s="42" t="str">
        <x:v>SRC_0066</x:v>
      </x:c>
      <x:c r="J181" s="42" t="str">
        <x:v>Operator field from seeded vessel record.</x:v>
      </x:c>
    </x:row>
    <x:row r="182">
      <x:c r="A182" s="42" t="str">
        <x:v>VREL_000181</x:v>
      </x:c>
      <x:c r="B182" s="42" t="str">
        <x:v>VESSEL_00106</x:v>
      </x:c>
      <x:c r="C182" s="42" t="str">
        <x:v>Navig8 Excellence</x:v>
      </x:c>
      <x:c r="D182" s="42" t="str">
        <x:v>COMP_NAVIG8</x:v>
      </x:c>
      <x:c r="E182" s="42" t="str">
        <x:v>OWNER</x:v>
      </x:c>
      <x:c r="F182" s="42"/>
      <x:c r="G182" s="42"/>
      <x:c r="H182" s="42" t="str">
        <x:v>High</x:v>
      </x:c>
      <x:c r="I182" s="42" t="str">
        <x:v>SRC_0066</x:v>
      </x:c>
      <x:c r="J182" s="42" t="str">
        <x:v>Owner field from seeded vessel record.</x:v>
      </x:c>
    </x:row>
    <x:row r="183">
      <x:c r="A183" s="42" t="str">
        <x:v>VREL_000182</x:v>
      </x:c>
      <x:c r="B183" s="42" t="str">
        <x:v>VESSEL_00106</x:v>
      </x:c>
      <x:c r="C183" s="42" t="str">
        <x:v>Navig8 Excellence</x:v>
      </x:c>
      <x:c r="D183" s="42" t="str">
        <x:v>COMP_NAVIG8</x:v>
      </x:c>
      <x:c r="E183" s="42" t="str">
        <x:v>OPERATOR</x:v>
      </x:c>
      <x:c r="F183" s="42"/>
      <x:c r="G183" s="42"/>
      <x:c r="H183" s="42" t="str">
        <x:v>High</x:v>
      </x:c>
      <x:c r="I183" s="42" t="str">
        <x:v>SRC_0066</x:v>
      </x:c>
      <x:c r="J183" s="42" t="str">
        <x:v>Operator field from seeded vessel record.</x:v>
      </x:c>
    </x:row>
    <x:row r="184">
      <x:c r="A184" s="42" t="str">
        <x:v>VREL_000183</x:v>
      </x:c>
      <x:c r="B184" s="42" t="str">
        <x:v>VESSEL_00107</x:v>
      </x:c>
      <x:c r="C184" s="42" t="str">
        <x:v>Navig8 Estelle</x:v>
      </x:c>
      <x:c r="D184" s="42" t="str">
        <x:v>COMP_NAVIG8</x:v>
      </x:c>
      <x:c r="E184" s="42" t="str">
        <x:v>OWNER</x:v>
      </x:c>
      <x:c r="F184" s="42"/>
      <x:c r="G184" s="42"/>
      <x:c r="H184" s="42" t="str">
        <x:v>High</x:v>
      </x:c>
      <x:c r="I184" s="42" t="str">
        <x:v>SRC_0066</x:v>
      </x:c>
      <x:c r="J184" s="42" t="str">
        <x:v>Owner field from seeded vessel record.</x:v>
      </x:c>
    </x:row>
    <x:row r="185">
      <x:c r="A185" s="42" t="str">
        <x:v>VREL_000184</x:v>
      </x:c>
      <x:c r="B185" s="42" t="str">
        <x:v>VESSEL_00107</x:v>
      </x:c>
      <x:c r="C185" s="42" t="str">
        <x:v>Navig8 Estelle</x:v>
      </x:c>
      <x:c r="D185" s="42" t="str">
        <x:v>COMP_NAVIG8</x:v>
      </x:c>
      <x:c r="E185" s="42" t="str">
        <x:v>OPERATOR</x:v>
      </x:c>
      <x:c r="F185" s="42"/>
      <x:c r="G185" s="42"/>
      <x:c r="H185" s="42" t="str">
        <x:v>High</x:v>
      </x:c>
      <x:c r="I185" s="42" t="str">
        <x:v>SRC_0066</x:v>
      </x:c>
      <x:c r="J185" s="42" t="str">
        <x:v>Operator field from seeded vessel record.</x:v>
      </x:c>
    </x:row>
    <x:row r="186">
      <x:c r="A186" s="42" t="str">
        <x:v>VREL_000185</x:v>
      </x:c>
      <x:c r="B186" s="42" t="str">
        <x:v>VESSEL_00108</x:v>
      </x:c>
      <x:c r="C186" s="42" t="str">
        <x:v>Navig8 Executive</x:v>
      </x:c>
      <x:c r="D186" s="42" t="str">
        <x:v>COMP_NAVIG8</x:v>
      </x:c>
      <x:c r="E186" s="42" t="str">
        <x:v>OWNER</x:v>
      </x:c>
      <x:c r="F186" s="42"/>
      <x:c r="G186" s="42"/>
      <x:c r="H186" s="42" t="str">
        <x:v>High</x:v>
      </x:c>
      <x:c r="I186" s="42" t="str">
        <x:v>SRC_0066</x:v>
      </x:c>
      <x:c r="J186" s="42" t="str">
        <x:v>Owner field from seeded vessel record.</x:v>
      </x:c>
    </x:row>
    <x:row r="187">
      <x:c r="A187" s="42" t="str">
        <x:v>VREL_000186</x:v>
      </x:c>
      <x:c r="B187" s="42" t="str">
        <x:v>VESSEL_00108</x:v>
      </x:c>
      <x:c r="C187" s="42" t="str">
        <x:v>Navig8 Executive</x:v>
      </x:c>
      <x:c r="D187" s="42" t="str">
        <x:v>COMP_NAVIG8</x:v>
      </x:c>
      <x:c r="E187" s="42" t="str">
        <x:v>OPERATOR</x:v>
      </x:c>
      <x:c r="F187" s="42"/>
      <x:c r="G187" s="42"/>
      <x:c r="H187" s="42" t="str">
        <x:v>High</x:v>
      </x:c>
      <x:c r="I187" s="42" t="str">
        <x:v>SRC_0066</x:v>
      </x:c>
      <x:c r="J187" s="42" t="str">
        <x:v>Operator field from seeded vessel record.</x:v>
      </x:c>
    </x:row>
    <x:row r="188">
      <x:c r="A188" s="42" t="str">
        <x:v>VREL_000187</x:v>
      </x:c>
      <x:c r="B188" s="42" t="str">
        <x:v>VESSEL_00109</x:v>
      </x:c>
      <x:c r="C188" s="42" t="str">
        <x:v>BYD Explorer No.1</x:v>
      </x:c>
      <x:c r="D188" s="42" t="str">
        <x:v>COMP_ZODIAC</x:v>
      </x:c>
      <x:c r="E188" s="42" t="str">
        <x:v>OWNER</x:v>
      </x:c>
      <x:c r="F188" s="42"/>
      <x:c r="G188" s="42"/>
      <x:c r="H188" s="42" t="str">
        <x:v>High</x:v>
      </x:c>
      <x:c r="I188" s="42" t="str">
        <x:v>SRC_0091</x:v>
      </x:c>
      <x:c r="J188" s="42" t="str">
        <x:v>Owner field from seeded vessel record.</x:v>
      </x:c>
    </x:row>
    <x:row r="189">
      <x:c r="A189" s="42" t="str">
        <x:v>VREL_000188</x:v>
      </x:c>
      <x:c r="B189" s="42" t="str">
        <x:v>VESSEL_00110</x:v>
      </x:c>
      <x:c r="C189" s="42" t="str">
        <x:v>BYD Changzhou</x:v>
      </x:c>
      <x:c r="D189" s="42" t="str">
        <x:v>COMP_ZODIAC</x:v>
      </x:c>
      <x:c r="E189" s="42" t="str">
        <x:v>OWNER</x:v>
      </x:c>
      <x:c r="F189" s="42"/>
      <x:c r="G189" s="42"/>
      <x:c r="H189" s="42" t="str">
        <x:v>High</x:v>
      </x:c>
      <x:c r="I189" s="42" t="str">
        <x:v>SRC_0091</x:v>
      </x:c>
      <x:c r="J189" s="42" t="str">
        <x:v>Owner field from seeded vessel record.</x:v>
      </x:c>
    </x:row>
    <x:row r="190">
      <x:c r="A190" s="42" t="str">
        <x:v>VREL_000189</x:v>
      </x:c>
      <x:c r="B190" s="42" t="str">
        <x:v>VESSEL_00111</x:v>
      </x:c>
      <x:c r="C190" s="42" t="str">
        <x:v>BYD Hefei</x:v>
      </x:c>
      <x:c r="D190" s="42" t="str">
        <x:v>COMP_BYD</x:v>
      </x:c>
      <x:c r="E190" s="42" t="str">
        <x:v>OWNER</x:v>
      </x:c>
      <x:c r="F190" s="42"/>
      <x:c r="G190" s="42"/>
      <x:c r="H190" s="42" t="str">
        <x:v>High</x:v>
      </x:c>
      <x:c r="I190" s="42" t="str">
        <x:v>SRC_0091</x:v>
      </x:c>
      <x:c r="J190" s="42" t="str">
        <x:v>Owner field from seeded vessel record.</x:v>
      </x:c>
    </x:row>
    <x:row r="191">
      <x:c r="A191" s="42" t="str">
        <x:v>VREL_000190</x:v>
      </x:c>
      <x:c r="B191" s="42" t="str">
        <x:v>VESSEL_00111</x:v>
      </x:c>
      <x:c r="C191" s="42" t="str">
        <x:v>BYD Hefei</x:v>
      </x:c>
      <x:c r="D191" s="42" t="str">
        <x:v>COMP_BYD</x:v>
      </x:c>
      <x:c r="E191" s="42" t="str">
        <x:v>OPERATOR</x:v>
      </x:c>
      <x:c r="F191" s="42"/>
      <x:c r="G191" s="42"/>
      <x:c r="H191" s="42" t="str">
        <x:v>High</x:v>
      </x:c>
      <x:c r="I191" s="42" t="str">
        <x:v>SRC_0091</x:v>
      </x:c>
      <x:c r="J191" s="42" t="str">
        <x:v>Operator field from seeded vessel record.</x:v>
      </x:c>
    </x:row>
    <x:row r="192">
      <x:c r="A192" s="42" t="str">
        <x:v>VREL_000191</x:v>
      </x:c>
      <x:c r="B192" s="42" t="str">
        <x:v>VESSEL_00112</x:v>
      </x:c>
      <x:c r="C192" s="42" t="str">
        <x:v>BYD Zhengzhou</x:v>
      </x:c>
      <x:c r="D192" s="42" t="str">
        <x:v>COMP_BYD</x:v>
      </x:c>
      <x:c r="E192" s="42" t="str">
        <x:v>OWNER</x:v>
      </x:c>
      <x:c r="F192" s="42"/>
      <x:c r="G192" s="42"/>
      <x:c r="H192" s="42" t="str">
        <x:v>High</x:v>
      </x:c>
      <x:c r="I192" s="42" t="str">
        <x:v>SRC_0091</x:v>
      </x:c>
      <x:c r="J192" s="42" t="str">
        <x:v>Owner field from seeded vessel record.</x:v>
      </x:c>
    </x:row>
    <x:row r="193">
      <x:c r="A193" s="42" t="str">
        <x:v>VREL_000192</x:v>
      </x:c>
      <x:c r="B193" s="42" t="str">
        <x:v>VESSEL_00112</x:v>
      </x:c>
      <x:c r="C193" s="42" t="str">
        <x:v>BYD Zhengzhou</x:v>
      </x:c>
      <x:c r="D193" s="42" t="str">
        <x:v>COMP_BYD</x:v>
      </x:c>
      <x:c r="E193" s="42" t="str">
        <x:v>OPERATOR</x:v>
      </x:c>
      <x:c r="F193" s="42"/>
      <x:c r="G193" s="42"/>
      <x:c r="H193" s="42" t="str">
        <x:v>High</x:v>
      </x:c>
      <x:c r="I193" s="42" t="str">
        <x:v>SRC_0091</x:v>
      </x:c>
      <x:c r="J193" s="42" t="str">
        <x:v>Operator field from seeded vessel record.</x:v>
      </x:c>
    </x:row>
    <x:row r="194">
      <x:c r="A194" s="42" t="str">
        <x:v>VREL_000193</x:v>
      </x:c>
      <x:c r="B194" s="42" t="str">
        <x:v>VESSEL_00113</x:v>
      </x:c>
      <x:c r="C194" s="42" t="str">
        <x:v>BYD Shenzhen</x:v>
      </x:c>
      <x:c r="D194" s="42" t="str">
        <x:v>COMP_BYD</x:v>
      </x:c>
      <x:c r="E194" s="42" t="str">
        <x:v>OWNER</x:v>
      </x:c>
      <x:c r="F194" s="42"/>
      <x:c r="G194" s="42"/>
      <x:c r="H194" s="42" t="str">
        <x:v>High</x:v>
      </x:c>
      <x:c r="I194" s="42" t="str">
        <x:v>SRC_0092</x:v>
      </x:c>
      <x:c r="J194" s="42" t="str">
        <x:v>Owner field from seeded vessel record.</x:v>
      </x:c>
    </x:row>
    <x:row r="195">
      <x:c r="A195" s="42" t="str">
        <x:v>VREL_000194</x:v>
      </x:c>
      <x:c r="B195" s="42" t="str">
        <x:v>VESSEL_00113</x:v>
      </x:c>
      <x:c r="C195" s="42" t="str">
        <x:v>BYD Shenzhen</x:v>
      </x:c>
      <x:c r="D195" s="42" t="str">
        <x:v>COMP_BYD</x:v>
      </x:c>
      <x:c r="E195" s="42" t="str">
        <x:v>OPERATOR</x:v>
      </x:c>
      <x:c r="F195" s="42"/>
      <x:c r="G195" s="42"/>
      <x:c r="H195" s="42" t="str">
        <x:v>High</x:v>
      </x:c>
      <x:c r="I195" s="42" t="str">
        <x:v>SRC_0092</x:v>
      </x:c>
      <x:c r="J195" s="42" t="str">
        <x:v>Operator field from seeded vessel record.</x:v>
      </x:c>
    </x:row>
    <x:row r="196">
      <x:c r="A196" s="42" t="str">
        <x:v>VREL_000195</x:v>
      </x:c>
      <x:c r="B196" s="42" t="str">
        <x:v>VESSEL_00114</x:v>
      </x:c>
      <x:c r="C196" s="42" t="str">
        <x:v>BYD Xi'an</x:v>
      </x:c>
      <x:c r="D196" s="42" t="str">
        <x:v>COMP_BYD</x:v>
      </x:c>
      <x:c r="E196" s="42" t="str">
        <x:v>OWNER</x:v>
      </x:c>
      <x:c r="F196" s="42"/>
      <x:c r="G196" s="42"/>
      <x:c r="H196" s="42" t="str">
        <x:v>High</x:v>
      </x:c>
      <x:c r="I196" s="42" t="str">
        <x:v>SRC_0095</x:v>
      </x:c>
      <x:c r="J196" s="42" t="str">
        <x:v>Owner field from seeded vessel record.</x:v>
      </x:c>
    </x:row>
    <x:row r="197">
      <x:c r="A197" s="42" t="str">
        <x:v>VREL_000196</x:v>
      </x:c>
      <x:c r="B197" s="42" t="str">
        <x:v>VESSEL_00114</x:v>
      </x:c>
      <x:c r="C197" s="42" t="str">
        <x:v>BYD Xi'an</x:v>
      </x:c>
      <x:c r="D197" s="42" t="str">
        <x:v>COMP_BYD</x:v>
      </x:c>
      <x:c r="E197" s="42" t="str">
        <x:v>OPERATOR</x:v>
      </x:c>
      <x:c r="F197" s="42"/>
      <x:c r="G197" s="42"/>
      <x:c r="H197" s="42" t="str">
        <x:v>High</x:v>
      </x:c>
      <x:c r="I197" s="42" t="str">
        <x:v>SRC_0095</x:v>
      </x:c>
      <x:c r="J197" s="42" t="str">
        <x:v>Operator field from seeded vessel record.</x:v>
      </x:c>
    </x:row>
    <x:row r="198">
      <x:c r="A198" s="42" t="str">
        <x:v>VREL_000197</x:v>
      </x:c>
      <x:c r="B198" s="42" t="str">
        <x:v>VESSEL_00115</x:v>
      </x:c>
      <x:c r="C198" s="42" t="str">
        <x:v>BYD Changsha</x:v>
      </x:c>
      <x:c r="D198" s="42" t="str">
        <x:v>COMP_BYD</x:v>
      </x:c>
      <x:c r="E198" s="42" t="str">
        <x:v>OWNER</x:v>
      </x:c>
      <x:c r="F198" s="42"/>
      <x:c r="G198" s="42"/>
      <x:c r="H198" s="42" t="str">
        <x:v>High</x:v>
      </x:c>
      <x:c r="I198" s="42" t="str">
        <x:v>SRC_0093</x:v>
      </x:c>
      <x:c r="J198" s="42" t="str">
        <x:v>Owner field from seeded vessel record.</x:v>
      </x:c>
    </x:row>
    <x:row r="199">
      <x:c r="A199" s="42" t="str">
        <x:v>VREL_000198</x:v>
      </x:c>
      <x:c r="B199" s="42" t="str">
        <x:v>VESSEL_00115</x:v>
      </x:c>
      <x:c r="C199" s="42" t="str">
        <x:v>BYD Changsha</x:v>
      </x:c>
      <x:c r="D199" s="42" t="str">
        <x:v>COMP_BYD</x:v>
      </x:c>
      <x:c r="E199" s="42" t="str">
        <x:v>OPERATOR</x:v>
      </x:c>
      <x:c r="F199" s="42"/>
      <x:c r="G199" s="42"/>
      <x:c r="H199" s="42" t="str">
        <x:v>High</x:v>
      </x:c>
      <x:c r="I199" s="42" t="str">
        <x:v>SRC_0093</x:v>
      </x:c>
      <x:c r="J199" s="42" t="str">
        <x:v>Operator field from seeded vessel record.</x:v>
      </x:c>
    </x:row>
    <x:row r="200">
      <x:c r="A200" s="42" t="str">
        <x:v>VREL_000199</x:v>
      </x:c>
      <x:c r="B200" s="42" t="str">
        <x:v>VESSEL_00116</x:v>
      </x:c>
      <x:c r="C200" s="42" t="str">
        <x:v>BYD Jinan</x:v>
      </x:c>
      <x:c r="D200" s="42" t="str">
        <x:v>COMP_BYD</x:v>
      </x:c>
      <x:c r="E200" s="42" t="str">
        <x:v>OWNER</x:v>
      </x:c>
      <x:c r="F200" s="42"/>
      <x:c r="G200" s="42"/>
      <x:c r="H200" s="42" t="str">
        <x:v>High</x:v>
      </x:c>
      <x:c r="I200" s="42" t="str">
        <x:v>SRC_0094</x:v>
      </x:c>
      <x:c r="J200" s="42" t="str">
        <x:v>Owner field from seeded vessel record.</x:v>
      </x:c>
    </x:row>
    <x:row r="201">
      <x:c r="A201" s="42" t="str">
        <x:v>VREL_000200</x:v>
      </x:c>
      <x:c r="B201" s="42" t="str">
        <x:v>VESSEL_00116</x:v>
      </x:c>
      <x:c r="C201" s="42" t="str">
        <x:v>BYD Jinan</x:v>
      </x:c>
      <x:c r="D201" s="42" t="str">
        <x:v>COMP_BYD</x:v>
      </x:c>
      <x:c r="E201" s="42" t="str">
        <x:v>OPERATOR</x:v>
      </x:c>
      <x:c r="F201" s="42"/>
      <x:c r="G201" s="42"/>
      <x:c r="H201" s="42" t="str">
        <x:v>High</x:v>
      </x:c>
      <x:c r="I201" s="42" t="str">
        <x:v>SRC_0094</x:v>
      </x:c>
      <x:c r="J201" s="42" t="str">
        <x:v>Operator field from seeded vessel record.</x:v>
      </x:c>
    </x:row>
    <x:row r="202">
      <x:c r="A202" s="42" t="str">
        <x:v>VREL_000201</x:v>
      </x:c>
      <x:c r="B202" s="42" t="str">
        <x:v>VESSEL_00117</x:v>
      </x:c>
      <x:c r="C202" s="42" t="str">
        <x:v>SINOKOR NIIGATA</x:v>
      </x:c>
      <x:c r="D202" s="42" t="str">
        <x:v>COMP_SINOKOR</x:v>
      </x:c>
      <x:c r="E202" s="42" t="str">
        <x:v>OWNER</x:v>
      </x:c>
      <x:c r="F202" s="42"/>
      <x:c r="G202" s="42"/>
      <x:c r="H202" s="42" t="str">
        <x:v>High</x:v>
      </x:c>
      <x:c r="I202" s="42" t="str">
        <x:v>SRC_0102</x:v>
      </x:c>
      <x:c r="J202" s="42" t="str">
        <x:v>Owner field from seeded vessel record.</x:v>
      </x:c>
    </x:row>
    <x:row r="203">
      <x:c r="A203" s="42" t="str">
        <x:v>VREL_000202</x:v>
      </x:c>
      <x:c r="B203" s="42" t="str">
        <x:v>VESSEL_00117</x:v>
      </x:c>
      <x:c r="C203" s="42" t="str">
        <x:v>SINOKOR NIIGATA</x:v>
      </x:c>
      <x:c r="D203" s="42" t="str">
        <x:v>COMP_SINOKOR</x:v>
      </x:c>
      <x:c r="E203" s="42" t="str">
        <x:v>OPERATOR</x:v>
      </x:c>
      <x:c r="F203" s="42"/>
      <x:c r="G203" s="42"/>
      <x:c r="H203" s="42" t="str">
        <x:v>High</x:v>
      </x:c>
      <x:c r="I203" s="42" t="str">
        <x:v>SRC_0102</x:v>
      </x:c>
      <x:c r="J203" s="42" t="str">
        <x:v>Operator field from seeded vessel record.</x:v>
      </x:c>
    </x:row>
    <x:row r="204">
      <x:c r="A204" s="42" t="str">
        <x:v>VREL_000203</x:v>
      </x:c>
      <x:c r="B204" s="42" t="str">
        <x:v>VESSEL_00118</x:v>
      </x:c>
      <x:c r="C204" s="42" t="str">
        <x:v>MEREDITH VICTORY</x:v>
      </x:c>
      <x:c r="D204" s="42" t="str">
        <x:v>COMP_SINOKOR</x:v>
      </x:c>
      <x:c r="E204" s="42" t="str">
        <x:v>OWNER</x:v>
      </x:c>
      <x:c r="F204" s="42"/>
      <x:c r="G204" s="42"/>
      <x:c r="H204" s="42" t="str">
        <x:v>High</x:v>
      </x:c>
      <x:c r="I204" s="42" t="str">
        <x:v>SRC_0102</x:v>
      </x:c>
      <x:c r="J204" s="42" t="str">
        <x:v>Owner field from seeded vessel record.</x:v>
      </x:c>
    </x:row>
    <x:row r="205">
      <x:c r="A205" s="42" t="str">
        <x:v>VREL_000204</x:v>
      </x:c>
      <x:c r="B205" s="42" t="str">
        <x:v>VESSEL_00118</x:v>
      </x:c>
      <x:c r="C205" s="42" t="str">
        <x:v>MEREDITH VICTORY</x:v>
      </x:c>
      <x:c r="D205" s="42" t="str">
        <x:v>COMP_SINOKOR</x:v>
      </x:c>
      <x:c r="E205" s="42" t="str">
        <x:v>OPERATOR</x:v>
      </x:c>
      <x:c r="F205" s="42"/>
      <x:c r="G205" s="42"/>
      <x:c r="H205" s="42" t="str">
        <x:v>High</x:v>
      </x:c>
      <x:c r="I205" s="42" t="str">
        <x:v>SRC_0102</x:v>
      </x:c>
      <x:c r="J205" s="42" t="str">
        <x:v>Operator field from seeded vessel record.</x:v>
      </x:c>
    </x:row>
    <x:row r="206">
      <x:c r="A206" s="42" t="str">
        <x:v>VREL_000205</x:v>
      </x:c>
      <x:c r="B206" s="42" t="str">
        <x:v>VESSEL_00119</x:v>
      </x:c>
      <x:c r="C206" s="42" t="str">
        <x:v>KOOKYANG SINGAPORE</x:v>
      </x:c>
      <x:c r="D206" s="42" t="str">
        <x:v>COMP_SINOKOR</x:v>
      </x:c>
      <x:c r="E206" s="42" t="str">
        <x:v>OWNER</x:v>
      </x:c>
      <x:c r="F206" s="42"/>
      <x:c r="G206" s="42"/>
      <x:c r="H206" s="42" t="str">
        <x:v>High</x:v>
      </x:c>
      <x:c r="I206" s="42" t="str">
        <x:v>SRC_0102</x:v>
      </x:c>
      <x:c r="J206" s="42" t="str">
        <x:v>Owner field from seeded vessel record.</x:v>
      </x:c>
    </x:row>
    <x:row r="207">
      <x:c r="A207" s="42" t="str">
        <x:v>VREL_000206</x:v>
      </x:c>
      <x:c r="B207" s="42" t="str">
        <x:v>VESSEL_00119</x:v>
      </x:c>
      <x:c r="C207" s="42" t="str">
        <x:v>KOOKYANG SINGAPORE</x:v>
      </x:c>
      <x:c r="D207" s="42" t="str">
        <x:v>COMP_SINOKOR</x:v>
      </x:c>
      <x:c r="E207" s="42" t="str">
        <x:v>OPERATOR</x:v>
      </x:c>
      <x:c r="F207" s="42"/>
      <x:c r="G207" s="42"/>
      <x:c r="H207" s="42" t="str">
        <x:v>High</x:v>
      </x:c>
      <x:c r="I207" s="42" t="str">
        <x:v>SRC_0102</x:v>
      </x:c>
      <x:c r="J207" s="42" t="str">
        <x:v>Operator field from seeded vessel record.</x:v>
      </x:c>
    </x:row>
    <x:row r="208">
      <x:c r="A208" s="42" t="str">
        <x:v>VREL_000207</x:v>
      </x:c>
      <x:c r="B208" s="42" t="str">
        <x:v>VESSEL_00120</x:v>
      </x:c>
      <x:c r="C208" s="42" t="str">
        <x:v>GENEVA QUEEN</x:v>
      </x:c>
      <x:c r="D208" s="42" t="str">
        <x:v>COMP_SINOKOR</x:v>
      </x:c>
      <x:c r="E208" s="42" t="str">
        <x:v>OWNER</x:v>
      </x:c>
      <x:c r="F208" s="42"/>
      <x:c r="G208" s="42"/>
      <x:c r="H208" s="42" t="str">
        <x:v>High</x:v>
      </x:c>
      <x:c r="I208" s="42" t="str">
        <x:v>SRC_0102</x:v>
      </x:c>
      <x:c r="J208" s="42" t="str">
        <x:v>Owner field from seeded vessel record.</x:v>
      </x:c>
    </x:row>
    <x:row r="209">
      <x:c r="A209" s="42" t="str">
        <x:v>VREL_000208</x:v>
      </x:c>
      <x:c r="B209" s="42" t="str">
        <x:v>VESSEL_00120</x:v>
      </x:c>
      <x:c r="C209" s="42" t="str">
        <x:v>GENEVA QUEEN</x:v>
      </x:c>
      <x:c r="D209" s="42" t="str">
        <x:v>COMP_SINOKOR</x:v>
      </x:c>
      <x:c r="E209" s="42" t="str">
        <x:v>OPERATOR</x:v>
      </x:c>
      <x:c r="F209" s="42"/>
      <x:c r="G209" s="42"/>
      <x:c r="H209" s="42" t="str">
        <x:v>High</x:v>
      </x:c>
      <x:c r="I209" s="42" t="str">
        <x:v>SRC_0102</x:v>
      </x:c>
      <x:c r="J209" s="42" t="str">
        <x:v>Operator field from seeded vessel record.</x:v>
      </x:c>
    </x:row>
    <x:row r="210">
      <x:c r="A210" s="42" t="str">
        <x:v>VREL_000209</x:v>
      </x:c>
      <x:c r="B210" s="42" t="str">
        <x:v>VESSEL_00121</x:v>
      </x:c>
      <x:c r="C210" s="42" t="str">
        <x:v>Hakata Voyager</x:v>
      </x:c>
      <x:c r="D210" s="42" t="str">
        <x:v>COMP_SINOKOR</x:v>
      </x:c>
      <x:c r="E210" s="42" t="str">
        <x:v>OWNER</x:v>
      </x:c>
      <x:c r="F210" s="42"/>
      <x:c r="G210" s="42"/>
      <x:c r="H210" s="42" t="str">
        <x:v>High</x:v>
      </x:c>
      <x:c r="I210" s="42" t="str">
        <x:v>SRC_0102</x:v>
      </x:c>
      <x:c r="J210" s="42" t="str">
        <x:v>Owner field from seeded vessel record.</x:v>
      </x:c>
    </x:row>
    <x:row r="211">
      <x:c r="A211" s="42" t="str">
        <x:v>VREL_000210</x:v>
      </x:c>
      <x:c r="B211" s="42" t="str">
        <x:v>VESSEL_00121</x:v>
      </x:c>
      <x:c r="C211" s="42" t="str">
        <x:v>Hakata Voyager</x:v>
      </x:c>
      <x:c r="D211" s="42" t="str">
        <x:v>COMP_SINOKOR</x:v>
      </x:c>
      <x:c r="E211" s="42" t="str">
        <x:v>OPERATOR</x:v>
      </x:c>
      <x:c r="F211" s="42"/>
      <x:c r="G211" s="42"/>
      <x:c r="H211" s="42" t="str">
        <x:v>High</x:v>
      </x:c>
      <x:c r="I211" s="42" t="str">
        <x:v>SRC_0102</x:v>
      </x:c>
      <x:c r="J211" s="42" t="str">
        <x:v>Operator field from seeded vessel record.</x:v>
      </x:c>
    </x:row>
    <x:row r="212">
      <x:c r="A212" s="42" t="str">
        <x:v>VREL_000211</x:v>
      </x:c>
      <x:c r="B212" s="42" t="str">
        <x:v>VESSEL_00122</x:v>
      </x:c>
      <x:c r="C212" s="42" t="str">
        <x:v>Vostochny Voyager</x:v>
      </x:c>
      <x:c r="D212" s="42" t="str">
        <x:v>COMP_SINOKOR</x:v>
      </x:c>
      <x:c r="E212" s="42" t="str">
        <x:v>OWNER</x:v>
      </x:c>
      <x:c r="F212" s="42"/>
      <x:c r="G212" s="42"/>
      <x:c r="H212" s="42" t="str">
        <x:v>High</x:v>
      </x:c>
      <x:c r="I212" s="42" t="str">
        <x:v>SRC_0102</x:v>
      </x:c>
      <x:c r="J212" s="42" t="str">
        <x:v>Owner field from seeded vessel record.</x:v>
      </x:c>
    </x:row>
    <x:row r="213">
      <x:c r="A213" s="42" t="str">
        <x:v>VREL_000212</x:v>
      </x:c>
      <x:c r="B213" s="42" t="str">
        <x:v>VESSEL_00122</x:v>
      </x:c>
      <x:c r="C213" s="42" t="str">
        <x:v>Vostochny Voyager</x:v>
      </x:c>
      <x:c r="D213" s="42" t="str">
        <x:v>COMP_SINOKOR</x:v>
      </x:c>
      <x:c r="E213" s="42" t="str">
        <x:v>OPERATOR</x:v>
      </x:c>
      <x:c r="F213" s="42"/>
      <x:c r="G213" s="42"/>
      <x:c r="H213" s="42" t="str">
        <x:v>High</x:v>
      </x:c>
      <x:c r="I213" s="42" t="str">
        <x:v>SRC_0102</x:v>
      </x:c>
      <x:c r="J213" s="42" t="str">
        <x:v>Operator field from seeded vessel record.</x:v>
      </x:c>
    </x:row>
    <x:row r="214">
      <x:c r="A214" s="42" t="str">
        <x:v>VREL_000213</x:v>
      </x:c>
      <x:c r="B214" s="42" t="str">
        <x:v>VESSEL_00123</x:v>
      </x:c>
      <x:c r="C214" s="42" t="str">
        <x:v>HongKong Voyager</x:v>
      </x:c>
      <x:c r="D214" s="42" t="str">
        <x:v>COMP_SINOKOR</x:v>
      </x:c>
      <x:c r="E214" s="42" t="str">
        <x:v>OWNER</x:v>
      </x:c>
      <x:c r="F214" s="42"/>
      <x:c r="G214" s="42"/>
      <x:c r="H214" s="42" t="str">
        <x:v>High</x:v>
      </x:c>
      <x:c r="I214" s="42" t="str">
        <x:v>SRC_0102</x:v>
      </x:c>
      <x:c r="J214" s="42" t="str">
        <x:v>Owner field from seeded vessel record.</x:v>
      </x:c>
    </x:row>
    <x:row r="215">
      <x:c r="A215" s="42" t="str">
        <x:v>VREL_000214</x:v>
      </x:c>
      <x:c r="B215" s="42" t="str">
        <x:v>VESSEL_00123</x:v>
      </x:c>
      <x:c r="C215" s="42" t="str">
        <x:v>HongKong Voyager</x:v>
      </x:c>
      <x:c r="D215" s="42" t="str">
        <x:v>COMP_SINOKOR</x:v>
      </x:c>
      <x:c r="E215" s="42" t="str">
        <x:v>OPERATOR</x:v>
      </x:c>
      <x:c r="F215" s="42"/>
      <x:c r="G215" s="42"/>
      <x:c r="H215" s="42" t="str">
        <x:v>High</x:v>
      </x:c>
      <x:c r="I215" s="42" t="str">
        <x:v>SRC_0102</x:v>
      </x:c>
      <x:c r="J215" s="42" t="str">
        <x:v>Operator field from seeded vessel record.</x:v>
      </x:c>
    </x:row>
    <x:row r="216">
      <x:c r="A216" s="42" t="str">
        <x:v>VREL_000215</x:v>
      </x:c>
      <x:c r="B216" s="42" t="str">
        <x:v>VESSEL_00124</x:v>
      </x:c>
      <x:c r="C216" s="42" t="str">
        <x:v>Osaka Voyager</x:v>
      </x:c>
      <x:c r="D216" s="42" t="str">
        <x:v>COMP_SINOKOR</x:v>
      </x:c>
      <x:c r="E216" s="42" t="str">
        <x:v>OWNER</x:v>
      </x:c>
      <x:c r="F216" s="42"/>
      <x:c r="G216" s="42"/>
      <x:c r="H216" s="42" t="str">
        <x:v>High</x:v>
      </x:c>
      <x:c r="I216" s="42" t="str">
        <x:v>SRC_0102</x:v>
      </x:c>
      <x:c r="J216" s="42" t="str">
        <x:v>Owner field from seeded vessel record.</x:v>
      </x:c>
    </x:row>
    <x:row r="217">
      <x:c r="A217" s="42" t="str">
        <x:v>VREL_000216</x:v>
      </x:c>
      <x:c r="B217" s="42" t="str">
        <x:v>VESSEL_00124</x:v>
      </x:c>
      <x:c r="C217" s="42" t="str">
        <x:v>Osaka Voyager</x:v>
      </x:c>
      <x:c r="D217" s="42" t="str">
        <x:v>COMP_SINOKOR</x:v>
      </x:c>
      <x:c r="E217" s="42" t="str">
        <x:v>OPERATOR</x:v>
      </x:c>
      <x:c r="F217" s="42"/>
      <x:c r="G217" s="42"/>
      <x:c r="H217" s="42" t="str">
        <x:v>High</x:v>
      </x:c>
      <x:c r="I217" s="42" t="str">
        <x:v>SRC_0102</x:v>
      </x:c>
      <x:c r="J217" s="42" t="str">
        <x:v>Operator field from seeded vessel record.</x:v>
      </x:c>
    </x:row>
    <x:row r="218">
      <x:c r="A218" s="42" t="str">
        <x:v>VREL_000217</x:v>
      </x:c>
      <x:c r="B218" s="42" t="str">
        <x:v>VESSEL_00125</x:v>
      </x:c>
      <x:c r="C218" s="42" t="str">
        <x:v>NAGOYA TRADER</x:v>
      </x:c>
      <x:c r="D218" s="42" t="str">
        <x:v>COMP_SINOKOR</x:v>
      </x:c>
      <x:c r="E218" s="42" t="str">
        <x:v>OWNER</x:v>
      </x:c>
      <x:c r="F218" s="42"/>
      <x:c r="G218" s="42"/>
      <x:c r="H218" s="42" t="str">
        <x:v>High</x:v>
      </x:c>
      <x:c r="I218" s="42" t="str">
        <x:v>SRC_0102</x:v>
      </x:c>
      <x:c r="J218" s="42" t="str">
        <x:v>Owner field from seeded vessel record.</x:v>
      </x:c>
    </x:row>
    <x:row r="219">
      <x:c r="A219" s="42" t="str">
        <x:v>VREL_000218</x:v>
      </x:c>
      <x:c r="B219" s="42" t="str">
        <x:v>VESSEL_00125</x:v>
      </x:c>
      <x:c r="C219" s="42" t="str">
        <x:v>NAGOYA TRADER</x:v>
      </x:c>
      <x:c r="D219" s="42" t="str">
        <x:v>COMP_SINOKOR</x:v>
      </x:c>
      <x:c r="E219" s="42" t="str">
        <x:v>OPERATOR</x:v>
      </x:c>
      <x:c r="F219" s="42"/>
      <x:c r="G219" s="42"/>
      <x:c r="H219" s="42" t="str">
        <x:v>High</x:v>
      </x:c>
      <x:c r="I219" s="42" t="str">
        <x:v>SRC_0102</x:v>
      </x:c>
      <x:c r="J219" s="42" t="str">
        <x:v>Operator field from seeded vessel record.</x:v>
      </x:c>
    </x:row>
    <x:row r="220">
      <x:c r="A220" s="42" t="str">
        <x:v>VREL_000219</x:v>
      </x:c>
      <x:c r="B220" s="42" t="str">
        <x:v>VESSEL_00126</x:v>
      </x:c>
      <x:c r="C220" s="42" t="str">
        <x:v>SAWASDEE PACIFIC</x:v>
      </x:c>
      <x:c r="D220" s="42" t="str">
        <x:v>COMP_SINOKOR</x:v>
      </x:c>
      <x:c r="E220" s="42" t="str">
        <x:v>OWNER</x:v>
      </x:c>
      <x:c r="F220" s="42"/>
      <x:c r="G220" s="42"/>
      <x:c r="H220" s="42" t="str">
        <x:v>High</x:v>
      </x:c>
      <x:c r="I220" s="42" t="str">
        <x:v>SRC_0102</x:v>
      </x:c>
      <x:c r="J220" s="42" t="str">
        <x:v>Owner field from seeded vessel record.</x:v>
      </x:c>
    </x:row>
    <x:row r="221">
      <x:c r="A221" s="42" t="str">
        <x:v>VREL_000220</x:v>
      </x:c>
      <x:c r="B221" s="42" t="str">
        <x:v>VESSEL_00126</x:v>
      </x:c>
      <x:c r="C221" s="42" t="str">
        <x:v>SAWASDEE PACIFIC</x:v>
      </x:c>
      <x:c r="D221" s="42" t="str">
        <x:v>COMP_SINOKOR</x:v>
      </x:c>
      <x:c r="E221" s="42" t="str">
        <x:v>OPERATOR</x:v>
      </x:c>
      <x:c r="F221" s="42"/>
      <x:c r="G221" s="42"/>
      <x:c r="H221" s="42" t="str">
        <x:v>High</x:v>
      </x:c>
      <x:c r="I221" s="42" t="str">
        <x:v>SRC_0102</x:v>
      </x:c>
      <x:c r="J221" s="42" t="str">
        <x:v>Operator field from seeded vessel record.</x:v>
      </x:c>
    </x:row>
    <x:row r="222">
      <x:c r="A222" s="42" t="str">
        <x:v>VREL_000221</x:v>
      </x:c>
      <x:c r="B222" s="42" t="str">
        <x:v>VESSEL_00127</x:v>
      </x:c>
      <x:c r="C222" s="42" t="str">
        <x:v>SAWASDEE ATLANTIC</x:v>
      </x:c>
      <x:c r="D222" s="42" t="str">
        <x:v>COMP_SINOKOR</x:v>
      </x:c>
      <x:c r="E222" s="42" t="str">
        <x:v>OWNER</x:v>
      </x:c>
      <x:c r="F222" s="42"/>
      <x:c r="G222" s="42"/>
      <x:c r="H222" s="42" t="str">
        <x:v>High</x:v>
      </x:c>
      <x:c r="I222" s="42" t="str">
        <x:v>SRC_0102</x:v>
      </x:c>
      <x:c r="J222" s="42" t="str">
        <x:v>Owner field from seeded vessel record.</x:v>
      </x:c>
    </x:row>
    <x:row r="223">
      <x:c r="A223" s="42" t="str">
        <x:v>VREL_000222</x:v>
      </x:c>
      <x:c r="B223" s="42" t="str">
        <x:v>VESSEL_00127</x:v>
      </x:c>
      <x:c r="C223" s="42" t="str">
        <x:v>SAWASDEE ATLANTIC</x:v>
      </x:c>
      <x:c r="D223" s="42" t="str">
        <x:v>COMP_SINOKOR</x:v>
      </x:c>
      <x:c r="E223" s="42" t="str">
        <x:v>OPERATOR</x:v>
      </x:c>
      <x:c r="F223" s="42"/>
      <x:c r="G223" s="42"/>
      <x:c r="H223" s="42" t="str">
        <x:v>High</x:v>
      </x:c>
      <x:c r="I223" s="42" t="str">
        <x:v>SRC_0102</x:v>
      </x:c>
      <x:c r="J223" s="42" t="str">
        <x:v>Operator field from seeded vessel record.</x:v>
      </x:c>
    </x:row>
    <x:row r="224">
      <x:c r="A224" s="42" t="str">
        <x:v>VREL_000223</x:v>
      </x:c>
      <x:c r="B224" s="42" t="str">
        <x:v>VESSEL_00128</x:v>
      </x:c>
      <x:c r="C224" s="42" t="str">
        <x:v>SAWASDEE BALTIC</x:v>
      </x:c>
      <x:c r="D224" s="42" t="str">
        <x:v>COMP_SINOKOR</x:v>
      </x:c>
      <x:c r="E224" s="42" t="str">
        <x:v>OWNER</x:v>
      </x:c>
      <x:c r="F224" s="42"/>
      <x:c r="G224" s="42"/>
      <x:c r="H224" s="42" t="str">
        <x:v>High</x:v>
      </x:c>
      <x:c r="I224" s="42" t="str">
        <x:v>SRC_0102</x:v>
      </x:c>
      <x:c r="J224" s="42" t="str">
        <x:v>Owner field from seeded vessel record.</x:v>
      </x:c>
    </x:row>
    <x:row r="225">
      <x:c r="A225" s="42" t="str">
        <x:v>VREL_000224</x:v>
      </x:c>
      <x:c r="B225" s="42" t="str">
        <x:v>VESSEL_00128</x:v>
      </x:c>
      <x:c r="C225" s="42" t="str">
        <x:v>SAWASDEE BALTIC</x:v>
      </x:c>
      <x:c r="D225" s="42" t="str">
        <x:v>COMP_SINOKOR</x:v>
      </x:c>
      <x:c r="E225" s="42" t="str">
        <x:v>OPERATOR</x:v>
      </x:c>
      <x:c r="F225" s="42"/>
      <x:c r="G225" s="42"/>
      <x:c r="H225" s="42" t="str">
        <x:v>High</x:v>
      </x:c>
      <x:c r="I225" s="42" t="str">
        <x:v>SRC_0102</x:v>
      </x:c>
      <x:c r="J225" s="42" t="str">
        <x:v>Operator field from seeded vessel record.</x:v>
      </x:c>
    </x:row>
    <x:row r="226">
      <x:c r="A226" s="42" t="str">
        <x:v>VREL_000225</x:v>
      </x:c>
      <x:c r="B226" s="42" t="str">
        <x:v>VESSEL_00129</x:v>
      </x:c>
      <x:c r="C226" s="42" t="str">
        <x:v>SAWASDEE SUNRISE</x:v>
      </x:c>
      <x:c r="D226" s="42" t="str">
        <x:v>COMP_SINOKOR</x:v>
      </x:c>
      <x:c r="E226" s="42" t="str">
        <x:v>OWNER</x:v>
      </x:c>
      <x:c r="F226" s="42"/>
      <x:c r="G226" s="42"/>
      <x:c r="H226" s="42" t="str">
        <x:v>High</x:v>
      </x:c>
      <x:c r="I226" s="42" t="str">
        <x:v>SRC_0102</x:v>
      </x:c>
      <x:c r="J226" s="42" t="str">
        <x:v>Owner field from seeded vessel record.</x:v>
      </x:c>
    </x:row>
    <x:row r="227">
      <x:c r="A227" s="42" t="str">
        <x:v>VREL_000226</x:v>
      </x:c>
      <x:c r="B227" s="42" t="str">
        <x:v>VESSEL_00129</x:v>
      </x:c>
      <x:c r="C227" s="42" t="str">
        <x:v>SAWASDEE SUNRISE</x:v>
      </x:c>
      <x:c r="D227" s="42" t="str">
        <x:v>COMP_SINOKOR</x:v>
      </x:c>
      <x:c r="E227" s="42" t="str">
        <x:v>OPERATOR</x:v>
      </x:c>
      <x:c r="F227" s="42"/>
      <x:c r="G227" s="42"/>
      <x:c r="H227" s="42" t="str">
        <x:v>High</x:v>
      </x:c>
      <x:c r="I227" s="42" t="str">
        <x:v>SRC_0102</x:v>
      </x:c>
      <x:c r="J227" s="42" t="str">
        <x:v>Operator field from seeded vessel record.</x:v>
      </x:c>
    </x:row>
    <x:row r="228">
      <x:c r="A228" s="42" t="str">
        <x:v>VREL_000227</x:v>
      </x:c>
      <x:c r="B228" s="42" t="str">
        <x:v>VESSEL_00130</x:v>
      </x:c>
      <x:c r="C228" s="42" t="str">
        <x:v>HOCHIMINH VOYAGER</x:v>
      </x:c>
      <x:c r="D228" s="42" t="str">
        <x:v>COMP_SINOKOR</x:v>
      </x:c>
      <x:c r="E228" s="42" t="str">
        <x:v>OWNER</x:v>
      </x:c>
      <x:c r="F228" s="42"/>
      <x:c r="G228" s="42"/>
      <x:c r="H228" s="42" t="str">
        <x:v>High</x:v>
      </x:c>
      <x:c r="I228" s="42" t="str">
        <x:v>SRC_0102</x:v>
      </x:c>
      <x:c r="J228" s="42" t="str">
        <x:v>Owner field from seeded vessel record.</x:v>
      </x:c>
    </x:row>
    <x:row r="229">
      <x:c r="A229" s="42" t="str">
        <x:v>VREL_000228</x:v>
      </x:c>
      <x:c r="B229" s="42" t="str">
        <x:v>VESSEL_00130</x:v>
      </x:c>
      <x:c r="C229" s="42" t="str">
        <x:v>HOCHIMINH VOYAGER</x:v>
      </x:c>
      <x:c r="D229" s="42" t="str">
        <x:v>COMP_SINOKOR</x:v>
      </x:c>
      <x:c r="E229" s="42" t="str">
        <x:v>OPERATOR</x:v>
      </x:c>
      <x:c r="F229" s="42"/>
      <x:c r="G229" s="42"/>
      <x:c r="H229" s="42" t="str">
        <x:v>High</x:v>
      </x:c>
      <x:c r="I229" s="42" t="str">
        <x:v>SRC_0102</x:v>
      </x:c>
      <x:c r="J229" s="42" t="str">
        <x:v>Operator field from seeded vessel record.</x:v>
      </x:c>
    </x:row>
    <x:row r="230">
      <x:c r="A230" s="42" t="str">
        <x:v>VREL_000229</x:v>
      </x:c>
      <x:c r="B230" s="42" t="str">
        <x:v>VESSEL_00131</x:v>
      </x:c>
      <x:c r="C230" s="42" t="str">
        <x:v>JAKARTA VOYAGER</x:v>
      </x:c>
      <x:c r="D230" s="42" t="str">
        <x:v>COMP_SINOKOR</x:v>
      </x:c>
      <x:c r="E230" s="42" t="str">
        <x:v>OWNER</x:v>
      </x:c>
      <x:c r="F230" s="42"/>
      <x:c r="G230" s="42"/>
      <x:c r="H230" s="42" t="str">
        <x:v>High</x:v>
      </x:c>
      <x:c r="I230" s="42" t="str">
        <x:v>SRC_0102</x:v>
      </x:c>
      <x:c r="J230" s="42" t="str">
        <x:v>Owner field from seeded vessel record.</x:v>
      </x:c>
    </x:row>
    <x:row r="231">
      <x:c r="A231" s="42" t="str">
        <x:v>VREL_000230</x:v>
      </x:c>
      <x:c r="B231" s="42" t="str">
        <x:v>VESSEL_00131</x:v>
      </x:c>
      <x:c r="C231" s="42" t="str">
        <x:v>JAKARTA VOYAGER</x:v>
      </x:c>
      <x:c r="D231" s="42" t="str">
        <x:v>COMP_SINOKOR</x:v>
      </x:c>
      <x:c r="E231" s="42" t="str">
        <x:v>OPERATOR</x:v>
      </x:c>
      <x:c r="F231" s="42"/>
      <x:c r="G231" s="42"/>
      <x:c r="H231" s="42" t="str">
        <x:v>High</x:v>
      </x:c>
      <x:c r="I231" s="42" t="str">
        <x:v>SRC_0102</x:v>
      </x:c>
      <x:c r="J231" s="42" t="str">
        <x:v>Operator field from seeded vessel record.</x:v>
      </x:c>
    </x:row>
    <x:row r="232">
      <x:c r="A232" s="42" t="str">
        <x:v>VREL_000231</x:v>
      </x:c>
      <x:c r="B232" s="42" t="str">
        <x:v>VESSEL_00132</x:v>
      </x:c>
      <x:c r="C232" s="42" t="str">
        <x:v>SHANGHAI VOYAGER</x:v>
      </x:c>
      <x:c r="D232" s="42" t="str">
        <x:v>COMP_SINOKOR</x:v>
      </x:c>
      <x:c r="E232" s="42" t="str">
        <x:v>OWNER</x:v>
      </x:c>
      <x:c r="F232" s="42"/>
      <x:c r="G232" s="42"/>
      <x:c r="H232" s="42" t="str">
        <x:v>High</x:v>
      </x:c>
      <x:c r="I232" s="42" t="str">
        <x:v>SRC_0102</x:v>
      </x:c>
      <x:c r="J232" s="42" t="str">
        <x:v>Owner field from seeded vessel record.</x:v>
      </x:c>
    </x:row>
    <x:row r="233">
      <x:c r="A233" s="42" t="str">
        <x:v>VREL_000232</x:v>
      </x:c>
      <x:c r="B233" s="42" t="str">
        <x:v>VESSEL_00132</x:v>
      </x:c>
      <x:c r="C233" s="42" t="str">
        <x:v>SHANGHAI VOYAGER</x:v>
      </x:c>
      <x:c r="D233" s="42" t="str">
        <x:v>COMP_SINOKOR</x:v>
      </x:c>
      <x:c r="E233" s="42" t="str">
        <x:v>OPERATOR</x:v>
      </x:c>
      <x:c r="F233" s="42"/>
      <x:c r="G233" s="42"/>
      <x:c r="H233" s="42" t="str">
        <x:v>High</x:v>
      </x:c>
      <x:c r="I233" s="42" t="str">
        <x:v>SRC_0102</x:v>
      </x:c>
      <x:c r="J233" s="42" t="str">
        <x:v>Operator field from seeded vessel record.</x:v>
      </x:c>
    </x:row>
    <x:row r="234">
      <x:c r="A234" s="42" t="str">
        <x:v>VREL_000233</x:v>
      </x:c>
      <x:c r="B234" s="42" t="str">
        <x:v>VESSEL_00133</x:v>
      </x:c>
      <x:c r="C234" s="42" t="str">
        <x:v>NINGBO TRADER</x:v>
      </x:c>
      <x:c r="D234" s="42" t="str">
        <x:v>COMP_SINOKOR</x:v>
      </x:c>
      <x:c r="E234" s="42" t="str">
        <x:v>OWNER</x:v>
      </x:c>
      <x:c r="F234" s="42"/>
      <x:c r="G234" s="42"/>
      <x:c r="H234" s="42" t="str">
        <x:v>High</x:v>
      </x:c>
      <x:c r="I234" s="42" t="str">
        <x:v>SRC_0102</x:v>
      </x:c>
      <x:c r="J234" s="42" t="str">
        <x:v>Owner field from seeded vessel record.</x:v>
      </x:c>
    </x:row>
    <x:row r="235">
      <x:c r="A235" s="42" t="str">
        <x:v>VREL_000234</x:v>
      </x:c>
      <x:c r="B235" s="42" t="str">
        <x:v>VESSEL_00133</x:v>
      </x:c>
      <x:c r="C235" s="42" t="str">
        <x:v>NINGBO TRADER</x:v>
      </x:c>
      <x:c r="D235" s="42" t="str">
        <x:v>COMP_SINOKOR</x:v>
      </x:c>
      <x:c r="E235" s="42" t="str">
        <x:v>OPERATOR</x:v>
      </x:c>
      <x:c r="F235" s="42"/>
      <x:c r="G235" s="42"/>
      <x:c r="H235" s="42" t="str">
        <x:v>High</x:v>
      </x:c>
      <x:c r="I235" s="42" t="str">
        <x:v>SRC_0102</x:v>
      </x:c>
      <x:c r="J235" s="42" t="str">
        <x:v>Operator field from seeded vessel record.</x:v>
      </x:c>
    </x:row>
    <x:row r="236">
      <x:c r="A236" s="42" t="str">
        <x:v>VREL_000235</x:v>
      </x:c>
      <x:c r="B236" s="42" t="str">
        <x:v>VESSEL_00134</x:v>
      </x:c>
      <x:c r="C236" s="42" t="str">
        <x:v>YOKOHAMA TRADER</x:v>
      </x:c>
      <x:c r="D236" s="42" t="str">
        <x:v>COMP_SINOKOR</x:v>
      </x:c>
      <x:c r="E236" s="42" t="str">
        <x:v>OWNER</x:v>
      </x:c>
      <x:c r="F236" s="42"/>
      <x:c r="G236" s="42"/>
      <x:c r="H236" s="42" t="str">
        <x:v>High</x:v>
      </x:c>
      <x:c r="I236" s="42" t="str">
        <x:v>SRC_0102</x:v>
      </x:c>
      <x:c r="J236" s="42" t="str">
        <x:v>Owner field from seeded vessel record.</x:v>
      </x:c>
    </x:row>
    <x:row r="237">
      <x:c r="A237" s="42" t="str">
        <x:v>VREL_000236</x:v>
      </x:c>
      <x:c r="B237" s="42" t="str">
        <x:v>VESSEL_00134</x:v>
      </x:c>
      <x:c r="C237" s="42" t="str">
        <x:v>YOKOHAMA TRADER</x:v>
      </x:c>
      <x:c r="D237" s="42" t="str">
        <x:v>COMP_SINOKOR</x:v>
      </x:c>
      <x:c r="E237" s="42" t="str">
        <x:v>OPERATOR</x:v>
      </x:c>
      <x:c r="F237" s="42"/>
      <x:c r="G237" s="42"/>
      <x:c r="H237" s="42" t="str">
        <x:v>High</x:v>
      </x:c>
      <x:c r="I237" s="42" t="str">
        <x:v>SRC_0102</x:v>
      </x:c>
      <x:c r="J237" s="42" t="str">
        <x:v>Operator field from seeded vessel record.</x:v>
      </x:c>
    </x:row>
    <x:row r="238">
      <x:c r="A238" s="42" t="str">
        <x:v>VREL_000237</x:v>
      </x:c>
      <x:c r="B238" s="42" t="str">
        <x:v>VESSEL_00135</x:v>
      </x:c>
      <x:c r="C238" s="42" t="str">
        <x:v>SURABAYA VOYAGER</x:v>
      </x:c>
      <x:c r="D238" s="42" t="str">
        <x:v>COMP_SINOKOR</x:v>
      </x:c>
      <x:c r="E238" s="42" t="str">
        <x:v>OWNER</x:v>
      </x:c>
      <x:c r="F238" s="42"/>
      <x:c r="G238" s="42"/>
      <x:c r="H238" s="42" t="str">
        <x:v>High</x:v>
      </x:c>
      <x:c r="I238" s="42" t="str">
        <x:v>SRC_0102</x:v>
      </x:c>
      <x:c r="J238" s="42" t="str">
        <x:v>Owner field from seeded vessel record.</x:v>
      </x:c>
    </x:row>
    <x:row r="239">
      <x:c r="A239" s="42" t="str">
        <x:v>VREL_000238</x:v>
      </x:c>
      <x:c r="B239" s="42" t="str">
        <x:v>VESSEL_00135</x:v>
      </x:c>
      <x:c r="C239" s="42" t="str">
        <x:v>SURABAYA VOYAGER</x:v>
      </x:c>
      <x:c r="D239" s="42" t="str">
        <x:v>COMP_SINOKOR</x:v>
      </x:c>
      <x:c r="E239" s="42" t="str">
        <x:v>OPERATOR</x:v>
      </x:c>
      <x:c r="F239" s="42"/>
      <x:c r="G239" s="42"/>
      <x:c r="H239" s="42" t="str">
        <x:v>High</x:v>
      </x:c>
      <x:c r="I239" s="42" t="str">
        <x:v>SRC_0102</x:v>
      </x:c>
      <x:c r="J239" s="42" t="str">
        <x:v>Operator field from seeded vessel record.</x:v>
      </x:c>
    </x:row>
    <x:row r="240">
      <x:c r="A240" s="42" t="str">
        <x:v>VREL_000239</x:v>
      </x:c>
      <x:c r="B240" s="42" t="str">
        <x:v>VESSEL_00136</x:v>
      </x:c>
      <x:c r="C240" s="42" t="str">
        <x:v>KOBE TRADER</x:v>
      </x:c>
      <x:c r="D240" s="42" t="str">
        <x:v>COMP_SINOKOR</x:v>
      </x:c>
      <x:c r="E240" s="42" t="str">
        <x:v>OWNER</x:v>
      </x:c>
      <x:c r="F240" s="42"/>
      <x:c r="G240" s="42"/>
      <x:c r="H240" s="42" t="str">
        <x:v>High</x:v>
      </x:c>
      <x:c r="I240" s="42" t="str">
        <x:v>SRC_0102</x:v>
      </x:c>
      <x:c r="J240" s="42" t="str">
        <x:v>Owner field from seeded vessel record.</x:v>
      </x:c>
    </x:row>
    <x:row r="241">
      <x:c r="A241" s="42" t="str">
        <x:v>VREL_000240</x:v>
      </x:c>
      <x:c r="B241" s="42" t="str">
        <x:v>VESSEL_00136</x:v>
      </x:c>
      <x:c r="C241" s="42" t="str">
        <x:v>KOBE TRADER</x:v>
      </x:c>
      <x:c r="D241" s="42" t="str">
        <x:v>COMP_SINOKOR</x:v>
      </x:c>
      <x:c r="E241" s="42" t="str">
        <x:v>OPERATOR</x:v>
      </x:c>
      <x:c r="F241" s="42"/>
      <x:c r="G241" s="42"/>
      <x:c r="H241" s="42" t="str">
        <x:v>High</x:v>
      </x:c>
      <x:c r="I241" s="42" t="str">
        <x:v>SRC_0102</x:v>
      </x:c>
      <x:c r="J241" s="42" t="str">
        <x:v>Operator field from seeded vessel record.</x:v>
      </x:c>
    </x:row>
    <x:row r="242">
      <x:c r="A242" s="42" t="str">
        <x:v>VREL_000241</x:v>
      </x:c>
      <x:c r="B242" s="42" t="str">
        <x:v>VESSEL_00137</x:v>
      </x:c>
      <x:c r="C242" s="42" t="str">
        <x:v>CHENNAI VOYAGER</x:v>
      </x:c>
      <x:c r="D242" s="42" t="str">
        <x:v>COMP_SINOKOR</x:v>
      </x:c>
      <x:c r="E242" s="42" t="str">
        <x:v>OWNER</x:v>
      </x:c>
      <x:c r="F242" s="42"/>
      <x:c r="G242" s="42"/>
      <x:c r="H242" s="42" t="str">
        <x:v>High</x:v>
      </x:c>
      <x:c r="I242" s="42" t="str">
        <x:v>SRC_0102</x:v>
      </x:c>
      <x:c r="J242" s="42" t="str">
        <x:v>Owner field from seeded vessel record.</x:v>
      </x:c>
    </x:row>
    <x:row r="243">
      <x:c r="A243" s="42" t="str">
        <x:v>VREL_000242</x:v>
      </x:c>
      <x:c r="B243" s="42" t="str">
        <x:v>VESSEL_00137</x:v>
      </x:c>
      <x:c r="C243" s="42" t="str">
        <x:v>CHENNAI VOYAGER</x:v>
      </x:c>
      <x:c r="D243" s="42" t="str">
        <x:v>COMP_SINOKOR</x:v>
      </x:c>
      <x:c r="E243" s="42" t="str">
        <x:v>OPERATOR</x:v>
      </x:c>
      <x:c r="F243" s="42"/>
      <x:c r="G243" s="42"/>
      <x:c r="H243" s="42" t="str">
        <x:v>High</x:v>
      </x:c>
      <x:c r="I243" s="42" t="str">
        <x:v>SRC_0102</x:v>
      </x:c>
      <x:c r="J243" s="42" t="str">
        <x:v>Operator field from seeded vessel record.</x:v>
      </x:c>
    </x:row>
    <x:row r="244">
      <x:c r="A244" s="42" t="str">
        <x:v>VREL_000243</x:v>
      </x:c>
      <x:c r="B244" s="42" t="str">
        <x:v>VESSEL_00138</x:v>
      </x:c>
      <x:c r="C244" s="42" t="str">
        <x:v>SENDAI TRADER</x:v>
      </x:c>
      <x:c r="D244" s="42" t="str">
        <x:v>COMP_SINOKOR</x:v>
      </x:c>
      <x:c r="E244" s="42" t="str">
        <x:v>OWNER</x:v>
      </x:c>
      <x:c r="F244" s="42"/>
      <x:c r="G244" s="42"/>
      <x:c r="H244" s="42" t="str">
        <x:v>High</x:v>
      </x:c>
      <x:c r="I244" s="42" t="str">
        <x:v>SRC_0102</x:v>
      </x:c>
      <x:c r="J244" s="42" t="str">
        <x:v>Owner field from seeded vessel record.</x:v>
      </x:c>
    </x:row>
    <x:row r="245">
      <x:c r="A245" s="42" t="str">
        <x:v>VREL_000244</x:v>
      </x:c>
      <x:c r="B245" s="42" t="str">
        <x:v>VESSEL_00138</x:v>
      </x:c>
      <x:c r="C245" s="42" t="str">
        <x:v>SENDAI TRADER</x:v>
      </x:c>
      <x:c r="D245" s="42" t="str">
        <x:v>COMP_SINOKOR</x:v>
      </x:c>
      <x:c r="E245" s="42" t="str">
        <x:v>OPERATOR</x:v>
      </x:c>
      <x:c r="F245" s="42"/>
      <x:c r="G245" s="42"/>
      <x:c r="H245" s="42" t="str">
        <x:v>High</x:v>
      </x:c>
      <x:c r="I245" s="42" t="str">
        <x:v>SRC_0102</x:v>
      </x:c>
      <x:c r="J245" s="42" t="str">
        <x:v>Operator field from seeded vessel record.</x:v>
      </x:c>
    </x:row>
    <x:row r="246">
      <x:c r="A246" s="42" t="str">
        <x:v>VREL_000245</x:v>
      </x:c>
      <x:c r="B246" s="42" t="str">
        <x:v>VESSEL_00139</x:v>
      </x:c>
      <x:c r="C246" s="42" t="str">
        <x:v>QINGDAO TRADER</x:v>
      </x:c>
      <x:c r="D246" s="42" t="str">
        <x:v>COMP_SINOKOR</x:v>
      </x:c>
      <x:c r="E246" s="42" t="str">
        <x:v>OWNER</x:v>
      </x:c>
      <x:c r="F246" s="42"/>
      <x:c r="G246" s="42"/>
      <x:c r="H246" s="42" t="str">
        <x:v>High</x:v>
      </x:c>
      <x:c r="I246" s="42" t="str">
        <x:v>SRC_0102</x:v>
      </x:c>
      <x:c r="J246" s="42" t="str">
        <x:v>Owner field from seeded vessel record.</x:v>
      </x:c>
    </x:row>
    <x:row r="247">
      <x:c r="A247" s="42" t="str">
        <x:v>VREL_000246</x:v>
      </x:c>
      <x:c r="B247" s="42" t="str">
        <x:v>VESSEL_00139</x:v>
      </x:c>
      <x:c r="C247" s="42" t="str">
        <x:v>QINGDAO TRADER</x:v>
      </x:c>
      <x:c r="D247" s="42" t="str">
        <x:v>COMP_SINOKOR</x:v>
      </x:c>
      <x:c r="E247" s="42" t="str">
        <x:v>OPERATOR</x:v>
      </x:c>
      <x:c r="F247" s="42"/>
      <x:c r="G247" s="42"/>
      <x:c r="H247" s="42" t="str">
        <x:v>High</x:v>
      </x:c>
      <x:c r="I247" s="42" t="str">
        <x:v>SRC_0102</x:v>
      </x:c>
      <x:c r="J247" s="42" t="str">
        <x:v>Operator field from seeded vessel record.</x:v>
      </x:c>
    </x:row>
    <x:row r="248">
      <x:c r="A248" s="42" t="str">
        <x:v>VREL_000247</x:v>
      </x:c>
      <x:c r="B248" s="42" t="str">
        <x:v>VESSEL_00140</x:v>
      </x:c>
      <x:c r="C248" s="42" t="str">
        <x:v>YANGTZE TRADER</x:v>
      </x:c>
      <x:c r="D248" s="42" t="str">
        <x:v>COMP_SINOKOR</x:v>
      </x:c>
      <x:c r="E248" s="42" t="str">
        <x:v>OWNER</x:v>
      </x:c>
      <x:c r="F248" s="42"/>
      <x:c r="G248" s="42"/>
      <x:c r="H248" s="42" t="str">
        <x:v>High</x:v>
      </x:c>
      <x:c r="I248" s="42" t="str">
        <x:v>SRC_0102</x:v>
      </x:c>
      <x:c r="J248" s="42" t="str">
        <x:v>Owner field from seeded vessel record.</x:v>
      </x:c>
    </x:row>
    <x:row r="249">
      <x:c r="A249" s="42" t="str">
        <x:v>VREL_000248</x:v>
      </x:c>
      <x:c r="B249" s="42" t="str">
        <x:v>VESSEL_00140</x:v>
      </x:c>
      <x:c r="C249" s="42" t="str">
        <x:v>YANGTZE TRADER</x:v>
      </x:c>
      <x:c r="D249" s="42" t="str">
        <x:v>COMP_SINOKOR</x:v>
      </x:c>
      <x:c r="E249" s="42" t="str">
        <x:v>OPERATOR</x:v>
      </x:c>
      <x:c r="F249" s="42"/>
      <x:c r="G249" s="42"/>
      <x:c r="H249" s="42" t="str">
        <x:v>High</x:v>
      </x:c>
      <x:c r="I249" s="42" t="str">
        <x:v>SRC_0102</x:v>
      </x:c>
      <x:c r="J249" s="42" t="str">
        <x:v>Operator field from seeded vessel record.</x:v>
      </x:c>
    </x:row>
    <x:row r="250">
      <x:c r="A250" s="42" t="str">
        <x:v>VREL_000249</x:v>
      </x:c>
      <x:c r="B250" s="42" t="str">
        <x:v>VESSEL_00141</x:v>
      </x:c>
      <x:c r="C250" s="42" t="str">
        <x:v>NO.2 OCEAN PIONEER</x:v>
      </x:c>
      <x:c r="D250" s="42" t="str">
        <x:v>COMP_SINOKOR</x:v>
      </x:c>
      <x:c r="E250" s="42" t="str">
        <x:v>OWNER</x:v>
      </x:c>
      <x:c r="F250" s="42"/>
      <x:c r="G250" s="42"/>
      <x:c r="H250" s="42" t="str">
        <x:v>High</x:v>
      </x:c>
      <x:c r="I250" s="42" t="str">
        <x:v>SRC_0102</x:v>
      </x:c>
      <x:c r="J250" s="42" t="str">
        <x:v>Owner field from seeded vessel record.</x:v>
      </x:c>
    </x:row>
    <x:row r="251">
      <x:c r="A251" s="42" t="str">
        <x:v>VREL_000250</x:v>
      </x:c>
      <x:c r="B251" s="42" t="str">
        <x:v>VESSEL_00141</x:v>
      </x:c>
      <x:c r="C251" s="42" t="str">
        <x:v>NO.2 OCEAN PIONEER</x:v>
      </x:c>
      <x:c r="D251" s="42" t="str">
        <x:v>COMP_SINOKOR</x:v>
      </x:c>
      <x:c r="E251" s="42" t="str">
        <x:v>OPERATOR</x:v>
      </x:c>
      <x:c r="F251" s="42"/>
      <x:c r="G251" s="42"/>
      <x:c r="H251" s="42" t="str">
        <x:v>High</x:v>
      </x:c>
      <x:c r="I251" s="42" t="str">
        <x:v>SRC_0102</x:v>
      </x:c>
      <x:c r="J251" s="42" t="str">
        <x:v>Operator field from seeded vessel record.</x:v>
      </x:c>
    </x:row>
    <x:row r="252">
      <x:c r="A252" s="42" t="str">
        <x:v>VREL_000251</x:v>
      </x:c>
      <x:c r="B252" s="42" t="str">
        <x:v>VESSEL_00142</x:v>
      </x:c>
      <x:c r="C252" s="42" t="str">
        <x:v>OCEAN PIONEER</x:v>
      </x:c>
      <x:c r="D252" s="42" t="str">
        <x:v>COMP_SINOKOR</x:v>
      </x:c>
      <x:c r="E252" s="42" t="str">
        <x:v>OWNER</x:v>
      </x:c>
      <x:c r="F252" s="42"/>
      <x:c r="G252" s="42"/>
      <x:c r="H252" s="42" t="str">
        <x:v>High</x:v>
      </x:c>
      <x:c r="I252" s="42" t="str">
        <x:v>SRC_0102</x:v>
      </x:c>
      <x:c r="J252" s="42" t="str">
        <x:v>Owner field from seeded vessel record.</x:v>
      </x:c>
    </x:row>
    <x:row r="253">
      <x:c r="A253" s="42" t="str">
        <x:v>VREL_000252</x:v>
      </x:c>
      <x:c r="B253" s="42" t="str">
        <x:v>VESSEL_00142</x:v>
      </x:c>
      <x:c r="C253" s="42" t="str">
        <x:v>OCEAN PIONEER</x:v>
      </x:c>
      <x:c r="D253" s="42" t="str">
        <x:v>COMP_SINOKOR</x:v>
      </x:c>
      <x:c r="E253" s="42" t="str">
        <x:v>OPERATOR</x:v>
      </x:c>
      <x:c r="F253" s="42"/>
      <x:c r="G253" s="42"/>
      <x:c r="H253" s="42" t="str">
        <x:v>High</x:v>
      </x:c>
      <x:c r="I253" s="42" t="str">
        <x:v>SRC_0102</x:v>
      </x:c>
      <x:c r="J253" s="42" t="str">
        <x:v>Operator field from seeded vessel record.</x:v>
      </x:c>
    </x:row>
    <x:row r="254">
      <x:c r="A254" s="42" t="str">
        <x:v>VREL_000253</x:v>
      </x:c>
      <x:c r="B254" s="42" t="str">
        <x:v>VESSEL_00143</x:v>
      </x:c>
      <x:c r="C254" s="42" t="str">
        <x:v>SAWASDEE CHITTAGONG</x:v>
      </x:c>
      <x:c r="D254" s="42" t="str">
        <x:v>COMP_SINOKOR</x:v>
      </x:c>
      <x:c r="E254" s="42" t="str">
        <x:v>OWNER</x:v>
      </x:c>
      <x:c r="F254" s="42"/>
      <x:c r="G254" s="42"/>
      <x:c r="H254" s="42" t="str">
        <x:v>High</x:v>
      </x:c>
      <x:c r="I254" s="42" t="str">
        <x:v>SRC_0102</x:v>
      </x:c>
      <x:c r="J254" s="42" t="str">
        <x:v>Owner field from seeded vessel record.</x:v>
      </x:c>
    </x:row>
    <x:row r="255">
      <x:c r="A255" s="42" t="str">
        <x:v>VREL_000254</x:v>
      </x:c>
      <x:c r="B255" s="42" t="str">
        <x:v>VESSEL_00143</x:v>
      </x:c>
      <x:c r="C255" s="42" t="str">
        <x:v>SAWASDEE CHITTAGONG</x:v>
      </x:c>
      <x:c r="D255" s="42" t="str">
        <x:v>COMP_SINOKOR</x:v>
      </x:c>
      <x:c r="E255" s="42" t="str">
        <x:v>OPERATOR</x:v>
      </x:c>
      <x:c r="F255" s="42"/>
      <x:c r="G255" s="42"/>
      <x:c r="H255" s="42" t="str">
        <x:v>High</x:v>
      </x:c>
      <x:c r="I255" s="42" t="str">
        <x:v>SRC_0102</x:v>
      </x:c>
      <x:c r="J255" s="42" t="str">
        <x:v>Operator field from seeded vessel record.</x:v>
      </x:c>
    </x:row>
    <x:row r="256">
      <x:c r="A256" s="42" t="str">
        <x:v>VREL_000255</x:v>
      </x:c>
      <x:c r="B256" s="42" t="str">
        <x:v>VESSEL_00144</x:v>
      </x:c>
      <x:c r="C256" s="42" t="str">
        <x:v>SAWASDEE SHANGHAI</x:v>
      </x:c>
      <x:c r="D256" s="42" t="str">
        <x:v>COMP_SINOKOR</x:v>
      </x:c>
      <x:c r="E256" s="42" t="str">
        <x:v>OWNER</x:v>
      </x:c>
      <x:c r="F256" s="42"/>
      <x:c r="G256" s="42"/>
      <x:c r="H256" s="42" t="str">
        <x:v>High</x:v>
      </x:c>
      <x:c r="I256" s="42" t="str">
        <x:v>SRC_0102</x:v>
      </x:c>
      <x:c r="J256" s="42" t="str">
        <x:v>Owner field from seeded vessel record.</x:v>
      </x:c>
    </x:row>
    <x:row r="257">
      <x:c r="A257" s="42" t="str">
        <x:v>VREL_000256</x:v>
      </x:c>
      <x:c r="B257" s="42" t="str">
        <x:v>VESSEL_00144</x:v>
      </x:c>
      <x:c r="C257" s="42" t="str">
        <x:v>SAWASDEE SHANGHAI</x:v>
      </x:c>
      <x:c r="D257" s="42" t="str">
        <x:v>COMP_SINOKOR</x:v>
      </x:c>
      <x:c r="E257" s="42" t="str">
        <x:v>OPERATOR</x:v>
      </x:c>
      <x:c r="F257" s="42"/>
      <x:c r="G257" s="42"/>
      <x:c r="H257" s="42" t="str">
        <x:v>High</x:v>
      </x:c>
      <x:c r="I257" s="42" t="str">
        <x:v>SRC_0102</x:v>
      </x:c>
      <x:c r="J257" s="42" t="str">
        <x:v>Operator field from seeded vessel record.</x:v>
      </x:c>
    </x:row>
    <x:row r="258">
      <x:c r="A258" s="42" t="str">
        <x:v>VREL_000257</x:v>
      </x:c>
      <x:c r="B258" s="42" t="str">
        <x:v>VESSEL_00145</x:v>
      </x:c>
      <x:c r="C258" s="42" t="str">
        <x:v>SAWASDEE XIAMEN</x:v>
      </x:c>
      <x:c r="D258" s="42" t="str">
        <x:v>COMP_SINOKOR</x:v>
      </x:c>
      <x:c r="E258" s="42" t="str">
        <x:v>OWNER</x:v>
      </x:c>
      <x:c r="F258" s="42"/>
      <x:c r="G258" s="42"/>
      <x:c r="H258" s="42" t="str">
        <x:v>High</x:v>
      </x:c>
      <x:c r="I258" s="42" t="str">
        <x:v>SRC_0102</x:v>
      </x:c>
      <x:c r="J258" s="42" t="str">
        <x:v>Owner field from seeded vessel record.</x:v>
      </x:c>
    </x:row>
    <x:row r="259">
      <x:c r="A259" s="42" t="str">
        <x:v>VREL_000258</x:v>
      </x:c>
      <x:c r="B259" s="42" t="str">
        <x:v>VESSEL_00145</x:v>
      </x:c>
      <x:c r="C259" s="42" t="str">
        <x:v>SAWASDEE XIAMEN</x:v>
      </x:c>
      <x:c r="D259" s="42" t="str">
        <x:v>COMP_SINOKOR</x:v>
      </x:c>
      <x:c r="E259" s="42" t="str">
        <x:v>OPERATOR</x:v>
      </x:c>
      <x:c r="F259" s="42"/>
      <x:c r="G259" s="42"/>
      <x:c r="H259" s="42" t="str">
        <x:v>High</x:v>
      </x:c>
      <x:c r="I259" s="42" t="str">
        <x:v>SRC_0102</x:v>
      </x:c>
      <x:c r="J259" s="42" t="str">
        <x:v>Operator field from seeded vessel record.</x:v>
      </x:c>
    </x:row>
    <x:row r="260">
      <x:c r="A260" s="42" t="str">
        <x:v>VREL_000259</x:v>
      </x:c>
      <x:c r="B260" s="42" t="str">
        <x:v>VESSEL_00146</x:v>
      </x:c>
      <x:c r="C260" s="42" t="str">
        <x:v>SAWASDEE INCHEON</x:v>
      </x:c>
      <x:c r="D260" s="42" t="str">
        <x:v>COMP_SINOKOR</x:v>
      </x:c>
      <x:c r="E260" s="42" t="str">
        <x:v>OWNER</x:v>
      </x:c>
      <x:c r="F260" s="42"/>
      <x:c r="G260" s="42"/>
      <x:c r="H260" s="42" t="str">
        <x:v>High</x:v>
      </x:c>
      <x:c r="I260" s="42" t="str">
        <x:v>SRC_0102</x:v>
      </x:c>
      <x:c r="J260" s="42" t="str">
        <x:v>Owner field from seeded vessel record.</x:v>
      </x:c>
    </x:row>
    <x:row r="261">
      <x:c r="A261" s="42" t="str">
        <x:v>VREL_000260</x:v>
      </x:c>
      <x:c r="B261" s="42" t="str">
        <x:v>VESSEL_00146</x:v>
      </x:c>
      <x:c r="C261" s="42" t="str">
        <x:v>SAWASDEE INCHEON</x:v>
      </x:c>
      <x:c r="D261" s="42" t="str">
        <x:v>COMP_SINOKOR</x:v>
      </x:c>
      <x:c r="E261" s="42" t="str">
        <x:v>OPERATOR</x:v>
      </x:c>
      <x:c r="F261" s="42"/>
      <x:c r="G261" s="42"/>
      <x:c r="H261" s="42" t="str">
        <x:v>High</x:v>
      </x:c>
      <x:c r="I261" s="42" t="str">
        <x:v>SRC_0102</x:v>
      </x:c>
      <x:c r="J261" s="42" t="str">
        <x:v>Operator field from seeded vessel record.</x:v>
      </x:c>
    </x:row>
    <x:row r="262">
      <x:c r="A262" s="42" t="str">
        <x:v>VREL_000261</x:v>
      </x:c>
      <x:c r="B262" s="42" t="str">
        <x:v>VESSEL_00147</x:v>
      </x:c>
      <x:c r="C262" s="42" t="str">
        <x:v>SAWASDEE SIRIUS</x:v>
      </x:c>
      <x:c r="D262" s="42" t="str">
        <x:v>COMP_SINOKOR</x:v>
      </x:c>
      <x:c r="E262" s="42" t="str">
        <x:v>OWNER</x:v>
      </x:c>
      <x:c r="F262" s="42"/>
      <x:c r="G262" s="42"/>
      <x:c r="H262" s="42" t="str">
        <x:v>High</x:v>
      </x:c>
      <x:c r="I262" s="42" t="str">
        <x:v>SRC_0102</x:v>
      </x:c>
      <x:c r="J262" s="42" t="str">
        <x:v>Owner field from seeded vessel record.</x:v>
      </x:c>
    </x:row>
    <x:row r="263">
      <x:c r="A263" s="42" t="str">
        <x:v>VREL_000262</x:v>
      </x:c>
      <x:c r="B263" s="42" t="str">
        <x:v>VESSEL_00147</x:v>
      </x:c>
      <x:c r="C263" s="42" t="str">
        <x:v>SAWASDEE SIRIUS</x:v>
      </x:c>
      <x:c r="D263" s="42" t="str">
        <x:v>COMP_SINOKOR</x:v>
      </x:c>
      <x:c r="E263" s="42" t="str">
        <x:v>OPERATOR</x:v>
      </x:c>
      <x:c r="F263" s="42"/>
      <x:c r="G263" s="42"/>
      <x:c r="H263" s="42" t="str">
        <x:v>High</x:v>
      </x:c>
      <x:c r="I263" s="42" t="str">
        <x:v>SRC_0102</x:v>
      </x:c>
      <x:c r="J263" s="42" t="str">
        <x:v>Operator field from seeded vessel record.</x:v>
      </x:c>
    </x:row>
    <x:row r="264">
      <x:c r="A264" s="42" t="str">
        <x:v>VREL_000263</x:v>
      </x:c>
      <x:c r="B264" s="42" t="str">
        <x:v>VESSEL_00148</x:v>
      </x:c>
      <x:c r="C264" s="42" t="str">
        <x:v>SAWASDEE VEGA</x:v>
      </x:c>
      <x:c r="D264" s="42" t="str">
        <x:v>COMP_SINOKOR</x:v>
      </x:c>
      <x:c r="E264" s="42" t="str">
        <x:v>OWNER</x:v>
      </x:c>
      <x:c r="F264" s="42"/>
      <x:c r="G264" s="42"/>
      <x:c r="H264" s="42" t="str">
        <x:v>High</x:v>
      </x:c>
      <x:c r="I264" s="42" t="str">
        <x:v>SRC_0102</x:v>
      </x:c>
      <x:c r="J264" s="42" t="str">
        <x:v>Owner field from seeded vessel record.</x:v>
      </x:c>
    </x:row>
    <x:row r="265">
      <x:c r="A265" s="42" t="str">
        <x:v>VREL_000264</x:v>
      </x:c>
      <x:c r="B265" s="42" t="str">
        <x:v>VESSEL_00148</x:v>
      </x:c>
      <x:c r="C265" s="42" t="str">
        <x:v>SAWASDEE VEGA</x:v>
      </x:c>
      <x:c r="D265" s="42" t="str">
        <x:v>COMP_SINOKOR</x:v>
      </x:c>
      <x:c r="E265" s="42" t="str">
        <x:v>OPERATOR</x:v>
      </x:c>
      <x:c r="F265" s="42"/>
      <x:c r="G265" s="42"/>
      <x:c r="H265" s="42" t="str">
        <x:v>High</x:v>
      </x:c>
      <x:c r="I265" s="42" t="str">
        <x:v>SRC_0102</x:v>
      </x:c>
      <x:c r="J265" s="42" t="str">
        <x:v>Operator field from seeded vessel record.</x:v>
      </x:c>
    </x:row>
    <x:row r="266">
      <x:c r="A266" s="42" t="str">
        <x:v>VREL_000265</x:v>
      </x:c>
      <x:c r="B266" s="42" t="str">
        <x:v>VESSEL_00149</x:v>
      </x:c>
      <x:c r="C266" s="42" t="str">
        <x:v>SAWASDEE CAPELLA</x:v>
      </x:c>
      <x:c r="D266" s="42" t="str">
        <x:v>COMP_SINOKOR</x:v>
      </x:c>
      <x:c r="E266" s="42" t="str">
        <x:v>OWNER</x:v>
      </x:c>
      <x:c r="F266" s="42"/>
      <x:c r="G266" s="42"/>
      <x:c r="H266" s="42" t="str">
        <x:v>High</x:v>
      </x:c>
      <x:c r="I266" s="42" t="str">
        <x:v>SRC_0102</x:v>
      </x:c>
      <x:c r="J266" s="42" t="str">
        <x:v>Owner field from seeded vessel record.</x:v>
      </x:c>
    </x:row>
    <x:row r="267">
      <x:c r="A267" s="42" t="str">
        <x:v>VREL_000266</x:v>
      </x:c>
      <x:c r="B267" s="42" t="str">
        <x:v>VESSEL_00149</x:v>
      </x:c>
      <x:c r="C267" s="42" t="str">
        <x:v>SAWASDEE CAPELLA</x:v>
      </x:c>
      <x:c r="D267" s="42" t="str">
        <x:v>COMP_SINOKOR</x:v>
      </x:c>
      <x:c r="E267" s="42" t="str">
        <x:v>OPERATOR</x:v>
      </x:c>
      <x:c r="F267" s="42"/>
      <x:c r="G267" s="42"/>
      <x:c r="H267" s="42" t="str">
        <x:v>High</x:v>
      </x:c>
      <x:c r="I267" s="42" t="str">
        <x:v>SRC_0102</x:v>
      </x:c>
      <x:c r="J267" s="42" t="str">
        <x:v>Operator field from seeded vessel record.</x:v>
      </x:c>
    </x:row>
    <x:row r="268">
      <x:c r="A268" s="42" t="str">
        <x:v>VREL_000267</x:v>
      </x:c>
      <x:c r="B268" s="42" t="str">
        <x:v>VESSEL_00150</x:v>
      </x:c>
      <x:c r="C268" s="42" t="str">
        <x:v>SAWASDEE RIGEL</x:v>
      </x:c>
      <x:c r="D268" s="42" t="str">
        <x:v>COMP_SINOKOR</x:v>
      </x:c>
      <x:c r="E268" s="42" t="str">
        <x:v>OWNER</x:v>
      </x:c>
      <x:c r="F268" s="42"/>
      <x:c r="G268" s="42"/>
      <x:c r="H268" s="42" t="str">
        <x:v>High</x:v>
      </x:c>
      <x:c r="I268" s="42" t="str">
        <x:v>SRC_0102</x:v>
      </x:c>
      <x:c r="J268" s="42" t="str">
        <x:v>Owner field from seeded vessel record.</x:v>
      </x:c>
    </x:row>
    <x:row r="269">
      <x:c r="A269" s="42" t="str">
        <x:v>VREL_000268</x:v>
      </x:c>
      <x:c r="B269" s="42" t="str">
        <x:v>VESSEL_00150</x:v>
      </x:c>
      <x:c r="C269" s="42" t="str">
        <x:v>SAWASDEE RIGEL</x:v>
      </x:c>
      <x:c r="D269" s="42" t="str">
        <x:v>COMP_SINOKOR</x:v>
      </x:c>
      <x:c r="E269" s="42" t="str">
        <x:v>OPERATOR</x:v>
      </x:c>
      <x:c r="F269" s="42"/>
      <x:c r="G269" s="42"/>
      <x:c r="H269" s="42" t="str">
        <x:v>High</x:v>
      </x:c>
      <x:c r="I269" s="42" t="str">
        <x:v>SRC_0102</x:v>
      </x:c>
      <x:c r="J269" s="42" t="str">
        <x:v>Operator field from seeded vessel record.</x:v>
      </x:c>
    </x:row>
    <x:row r="270">
      <x:c r="A270" s="42" t="str">
        <x:v>VREL_000269</x:v>
      </x:c>
      <x:c r="B270" s="42" t="str">
        <x:v>VESSEL_00151</x:v>
      </x:c>
      <x:c r="C270" s="42" t="str">
        <x:v>SAWASDEE ALTAIR</x:v>
      </x:c>
      <x:c r="D270" s="42" t="str">
        <x:v>COMP_SINOKOR</x:v>
      </x:c>
      <x:c r="E270" s="42" t="str">
        <x:v>OWNER</x:v>
      </x:c>
      <x:c r="F270" s="42"/>
      <x:c r="G270" s="42"/>
      <x:c r="H270" s="42" t="str">
        <x:v>High</x:v>
      </x:c>
      <x:c r="I270" s="42" t="str">
        <x:v>SRC_0102</x:v>
      </x:c>
      <x:c r="J270" s="42" t="str">
        <x:v>Owner field from seeded vessel record.</x:v>
      </x:c>
    </x:row>
    <x:row r="271">
      <x:c r="A271" s="42" t="str">
        <x:v>VREL_000270</x:v>
      </x:c>
      <x:c r="B271" s="42" t="str">
        <x:v>VESSEL_00151</x:v>
      </x:c>
      <x:c r="C271" s="42" t="str">
        <x:v>SAWASDEE ALTAIR</x:v>
      </x:c>
      <x:c r="D271" s="42" t="str">
        <x:v>COMP_SINOKOR</x:v>
      </x:c>
      <x:c r="E271" s="42" t="str">
        <x:v>OPERATOR</x:v>
      </x:c>
      <x:c r="F271" s="42"/>
      <x:c r="G271" s="42"/>
      <x:c r="H271" s="42" t="str">
        <x:v>High</x:v>
      </x:c>
      <x:c r="I271" s="42" t="str">
        <x:v>SRC_0102</x:v>
      </x:c>
      <x:c r="J271" s="42" t="str">
        <x:v>Operator field from seeded vessel record.</x:v>
      </x:c>
    </x:row>
    <x:row r="272">
      <x:c r="A272" s="42" t="str">
        <x:v>VREL_000271</x:v>
      </x:c>
      <x:c r="B272" s="42" t="str">
        <x:v>VESSEL_00152</x:v>
      </x:c>
      <x:c r="C272" s="42" t="str">
        <x:v>SAWASDEE SPICA</x:v>
      </x:c>
      <x:c r="D272" s="42" t="str">
        <x:v>COMP_SINOKOR</x:v>
      </x:c>
      <x:c r="E272" s="42" t="str">
        <x:v>OWNER</x:v>
      </x:c>
      <x:c r="F272" s="42"/>
      <x:c r="G272" s="42"/>
      <x:c r="H272" s="42" t="str">
        <x:v>High</x:v>
      </x:c>
      <x:c r="I272" s="42" t="str">
        <x:v>SRC_0102</x:v>
      </x:c>
      <x:c r="J272" s="42" t="str">
        <x:v>Owner field from seeded vessel record.</x:v>
      </x:c>
    </x:row>
    <x:row r="273">
      <x:c r="A273" s="42" t="str">
        <x:v>VREL_000272</x:v>
      </x:c>
      <x:c r="B273" s="42" t="str">
        <x:v>VESSEL_00152</x:v>
      </x:c>
      <x:c r="C273" s="42" t="str">
        <x:v>SAWASDEE SPICA</x:v>
      </x:c>
      <x:c r="D273" s="42" t="str">
        <x:v>COMP_SINOKOR</x:v>
      </x:c>
      <x:c r="E273" s="42" t="str">
        <x:v>OPERATOR</x:v>
      </x:c>
      <x:c r="F273" s="42"/>
      <x:c r="G273" s="42"/>
      <x:c r="H273" s="42" t="str">
        <x:v>High</x:v>
      </x:c>
      <x:c r="I273" s="42" t="str">
        <x:v>SRC_0102</x:v>
      </x:c>
      <x:c r="J273" s="42" t="str">
        <x:v>Operator field from seeded vessel record.</x:v>
      </x:c>
    </x:row>
    <x:row r="274">
      <x:c r="A274" s="42" t="str">
        <x:v>VREL_000273</x:v>
      </x:c>
      <x:c r="B274" s="42" t="str">
        <x:v>VESSEL_00153</x:v>
      </x:c>
      <x:c r="C274" s="42" t="str">
        <x:v>SAWASDEE DENEB</x:v>
      </x:c>
      <x:c r="D274" s="42" t="str">
        <x:v>COMP_SINOKOR</x:v>
      </x:c>
      <x:c r="E274" s="42" t="str">
        <x:v>OWNER</x:v>
      </x:c>
      <x:c r="F274" s="42"/>
      <x:c r="G274" s="42"/>
      <x:c r="H274" s="42" t="str">
        <x:v>High</x:v>
      </x:c>
      <x:c r="I274" s="42" t="str">
        <x:v>SRC_0102</x:v>
      </x:c>
      <x:c r="J274" s="42" t="str">
        <x:v>Owner field from seeded vessel record.</x:v>
      </x:c>
    </x:row>
    <x:row r="275">
      <x:c r="A275" s="42" t="str">
        <x:v>VREL_000274</x:v>
      </x:c>
      <x:c r="B275" s="42" t="str">
        <x:v>VESSEL_00153</x:v>
      </x:c>
      <x:c r="C275" s="42" t="str">
        <x:v>SAWASDEE DENEB</x:v>
      </x:c>
      <x:c r="D275" s="42" t="str">
        <x:v>COMP_SINOKOR</x:v>
      </x:c>
      <x:c r="E275" s="42" t="str">
        <x:v>OPERATOR</x:v>
      </x:c>
      <x:c r="F275" s="42"/>
      <x:c r="G275" s="42"/>
      <x:c r="H275" s="42" t="str">
        <x:v>High</x:v>
      </x:c>
      <x:c r="I275" s="42" t="str">
        <x:v>SRC_0102</x:v>
      </x:c>
      <x:c r="J275" s="42" t="str">
        <x:v>Operator field from seeded vessel record.</x:v>
      </x:c>
    </x:row>
    <x:row r="276">
      <x:c r="A276" s="42" t="str">
        <x:v>VREL_000275</x:v>
      </x:c>
      <x:c r="B276" s="42" t="str">
        <x:v>VESSEL_00154</x:v>
      </x:c>
      <x:c r="C276" s="42" t="str">
        <x:v>YEOSU VOYAGER</x:v>
      </x:c>
      <x:c r="D276" s="42" t="str">
        <x:v>COMP_SINOKOR</x:v>
      </x:c>
      <x:c r="E276" s="42" t="str">
        <x:v>OWNER</x:v>
      </x:c>
      <x:c r="F276" s="42"/>
      <x:c r="G276" s="42"/>
      <x:c r="H276" s="42" t="str">
        <x:v>High</x:v>
      </x:c>
      <x:c r="I276" s="42" t="str">
        <x:v>SRC_0102</x:v>
      </x:c>
      <x:c r="J276" s="42" t="str">
        <x:v>Owner field from seeded vessel record.</x:v>
      </x:c>
    </x:row>
    <x:row r="277">
      <x:c r="A277" s="42" t="str">
        <x:v>VREL_000276</x:v>
      </x:c>
      <x:c r="B277" s="42" t="str">
        <x:v>VESSEL_00154</x:v>
      </x:c>
      <x:c r="C277" s="42" t="str">
        <x:v>YEOSU VOYAGER</x:v>
      </x:c>
      <x:c r="D277" s="42" t="str">
        <x:v>COMP_SINOKOR</x:v>
      </x:c>
      <x:c r="E277" s="42" t="str">
        <x:v>OPERATOR</x:v>
      </x:c>
      <x:c r="F277" s="42"/>
      <x:c r="G277" s="42"/>
      <x:c r="H277" s="42" t="str">
        <x:v>High</x:v>
      </x:c>
      <x:c r="I277" s="42" t="str">
        <x:v>SRC_0102</x:v>
      </x:c>
      <x:c r="J277" s="42" t="str">
        <x:v>Operator field from seeded vessel record.</x:v>
      </x:c>
    </x:row>
    <x:row r="278">
      <x:c r="A278" s="42" t="str">
        <x:v>VREL_000277</x:v>
      </x:c>
      <x:c r="B278" s="42" t="str">
        <x:v>VESSEL_00155</x:v>
      </x:c>
      <x:c r="C278" s="42" t="str">
        <x:v>INCHEON VOYAGER</x:v>
      </x:c>
      <x:c r="D278" s="42" t="str">
        <x:v>COMP_SINOKOR</x:v>
      </x:c>
      <x:c r="E278" s="42" t="str">
        <x:v>OWNER</x:v>
      </x:c>
      <x:c r="F278" s="42"/>
      <x:c r="G278" s="42"/>
      <x:c r="H278" s="42" t="str">
        <x:v>High</x:v>
      </x:c>
      <x:c r="I278" s="42" t="str">
        <x:v>SRC_0102</x:v>
      </x:c>
      <x:c r="J278" s="42" t="str">
        <x:v>Owner field from seeded vessel record.</x:v>
      </x:c>
    </x:row>
    <x:row r="279">
      <x:c r="A279" s="42" t="str">
        <x:v>VREL_000278</x:v>
      </x:c>
      <x:c r="B279" s="42" t="str">
        <x:v>VESSEL_00155</x:v>
      </x:c>
      <x:c r="C279" s="42" t="str">
        <x:v>INCHEON VOYAGER</x:v>
      </x:c>
      <x:c r="D279" s="42" t="str">
        <x:v>COMP_SINOKOR</x:v>
      </x:c>
      <x:c r="E279" s="42" t="str">
        <x:v>OPERATOR</x:v>
      </x:c>
      <x:c r="F279" s="42"/>
      <x:c r="G279" s="42"/>
      <x:c r="H279" s="42" t="str">
        <x:v>High</x:v>
      </x:c>
      <x:c r="I279" s="42" t="str">
        <x:v>SRC_0102</x:v>
      </x:c>
      <x:c r="J279" s="42" t="str">
        <x:v>Operator field from seeded vessel record.</x:v>
      </x:c>
    </x:row>
    <x:row r="280">
      <x:c r="A280" s="42" t="str">
        <x:v>VREL_000279</x:v>
      </x:c>
      <x:c r="B280" s="42" t="str">
        <x:v>VESSEL_00156</x:v>
      </x:c>
      <x:c r="C280" s="42" t="str">
        <x:v>ULSAN VOYAGER</x:v>
      </x:c>
      <x:c r="D280" s="42" t="str">
        <x:v>COMP_SINOKOR</x:v>
      </x:c>
      <x:c r="E280" s="42" t="str">
        <x:v>OWNER</x:v>
      </x:c>
      <x:c r="F280" s="42"/>
      <x:c r="G280" s="42"/>
      <x:c r="H280" s="42" t="str">
        <x:v>High</x:v>
      </x:c>
      <x:c r="I280" s="42" t="str">
        <x:v>SRC_0102</x:v>
      </x:c>
      <x:c r="J280" s="42" t="str">
        <x:v>Owner field from seeded vessel record.</x:v>
      </x:c>
    </x:row>
    <x:row r="281">
      <x:c r="A281" s="42" t="str">
        <x:v>VREL_000280</x:v>
      </x:c>
      <x:c r="B281" s="42" t="str">
        <x:v>VESSEL_00156</x:v>
      </x:c>
      <x:c r="C281" s="42" t="str">
        <x:v>ULSAN VOYAGER</x:v>
      </x:c>
      <x:c r="D281" s="42" t="str">
        <x:v>COMP_SINOKOR</x:v>
      </x:c>
      <x:c r="E281" s="42" t="str">
        <x:v>OPERATOR</x:v>
      </x:c>
      <x:c r="F281" s="42"/>
      <x:c r="G281" s="42"/>
      <x:c r="H281" s="42" t="str">
        <x:v>High</x:v>
      </x:c>
      <x:c r="I281" s="42" t="str">
        <x:v>SRC_0102</x:v>
      </x:c>
      <x:c r="J281" s="42" t="str">
        <x:v>Operator field from seeded vessel record.</x:v>
      </x:c>
    </x:row>
    <x:row r="282">
      <x:c r="A282" s="42" t="str">
        <x:v>VREL_000281</x:v>
      </x:c>
      <x:c r="B282" s="42" t="str">
        <x:v>VESSEL_00157</x:v>
      </x:c>
      <x:c r="C282" s="42" t="str">
        <x:v>SAWASDEE MIMOSA</x:v>
      </x:c>
      <x:c r="D282" s="42" t="str">
        <x:v>COMP_SINOKOR</x:v>
      </x:c>
      <x:c r="E282" s="42" t="str">
        <x:v>OWNER</x:v>
      </x:c>
      <x:c r="F282" s="42"/>
      <x:c r="G282" s="42"/>
      <x:c r="H282" s="42" t="str">
        <x:v>High</x:v>
      </x:c>
      <x:c r="I282" s="42" t="str">
        <x:v>SRC_0102</x:v>
      </x:c>
      <x:c r="J282" s="42" t="str">
        <x:v>Owner field from seeded vessel record.</x:v>
      </x:c>
    </x:row>
    <x:row r="283">
      <x:c r="A283" s="42" t="str">
        <x:v>VREL_000282</x:v>
      </x:c>
      <x:c r="B283" s="42" t="str">
        <x:v>VESSEL_00157</x:v>
      </x:c>
      <x:c r="C283" s="42" t="str">
        <x:v>SAWASDEE MIMOSA</x:v>
      </x:c>
      <x:c r="D283" s="42" t="str">
        <x:v>COMP_SINOKOR</x:v>
      </x:c>
      <x:c r="E283" s="42" t="str">
        <x:v>OPERATOR</x:v>
      </x:c>
      <x:c r="F283" s="42"/>
      <x:c r="G283" s="42"/>
      <x:c r="H283" s="42" t="str">
        <x:v>High</x:v>
      </x:c>
      <x:c r="I283" s="42" t="str">
        <x:v>SRC_0102</x:v>
      </x:c>
      <x:c r="J283" s="42" t="str">
        <x:v>Operator field from seeded vessel record.</x:v>
      </x:c>
    </x:row>
    <x:row r="284">
      <x:c r="A284" s="42" t="str">
        <x:v>VREL_000283</x:v>
      </x:c>
      <x:c r="B284" s="42" t="str">
        <x:v>VESSEL_00158</x:v>
      </x:c>
      <x:c r="C284" s="42" t="str">
        <x:v>TOYAMA TRADER</x:v>
      </x:c>
      <x:c r="D284" s="42" t="str">
        <x:v>COMP_SINOKOR</x:v>
      </x:c>
      <x:c r="E284" s="42" t="str">
        <x:v>OWNER</x:v>
      </x:c>
      <x:c r="F284" s="42"/>
      <x:c r="G284" s="42"/>
      <x:c r="H284" s="42" t="str">
        <x:v>High</x:v>
      </x:c>
      <x:c r="I284" s="42" t="str">
        <x:v>SRC_0102</x:v>
      </x:c>
      <x:c r="J284" s="42" t="str">
        <x:v>Owner field from seeded vessel record.</x:v>
      </x:c>
    </x:row>
    <x:row r="285">
      <x:c r="A285" s="42" t="str">
        <x:v>VREL_000284</x:v>
      </x:c>
      <x:c r="B285" s="42" t="str">
        <x:v>VESSEL_00158</x:v>
      </x:c>
      <x:c r="C285" s="42" t="str">
        <x:v>TOYAMA TRADER</x:v>
      </x:c>
      <x:c r="D285" s="42" t="str">
        <x:v>COMP_SINOKOR</x:v>
      </x:c>
      <x:c r="E285" s="42" t="str">
        <x:v>OPERATOR</x:v>
      </x:c>
      <x:c r="F285" s="42"/>
      <x:c r="G285" s="42"/>
      <x:c r="H285" s="42" t="str">
        <x:v>High</x:v>
      </x:c>
      <x:c r="I285" s="42" t="str">
        <x:v>SRC_0102</x:v>
      </x:c>
      <x:c r="J285" s="42" t="str">
        <x:v>Operator field from seeded vessel record.</x:v>
      </x:c>
    </x:row>
    <x:row r="286">
      <x:c r="A286" s="42" t="str">
        <x:v>VREL_000285</x:v>
      </x:c>
      <x:c r="B286" s="42" t="str">
        <x:v>VESSEL_00159</x:v>
      </x:c>
      <x:c r="C286" s="42" t="str">
        <x:v>KWANGYANG VOYAGER</x:v>
      </x:c>
      <x:c r="D286" s="42" t="str">
        <x:v>COMP_SINOKOR</x:v>
      </x:c>
      <x:c r="E286" s="42" t="str">
        <x:v>OWNER</x:v>
      </x:c>
      <x:c r="F286" s="42"/>
      <x:c r="G286" s="42"/>
      <x:c r="H286" s="42" t="str">
        <x:v>High</x:v>
      </x:c>
      <x:c r="I286" s="42" t="str">
        <x:v>SRC_0102</x:v>
      </x:c>
      <x:c r="J286" s="42" t="str">
        <x:v>Owner field from seeded vessel record.</x:v>
      </x:c>
    </x:row>
    <x:row r="287">
      <x:c r="A287" s="42" t="str">
        <x:v>VREL_000286</x:v>
      </x:c>
      <x:c r="B287" s="42" t="str">
        <x:v>VESSEL_00159</x:v>
      </x:c>
      <x:c r="C287" s="42" t="str">
        <x:v>KWANGYANG VOYAGER</x:v>
      </x:c>
      <x:c r="D287" s="42" t="str">
        <x:v>COMP_SINOKOR</x:v>
      </x:c>
      <x:c r="E287" s="42" t="str">
        <x:v>OPERATOR</x:v>
      </x:c>
      <x:c r="F287" s="42"/>
      <x:c r="G287" s="42"/>
      <x:c r="H287" s="42" t="str">
        <x:v>High</x:v>
      </x:c>
      <x:c r="I287" s="42" t="str">
        <x:v>SRC_0102</x:v>
      </x:c>
      <x:c r="J287" s="42" t="str">
        <x:v>Operator field from seeded vessel record.</x:v>
      </x:c>
    </x:row>
    <x:row r="288">
      <x:c r="A288" s="42" t="str">
        <x:v>VREL_000287</x:v>
      </x:c>
      <x:c r="B288" s="42" t="str">
        <x:v>VESSEL_00160</x:v>
      </x:c>
      <x:c r="C288" s="42" t="str">
        <x:v>AKITA TRADER</x:v>
      </x:c>
      <x:c r="D288" s="42" t="str">
        <x:v>COMP_SINOKOR</x:v>
      </x:c>
      <x:c r="E288" s="42" t="str">
        <x:v>OWNER</x:v>
      </x:c>
      <x:c r="F288" s="42"/>
      <x:c r="G288" s="42"/>
      <x:c r="H288" s="42" t="str">
        <x:v>High</x:v>
      </x:c>
      <x:c r="I288" s="42" t="str">
        <x:v>SRC_0102</x:v>
      </x:c>
      <x:c r="J288" s="42" t="str">
        <x:v>Owner field from seeded vessel record.</x:v>
      </x:c>
    </x:row>
    <x:row r="289">
      <x:c r="A289" s="42" t="str">
        <x:v>VREL_000288</x:v>
      </x:c>
      <x:c r="B289" s="42" t="str">
        <x:v>VESSEL_00160</x:v>
      </x:c>
      <x:c r="C289" s="42" t="str">
        <x:v>AKITA TRADER</x:v>
      </x:c>
      <x:c r="D289" s="42" t="str">
        <x:v>COMP_SINOKOR</x:v>
      </x:c>
      <x:c r="E289" s="42" t="str">
        <x:v>OPERATOR</x:v>
      </x:c>
      <x:c r="F289" s="42"/>
      <x:c r="G289" s="42"/>
      <x:c r="H289" s="42" t="str">
        <x:v>High</x:v>
      </x:c>
      <x:c r="I289" s="42" t="str">
        <x:v>SRC_0102</x:v>
      </x:c>
      <x:c r="J289" s="42" t="str">
        <x:v>Operator field from seeded vessel record.</x:v>
      </x:c>
    </x:row>
    <x:row r="290">
      <x:c r="A290" s="42" t="str">
        <x:v>VREL_000289</x:v>
      </x:c>
      <x:c r="B290" s="42" t="str">
        <x:v>VESSEL_00161</x:v>
      </x:c>
      <x:c r="C290" s="42" t="str">
        <x:v>MELBOURNE BRIDGE</x:v>
      </x:c>
      <x:c r="D290" s="42" t="str">
        <x:v>COMP_SINOKOR</x:v>
      </x:c>
      <x:c r="E290" s="42" t="str">
        <x:v>OWNER</x:v>
      </x:c>
      <x:c r="F290" s="42"/>
      <x:c r="G290" s="42"/>
      <x:c r="H290" s="42" t="str">
        <x:v>High</x:v>
      </x:c>
      <x:c r="I290" s="42" t="str">
        <x:v>SRC_0102</x:v>
      </x:c>
      <x:c r="J290" s="42" t="str">
        <x:v>Owner field from seeded vessel record.</x:v>
      </x:c>
    </x:row>
    <x:row r="291">
      <x:c r="A291" s="42" t="str">
        <x:v>VREL_000290</x:v>
      </x:c>
      <x:c r="B291" s="42" t="str">
        <x:v>VESSEL_00161</x:v>
      </x:c>
      <x:c r="C291" s="42" t="str">
        <x:v>MELBOURNE BRIDGE</x:v>
      </x:c>
      <x:c r="D291" s="42" t="str">
        <x:v>COMP_SINOKOR</x:v>
      </x:c>
      <x:c r="E291" s="42" t="str">
        <x:v>OPERATOR</x:v>
      </x:c>
      <x:c r="F291" s="42"/>
      <x:c r="G291" s="42"/>
      <x:c r="H291" s="42" t="str">
        <x:v>High</x:v>
      </x:c>
      <x:c r="I291" s="42" t="str">
        <x:v>SRC_0102</x:v>
      </x:c>
      <x:c r="J291" s="42" t="str">
        <x:v>Operator field from seeded vessel record.</x:v>
      </x:c>
    </x:row>
    <x:row r="292">
      <x:c r="A292" s="42" t="str">
        <x:v>VREL_000291</x:v>
      </x:c>
      <x:c r="B292" s="42" t="str">
        <x:v>VESSEL_00162</x:v>
      </x:c>
      <x:c r="C292" s="42" t="str">
        <x:v>SYDNEY BRIDGE</x:v>
      </x:c>
      <x:c r="D292" s="42" t="str">
        <x:v>COMP_SINOKOR</x:v>
      </x:c>
      <x:c r="E292" s="42" t="str">
        <x:v>OWNER</x:v>
      </x:c>
      <x:c r="F292" s="42"/>
      <x:c r="G292" s="42"/>
      <x:c r="H292" s="42" t="str">
        <x:v>High</x:v>
      </x:c>
      <x:c r="I292" s="42" t="str">
        <x:v>SRC_0102</x:v>
      </x:c>
      <x:c r="J292" s="42" t="str">
        <x:v>Owner field from seeded vessel record.</x:v>
      </x:c>
    </x:row>
    <x:row r="293">
      <x:c r="A293" s="42" t="str">
        <x:v>VREL_000292</x:v>
      </x:c>
      <x:c r="B293" s="42" t="str">
        <x:v>VESSEL_00162</x:v>
      </x:c>
      <x:c r="C293" s="42" t="str">
        <x:v>SYDNEY BRIDGE</x:v>
      </x:c>
      <x:c r="D293" s="42" t="str">
        <x:v>COMP_SINOKOR</x:v>
      </x:c>
      <x:c r="E293" s="42" t="str">
        <x:v>OPERATOR</x:v>
      </x:c>
      <x:c r="F293" s="42"/>
      <x:c r="G293" s="42"/>
      <x:c r="H293" s="42" t="str">
        <x:v>High</x:v>
      </x:c>
      <x:c r="I293" s="42" t="str">
        <x:v>SRC_0102</x:v>
      </x:c>
      <x:c r="J293" s="42" t="str">
        <x:v>Operator field from seeded vessel record.</x:v>
      </x:c>
    </x:row>
    <x:row r="294">
      <x:c r="A294" s="42" t="str">
        <x:v>VREL_000293</x:v>
      </x:c>
      <x:c r="B294" s="42" t="str">
        <x:v>VESSEL_00163</x:v>
      </x:c>
      <x:c r="C294" s="42" t="str">
        <x:v>MOJI EXPRESS</x:v>
      </x:c>
      <x:c r="D294" s="42" t="str">
        <x:v>COMP_SINOKOR</x:v>
      </x:c>
      <x:c r="E294" s="42" t="str">
        <x:v>OWNER</x:v>
      </x:c>
      <x:c r="F294" s="42"/>
      <x:c r="G294" s="42"/>
      <x:c r="H294" s="42" t="str">
        <x:v>High</x:v>
      </x:c>
      <x:c r="I294" s="42" t="str">
        <x:v>SRC_0102</x:v>
      </x:c>
      <x:c r="J294" s="42" t="str">
        <x:v>Owner field from seeded vessel record.</x:v>
      </x:c>
    </x:row>
    <x:row r="295">
      <x:c r="A295" s="42" t="str">
        <x:v>VREL_000294</x:v>
      </x:c>
      <x:c r="B295" s="42" t="str">
        <x:v>VESSEL_00163</x:v>
      </x:c>
      <x:c r="C295" s="42" t="str">
        <x:v>MOJI EXPRESS</x:v>
      </x:c>
      <x:c r="D295" s="42" t="str">
        <x:v>COMP_SINOKOR</x:v>
      </x:c>
      <x:c r="E295" s="42" t="str">
        <x:v>OPERATOR</x:v>
      </x:c>
      <x:c r="F295" s="42"/>
      <x:c r="G295" s="42"/>
      <x:c r="H295" s="42" t="str">
        <x:v>High</x:v>
      </x:c>
      <x:c r="I295" s="42" t="str">
        <x:v>SRC_0102</x:v>
      </x:c>
      <x:c r="J295" s="42" t="str">
        <x:v>Operator field from seeded vessel record.</x:v>
      </x:c>
    </x:row>
    <x:row r="296">
      <x:c r="A296" s="42" t="str">
        <x:v>VREL_000295</x:v>
      </x:c>
      <x:c r="B296" s="42" t="str">
        <x:v>VESSEL_00164</x:v>
      </x:c>
      <x:c r="C296" s="42" t="str">
        <x:v>Asia Excellence</x:v>
      </x:c>
      <x:c r="D296" s="42" t="str">
        <x:v>COMP_CHEVRON</x:v>
      </x:c>
      <x:c r="E296" s="42" t="str">
        <x:v>OWNER</x:v>
      </x:c>
      <x:c r="F296" s="42"/>
      <x:c r="G296" s="42"/>
      <x:c r="H296" s="42" t="str">
        <x:v>High</x:v>
      </x:c>
      <x:c r="I296" s="42" t="str">
        <x:v>SRC_0105</x:v>
      </x:c>
      <x:c r="J296" s="42" t="str">
        <x:v>Owner field from seeded vessel record.</x:v>
      </x:c>
    </x:row>
    <x:row r="297">
      <x:c r="A297" s="42" t="str">
        <x:v>VREL_000296</x:v>
      </x:c>
      <x:c r="B297" s="42" t="str">
        <x:v>VESSEL_00164</x:v>
      </x:c>
      <x:c r="C297" s="42" t="str">
        <x:v>Asia Excellence</x:v>
      </x:c>
      <x:c r="D297" s="42" t="str">
        <x:v>COMP_CHEVRON_SHIPPING</x:v>
      </x:c>
      <x:c r="E297" s="42" t="str">
        <x:v>OPERATOR</x:v>
      </x:c>
      <x:c r="F297" s="42"/>
      <x:c r="G297" s="42"/>
      <x:c r="H297" s="42" t="str">
        <x:v>High</x:v>
      </x:c>
      <x:c r="I297" s="42" t="str">
        <x:v>SRC_0105</x:v>
      </x:c>
      <x:c r="J297" s="42" t="str">
        <x:v>Operator field from seeded vessel record.</x:v>
      </x:c>
    </x:row>
    <x:row r="298">
      <x:c r="A298" s="42" t="str">
        <x:v>VREL_000297</x:v>
      </x:c>
      <x:c r="B298" s="42" t="str">
        <x:v>VESSEL_00165</x:v>
      </x:c>
      <x:c r="C298" s="42" t="str">
        <x:v>P. Long Beach</x:v>
      </x:c>
      <x:c r="D298" s="42" t="str">
        <x:v>COMP_PERFORMANCE_SHIPPING</x:v>
      </x:c>
      <x:c r="E298" s="42" t="str">
        <x:v>OWNER</x:v>
      </x:c>
      <x:c r="F298" s="42"/>
      <x:c r="G298" s="42"/>
      <x:c r="H298" s="42" t="str">
        <x:v>High</x:v>
      </x:c>
      <x:c r="I298" s="42" t="str">
        <x:v>SRC_0109</x:v>
      </x:c>
      <x:c r="J298" s="42" t="str">
        <x:v>Owner field from seeded vessel record.</x:v>
      </x:c>
    </x:row>
    <x:row r="299">
      <x:c r="A299" s="42" t="str">
        <x:v>VREL_000298</x:v>
      </x:c>
      <x:c r="B299" s="42" t="str">
        <x:v>VESSEL_00165</x:v>
      </x:c>
      <x:c r="C299" s="42" t="str">
        <x:v>P. Long Beach</x:v>
      </x:c>
      <x:c r="D299" s="42" t="str">
        <x:v>COMP_PERFORMANCE_SHIPPING</x:v>
      </x:c>
      <x:c r="E299" s="42" t="str">
        <x:v>OPERATOR</x:v>
      </x:c>
      <x:c r="F299" s="42"/>
      <x:c r="G299" s="42"/>
      <x:c r="H299" s="42" t="str">
        <x:v>High</x:v>
      </x:c>
      <x:c r="I299" s="42" t="str">
        <x:v>SRC_0109</x:v>
      </x:c>
      <x:c r="J299" s="42" t="str">
        <x:v>Operator field from seeded vessel record.</x:v>
      </x:c>
    </x:row>
    <x:row r="300">
      <x:c r="A300" s="42" t="str">
        <x:v>VREL_000299</x:v>
      </x:c>
      <x:c r="B300" s="42" t="str">
        <x:v>VESSEL_00109</x:v>
      </x:c>
      <x:c r="C300" s="42" t="str">
        <x:v>BYD Explorer No.1</x:v>
      </x:c>
      <x:c r="D300" s="42" t="str">
        <x:v>COMP_BYD</x:v>
      </x:c>
      <x:c r="E300" s="42" t="str">
        <x:v>CHARTERER</x:v>
      </x:c>
      <x:c r="F300" s="42"/>
      <x:c r="G300" s="42"/>
      <x:c r="H300" s="42" t="str">
        <x:v>High</x:v>
      </x:c>
      <x:c r="I300" s="42" t="str">
        <x:v>SRC_0091</x:v>
      </x:c>
      <x:c r="J300" s="42" t="str">
        <x:v>Zodiac-owned PCTC leased/chartered to BYD.</x:v>
      </x:c>
    </x:row>
    <x:row r="301">
      <x:c r="A301" s="42" t="str">
        <x:v>VREL_000300</x:v>
      </x:c>
      <x:c r="B301" s="42" t="str">
        <x:v>VESSEL_00110</x:v>
      </x:c>
      <x:c r="C301" s="42" t="str">
        <x:v>BYD Changzhou</x:v>
      </x:c>
      <x:c r="D301" s="42" t="str">
        <x:v>COMP_BYD</x:v>
      </x:c>
      <x:c r="E301" s="42" t="str">
        <x:v>CHARTERER</x:v>
      </x:c>
      <x:c r="F301" s="42"/>
      <x:c r="G301" s="42"/>
      <x:c r="H301" s="42" t="str">
        <x:v>High</x:v>
      </x:c>
      <x:c r="I301" s="42" t="str">
        <x:v>SRC_0091</x:v>
      </x:c>
      <x:c r="J301" s="42" t="str">
        <x:v>Zodiac-owned PCTC leased/chartered to BYD.</x:v>
      </x:c>
    </x:row>
    <x:row r="302">
      <x:c r="A302" s="42" t="str">
        <x:v>VREL_000301</x:v>
      </x:c>
      <x:c r="B302" s="42" t="str">
        <x:v>VESSEL_00109</x:v>
      </x:c>
      <x:c r="C302" s="42" t="str">
        <x:v>BYD Explorer No.1</x:v>
      </x:c>
      <x:c r="D302" s="42" t="str">
        <x:v>COMP_BYD</x:v>
      </x:c>
      <x:c r="E302" s="42" t="str">
        <x:v>CARGO_PRINCIPAL / DEDICATED_FLEET</x:v>
      </x:c>
      <x:c r="F302" s="42"/>
      <x:c r="G302" s="42"/>
      <x:c r="H302" s="42" t="str">
        <x:v>High</x:v>
      </x:c>
      <x:c r="I302" s="42" t="str">
        <x:v>SRC_0090</x:v>
      </x:c>
      <x:c r="J302" s="42" t="str">
        <x:v>Dedicated BYD vehicle-export logistics fleet.</x:v>
      </x:c>
    </x:row>
    <x:row r="303">
      <x:c r="A303" s="42" t="str">
        <x:v>VREL_000302</x:v>
      </x:c>
      <x:c r="B303" s="42" t="str">
        <x:v>VESSEL_00110</x:v>
      </x:c>
      <x:c r="C303" s="42" t="str">
        <x:v>BYD Changzhou</x:v>
      </x:c>
      <x:c r="D303" s="42" t="str">
        <x:v>COMP_BYD</x:v>
      </x:c>
      <x:c r="E303" s="42" t="str">
        <x:v>CARGO_PRINCIPAL / DEDICATED_FLEET</x:v>
      </x:c>
      <x:c r="F303" s="42"/>
      <x:c r="G303" s="42"/>
      <x:c r="H303" s="42" t="str">
        <x:v>High</x:v>
      </x:c>
      <x:c r="I303" s="42" t="str">
        <x:v>SRC_0090</x:v>
      </x:c>
      <x:c r="J303" s="42" t="str">
        <x:v>Dedicated BYD vehicle-export logistics fleet.</x:v>
      </x:c>
    </x:row>
    <x:row r="304">
      <x:c r="A304" s="42" t="str">
        <x:v>VREL_000303</x:v>
      </x:c>
      <x:c r="B304" s="42" t="str">
        <x:v>VESSEL_00111</x:v>
      </x:c>
      <x:c r="C304" s="42" t="str">
        <x:v>BYD Hefei</x:v>
      </x:c>
      <x:c r="D304" s="42" t="str">
        <x:v>COMP_BYD</x:v>
      </x:c>
      <x:c r="E304" s="42" t="str">
        <x:v>CARGO_PRINCIPAL / DEDICATED_FLEET</x:v>
      </x:c>
      <x:c r="F304" s="42"/>
      <x:c r="G304" s="42"/>
      <x:c r="H304" s="42" t="str">
        <x:v>High</x:v>
      </x:c>
      <x:c r="I304" s="42" t="str">
        <x:v>SRC_0090</x:v>
      </x:c>
      <x:c r="J304" s="42" t="str">
        <x:v>Dedicated BYD vehicle-export logistics fleet.</x:v>
      </x:c>
    </x:row>
    <x:row r="305">
      <x:c r="A305" s="42" t="str">
        <x:v>VREL_000304</x:v>
      </x:c>
      <x:c r="B305" s="42" t="str">
        <x:v>VESSEL_00112</x:v>
      </x:c>
      <x:c r="C305" s="42" t="str">
        <x:v>BYD Zhengzhou</x:v>
      </x:c>
      <x:c r="D305" s="42" t="str">
        <x:v>COMP_BYD</x:v>
      </x:c>
      <x:c r="E305" s="42" t="str">
        <x:v>CARGO_PRINCIPAL / DEDICATED_FLEET</x:v>
      </x:c>
      <x:c r="F305" s="42"/>
      <x:c r="G305" s="42"/>
      <x:c r="H305" s="42" t="str">
        <x:v>High</x:v>
      </x:c>
      <x:c r="I305" s="42" t="str">
        <x:v>SRC_0090</x:v>
      </x:c>
      <x:c r="J305" s="42" t="str">
        <x:v>Dedicated BYD vehicle-export logistics fleet.</x:v>
      </x:c>
    </x:row>
    <x:row r="306">
      <x:c r="A306" s="42" t="str">
        <x:v>VREL_000305</x:v>
      </x:c>
      <x:c r="B306" s="42" t="str">
        <x:v>VESSEL_00113</x:v>
      </x:c>
      <x:c r="C306" s="42" t="str">
        <x:v>BYD Shenzhen</x:v>
      </x:c>
      <x:c r="D306" s="42" t="str">
        <x:v>COMP_BYD</x:v>
      </x:c>
      <x:c r="E306" s="42" t="str">
        <x:v>CARGO_PRINCIPAL / DEDICATED_FLEET</x:v>
      </x:c>
      <x:c r="F306" s="42"/>
      <x:c r="G306" s="42"/>
      <x:c r="H306" s="42" t="str">
        <x:v>High</x:v>
      </x:c>
      <x:c r="I306" s="42" t="str">
        <x:v>SRC_0090</x:v>
      </x:c>
      <x:c r="J306" s="42" t="str">
        <x:v>Dedicated BYD vehicle-export logistics fleet.</x:v>
      </x:c>
    </x:row>
    <x:row r="307">
      <x:c r="A307" s="42" t="str">
        <x:v>VREL_000306</x:v>
      </x:c>
      <x:c r="B307" s="42" t="str">
        <x:v>VESSEL_00114</x:v>
      </x:c>
      <x:c r="C307" s="42" t="str">
        <x:v>BYD Xi'an</x:v>
      </x:c>
      <x:c r="D307" s="42" t="str">
        <x:v>COMP_BYD</x:v>
      </x:c>
      <x:c r="E307" s="42" t="str">
        <x:v>CARGO_PRINCIPAL / DEDICATED_FLEET</x:v>
      </x:c>
      <x:c r="F307" s="42"/>
      <x:c r="G307" s="42"/>
      <x:c r="H307" s="42" t="str">
        <x:v>High</x:v>
      </x:c>
      <x:c r="I307" s="42" t="str">
        <x:v>SRC_0090</x:v>
      </x:c>
      <x:c r="J307" s="42" t="str">
        <x:v>Dedicated BYD vehicle-export logistics fleet.</x:v>
      </x:c>
    </x:row>
    <x:row r="308">
      <x:c r="A308" s="42" t="str">
        <x:v>VREL_000307</x:v>
      </x:c>
      <x:c r="B308" s="42" t="str">
        <x:v>VESSEL_00115</x:v>
      </x:c>
      <x:c r="C308" s="42" t="str">
        <x:v>BYD Changsha</x:v>
      </x:c>
      <x:c r="D308" s="42" t="str">
        <x:v>COMP_BYD</x:v>
      </x:c>
      <x:c r="E308" s="42" t="str">
        <x:v>CARGO_PRINCIPAL / DEDICATED_FLEET</x:v>
      </x:c>
      <x:c r="F308" s="42"/>
      <x:c r="G308" s="42"/>
      <x:c r="H308" s="42" t="str">
        <x:v>High</x:v>
      </x:c>
      <x:c r="I308" s="42" t="str">
        <x:v>SRC_0090</x:v>
      </x:c>
      <x:c r="J308" s="42" t="str">
        <x:v>Dedicated BYD vehicle-export logistics fleet.</x:v>
      </x:c>
    </x:row>
    <x:row r="309">
      <x:c r="A309" s="42" t="str">
        <x:v>VREL_000308</x:v>
      </x:c>
      <x:c r="B309" s="42" t="str">
        <x:v>VESSEL_00116</x:v>
      </x:c>
      <x:c r="C309" s="42" t="str">
        <x:v>BYD Jinan</x:v>
      </x:c>
      <x:c r="D309" s="42" t="str">
        <x:v>COMP_BYD</x:v>
      </x:c>
      <x:c r="E309" s="42" t="str">
        <x:v>CARGO_PRINCIPAL / DEDICATED_FLEET</x:v>
      </x:c>
      <x:c r="F309" s="42"/>
      <x:c r="G309" s="42"/>
      <x:c r="H309" s="42" t="str">
        <x:v>High</x:v>
      </x:c>
      <x:c r="I309" s="42" t="str">
        <x:v>SRC_0090</x:v>
      </x:c>
      <x:c r="J309" s="42" t="str">
        <x:v>Dedicated BYD vehicle-export logistics fleet.</x:v>
      </x:c>
    </x:row>
    <x:row r="310">
      <x:c r="A310" s="42" t="str">
        <x:v>VREL_000309</x:v>
      </x:c>
      <x:c r="B310" s="42" t="str">
        <x:v>VESSEL_00165</x:v>
      </x:c>
      <x:c r="C310" s="42" t="str">
        <x:v>P. Long Beach</x:v>
      </x:c>
      <x:c r="D310" s="42" t="str">
        <x:v>COMP_SEARIVER</x:v>
      </x:c>
      <x:c r="E310" s="42" t="str">
        <x:v>TIME_CHARTERER</x:v>
      </x:c>
      <x:c r="F310" s="42" t="str">
        <x:v>2025-12</x:v>
      </x:c>
      <x:c r="G310" s="42" t="str">
        <x:v>~2027-12</x:v>
      </x:c>
      <x:c r="H310" s="42" t="str">
        <x:v>High</x:v>
      </x:c>
      <x:c r="I310" s="42" t="str">
        <x:v>SRC_0109</x:v>
      </x:c>
      <x:c r="J310" s="42" t="str">
        <x:v>24 months +/-30 days at charterer's option.</x:v>
      </x:c>
    </x:row>
    <x:row r="311">
      <x:c r="A311" s="42" t="str">
        <x:v>VREL_000310</x:v>
      </x:c>
      <x:c r="B311" s="42" t="str">
        <x:v>VESSEL_00166</x:v>
      </x:c>
      <x:c r="C311" s="42" t="str">
        <x:v>Largo Eagle</x:v>
      </x:c>
      <x:c r="D311" s="42" t="str">
        <x:v>COMP_EXXON</x:v>
      </x:c>
      <x:c r="E311" s="42" t="str">
        <x:v>CARGO_PRINCIPAL / SUB-CHARTER USER</x:v>
      </x:c>
      <x:c r="F311" s="42" t="str">
        <x:v>2026-03</x:v>
      </x:c>
      <x:c r="G311" s="42"/>
      <x:c r="H311" s="42" t="str">
        <x:v>Moderate</x:v>
      </x:c>
      <x:c r="I311" s="42" t="str">
        <x:v>SRC_0110</x:v>
      </x:c>
      <x:c r="J311" s="42" t="str">
        <x:v>Exxon booked cargo capacity via Vitol for U.S. Gulf-to-Australia fuel shipment.</x:v>
      </x:c>
    </x:row>
    <x:row r="312">
      <x:c r="A312" s="42" t="str">
        <x:v>VREL_000311</x:v>
      </x:c>
      <x:c r="B312" s="42" t="str">
        <x:v>VESSEL_00166</x:v>
      </x:c>
      <x:c r="C312" s="42" t="str">
        <x:v>Largo Eagle</x:v>
      </x:c>
      <x:c r="D312" s="42" t="str">
        <x:v>COMP_VITOL</x:v>
      </x:c>
      <x:c r="E312" s="42" t="str">
        <x:v>CHARTER_CHAIN_INTERMEDIARY</x:v>
      </x:c>
      <x:c r="F312" s="42" t="str">
        <x:v>2026-03</x:v>
      </x:c>
      <x:c r="G312" s="42"/>
      <x:c r="H312" s="42" t="str">
        <x:v>Moderate</x:v>
      </x:c>
      <x:c r="I312" s="42" t="str">
        <x:v>SRC_0110</x:v>
      </x:c>
      <x:c r="J312" s="42" t="str">
        <x:v>Reuters reported vessels were under Vitol charter and effectively rented to Exxon.</x:v>
      </x:c>
    </x:row>
    <x:row r="313">
      <x:c r="A313" s="42" t="str">
        <x:v>VREL_000312</x:v>
      </x:c>
      <x:c r="B313" s="42" t="str">
        <x:v>VESSEL_00167</x:v>
      </x:c>
      <x:c r="C313" s="42" t="str">
        <x:v>Nord Ventura</x:v>
      </x:c>
      <x:c r="D313" s="42" t="str">
        <x:v>COMP_EXXON</x:v>
      </x:c>
      <x:c r="E313" s="42" t="str">
        <x:v>CARGO_PRINCIPAL / SUB-CHARTER USER</x:v>
      </x:c>
      <x:c r="F313" s="42" t="str">
        <x:v>2026-03</x:v>
      </x:c>
      <x:c r="G313" s="42"/>
      <x:c r="H313" s="42" t="str">
        <x:v>Moderate</x:v>
      </x:c>
      <x:c r="I313" s="42" t="str">
        <x:v>SRC_0110</x:v>
      </x:c>
      <x:c r="J313" s="42" t="str">
        <x:v>Exxon booked cargo capacity via Vitol for U.S. Gulf-to-Australia fuel shipment.</x:v>
      </x:c>
    </x:row>
    <x:row r="314">
      <x:c r="A314" s="42" t="str">
        <x:v>VREL_000313</x:v>
      </x:c>
      <x:c r="B314" s="42" t="str">
        <x:v>VESSEL_00167</x:v>
      </x:c>
      <x:c r="C314" s="42" t="str">
        <x:v>Nord Ventura</x:v>
      </x:c>
      <x:c r="D314" s="42" t="str">
        <x:v>COMP_VITOL</x:v>
      </x:c>
      <x:c r="E314" s="42" t="str">
        <x:v>CHARTER_CHAIN_INTERMEDIARY</x:v>
      </x:c>
      <x:c r="F314" s="42" t="str">
        <x:v>2026-03</x:v>
      </x:c>
      <x:c r="G314" s="42"/>
      <x:c r="H314" s="42" t="str">
        <x:v>Moderate</x:v>
      </x:c>
      <x:c r="I314" s="42" t="str">
        <x:v>SRC_0110</x:v>
      </x:c>
      <x:c r="J314" s="42" t="str">
        <x:v>Reuters reported vessels were under Vitol charter and effectively rented to Exxon.</x:v>
      </x:c>
    </x:row>
    <x:row r="315">
      <x:c r="A315" s="42" t="str">
        <x:v>VREL_000314</x:v>
      </x:c>
      <x:c r="B315" s="42" t="str">
        <x:v>VESSEL_00168</x:v>
      </x:c>
      <x:c r="C315" s="42" t="str">
        <x:v>Rex Tillerson</x:v>
      </x:c>
      <x:c r="D315" s="42" t="str">
        <x:v>COMP_QATARENERGY</x:v>
      </x:c>
      <x:c r="E315" s="42" t="str">
        <x:v>FLEET_PROGRAM_SPONSOR / CARGO_PRINCIPAL</x:v>
      </x:c>
      <x:c r="F315" s="42"/>
      <x:c r="G315" s="42"/>
      <x:c r="H315" s="42" t="str">
        <x:v>High</x:v>
      </x:c>
      <x:c r="I315" s="42" t="str">
        <x:v>SRC_0086</x:v>
      </x:c>
      <x:c r="J315" s="42" t="str">
        <x:v>First delivered vessel under QatarEnergy historic fleet expansion program; owner/operator to resolve.</x:v>
      </x:c>
    </x:row>
    <x:row r="316">
      <x:c r="A316" s="102" t="str">
        <x:v>VREL_000315</x:v>
      </x:c>
      <x:c r="B316" s="102" t="str">
        <x:v>VESSEL_00169</x:v>
      </x:c>
      <x:c r="C316" s="102" t="str">
        <x:v>CAPT. KATTELMANN</x:v>
      </x:c>
      <x:c r="D316" s="102" t="str">
        <x:v>COMP_GFS_SHIP_MGMT</x:v>
      </x:c>
      <x:c r="E316" s="102" t="str">
        <x:v>SHIP_MANAGER / PUBLISHED_MANAGED_FLEET</x:v>
      </x:c>
      <x:c r="F316" s="102"/>
      <x:c r="G316" s="102"/>
      <x:c r="H316" s="102" t="str">
        <x:v>Moderate</x:v>
      </x:c>
      <x:c r="I316" s="102" t="str">
        <x:v>SRC_0179</x:v>
      </x:c>
      <x:c r="J316" s="102" t="str">
        <x:v>Vessel appears on GFS Ship Management's published fleet; role should be re-verified if ownership/management changes.</x:v>
      </x:c>
    </x:row>
    <x:row r="317">
      <x:c r="A317" s="102" t="str">
        <x:v>VREL_000316</x:v>
      </x:c>
      <x:c r="B317" s="102" t="str">
        <x:v>VESSEL_00170</x:v>
      </x:c>
      <x:c r="C317" s="102" t="str">
        <x:v>ATHENA</x:v>
      </x:c>
      <x:c r="D317" s="102" t="str">
        <x:v>COMP_GFS_SHIP_MGMT</x:v>
      </x:c>
      <x:c r="E317" s="102" t="str">
        <x:v>SHIP_MANAGER / PUBLISHED_MANAGED_FLEET</x:v>
      </x:c>
      <x:c r="F317" s="102"/>
      <x:c r="G317" s="102"/>
      <x:c r="H317" s="102" t="str">
        <x:v>High</x:v>
      </x:c>
      <x:c r="I317" s="102" t="str">
        <x:v>SRC_0189</x:v>
      </x:c>
      <x:c r="J317" s="102" t="str">
        <x:v>Vessel appears on GFS Ship Management's published fleet; role should be re-verified if ownership/management changes.</x:v>
      </x:c>
    </x:row>
    <x:row r="318">
      <x:c r="A318" s="102" t="str">
        <x:v>VREL_000317</x:v>
      </x:c>
      <x:c r="B318" s="102" t="str">
        <x:v>VESSEL_00171</x:v>
      </x:c>
      <x:c r="C318" s="102" t="str">
        <x:v>GFS GALAXY</x:v>
      </x:c>
      <x:c r="D318" s="102" t="str">
        <x:v>COMP_GFS_SHIP_MGMT</x:v>
      </x:c>
      <x:c r="E318" s="102" t="str">
        <x:v>SHIP_MANAGER / PUBLISHED_MANAGED_FLEET</x:v>
      </x:c>
      <x:c r="F318" s="102"/>
      <x:c r="G318" s="102"/>
      <x:c r="H318" s="102" t="str">
        <x:v>High</x:v>
      </x:c>
      <x:c r="I318" s="102" t="str">
        <x:v>SRC_0188</x:v>
      </x:c>
      <x:c r="J318" s="102" t="str">
        <x:v>Vessel appears on GFS Ship Management's published fleet; role should be re-verified if ownership/management changes.</x:v>
      </x:c>
    </x:row>
    <x:row r="319">
      <x:c r="A319" s="102" t="str">
        <x:v>VREL_000318</x:v>
      </x:c>
      <x:c r="B319" s="102" t="str">
        <x:v>VESSEL_00172</x:v>
      </x:c>
      <x:c r="C319" s="102" t="str">
        <x:v>GFS GENESIS</x:v>
      </x:c>
      <x:c r="D319" s="102" t="str">
        <x:v>COMP_GFS_SHIP_MGMT</x:v>
      </x:c>
      <x:c r="E319" s="102" t="str">
        <x:v>SHIP_MANAGER / PUBLISHED_MANAGED_FLEET</x:v>
      </x:c>
      <x:c r="F319" s="102"/>
      <x:c r="G319" s="102"/>
      <x:c r="H319" s="102" t="str">
        <x:v>Moderate</x:v>
      </x:c>
      <x:c r="I319" s="102" t="str">
        <x:v>SRC_0179</x:v>
      </x:c>
      <x:c r="J319" s="102" t="str">
        <x:v>Vessel appears on GFS Ship Management's published fleet; role should be re-verified if ownership/management changes.</x:v>
      </x:c>
    </x:row>
    <x:row r="320">
      <x:c r="A320" s="102" t="str">
        <x:v>VREL_000319</x:v>
      </x:c>
      <x:c r="B320" s="102" t="str">
        <x:v>VESSEL_00173</x:v>
      </x:c>
      <x:c r="C320" s="102" t="str">
        <x:v>GFS PRECIOUS</x:v>
      </x:c>
      <x:c r="D320" s="102" t="str">
        <x:v>COMP_GFS_SHIP_MGMT</x:v>
      </x:c>
      <x:c r="E320" s="102" t="str">
        <x:v>SHIP_MANAGER / PUBLISHED_MANAGED_FLEET</x:v>
      </x:c>
      <x:c r="F320" s="102"/>
      <x:c r="G320" s="102"/>
      <x:c r="H320" s="102" t="str">
        <x:v>Moderate</x:v>
      </x:c>
      <x:c r="I320" s="102" t="str">
        <x:v>SRC_0179</x:v>
      </x:c>
      <x:c r="J320" s="102" t="str">
        <x:v>Vessel appears on GFS Ship Management's published fleet; role should be re-verified if ownership/management changes.</x:v>
      </x:c>
    </x:row>
    <x:row r="321">
      <x:c r="A321" s="102" t="str">
        <x:v>VREL_000320</x:v>
      </x:c>
      <x:c r="B321" s="102" t="str">
        <x:v>VESSEL_00174</x:v>
      </x:c>
      <x:c r="C321" s="102" t="str">
        <x:v>GFS GISELLE</x:v>
      </x:c>
      <x:c r="D321" s="102" t="str">
        <x:v>COMP_GFS_SHIP_MGMT</x:v>
      </x:c>
      <x:c r="E321" s="102" t="str">
        <x:v>SHIP_MANAGER / PUBLISHED_MANAGED_FLEET</x:v>
      </x:c>
      <x:c r="F321" s="102"/>
      <x:c r="G321" s="102"/>
      <x:c r="H321" s="102" t="str">
        <x:v>Moderate</x:v>
      </x:c>
      <x:c r="I321" s="102" t="str">
        <x:v>SRC_0179</x:v>
      </x:c>
      <x:c r="J321" s="102" t="str">
        <x:v>Vessel appears on GFS Ship Management's published fleet; role should be re-verified if ownership/management changes.</x:v>
      </x:c>
    </x:row>
    <x:row r="322">
      <x:c r="A322" s="102" t="str">
        <x:v>VREL_000321</x:v>
      </x:c>
      <x:c r="B322" s="102" t="str">
        <x:v>VESSEL_00175</x:v>
      </x:c>
      <x:c r="C322" s="102" t="str">
        <x:v>GFS RUBY</x:v>
      </x:c>
      <x:c r="D322" s="102" t="str">
        <x:v>COMP_GFS_SHIP_MGMT</x:v>
      </x:c>
      <x:c r="E322" s="102" t="str">
        <x:v>SHIP_MANAGER / PUBLISHED_MANAGED_FLEET</x:v>
      </x:c>
      <x:c r="F322" s="102"/>
      <x:c r="G322" s="102"/>
      <x:c r="H322" s="102" t="str">
        <x:v>Moderate</x:v>
      </x:c>
      <x:c r="I322" s="102" t="str">
        <x:v>SRC_0179</x:v>
      </x:c>
      <x:c r="J322" s="102" t="str">
        <x:v>Vessel appears on GFS Ship Management's published fleet; role should be re-verified if ownership/management changes.</x:v>
      </x:c>
    </x:row>
    <x:row r="323">
      <x:c r="A323" s="102" t="str">
        <x:v>VREL_000322</x:v>
      </x:c>
      <x:c r="B323" s="102" t="str">
        <x:v>VESSEL_00176</x:v>
      </x:c>
      <x:c r="C323" s="102" t="str">
        <x:v>GFS PRESTIGE</x:v>
      </x:c>
      <x:c r="D323" s="102" t="str">
        <x:v>COMP_GFS_SHIP_MGMT</x:v>
      </x:c>
      <x:c r="E323" s="102" t="str">
        <x:v>SHIP_MANAGER / PUBLISHED_MANAGED_FLEET</x:v>
      </x:c>
      <x:c r="F323" s="102"/>
      <x:c r="G323" s="102"/>
      <x:c r="H323" s="102" t="str">
        <x:v>Moderate</x:v>
      </x:c>
      <x:c r="I323" s="102" t="str">
        <x:v>SRC_0179</x:v>
      </x:c>
      <x:c r="J323" s="102" t="str">
        <x:v>Vessel appears on GFS Ship Management's published fleet; role should be re-verified if ownership/management changes.</x:v>
      </x:c>
    </x:row>
    <x:row r="324">
      <x:c r="A324" s="102" t="str">
        <x:v>VREL_000323</x:v>
      </x:c>
      <x:c r="B324" s="102" t="str">
        <x:v>VESSEL_00177</x:v>
      </x:c>
      <x:c r="C324" s="102" t="str">
        <x:v>GFS PRIDE</x:v>
      </x:c>
      <x:c r="D324" s="102" t="str">
        <x:v>COMP_GFS_SHIP_MGMT</x:v>
      </x:c>
      <x:c r="E324" s="102" t="str">
        <x:v>SHIP_MANAGER / PUBLISHED_MANAGED_FLEET</x:v>
      </x:c>
      <x:c r="F324" s="102"/>
      <x:c r="G324" s="102"/>
      <x:c r="H324" s="102" t="str">
        <x:v>Moderate</x:v>
      </x:c>
      <x:c r="I324" s="102" t="str">
        <x:v>SRC_0179</x:v>
      </x:c>
      <x:c r="J324" s="102" t="str">
        <x:v>Vessel appears on GFS Ship Management's published fleet; role should be re-verified if ownership/management changes.</x:v>
      </x:c>
    </x:row>
    <x:row r="325">
      <x:c r="A325" s="102" t="str">
        <x:v>VREL_000324</x:v>
      </x:c>
      <x:c r="B325" s="102" t="str">
        <x:v>VESSEL_00178</x:v>
      </x:c>
      <x:c r="C325" s="102" t="str">
        <x:v>GFS RANNA</x:v>
      </x:c>
      <x:c r="D325" s="102" t="str">
        <x:v>COMP_GFS_SHIP_MGMT</x:v>
      </x:c>
      <x:c r="E325" s="102" t="str">
        <x:v>SHIP_MANAGER / PUBLISHED_MANAGED_FLEET</x:v>
      </x:c>
      <x:c r="F325" s="102"/>
      <x:c r="G325" s="102"/>
      <x:c r="H325" s="102" t="str">
        <x:v>Moderate</x:v>
      </x:c>
      <x:c r="I325" s="102" t="str">
        <x:v>SRC_0179</x:v>
      </x:c>
      <x:c r="J325" s="102" t="str">
        <x:v>Vessel appears on GFS Ship Management's published fleet; role should be re-verified if ownership/management changes.</x:v>
      </x:c>
    </x:row>
    <x:row r="326">
      <x:c r="A326" s="102" t="str">
        <x:v>VREL_000325</x:v>
      </x:c>
      <x:c r="B326" s="102" t="str">
        <x:v>VESSEL_00179</x:v>
      </x:c>
      <x:c r="C326" s="102" t="str">
        <x:v>GFS JADE</x:v>
      </x:c>
      <x:c r="D326" s="102" t="str">
        <x:v>COMP_GFS_SHIP_MGMT</x:v>
      </x:c>
      <x:c r="E326" s="102" t="str">
        <x:v>SHIP_MANAGER / PUBLISHED_MANAGED_FLEET</x:v>
      </x:c>
      <x:c r="F326" s="102"/>
      <x:c r="G326" s="102"/>
      <x:c r="H326" s="102" t="str">
        <x:v>Moderate</x:v>
      </x:c>
      <x:c r="I326" s="102" t="str">
        <x:v>SRC_0179</x:v>
      </x:c>
      <x:c r="J326" s="102" t="str">
        <x:v>Vessel appears on GFS Ship Management's published fleet; role should be re-verified if ownership/management changes.</x:v>
      </x:c>
    </x:row>
    <x:row r="327">
      <x:c r="A327" s="102" t="str">
        <x:v>VREL_000326</x:v>
      </x:c>
      <x:c r="B327" s="102" t="str">
        <x:v>VESSEL_00180</x:v>
      </x:c>
      <x:c r="C327" s="102" t="str">
        <x:v>GFS PERFECT</x:v>
      </x:c>
      <x:c r="D327" s="102" t="str">
        <x:v>COMP_GFS_SHIP_MGMT</x:v>
      </x:c>
      <x:c r="E327" s="102" t="str">
        <x:v>SHIP_MANAGER / PUBLISHED_MANAGED_FLEET</x:v>
      </x:c>
      <x:c r="F327" s="102"/>
      <x:c r="G327" s="102"/>
      <x:c r="H327" s="102" t="str">
        <x:v>Moderate</x:v>
      </x:c>
      <x:c r="I327" s="102" t="str">
        <x:v>SRC_0179</x:v>
      </x:c>
      <x:c r="J327" s="102" t="str">
        <x:v>Vessel appears on GFS Ship Management's published fleet; role should be re-verified if ownership/management changes.</x:v>
      </x:c>
    </x:row>
    <x:row r="328">
      <x:c r="A328" s="102" t="str">
        <x:v>VREL_000327</x:v>
      </x:c>
      <x:c r="B328" s="102" t="str">
        <x:v>VESSEL_00181</x:v>
      </x:c>
      <x:c r="C328" s="102" t="str">
        <x:v>GFS PEARL</x:v>
      </x:c>
      <x:c r="D328" s="102" t="str">
        <x:v>COMP_GFS_SHIP_MGMT</x:v>
      </x:c>
      <x:c r="E328" s="102" t="str">
        <x:v>SHIP_MANAGER / PUBLISHED_MANAGED_FLEET</x:v>
      </x:c>
      <x:c r="F328" s="102"/>
      <x:c r="G328" s="102"/>
      <x:c r="H328" s="102" t="str">
        <x:v>Moderate</x:v>
      </x:c>
      <x:c r="I328" s="102" t="str">
        <x:v>SRC_0179</x:v>
      </x:c>
      <x:c r="J328" s="102" t="str">
        <x:v>Vessel appears on GFS Ship Management's published fleet; role should be re-verified if ownership/management changes.</x:v>
      </x:c>
    </x:row>
    <x:row r="329">
      <x:c r="A329" s="102" t="str">
        <x:v>VREL_000328</x:v>
      </x:c>
      <x:c r="B329" s="102" t="str">
        <x:v>VESSEL_00182</x:v>
      </x:c>
      <x:c r="C329" s="102" t="str">
        <x:v>GFS JUNO</x:v>
      </x:c>
      <x:c r="D329" s="102" t="str">
        <x:v>COMP_GFS_SHIP_MGMT</x:v>
      </x:c>
      <x:c r="E329" s="102" t="str">
        <x:v>SHIP_MANAGER / PUBLISHED_MANAGED_FLEET</x:v>
      </x:c>
      <x:c r="F329" s="102"/>
      <x:c r="G329" s="102"/>
      <x:c r="H329" s="102" t="str">
        <x:v>Moderate</x:v>
      </x:c>
      <x:c r="I329" s="102" t="str">
        <x:v>SRC_0179</x:v>
      </x:c>
      <x:c r="J329" s="102" t="str">
        <x:v>Vessel appears on GFS Ship Management's published fleet; role should be re-verified if ownership/management changes.</x:v>
      </x:c>
    </x:row>
    <x:row r="330">
      <x:c r="A330" s="102" t="str">
        <x:v>VREL_000329</x:v>
      </x:c>
      <x:c r="B330" s="102" t="str">
        <x:v>VESSEL_00183</x:v>
      </x:c>
      <x:c r="C330" s="102" t="str">
        <x:v>GFS PRIME</x:v>
      </x:c>
      <x:c r="D330" s="102" t="str">
        <x:v>COMP_GFS_SHIP_MGMT</x:v>
      </x:c>
      <x:c r="E330" s="102" t="str">
        <x:v>SHIP_MANAGER / PUBLISHED_MANAGED_FLEET</x:v>
      </x:c>
      <x:c r="F330" s="102"/>
      <x:c r="G330" s="102"/>
      <x:c r="H330" s="102" t="str">
        <x:v>Moderate</x:v>
      </x:c>
      <x:c r="I330" s="102" t="str">
        <x:v>SRC_0179</x:v>
      </x:c>
      <x:c r="J330" s="102" t="str">
        <x:v>Vessel appears on GFS Ship Management's published fleet; role should be re-verified if ownership/management changes.</x:v>
      </x:c>
    </x:row>
    <x:row r="331">
      <x:c r="A331" s="102" t="str">
        <x:v>VREL_000330</x:v>
      </x:c>
      <x:c r="B331" s="102" t="str">
        <x:v>VESSEL_00184</x:v>
      </x:c>
      <x:c r="C331" s="102" t="str">
        <x:v>GFS SAPPHIRE</x:v>
      </x:c>
      <x:c r="D331" s="102" t="str">
        <x:v>COMP_GFS_SHIP_MGMT</x:v>
      </x:c>
      <x:c r="E331" s="102" t="str">
        <x:v>SHIP_MANAGER / PUBLISHED_MANAGED_FLEET</x:v>
      </x:c>
      <x:c r="F331" s="102"/>
      <x:c r="G331" s="102"/>
      <x:c r="H331" s="102" t="str">
        <x:v>Moderate</x:v>
      </x:c>
      <x:c r="I331" s="102" t="str">
        <x:v>SRC_0179</x:v>
      </x:c>
      <x:c r="J331" s="102" t="str">
        <x:v>Vessel appears on GFS Ship Management's published fleet; role should be re-verified if ownership/management changes.</x:v>
      </x:c>
    </x:row>
    <x:row r="332">
      <x:c r="A332" s="102" t="str">
        <x:v>VREL_000331</x:v>
      </x:c>
      <x:c r="B332" s="102" t="str">
        <x:v>VESSEL_00171</x:v>
      </x:c>
      <x:c r="C332" s="102" t="str">
        <x:v>GFS GALAXY</x:v>
      </x:c>
      <x:c r="D332" s="102" t="str">
        <x:v>COMP_GFS</x:v>
      </x:c>
      <x:c r="E332" s="102" t="str">
        <x:v>COMMERCIAL_OPERATOR</x:v>
      </x:c>
      <x:c r="F332" s="102"/>
      <x:c r="G332" s="102" t="str">
        <x:v>2026-07-12</x:v>
      </x:c>
      <x:c r="H332" s="102" t="str">
        <x:v>High</x:v>
      </x:c>
      <x:c r="I332" s="102" t="str">
        <x:v>SRC_0184</x:v>
      </x:c>
      <x:c r="J332" s="102" t="str">
        <x:v>Lloyd's List identified Global Feeder Shipping as operator at time of the Iranian attack.</x:v>
      </x:c>
    </x:row>
    <x:row r="333">
      <x:c r="A333" s="102" t="str">
        <x:v>VREL_000332</x:v>
      </x:c>
      <x:c r="B333" s="102" t="str">
        <x:v>VESSEL_00171</x:v>
      </x:c>
      <x:c r="C333" s="102" t="str">
        <x:v>GFS GALAXY</x:v>
      </x:c>
      <x:c r="D333" s="102" t="str">
        <x:v>COMP_ADPORTS</x:v>
      </x:c>
      <x:c r="E333" s="102" t="str">
        <x:v>BENEFICIAL_OWNER / GROUP_CONTROL</x:v>
      </x:c>
      <x:c r="F333" s="102"/>
      <x:c r="G333" s="102" t="str">
        <x:v>2026-07-12</x:v>
      </x:c>
      <x:c r="H333" s="102" t="str">
        <x:v>High</x:v>
      </x:c>
      <x:c r="I333" s="102" t="str">
        <x:v>SRC_0184</x:v>
      </x:c>
      <x:c r="J333" s="102" t="str">
        <x:v>Lloyd's List identified AD Ports Group as beneficial owner; AD Ports held 81% of GFS by June 2026.</x:v>
      </x:c>
    </x:row>
    <x:row r="334">
      <x:c r="A334" s="102" t="str">
        <x:v>VREL_000333</x:v>
      </x:c>
      <x:c r="B334" s="102" t="str">
        <x:v>VESSEL_00177</x:v>
      </x:c>
      <x:c r="C334" s="102" t="str">
        <x:v>GFS PRIDE</x:v>
      </x:c>
      <x:c r="D334" s="102" t="str">
        <x:v>COMP_GFS</x:v>
      </x:c>
      <x:c r="E334" s="102" t="str">
        <x:v>COMMERCIAL_OPERATOR</x:v>
      </x:c>
      <x:c r="F334" s="102" t="str">
        <x:v>2020-09-21</x:v>
      </x:c>
      <x:c r="G334" s="102"/>
      <x:c r="H334" s="102" t="str">
        <x:v>High</x:v>
      </x:c>
      <x:c r="I334" s="102" t="str">
        <x:v>SRC_0186</x:v>
      </x:c>
      <x:c r="J334" s="102" t="str">
        <x:v>Official GFS Ship Management release states JJS service was operated by Global Feeder Shipping.</x:v>
      </x:c>
    </x:row>
    <x:row r="335">
      <x:c r="A335" s="102" t="str">
        <x:v>VREL_000334</x:v>
      </x:c>
      <x:c r="B335" s="102" t="str">
        <x:v>VESSEL_00185</x:v>
      </x:c>
      <x:c r="C335" s="102" t="str">
        <x:v>SIGYN W</x:v>
      </x:c>
      <x:c r="D335" s="102" t="str">
        <x:v>COMP_CMA_CGM</x:v>
      </x:c>
      <x:c r="E335" s="102" t="str">
        <x:v>SCHEDULED_BY / SERVICE_DEPLOYMENT</x:v>
      </x:c>
      <x:c r="F335" s="102" t="str">
        <x:v>2026-08-26</x:v>
      </x:c>
      <x:c r="G335" s="102" t="str">
        <x:v>2026-08-29</x:v>
      </x:c>
      <x:c r="H335" s="102" t="str">
        <x:v>High</x:v>
      </x:c>
      <x:c r="I335" s="102" t="str">
        <x:v>SRC_0191</x:v>
      </x:c>
      <x:c r="J335" s="102" t="str">
        <x:v>Carrier schedule evidence: Rotterdam → Runavik. Does not establish legal ownership or technical management.</x:v>
      </x:c>
    </x:row>
    <x:row r="336">
      <x:c r="A336" s="102" t="str">
        <x:v>VREL_000335</x:v>
      </x:c>
      <x:c r="B336" s="102" t="str">
        <x:v>VESSEL_00186</x:v>
      </x:c>
      <x:c r="C336" s="102" t="str">
        <x:v>KOI</x:v>
      </x:c>
      <x:c r="D336" s="102" t="str">
        <x:v>COMP_CMA_CGM</x:v>
      </x:c>
      <x:c r="E336" s="102" t="str">
        <x:v>SCHEDULED_BY / SERVICE_DEPLOYMENT</x:v>
      </x:c>
      <x:c r="F336" s="102" t="str">
        <x:v>2026-08-27</x:v>
      </x:c>
      <x:c r="G336" s="102" t="str">
        <x:v>2026-09-21</x:v>
      </x:c>
      <x:c r="H336" s="102" t="str">
        <x:v>High</x:v>
      </x:c>
      <x:c r="I336" s="102" t="str">
        <x:v>SRC_0191</x:v>
      </x:c>
      <x:c r="J336" s="102" t="str">
        <x:v>Carrier schedule evidence: Busan → Houston. Does not establish legal ownership or technical management.</x:v>
      </x:c>
    </x:row>
    <x:row r="337">
      <x:c r="A337" s="102" t="str">
        <x:v>VREL_000336</x:v>
      </x:c>
      <x:c r="B337" s="102" t="str">
        <x:v>VESSEL_00187</x:v>
      </x:c>
      <x:c r="C337" s="102" t="str">
        <x:v>CMA CGM AMBER</x:v>
      </x:c>
      <x:c r="D337" s="102" t="str">
        <x:v>COMP_CMA_CGM</x:v>
      </x:c>
      <x:c r="E337" s="102" t="str">
        <x:v>SCHEDULED_BY / SERVICE_DEPLOYMENT</x:v>
      </x:c>
      <x:c r="F337" s="102" t="str">
        <x:v>2026-08-27</x:v>
      </x:c>
      <x:c r="G337" s="102" t="str">
        <x:v>2026-08-29</x:v>
      </x:c>
      <x:c r="H337" s="102" t="str">
        <x:v>High</x:v>
      </x:c>
      <x:c r="I337" s="102" t="str">
        <x:v>SRC_0191</x:v>
      </x:c>
      <x:c r="J337" s="102" t="str">
        <x:v>Carrier schedule evidence: Ningbo → Shanghai. Does not establish legal ownership or technical management.</x:v>
      </x:c>
    </x:row>
    <x:row r="338">
      <x:c r="A338" s="102" t="str">
        <x:v>VREL_000337</x:v>
      </x:c>
      <x:c r="B338" s="102" t="str">
        <x:v>VESSEL_00188</x:v>
      </x:c>
      <x:c r="C338" s="102" t="str">
        <x:v>CMA CGM SORBONNE</x:v>
      </x:c>
      <x:c r="D338" s="102" t="str">
        <x:v>COMP_CMA_CGM</x:v>
      </x:c>
      <x:c r="E338" s="102" t="str">
        <x:v>SCHEDULED_BY / SERVICE_DEPLOYMENT</x:v>
      </x:c>
      <x:c r="F338" s="102" t="str">
        <x:v>2026-08-26</x:v>
      </x:c>
      <x:c r="G338" s="102" t="str">
        <x:v>2026-09-11</x:v>
      </x:c>
      <x:c r="H338" s="102" t="str">
        <x:v>High</x:v>
      </x:c>
      <x:c r="I338" s="102" t="str">
        <x:v>SRC_0191</x:v>
      </x:c>
      <x:c r="J338" s="102" t="str">
        <x:v>Carrier schedule evidence: Malta Freeport → Port Klang. Does not establish legal ownership or technical management.</x:v>
      </x:c>
    </x:row>
    <x:row r="339">
      <x:c r="A339" s="102" t="str">
        <x:v>VREL_000338</x:v>
      </x:c>
      <x:c r="B339" s="102" t="str">
        <x:v>VESSEL_00189</x:v>
      </x:c>
      <x:c r="C339" s="102" t="str">
        <x:v>CMA CGM MEKONG</x:v>
      </x:c>
      <x:c r="D339" s="102" t="str">
        <x:v>COMP_CMA_CGM</x:v>
      </x:c>
      <x:c r="E339" s="102" t="str">
        <x:v>SCHEDULED_BY / SERVICE_DEPLOYMENT</x:v>
      </x:c>
      <x:c r="F339" s="102" t="str">
        <x:v>2026-08-26</x:v>
      </x:c>
      <x:c r="G339" s="102" t="str">
        <x:v>2026-08-27</x:v>
      </x:c>
      <x:c r="H339" s="102" t="str">
        <x:v>High</x:v>
      </x:c>
      <x:c r="I339" s="102" t="str">
        <x:v>SRC_0191</x:v>
      </x:c>
      <x:c r="J339" s="102" t="str">
        <x:v>Carrier schedule evidence: Rotterdam → Hamburg. Does not establish legal ownership or technical management.</x:v>
      </x:c>
    </x:row>
    <x:row r="340">
      <x:c r="A340" s="102" t="str">
        <x:v>VREL_000339</x:v>
      </x:c>
      <x:c r="B340" s="102" t="str">
        <x:v>VESSEL_00190</x:v>
      </x:c>
      <x:c r="C340" s="102" t="str">
        <x:v>MSC UTMOST VIII</x:v>
      </x:c>
      <x:c r="D340" s="102" t="str">
        <x:v>COMP_MSC</x:v>
      </x:c>
      <x:c r="E340" s="102" t="str">
        <x:v>SCHEDULED_BY / SERVICE_DEPLOYMENT</x:v>
      </x:c>
      <x:c r="F340" s="102"/>
      <x:c r="G340" s="102"/>
      <x:c r="H340" s="102" t="str">
        <x:v>High</x:v>
      </x:c>
      <x:c r="I340" s="102" t="str">
        <x:v>SRC_0192</x:v>
      </x:c>
      <x:c r="J340" s="102" t="str">
        <x:v>Carrier schedule evidence: Sines → Caucedo. Does not establish legal ownership or technical management.</x:v>
      </x:c>
    </x:row>
    <x:row r="341">
      <x:c r="A341" s="102" t="str">
        <x:v>VREL_000340</x:v>
      </x:c>
      <x:c r="B341" s="102" t="str">
        <x:v>VESSEL_00191</x:v>
      </x:c>
      <x:c r="C341" s="102" t="str">
        <x:v>MSC TARA III</x:v>
      </x:c>
      <x:c r="D341" s="102" t="str">
        <x:v>COMP_MSC</x:v>
      </x:c>
      <x:c r="E341" s="102" t="str">
        <x:v>SCHEDULED_BY / SERVICE_DEPLOYMENT</x:v>
      </x:c>
      <x:c r="F341" s="102"/>
      <x:c r="G341" s="102"/>
      <x:c r="H341" s="102" t="str">
        <x:v>High</x:v>
      </x:c>
      <x:c r="I341" s="102" t="str">
        <x:v>SRC_0192</x:v>
      </x:c>
      <x:c r="J341" s="102" t="str">
        <x:v>Carrier schedule evidence: Shanghai → Ningbo. Does not establish legal ownership or technical management.</x:v>
      </x:c>
    </x:row>
    <x:row r="342">
      <x:c r="A342" s="102" t="str">
        <x:v>VREL_000341</x:v>
      </x:c>
      <x:c r="B342" s="102" t="str">
        <x:v>VESSEL_00192</x:v>
      </x:c>
      <x:c r="C342" s="102" t="str">
        <x:v>MSC KAYLA</x:v>
      </x:c>
      <x:c r="D342" s="102" t="str">
        <x:v>COMP_MSC</x:v>
      </x:c>
      <x:c r="E342" s="102" t="str">
        <x:v>SCHEDULED_BY / SERVICE_DEPLOYMENT</x:v>
      </x:c>
      <x:c r="F342" s="102"/>
      <x:c r="G342" s="102"/>
      <x:c r="H342" s="102" t="str">
        <x:v>High</x:v>
      </x:c>
      <x:c r="I342" s="102" t="str">
        <x:v>SRC_0192</x:v>
      </x:c>
      <x:c r="J342" s="102" t="str">
        <x:v>Carrier schedule evidence: Antwerp → St Petersburg. Does not establish legal ownership or technical management.</x:v>
      </x:c>
    </x:row>
    <x:row r="343">
      <x:c r="A343" s="102" t="str">
        <x:v>VREL_000342</x:v>
      </x:c>
      <x:c r="B343" s="102" t="str">
        <x:v>VESSEL_00193</x:v>
      </x:c>
      <x:c r="C343" s="102" t="str">
        <x:v>MSC JENNY II</x:v>
      </x:c>
      <x:c r="D343" s="102" t="str">
        <x:v>COMP_MSC</x:v>
      </x:c>
      <x:c r="E343" s="102" t="str">
        <x:v>SCHEDULED_BY / SERVICE_DEPLOYMENT</x:v>
      </x:c>
      <x:c r="F343" s="102"/>
      <x:c r="G343" s="102"/>
      <x:c r="H343" s="102" t="str">
        <x:v>High</x:v>
      </x:c>
      <x:c r="I343" s="102" t="str">
        <x:v>SRC_0192</x:v>
      </x:c>
      <x:c r="J343" s="102" t="str">
        <x:v>Carrier schedule evidence: Gioia Tauro → Piraeus. Does not establish legal ownership or technical management.</x:v>
      </x:c>
    </x:row>
    <x:row r="344">
      <x:c r="A344" s="102" t="str">
        <x:v>VREL_000343</x:v>
      </x:c>
      <x:c r="B344" s="102" t="str">
        <x:v>VESSEL_00194</x:v>
      </x:c>
      <x:c r="C344" s="102" t="str">
        <x:v>MSC SHANGHAI V</x:v>
      </x:c>
      <x:c r="D344" s="102" t="str">
        <x:v>COMP_MSC</x:v>
      </x:c>
      <x:c r="E344" s="102" t="str">
        <x:v>SCHEDULED_BY / SERVICE_DEPLOYMENT</x:v>
      </x:c>
      <x:c r="F344" s="102"/>
      <x:c r="G344" s="102"/>
      <x:c r="H344" s="102" t="str">
        <x:v>High</x:v>
      </x:c>
      <x:c r="I344" s="102" t="str">
        <x:v>SRC_0192</x:v>
      </x:c>
      <x:c r="J344" s="102" t="str">
        <x:v>Carrier schedule evidence: Tekirdag → Piraeus. Does not establish legal ownership or technical management.</x:v>
      </x:c>
    </x:row>
    <x:row r="345">
      <x:c r="A345" s="102" t="str">
        <x:v>VREL_000344</x:v>
      </x:c>
      <x:c r="B345" s="102" t="str">
        <x:v>VESSEL_00195</x:v>
      </x:c>
      <x:c r="C345" s="102" t="str">
        <x:v>MAERSK SANA</x:v>
      </x:c>
      <x:c r="D345" s="102" t="str">
        <x:v>COMP_MAERSK</x:v>
      </x:c>
      <x:c r="E345" s="102" t="str">
        <x:v>SCHEDULED_BY / SERVICE_DEPLOYMENT</x:v>
      </x:c>
      <x:c r="F345" s="102"/>
      <x:c r="G345" s="102"/>
      <x:c r="H345" s="102" t="str">
        <x:v>High</x:v>
      </x:c>
      <x:c r="I345" s="102" t="str">
        <x:v>SRC_0193</x:v>
      </x:c>
      <x:c r="J345" s="102" t="str">
        <x:v>Carrier schedule evidence: Busan → Lazaro Cardenas. Does not establish legal ownership or technical management.</x:v>
      </x:c>
    </x:row>
    <x:row r="346">
      <x:c r="A346" s="102" t="str">
        <x:v>VREL_000345</x:v>
      </x:c>
      <x:c r="B346" s="102" t="str">
        <x:v>VESSEL_00196</x:v>
      </x:c>
      <x:c r="C346" s="102" t="str">
        <x:v>MAERSK STOCKHOLM</x:v>
      </x:c>
      <x:c r="D346" s="102" t="str">
        <x:v>COMP_MAERSK</x:v>
      </x:c>
      <x:c r="E346" s="102" t="str">
        <x:v>SCHEDULED_BY / SERVICE_DEPLOYMENT</x:v>
      </x:c>
      <x:c r="F346" s="102"/>
      <x:c r="G346" s="102"/>
      <x:c r="H346" s="102" t="str">
        <x:v>High</x:v>
      </x:c>
      <x:c r="I346" s="102" t="str">
        <x:v>SRC_0193</x:v>
      </x:c>
      <x:c r="J346" s="102" t="str">
        <x:v>Carrier schedule evidence: Tanjung Pelepas → Hong Kong. Does not establish legal ownership or technical management.</x:v>
      </x:c>
    </x:row>
    <x:row r="347">
      <x:c r="A347" s="102" t="str">
        <x:v>VREL_000346</x:v>
      </x:c>
      <x:c r="B347" s="102" t="str">
        <x:v>VESSEL_00197</x:v>
      </x:c>
      <x:c r="C347" s="102" t="str">
        <x:v>ADRIAN MAERSK</x:v>
      </x:c>
      <x:c r="D347" s="102" t="str">
        <x:v>COMP_MAERSK</x:v>
      </x:c>
      <x:c r="E347" s="102" t="str">
        <x:v>SCHEDULED_BY / SERVICE_DEPLOYMENT</x:v>
      </x:c>
      <x:c r="F347" s="102"/>
      <x:c r="G347" s="102"/>
      <x:c r="H347" s="102" t="str">
        <x:v>High</x:v>
      </x:c>
      <x:c r="I347" s="102" t="str">
        <x:v>SRC_0193</x:v>
      </x:c>
      <x:c r="J347" s="102" t="str">
        <x:v>Carrier schedule evidence: Port Said → Suez Canal. Does not establish legal ownership or technical management.</x:v>
      </x:c>
    </x:row>
    <x:row r="348">
      <x:c r="A348" s="102" t="str">
        <x:v>VREL_000347</x:v>
      </x:c>
      <x:c r="B348" s="102" t="str">
        <x:v>VESSEL_00198</x:v>
      </x:c>
      <x:c r="C348" s="102" t="str">
        <x:v>BSG BONAIRE</x:v>
      </x:c>
      <x:c r="D348" s="102" t="str">
        <x:v>COMP_MAERSK</x:v>
      </x:c>
      <x:c r="E348" s="102" t="str">
        <x:v>SCHEDULED_BY / SERVICE_DEPLOYMENT</x:v>
      </x:c>
      <x:c r="F348" s="102"/>
      <x:c r="G348" s="102"/>
      <x:c r="H348" s="102" t="str">
        <x:v>High</x:v>
      </x:c>
      <x:c r="I348" s="102" t="str">
        <x:v>SRC_0193</x:v>
      </x:c>
      <x:c r="J348" s="102" t="str">
        <x:v>Carrier schedule evidence: Algeciras → Livorno. Does not establish legal ownership or technical management.</x:v>
      </x:c>
    </x:row>
    <x:row r="349">
      <x:c r="A349" s="102" t="str">
        <x:v>VREL_000348</x:v>
      </x:c>
      <x:c r="B349" s="102" t="str">
        <x:v>VESSEL_00199</x:v>
      </x:c>
      <x:c r="C349" s="102" t="str">
        <x:v>AS SIMONE</x:v>
      </x:c>
      <x:c r="D349" s="102" t="str">
        <x:v>COMP_MAERSK</x:v>
      </x:c>
      <x:c r="E349" s="102" t="str">
        <x:v>SCHEDULED_BY / SERVICE_DEPLOYMENT</x:v>
      </x:c>
      <x:c r="F349" s="102"/>
      <x:c r="G349" s="102"/>
      <x:c r="H349" s="102" t="str">
        <x:v>High</x:v>
      </x:c>
      <x:c r="I349" s="102" t="str">
        <x:v>SRC_0193</x:v>
      </x:c>
      <x:c r="J349" s="102" t="str">
        <x:v>Carrier schedule evidence: Busan → Moji. Does not establish legal ownership or technical management.</x:v>
      </x:c>
    </x:row>
    <x:row r="350">
      <x:c r="A350" s="102" t="str">
        <x:v>VREL_000349</x:v>
      </x:c>
      <x:c r="B350" s="102" t="str">
        <x:v>VESSEL_00200</x:v>
      </x:c>
      <x:c r="C350" s="102" t="str">
        <x:v>XIN FEI ZHOU</x:v>
      </x:c>
      <x:c r="D350" s="102" t="str">
        <x:v>COMP_COSCO_LINES</x:v>
      </x:c>
      <x:c r="E350" s="102" t="str">
        <x:v>SCHEDULED_BY / SERVICE_DEPLOYMENT</x:v>
      </x:c>
      <x:c r="F350" s="102"/>
      <x:c r="G350" s="102"/>
      <x:c r="H350" s="102" t="str">
        <x:v>High</x:v>
      </x:c>
      <x:c r="I350" s="102" t="str">
        <x:v>SRC_0194</x:v>
      </x:c>
      <x:c r="J350" s="102" t="str">
        <x:v>Carrier schedule evidence: Xiamen → Hong Kong. Does not establish legal ownership or technical management.</x:v>
      </x:c>
    </x:row>
    <x:row r="351">
      <x:c r="A351" s="102" t="str">
        <x:v>VREL_000350</x:v>
      </x:c>
      <x:c r="B351" s="102" t="str">
        <x:v>VESSEL_00201</x:v>
      </x:c>
      <x:c r="C351" s="102" t="str">
        <x:v>XIN TAI CANG</x:v>
      </x:c>
      <x:c r="D351" s="102" t="str">
        <x:v>COMP_COSCO_LINES</x:v>
      </x:c>
      <x:c r="E351" s="102" t="str">
        <x:v>SCHEDULED_BY / SERVICE_DEPLOYMENT</x:v>
      </x:c>
      <x:c r="F351" s="102"/>
      <x:c r="G351" s="102"/>
      <x:c r="H351" s="102" t="str">
        <x:v>High</x:v>
      </x:c>
      <x:c r="I351" s="102" t="str">
        <x:v>SRC_0194</x:v>
      </x:c>
      <x:c r="J351" s="102" t="str">
        <x:v>Carrier schedule evidence: Singapore → Surabaya. Does not establish legal ownership or technical management.</x:v>
      </x:c>
    </x:row>
    <x:row r="352">
      <x:c r="A352" s="102" t="str">
        <x:v>VREL_000351</x:v>
      </x:c>
      <x:c r="B352" s="102" t="str">
        <x:v>VESSEL_00202</x:v>
      </x:c>
      <x:c r="C352" s="102" t="str">
        <x:v>SEASMILE</x:v>
      </x:c>
      <x:c r="D352" s="102" t="str">
        <x:v>COMP_COSCO_LINES</x:v>
      </x:c>
      <x:c r="E352" s="102" t="str">
        <x:v>SCHEDULED_BY / SERVICE_DEPLOYMENT</x:v>
      </x:c>
      <x:c r="F352" s="102"/>
      <x:c r="G352" s="102"/>
      <x:c r="H352" s="102" t="str">
        <x:v>High</x:v>
      </x:c>
      <x:c r="I352" s="102" t="str">
        <x:v>SRC_0194</x:v>
      </x:c>
      <x:c r="J352" s="102" t="str">
        <x:v>Carrier schedule evidence: Hong Kong → Yantian. Does not establish legal ownership or technical management.</x:v>
      </x:c>
    </x:row>
    <x:row r="353">
      <x:c r="A353" s="102" t="str">
        <x:v>VREL_000352</x:v>
      </x:c>
      <x:c r="B353" s="102" t="str">
        <x:v>VESSEL_00203</x:v>
      </x:c>
      <x:c r="C353" s="102" t="str">
        <x:v>HANSA BREITENBURG</x:v>
      </x:c>
      <x:c r="D353" s="102" t="str">
        <x:v>COMP_COSCO_LINES</x:v>
      </x:c>
      <x:c r="E353" s="102" t="str">
        <x:v>SCHEDULED_BY / SERVICE_DEPLOYMENT</x:v>
      </x:c>
      <x:c r="F353" s="102"/>
      <x:c r="G353" s="102"/>
      <x:c r="H353" s="102" t="str">
        <x:v>High</x:v>
      </x:c>
      <x:c r="I353" s="102" t="str">
        <x:v>SRC_0194</x:v>
      </x:c>
      <x:c r="J353" s="102" t="str">
        <x:v>Carrier schedule evidence: Nansha → Laem Chabang. Does not establish legal ownership or technical management.</x:v>
      </x:c>
    </x:row>
    <x:row r="354">
      <x:c r="A354" s="102" t="str">
        <x:v>VREL_000353</x:v>
      </x:c>
      <x:c r="B354" s="102" t="str">
        <x:v>VESSEL_00204</x:v>
      </x:c>
      <x:c r="C354" s="102" t="str">
        <x:v>SMC COLUMBUS</x:v>
      </x:c>
      <x:c r="D354" s="102" t="str">
        <x:v>COMP_COSCO_LINES</x:v>
      </x:c>
      <x:c r="E354" s="102" t="str">
        <x:v>SCHEDULED_BY / SERVICE_DEPLOYMENT</x:v>
      </x:c>
      <x:c r="F354" s="102"/>
      <x:c r="G354" s="102"/>
      <x:c r="H354" s="102" t="str">
        <x:v>High</x:v>
      </x:c>
      <x:c r="I354" s="102" t="str">
        <x:v>SRC_0194</x:v>
      </x:c>
      <x:c r="J354" s="102" t="str">
        <x:v>Carrier schedule evidence: Qingdao → Yokohama. Does not establish legal ownership or technical management.</x:v>
      </x:c>
    </x:row>
    <x:row r="355">
      <x:c r="A355" s="102" t="str">
        <x:v>VREL_000354</x:v>
      </x:c>
      <x:c r="B355" s="102" t="str">
        <x:v>VESSEL_00205</x:v>
      </x:c>
      <x:c r="C355" s="102" t="str">
        <x:v>EVER FAR</x:v>
      </x:c>
      <x:c r="D355" s="102" t="str">
        <x:v>COMP_EVERGREEN</x:v>
      </x:c>
      <x:c r="E355" s="102" t="str">
        <x:v>SCHEDULED_BY / SERVICE_DEPLOYMENT</x:v>
      </x:c>
      <x:c r="F355" s="102"/>
      <x:c r="G355" s="102"/>
      <x:c r="H355" s="102" t="str">
        <x:v>High</x:v>
      </x:c>
      <x:c r="I355" s="102" t="str">
        <x:v>SRC_0195</x:v>
      </x:c>
      <x:c r="J355" s="102" t="str">
        <x:v>Carrier schedule evidence: Ningbo → Yantian. Does not establish legal ownership or technical management.</x:v>
      </x:c>
    </x:row>
    <x:row r="356">
      <x:c r="A356" s="102" t="str">
        <x:v>VREL_000355</x:v>
      </x:c>
      <x:c r="B356" s="102" t="str">
        <x:v>VESSEL_00206</x:v>
      </x:c>
      <x:c r="C356" s="102" t="str">
        <x:v>EVER BEFIT</x:v>
      </x:c>
      <x:c r="D356" s="102" t="str">
        <x:v>COMP_EVERGREEN</x:v>
      </x:c>
      <x:c r="E356" s="102" t="str">
        <x:v>SCHEDULED_BY / SERVICE_DEPLOYMENT</x:v>
      </x:c>
      <x:c r="F356" s="102"/>
      <x:c r="G356" s="102"/>
      <x:c r="H356" s="102" t="str">
        <x:v>High</x:v>
      </x:c>
      <x:c r="I356" s="102" t="str">
        <x:v>SRC_0195</x:v>
      </x:c>
      <x:c r="J356" s="102" t="str">
        <x:v>Carrier schedule evidence: Taipei → Tokyo. Does not establish legal ownership or technical management.</x:v>
      </x:c>
    </x:row>
    <x:row r="357">
      <x:c r="A357" s="102" t="str">
        <x:v>VREL_000356</x:v>
      </x:c>
      <x:c r="B357" s="102" t="str">
        <x:v>VESSEL_00207</x:v>
      </x:c>
      <x:c r="C357" s="102" t="str">
        <x:v>EVER LINKING</x:v>
      </x:c>
      <x:c r="D357" s="102" t="str">
        <x:v>COMP_EVERGREEN</x:v>
      </x:c>
      <x:c r="E357" s="102" t="str">
        <x:v>SCHEDULED_BY / SERVICE_DEPLOYMENT</x:v>
      </x:c>
      <x:c r="F357" s="102"/>
      <x:c r="G357" s="102"/>
      <x:c r="H357" s="102" t="str">
        <x:v>High</x:v>
      </x:c>
      <x:c r="I357" s="102" t="str">
        <x:v>SRC_0195</x:v>
      </x:c>
      <x:c r="J357" s="102" t="str">
        <x:v>Carrier schedule evidence: Ningbo → Los Angeles. Does not establish legal ownership or technical management.</x:v>
      </x:c>
    </x:row>
    <x:row r="358">
      <x:c r="A358" s="102" t="str">
        <x:v>VREL_000357</x:v>
      </x:c>
      <x:c r="B358" s="102" t="str">
        <x:v>VESSEL_00208</x:v>
      </x:c>
      <x:c r="C358" s="102" t="str">
        <x:v>EVER MEMO</x:v>
      </x:c>
      <x:c r="D358" s="102" t="str">
        <x:v>COMP_EVERGREEN</x:v>
      </x:c>
      <x:c r="E358" s="102" t="str">
        <x:v>SCHEDULED_BY / SERVICE_DEPLOYMENT</x:v>
      </x:c>
      <x:c r="F358" s="102"/>
      <x:c r="G358" s="102"/>
      <x:c r="H358" s="102" t="str">
        <x:v>High</x:v>
      </x:c>
      <x:c r="I358" s="102" t="str">
        <x:v>SRC_0195</x:v>
      </x:c>
      <x:c r="J358" s="102" t="str">
        <x:v>Carrier schedule evidence: Laem Chabang → Vung Tau. Does not establish legal ownership or technical management.</x:v>
      </x:c>
    </x:row>
    <x:row r="359">
      <x:c r="A359" s="102" t="str">
        <x:v>VREL_000358</x:v>
      </x:c>
      <x:c r="B359" s="102" t="str">
        <x:v>VESSEL_00209</x:v>
      </x:c>
      <x:c r="C359" s="102" t="str">
        <x:v>NORTHERN PRACTISE</x:v>
      </x:c>
      <x:c r="D359" s="102" t="str">
        <x:v>COMP_EVERGREEN</x:v>
      </x:c>
      <x:c r="E359" s="102" t="str">
        <x:v>SCHEDULED_BY / SERVICE_DEPLOYMENT</x:v>
      </x:c>
      <x:c r="F359" s="102"/>
      <x:c r="G359" s="102"/>
      <x:c r="H359" s="102" t="str">
        <x:v>High</x:v>
      </x:c>
      <x:c r="I359" s="102" t="str">
        <x:v>SRC_0195</x:v>
      </x:c>
      <x:c r="J359" s="102" t="str">
        <x:v>Carrier schedule evidence: Singapore → Port Klang. Does not establish legal ownership or technical management.</x:v>
      </x:c>
    </x:row>
    <x:row r="360">
      <x:c r="A360" s="102" t="str">
        <x:v>VREL_000359</x:v>
      </x:c>
      <x:c r="B360" s="102" t="str">
        <x:v>VESSEL_00210</x:v>
      </x:c>
      <x:c r="C360" s="102" t="str">
        <x:v>VALPARAISO EXPRESS</x:v>
      </x:c>
      <x:c r="D360" s="102" t="str">
        <x:v>COMP_HAPAG_LLOYD</x:v>
      </x:c>
      <x:c r="E360" s="102" t="str">
        <x:v>SCHEDULED_BY / SERVICE_DEPLOYMENT</x:v>
      </x:c>
      <x:c r="F360" s="102"/>
      <x:c r="G360" s="102"/>
      <x:c r="H360" s="102" t="str">
        <x:v>High</x:v>
      </x:c>
      <x:c r="I360" s="102" t="str">
        <x:v>SRC_0196</x:v>
      </x:c>
      <x:c r="J360" s="102" t="str">
        <x:v>Carrier schedule evidence: Antwerp → Caucedo. Does not establish legal ownership or technical management.</x:v>
      </x:c>
    </x:row>
    <x:row r="361">
      <x:c r="A361" s="102" t="str">
        <x:v>VREL_000360</x:v>
      </x:c>
      <x:c r="B361" s="102" t="str">
        <x:v>VESSEL_00211</x:v>
      </x:c>
      <x:c r="C361" s="102" t="str">
        <x:v>SALERNO EXPRESS</x:v>
      </x:c>
      <x:c r="D361" s="102" t="str">
        <x:v>COMP_HAPAG_LLOYD</x:v>
      </x:c>
      <x:c r="E361" s="102" t="str">
        <x:v>SCHEDULED_BY / SERVICE_DEPLOYMENT</x:v>
      </x:c>
      <x:c r="F361" s="102"/>
      <x:c r="G361" s="102"/>
      <x:c r="H361" s="102" t="str">
        <x:v>High</x:v>
      </x:c>
      <x:c r="I361" s="102" t="str">
        <x:v>SRC_0196</x:v>
      </x:c>
      <x:c r="J361" s="102" t="str">
        <x:v>Carrier schedule evidence: Singapore → Mombasa. Does not establish legal ownership or technical management.</x:v>
      </x:c>
    </x:row>
    <x:row r="362">
      <x:c r="A362" s="102" t="str">
        <x:v>VREL_000361</x:v>
      </x:c>
      <x:c r="B362" s="102" t="str">
        <x:v>VESSEL_00212</x:v>
      </x:c>
      <x:c r="C362" s="102" t="str">
        <x:v>CARTAGENA EXPRESS</x:v>
      </x:c>
      <x:c r="D362" s="102" t="str">
        <x:v>COMP_HAPAG_LLOYD</x:v>
      </x:c>
      <x:c r="E362" s="102" t="str">
        <x:v>SCHEDULED_BY / SERVICE_DEPLOYMENT</x:v>
      </x:c>
      <x:c r="F362" s="102"/>
      <x:c r="G362" s="102"/>
      <x:c r="H362" s="102" t="str">
        <x:v>High</x:v>
      </x:c>
      <x:c r="I362" s="102" t="str">
        <x:v>SRC_0196</x:v>
      </x:c>
      <x:c r="J362" s="102" t="str">
        <x:v>Carrier schedule evidence: Rotterdam → London Gateway. Does not establish legal ownership or technical management.</x:v>
      </x:c>
    </x:row>
    <x:row r="363">
      <x:c r="A363" s="102" t="str">
        <x:v>VREL_000362</x:v>
      </x:c>
      <x:c r="B363" s="102" t="str">
        <x:v>VESSEL_00213</x:v>
      </x:c>
      <x:c r="C363" s="102" t="str">
        <x:v>DAMIETTA EXPRESS</x:v>
      </x:c>
      <x:c r="D363" s="102" t="str">
        <x:v>COMP_HAPAG_LLOYD</x:v>
      </x:c>
      <x:c r="E363" s="102" t="str">
        <x:v>SCHEDULED_BY / SERVICE_DEPLOYMENT</x:v>
      </x:c>
      <x:c r="F363" s="102"/>
      <x:c r="G363" s="102"/>
      <x:c r="H363" s="102" t="str">
        <x:v>High</x:v>
      </x:c>
      <x:c r="I363" s="102" t="str">
        <x:v>SRC_0196</x:v>
      </x:c>
      <x:c r="J363" s="102" t="str">
        <x:v>Carrier schedule evidence: Tanger Med → Singapore. Does not establish legal ownership or technical management.</x:v>
      </x:c>
    </x:row>
    <x:row r="364">
      <x:c r="A364" s="102" t="str">
        <x:v>VREL_000363</x:v>
      </x:c>
      <x:c r="B364" s="102" t="str">
        <x:v>VESSEL_00214</x:v>
      </x:c>
      <x:c r="C364" s="102" t="str">
        <x:v>AL NASRIYAH</x:v>
      </x:c>
      <x:c r="D364" s="102" t="str">
        <x:v>COMP_HAPAG_LLOYD</x:v>
      </x:c>
      <x:c r="E364" s="102" t="str">
        <x:v>SCHEDULED_BY / SERVICE_DEPLOYMENT</x:v>
      </x:c>
      <x:c r="F364" s="102"/>
      <x:c r="G364" s="102"/>
      <x:c r="H364" s="102" t="str">
        <x:v>High</x:v>
      </x:c>
      <x:c r="I364" s="102" t="str">
        <x:v>SRC_0196</x:v>
      </x:c>
      <x:c r="J364" s="102" t="str">
        <x:v>Carrier schedule evidence: Ningbo → Shanghai. Does not establish legal ownership or technical management.</x:v>
      </x:c>
    </x:row>
    <x:row r="365">
      <x:c r="A365" s="102" t="str">
        <x:v>VREL_000364</x:v>
      </x:c>
      <x:c r="B365" s="102" t="str">
        <x:v>VESSEL_00215</x:v>
      </x:c>
      <x:c r="C365" s="102" t="str">
        <x:v>NYK FUJI</x:v>
      </x:c>
      <x:c r="D365" s="102" t="str">
        <x:v>COMP_ONE</x:v>
      </x:c>
      <x:c r="E365" s="102" t="str">
        <x:v>SCHEDULED_BY / SERVICE_DEPLOYMENT</x:v>
      </x:c>
      <x:c r="F365" s="102"/>
      <x:c r="G365" s="102"/>
      <x:c r="H365" s="102" t="str">
        <x:v>High</x:v>
      </x:c>
      <x:c r="I365" s="102" t="str">
        <x:v>SRC_0197</x:v>
      </x:c>
      <x:c r="J365" s="102" t="str">
        <x:v>Carrier schedule evidence: Tokyo → Yokohama. Does not establish legal ownership or technical management.</x:v>
      </x:c>
    </x:row>
    <x:row r="366">
      <x:c r="A366" s="102" t="str">
        <x:v>VREL_000365</x:v>
      </x:c>
      <x:c r="B366" s="102" t="str">
        <x:v>VESSEL_00216</x:v>
      </x:c>
      <x:c r="C366" s="102" t="str">
        <x:v>ONE SPHERE</x:v>
      </x:c>
      <x:c r="D366" s="102" t="str">
        <x:v>COMP_ONE</x:v>
      </x:c>
      <x:c r="E366" s="102" t="str">
        <x:v>SCHEDULED_BY / SERVICE_DEPLOYMENT</x:v>
      </x:c>
      <x:c r="F366" s="102"/>
      <x:c r="G366" s="102"/>
      <x:c r="H366" s="102" t="str">
        <x:v>High</x:v>
      </x:c>
      <x:c r="I366" s="102" t="str">
        <x:v>SRC_0197</x:v>
      </x:c>
      <x:c r="J366" s="102" t="str">
        <x:v>Carrier schedule evidence: Busan → Manzanillo. Does not establish legal ownership or technical management.</x:v>
      </x:c>
    </x:row>
    <x:row r="367">
      <x:c r="A367" s="102" t="str">
        <x:v>VREL_000366</x:v>
      </x:c>
      <x:c r="B367" s="102" t="str">
        <x:v>VESSEL_00217</x:v>
      </x:c>
      <x:c r="C367" s="102" t="str">
        <x:v>NYK VENUS</x:v>
      </x:c>
      <x:c r="D367" s="102" t="str">
        <x:v>COMP_ONE</x:v>
      </x:c>
      <x:c r="E367" s="102" t="str">
        <x:v>SCHEDULED_BY / SERVICE_DEPLOYMENT</x:v>
      </x:c>
      <x:c r="F367" s="102"/>
      <x:c r="G367" s="102"/>
      <x:c r="H367" s="102" t="str">
        <x:v>High</x:v>
      </x:c>
      <x:c r="I367" s="102" t="str">
        <x:v>SRC_0197</x:v>
      </x:c>
      <x:c r="J367" s="102" t="str">
        <x:v>Carrier schedule evidence: Singapore → Laem Chabang. Does not establish legal ownership or technical management.</x:v>
      </x:c>
    </x:row>
    <x:row r="368">
      <x:c r="A368" s="102" t="str">
        <x:v>VREL_000367</x:v>
      </x:c>
      <x:c r="B368" s="102" t="str">
        <x:v>VESSEL_00218</x:v>
      </x:c>
      <x:c r="C368" s="102" t="str">
        <x:v>ONE MODERN</x:v>
      </x:c>
      <x:c r="D368" s="102" t="str">
        <x:v>COMP_ONE</x:v>
      </x:c>
      <x:c r="E368" s="102" t="str">
        <x:v>SCHEDULED_BY / SERVICE_DEPLOYMENT</x:v>
      </x:c>
      <x:c r="F368" s="102"/>
      <x:c r="G368" s="102"/>
      <x:c r="H368" s="102" t="str">
        <x:v>High</x:v>
      </x:c>
      <x:c r="I368" s="102" t="str">
        <x:v>SRC_0197</x:v>
      </x:c>
      <x:c r="J368" s="102" t="str">
        <x:v>Carrier schedule evidence: Busan → Vancouver. Does not establish legal ownership or technical management.</x:v>
      </x:c>
    </x:row>
    <x:row r="369">
      <x:c r="A369" s="102" t="str">
        <x:v>VREL_000368</x:v>
      </x:c>
      <x:c r="B369" s="102" t="str">
        <x:v>VESSEL_00219</x:v>
      </x:c>
      <x:c r="C369" s="102" t="str">
        <x:v>ONE MILLAU</x:v>
      </x:c>
      <x:c r="D369" s="102" t="str">
        <x:v>COMP_ONE</x:v>
      </x:c>
      <x:c r="E369" s="102" t="str">
        <x:v>SCHEDULED_BY / SERVICE_DEPLOYMENT</x:v>
      </x:c>
      <x:c r="F369" s="102"/>
      <x:c r="G369" s="102"/>
      <x:c r="H369" s="102" t="str">
        <x:v>High</x:v>
      </x:c>
      <x:c r="I369" s="102" t="str">
        <x:v>SRC_0197</x:v>
      </x:c>
      <x:c r="J369" s="102" t="str">
        <x:v>Carrier schedule evidence: Busan → Kaohsiung. Does not establish legal ownership or technical management.</x:v>
      </x:c>
    </x:row>
    <x:row r="370">
      <x:c r="A370" s="102" t="str">
        <x:v>VREL_000369</x:v>
      </x:c>
      <x:c r="B370" s="102" t="str">
        <x:v>VESSEL_00220</x:v>
      </x:c>
      <x:c r="C370" s="102" t="str">
        <x:v>IBN AL ABBAR</x:v>
      </x:c>
      <x:c r="D370" s="102" t="str">
        <x:v>COMP_YANG_MING</x:v>
      </x:c>
      <x:c r="E370" s="102" t="str">
        <x:v>SCHEDULED_BY / SERVICE_DEPLOYMENT</x:v>
      </x:c>
      <x:c r="F370" s="102"/>
      <x:c r="G370" s="102"/>
      <x:c r="H370" s="102" t="str">
        <x:v>High</x:v>
      </x:c>
      <x:c r="I370" s="102" t="str">
        <x:v>SRC_0198</x:v>
      </x:c>
      <x:c r="J370" s="102" t="str">
        <x:v>Carrier schedule evidence: Keelung → Taichung. Does not establish legal ownership or technical management.</x:v>
      </x:c>
    </x:row>
    <x:row r="371">
      <x:c r="A371" s="102" t="str">
        <x:v>VREL_000370</x:v>
      </x:c>
      <x:c r="B371" s="102" t="str">
        <x:v>VESSEL_00221</x:v>
      </x:c>
      <x:c r="C371" s="102" t="str">
        <x:v>YM CAPACITY</x:v>
      </x:c>
      <x:c r="D371" s="102" t="str">
        <x:v>COMP_YANG_MING</x:v>
      </x:c>
      <x:c r="E371" s="102" t="str">
        <x:v>SCHEDULED_BY / SERVICE_DEPLOYMENT</x:v>
      </x:c>
      <x:c r="F371" s="102"/>
      <x:c r="G371" s="102"/>
      <x:c r="H371" s="102" t="str">
        <x:v>High</x:v>
      </x:c>
      <x:c r="I371" s="102" t="str">
        <x:v>SRC_0198</x:v>
      </x:c>
      <x:c r="J371" s="102" t="str">
        <x:v>Carrier schedule evidence: Shanghai → Ningbo. Does not establish legal ownership or technical management.</x:v>
      </x:c>
    </x:row>
    <x:row r="372">
      <x:c r="A372" s="102" t="str">
        <x:v>VREL_000371</x:v>
      </x:c>
      <x:c r="B372" s="102" t="str">
        <x:v>VESSEL_00222</x:v>
      </x:c>
      <x:c r="C372" s="102" t="str">
        <x:v>YM INCEPTION</x:v>
      </x:c>
      <x:c r="D372" s="102" t="str">
        <x:v>COMP_YANG_MING</x:v>
      </x:c>
      <x:c r="E372" s="102" t="str">
        <x:v>SCHEDULED_BY / SERVICE_DEPLOYMENT</x:v>
      </x:c>
      <x:c r="F372" s="102"/>
      <x:c r="G372" s="102"/>
      <x:c r="H372" s="102" t="str">
        <x:v>High</x:v>
      </x:c>
      <x:c r="I372" s="102" t="str">
        <x:v>SRC_0198</x:v>
      </x:c>
      <x:c r="J372" s="102" t="str">
        <x:v>Carrier schedule evidence: Kaohsiung → Taichung. Does not establish legal ownership or technical management.</x:v>
      </x:c>
    </x:row>
    <x:row r="373">
      <x:c r="A373" s="102" t="str">
        <x:v>VREL_000372</x:v>
      </x:c>
      <x:c r="B373" s="102" t="str">
        <x:v>VESSEL_00223</x:v>
      </x:c>
      <x:c r="C373" s="102" t="str">
        <x:v>YM EXCELLENCE</x:v>
      </x:c>
      <x:c r="D373" s="102" t="str">
        <x:v>COMP_YANG_MING</x:v>
      </x:c>
      <x:c r="E373" s="102" t="str">
        <x:v>SCHEDULED_BY / SERVICE_DEPLOYMENT</x:v>
      </x:c>
      <x:c r="F373" s="102"/>
      <x:c r="G373" s="102"/>
      <x:c r="H373" s="102" t="str">
        <x:v>High</x:v>
      </x:c>
      <x:c r="I373" s="102" t="str">
        <x:v>SRC_0198</x:v>
      </x:c>
      <x:c r="J373" s="102" t="str">
        <x:v>Carrier schedule evidence: Shekou → Singapore. Does not establish legal ownership or technical management.</x:v>
      </x:c>
    </x:row>
    <x:row r="374">
      <x:c r="A374" s="102" t="str">
        <x:v>VREL_000373</x:v>
      </x:c>
      <x:c r="B374" s="102" t="str">
        <x:v>VESSEL_00224</x:v>
      </x:c>
      <x:c r="C374" s="102" t="str">
        <x:v>YM IMMENSE</x:v>
      </x:c>
      <x:c r="D374" s="102" t="str">
        <x:v>COMP_YANG_MING</x:v>
      </x:c>
      <x:c r="E374" s="102" t="str">
        <x:v>SCHEDULED_BY / SERVICE_DEPLOYMENT</x:v>
      </x:c>
      <x:c r="F374" s="102"/>
      <x:c r="G374" s="102"/>
      <x:c r="H374" s="102" t="str">
        <x:v>High</x:v>
      </x:c>
      <x:c r="I374" s="102" t="str">
        <x:v>SRC_0198</x:v>
      </x:c>
      <x:c r="J374" s="102" t="str">
        <x:v>Carrier schedule evidence: Laem Chabang → Ho Chi Minh City. Does not establish legal ownership or technical management.</x:v>
      </x:c>
    </x:row>
    <x:row r="375">
      <x:c r="A375" s="102" t="str">
        <x:v>VREL_000374</x:v>
      </x:c>
      <x:c r="B375" s="102" t="str">
        <x:v>VESSEL_00225</x:v>
      </x:c>
      <x:c r="C375" s="102" t="str">
        <x:v>HMM VANCOUVER</x:v>
      </x:c>
      <x:c r="D375" s="102" t="str">
        <x:v>COMP_HMM</x:v>
      </x:c>
      <x:c r="E375" s="102" t="str">
        <x:v>SCHEDULED_BY / SERVICE_DEPLOYMENT</x:v>
      </x:c>
      <x:c r="F375" s="102"/>
      <x:c r="G375" s="102"/>
      <x:c r="H375" s="102" t="str">
        <x:v>High</x:v>
      </x:c>
      <x:c r="I375" s="102" t="str">
        <x:v>SRC_0199</x:v>
      </x:c>
      <x:c r="J375" s="102" t="str">
        <x:v>Carrier schedule evidence: Ningbo → Shanghai. Does not establish legal ownership or technical management.</x:v>
      </x:c>
    </x:row>
    <x:row r="376">
      <x:c r="A376" s="102" t="str">
        <x:v>VREL_000375</x:v>
      </x:c>
      <x:c r="B376" s="102" t="str">
        <x:v>VESSEL_00226</x:v>
      </x:c>
      <x:c r="C376" s="102" t="str">
        <x:v>HMM EMERALD</x:v>
      </x:c>
      <x:c r="D376" s="102" t="str">
        <x:v>COMP_HMM</x:v>
      </x:c>
      <x:c r="E376" s="102" t="str">
        <x:v>SCHEDULED_BY / SERVICE_DEPLOYMENT</x:v>
      </x:c>
      <x:c r="F376" s="102"/>
      <x:c r="G376" s="102"/>
      <x:c r="H376" s="102" t="str">
        <x:v>High</x:v>
      </x:c>
      <x:c r="I376" s="102" t="str">
        <x:v>SRC_0199</x:v>
      </x:c>
      <x:c r="J376" s="102" t="str">
        <x:v>Carrier schedule evidence: Shanghai → Ningbo. Does not establish legal ownership or technical management.</x:v>
      </x:c>
    </x:row>
    <x:row r="377">
      <x:c r="A377" s="102" t="str">
        <x:v>VREL_000376</x:v>
      </x:c>
      <x:c r="B377" s="102" t="str">
        <x:v>VESSEL_00227</x:v>
      </x:c>
      <x:c r="C377" s="102" t="str">
        <x:v>HMM HARMONY</x:v>
      </x:c>
      <x:c r="D377" s="102" t="str">
        <x:v>COMP_HMM</x:v>
      </x:c>
      <x:c r="E377" s="102" t="str">
        <x:v>SCHEDULED_BY / SERVICE_DEPLOYMENT</x:v>
      </x:c>
      <x:c r="F377" s="102"/>
      <x:c r="G377" s="102"/>
      <x:c r="H377" s="102" t="str">
        <x:v>High</x:v>
      </x:c>
      <x:c r="I377" s="102" t="str">
        <x:v>SRC_0199</x:v>
      </x:c>
      <x:c r="J377" s="102" t="str">
        <x:v>Carrier schedule evidence: Ningbo → Ho Chi Minh City. Does not establish legal ownership or technical management.</x:v>
      </x:c>
    </x:row>
    <x:row r="378">
      <x:c r="A378" s="102" t="str">
        <x:v>VREL_000377</x:v>
      </x:c>
      <x:c r="B378" s="102" t="str">
        <x:v>VESSEL_00228</x:v>
      </x:c>
      <x:c r="C378" s="102" t="str">
        <x:v>SKY RAINBOW</x:v>
      </x:c>
      <x:c r="D378" s="102" t="str">
        <x:v>COMP_HMM</x:v>
      </x:c>
      <x:c r="E378" s="102" t="str">
        <x:v>SCHEDULED_BY / SERVICE_DEPLOYMENT</x:v>
      </x:c>
      <x:c r="F378" s="102"/>
      <x:c r="G378" s="102"/>
      <x:c r="H378" s="102" t="str">
        <x:v>High</x:v>
      </x:c>
      <x:c r="I378" s="102" t="str">
        <x:v>SRC_0199</x:v>
      </x:c>
      <x:c r="J378" s="102" t="str">
        <x:v>Carrier schedule evidence: Ho Chi Minh City → Incheon. Does not establish legal ownership or technical management.</x:v>
      </x:c>
    </x:row>
    <x:row r="379">
      <x:c r="A379" s="102" t="str">
        <x:v>VREL_000378</x:v>
      </x:c>
      <x:c r="B379" s="102" t="str">
        <x:v>VESSEL_00229</x:v>
      </x:c>
      <x:c r="C379" s="102" t="str">
        <x:v>HMM SKY</x:v>
      </x:c>
      <x:c r="D379" s="102" t="str">
        <x:v>COMP_HMM</x:v>
      </x:c>
      <x:c r="E379" s="102" t="str">
        <x:v>SCHEDULED_BY / SERVICE_DEPLOYMENT</x:v>
      </x:c>
      <x:c r="F379" s="102"/>
      <x:c r="G379" s="102"/>
      <x:c r="H379" s="102" t="str">
        <x:v>High</x:v>
      </x:c>
      <x:c r="I379" s="102" t="str">
        <x:v>SRC_0199</x:v>
      </x:c>
      <x:c r="J379" s="102" t="str">
        <x:v>Carrier schedule evidence: Busan → Shanghai. Does not establish legal ownership or technical management.</x:v>
      </x:c>
    </x:row>
    <x:row r="380">
      <x:c r="A380" s="102" t="str">
        <x:v>VREL_000379</x:v>
      </x:c>
      <x:c r="B380" s="102" t="str">
        <x:v>VESSEL_00230</x:v>
      </x:c>
      <x:c r="C380" s="102" t="str">
        <x:v>KOTA SANTOS</x:v>
      </x:c>
      <x:c r="D380" s="102" t="str">
        <x:v>COMP_PIL</x:v>
      </x:c>
      <x:c r="E380" s="102" t="str">
        <x:v>SCHEDULED_BY / SERVICE_DEPLOYMENT</x:v>
      </x:c>
      <x:c r="F380" s="102"/>
      <x:c r="G380" s="102"/>
      <x:c r="H380" s="102" t="str">
        <x:v>High</x:v>
      </x:c>
      <x:c r="I380" s="102" t="str">
        <x:v>SRC_0200</x:v>
      </x:c>
      <x:c r="J380" s="102" t="str">
        <x:v>Carrier schedule evidence: Nansha → Shekou. Does not establish legal ownership or technical management.</x:v>
      </x:c>
    </x:row>
    <x:row r="381">
      <x:c r="A381" s="102" t="str">
        <x:v>VREL_000380</x:v>
      </x:c>
      <x:c r="B381" s="102" t="str">
        <x:v>VESSEL_00231</x:v>
      </x:c>
      <x:c r="C381" s="102" t="str">
        <x:v>KOTA SABAS</x:v>
      </x:c>
      <x:c r="D381" s="102" t="str">
        <x:v>COMP_PIL</x:v>
      </x:c>
      <x:c r="E381" s="102" t="str">
        <x:v>SCHEDULED_BY / SERVICE_DEPLOYMENT</x:v>
      </x:c>
      <x:c r="F381" s="102"/>
      <x:c r="G381" s="102"/>
      <x:c r="H381" s="102" t="str">
        <x:v>High</x:v>
      </x:c>
      <x:c r="I381" s="102" t="str">
        <x:v>SRC_0200</x:v>
      </x:c>
      <x:c r="J381" s="102" t="str">
        <x:v>Carrier schedule evidence: Ningbo → Nansha. Does not establish legal ownership or technical management.</x:v>
      </x:c>
    </x:row>
    <x:row r="382">
      <x:c r="A382" s="102" t="str">
        <x:v>VREL_000381</x:v>
      </x:c>
      <x:c r="B382" s="102" t="str">
        <x:v>VESSEL_00232</x:v>
      </x:c>
      <x:c r="C382" s="102" t="str">
        <x:v>KOTA GAYA</x:v>
      </x:c>
      <x:c r="D382" s="102" t="str">
        <x:v>COMP_PIL</x:v>
      </x:c>
      <x:c r="E382" s="102" t="str">
        <x:v>SCHEDULED_BY / SERVICE_DEPLOYMENT</x:v>
      </x:c>
      <x:c r="F382" s="102"/>
      <x:c r="G382" s="102"/>
      <x:c r="H382" s="102" t="str">
        <x:v>High</x:v>
      </x:c>
      <x:c r="I382" s="102" t="str">
        <x:v>SRC_0200</x:v>
      </x:c>
      <x:c r="J382" s="102" t="str">
        <x:v>Carrier schedule evidence: Shanghai → Singapore. Does not establish legal ownership or technical management.</x:v>
      </x:c>
    </x:row>
    <x:row r="383">
      <x:c r="A383" s="102" t="str">
        <x:v>VREL_000382</x:v>
      </x:c>
      <x:c r="B383" s="102" t="str">
        <x:v>VESSEL_00233</x:v>
      </x:c>
      <x:c r="C383" s="102" t="str">
        <x:v>SINAR PANGANDARAN</x:v>
      </x:c>
      <x:c r="D383" s="102" t="str">
        <x:v>COMP_PIL</x:v>
      </x:c>
      <x:c r="E383" s="102" t="str">
        <x:v>SCHEDULED_BY / SERVICE_DEPLOYMENT</x:v>
      </x:c>
      <x:c r="F383" s="102"/>
      <x:c r="G383" s="102"/>
      <x:c r="H383" s="102" t="str">
        <x:v>High</x:v>
      </x:c>
      <x:c r="I383" s="102" t="str">
        <x:v>SRC_0200</x:v>
      </x:c>
      <x:c r="J383" s="102" t="str">
        <x:v>Carrier schedule evidence: Singapore → Kuantan. Does not establish legal ownership or technical management.</x:v>
      </x:c>
    </x:row>
    <x:row r="384">
      <x:c r="A384" s="102" t="str">
        <x:v>VREL_000383</x:v>
      </x:c>
      <x:c r="B384" s="102" t="str">
        <x:v>VESSEL_00234</x:v>
      </x:c>
      <x:c r="C384" s="102" t="str">
        <x:v>KOTA SEMPENA</x:v>
      </x:c>
      <x:c r="D384" s="102" t="str">
        <x:v>COMP_PIL</x:v>
      </x:c>
      <x:c r="E384" s="102" t="str">
        <x:v>SCHEDULED_BY / SERVICE_DEPLOYMENT</x:v>
      </x:c>
      <x:c r="F384" s="102"/>
      <x:c r="G384" s="102"/>
      <x:c r="H384" s="102" t="str">
        <x:v>High</x:v>
      </x:c>
      <x:c r="I384" s="102" t="str">
        <x:v>SRC_0200</x:v>
      </x:c>
      <x:c r="J384" s="102" t="str">
        <x:v>Carrier schedule evidence: Shanghai → Ningbo. Does not establish legal ownership or technical management.</x:v>
      </x:c>
    </x:row>
    <x:row r="385">
      <x:c r="A385" s="102" t="str">
        <x:v>VREL_000384</x:v>
      </x:c>
      <x:c r="B385" s="102" t="str">
        <x:v>VESSEL_00235</x:v>
      </x:c>
      <x:c r="C385" s="102" t="str">
        <x:v>WAN HAI 283</x:v>
      </x:c>
      <x:c r="D385" s="102" t="str">
        <x:v>COMP_WAN_HAI</x:v>
      </x:c>
      <x:c r="E385" s="102" t="str">
        <x:v>SCHEDULED_BY / SERVICE_DEPLOYMENT</x:v>
      </x:c>
      <x:c r="F385" s="102"/>
      <x:c r="G385" s="102"/>
      <x:c r="H385" s="102" t="str">
        <x:v>High</x:v>
      </x:c>
      <x:c r="I385" s="102" t="str">
        <x:v>SRC_0201</x:v>
      </x:c>
      <x:c r="J385" s="102" t="str">
        <x:v>Carrier schedule evidence: Kaohsiung → Taichung. Does not establish legal ownership or technical management.</x:v>
      </x:c>
    </x:row>
    <x:row r="386">
      <x:c r="A386" s="102" t="str">
        <x:v>VREL_000385</x:v>
      </x:c>
      <x:c r="B386" s="102" t="str">
        <x:v>VESSEL_00236</x:v>
      </x:c>
      <x:c r="C386" s="102" t="str">
        <x:v>WAN HAI 358</x:v>
      </x:c>
      <x:c r="D386" s="102" t="str">
        <x:v>COMP_WAN_HAI</x:v>
      </x:c>
      <x:c r="E386" s="102" t="str">
        <x:v>SCHEDULED_BY / SERVICE_DEPLOYMENT</x:v>
      </x:c>
      <x:c r="F386" s="102"/>
      <x:c r="G386" s="102"/>
      <x:c r="H386" s="102" t="str">
        <x:v>High</x:v>
      </x:c>
      <x:c r="I386" s="102" t="str">
        <x:v>SRC_0201</x:v>
      </x:c>
      <x:c r="J386" s="102" t="str">
        <x:v>Carrier schedule evidence: Hong Kong → Singapore. Does not establish legal ownership or technical management.</x:v>
      </x:c>
    </x:row>
    <x:row r="387">
      <x:c r="A387" s="102" t="str">
        <x:v>VREL_000386</x:v>
      </x:c>
      <x:c r="B387" s="102" t="str">
        <x:v>VESSEL_00237</x:v>
      </x:c>
      <x:c r="C387" s="102" t="str">
        <x:v>WAN HAI 177</x:v>
      </x:c>
      <x:c r="D387" s="102" t="str">
        <x:v>COMP_WAN_HAI</x:v>
      </x:c>
      <x:c r="E387" s="102" t="str">
        <x:v>SCHEDULED_BY / SERVICE_DEPLOYMENT</x:v>
      </x:c>
      <x:c r="F387" s="102"/>
      <x:c r="G387" s="102"/>
      <x:c r="H387" s="102" t="str">
        <x:v>High</x:v>
      </x:c>
      <x:c r="I387" s="102" t="str">
        <x:v>SRC_0201</x:v>
      </x:c>
      <x:c r="J387" s="102" t="str">
        <x:v>Carrier schedule evidence: Laem Chabang → Bangkok. Does not establish legal ownership or technical management.</x:v>
      </x:c>
    </x:row>
    <x:row r="388">
      <x:c r="A388" s="102" t="str">
        <x:v>VREL_000387</x:v>
      </x:c>
      <x:c r="B388" s="102" t="str">
        <x:v>VESSEL_00238</x:v>
      </x:c>
      <x:c r="C388" s="102" t="str">
        <x:v>WAN HAI 333</x:v>
      </x:c>
      <x:c r="D388" s="102" t="str">
        <x:v>COMP_WAN_HAI</x:v>
      </x:c>
      <x:c r="E388" s="102" t="str">
        <x:v>SCHEDULED_BY / SERVICE_DEPLOYMENT</x:v>
      </x:c>
      <x:c r="F388" s="102"/>
      <x:c r="G388" s="102"/>
      <x:c r="H388" s="102" t="str">
        <x:v>High</x:v>
      </x:c>
      <x:c r="I388" s="102" t="str">
        <x:v>SRC_0201</x:v>
      </x:c>
      <x:c r="J388" s="102" t="str">
        <x:v>Carrier schedule evidence: Laem Chabang → Shekou. Does not establish legal ownership or technical management.</x:v>
      </x:c>
    </x:row>
    <x:row r="389">
      <x:c r="A389" s="102" t="str">
        <x:v>VREL_000388</x:v>
      </x:c>
      <x:c r="B389" s="102" t="str">
        <x:v>VESSEL_00239</x:v>
      </x:c>
      <x:c r="C389" s="102" t="str">
        <x:v>WAN HAI 101</x:v>
      </x:c>
      <x:c r="D389" s="102" t="str">
        <x:v>COMP_WAN_HAI</x:v>
      </x:c>
      <x:c r="E389" s="102" t="str">
        <x:v>SCHEDULED_BY / SERVICE_DEPLOYMENT</x:v>
      </x:c>
      <x:c r="F389" s="102"/>
      <x:c r="G389" s="102"/>
      <x:c r="H389" s="102" t="str">
        <x:v>High</x:v>
      </x:c>
      <x:c r="I389" s="102" t="str">
        <x:v>SRC_0201</x:v>
      </x:c>
      <x:c r="J389" s="102" t="str">
        <x:v>Carrier schedule evidence: Port Klang → Penang. Does not establish legal ownership or technical management.</x:v>
      </x:c>
    </x:row>
    <x:row r="390">
      <x:c r="A390" s="102" t="str">
        <x:v>VREL_000389</x:v>
      </x:c>
      <x:c r="B390" s="102" t="str">
        <x:v>VESSEL_00240</x:v>
      </x:c>
      <x:c r="C390" s="102" t="str">
        <x:v>ZIM EMERALD</x:v>
      </x:c>
      <x:c r="D390" s="102" t="str">
        <x:v>COMP_ZIM</x:v>
      </x:c>
      <x:c r="E390" s="102" t="str">
        <x:v>SCHEDULED_BY / SERVICE_DEPLOYMENT</x:v>
      </x:c>
      <x:c r="F390" s="102"/>
      <x:c r="G390" s="102"/>
      <x:c r="H390" s="102" t="str">
        <x:v>High</x:v>
      </x:c>
      <x:c r="I390" s="102" t="str">
        <x:v>SRC_0202</x:v>
      </x:c>
      <x:c r="J390" s="102" t="str">
        <x:v>Carrier schedule evidence: Haifa → Da Chan Bay. Does not establish legal ownership or technical management.</x:v>
      </x:c>
    </x:row>
    <x:row r="391">
      <x:c r="A391" s="102" t="str">
        <x:v>VREL_000390</x:v>
      </x:c>
      <x:c r="B391" s="102" t="str">
        <x:v>VESSEL_00241</x:v>
      </x:c>
      <x:c r="C391" s="102" t="str">
        <x:v>CARMEL I</x:v>
      </x:c>
      <x:c r="D391" s="102" t="str">
        <x:v>COMP_ZIM</x:v>
      </x:c>
      <x:c r="E391" s="102" t="str">
        <x:v>SCHEDULED_BY / SERVICE_DEPLOYMENT</x:v>
      </x:c>
      <x:c r="F391" s="102"/>
      <x:c r="G391" s="102"/>
      <x:c r="H391" s="102" t="str">
        <x:v>High</x:v>
      </x:c>
      <x:c r="I391" s="102" t="str">
        <x:v>SRC_0202</x:v>
      </x:c>
      <x:c r="J391" s="102" t="str">
        <x:v>Carrier schedule evidence: New York → Norfolk. Does not establish legal ownership or technical management.</x:v>
      </x:c>
    </x:row>
    <x:row r="392">
      <x:c r="A392" s="102" t="str">
        <x:v>VREL_000391</x:v>
      </x:c>
      <x:c r="B392" s="102" t="str">
        <x:v>VESSEL_00242</x:v>
      </x:c>
      <x:c r="C392" s="102" t="str">
        <x:v>MARLA BULL</x:v>
      </x:c>
      <x:c r="D392" s="102" t="str">
        <x:v>COMP_ZIM</x:v>
      </x:c>
      <x:c r="E392" s="102" t="str">
        <x:v>SCHEDULED_BY / SERVICE_DEPLOYMENT</x:v>
      </x:c>
      <x:c r="F392" s="102"/>
      <x:c r="G392" s="102"/>
      <x:c r="H392" s="102" t="str">
        <x:v>High</x:v>
      </x:c>
      <x:c r="I392" s="102" t="str">
        <x:v>SRC_0202</x:v>
      </x:c>
      <x:c r="J392" s="102" t="str">
        <x:v>Carrier schedule evidence: Haifa → Koper. Does not establish legal ownership or technical management.</x:v>
      </x:c>
    </x:row>
    <x:row r="393">
      <x:c r="A393" s="102" t="str">
        <x:v>VREL_000392</x:v>
      </x:c>
      <x:c r="B393" s="102" t="str">
        <x:v>VESSEL_00243</x:v>
      </x:c>
      <x:c r="C393" s="102" t="str">
        <x:v>ZIM CHINA</x:v>
      </x:c>
      <x:c r="D393" s="102" t="str">
        <x:v>COMP_ZIM</x:v>
      </x:c>
      <x:c r="E393" s="102" t="str">
        <x:v>SCHEDULED_BY / SERVICE_DEPLOYMENT</x:v>
      </x:c>
      <x:c r="F393" s="102"/>
      <x:c r="G393" s="102"/>
      <x:c r="H393" s="102" t="str">
        <x:v>High</x:v>
      </x:c>
      <x:c r="I393" s="102" t="str">
        <x:v>SRC_0202</x:v>
      </x:c>
      <x:c r="J393" s="102" t="str">
        <x:v>Carrier schedule evidence: Haifa → Piraeus. Does not establish legal ownership or technical management.</x:v>
      </x:c>
    </x:row>
    <x:row r="394">
      <x:c r="A394" s="102" t="str">
        <x:v>VREL_000393</x:v>
      </x:c>
      <x:c r="B394" s="102" t="str">
        <x:v>VESSEL_00244</x:v>
      </x:c>
      <x:c r="C394" s="102" t="str">
        <x:v>MTT SANDAKAN</x:v>
      </x:c>
      <x:c r="D394" s="102" t="str">
        <x:v>COMP_ZIM</x:v>
      </x:c>
      <x:c r="E394" s="102" t="str">
        <x:v>SCHEDULED_BY / SERVICE_DEPLOYMENT</x:v>
      </x:c>
      <x:c r="F394" s="102"/>
      <x:c r="G394" s="102"/>
      <x:c r="H394" s="102" t="str">
        <x:v>High</x:v>
      </x:c>
      <x:c r="I394" s="102" t="str">
        <x:v>SRC_0202</x:v>
      </x:c>
      <x:c r="J394" s="102" t="str">
        <x:v>Carrier schedule evidence: Port Klang → Semarang. Does not establish legal ownership or technical management.</x:v>
      </x:c>
    </x:row>
    <x:row r="395">
      <x:c r="A395" s="102" t="str">
        <x:v>VREL_000394</x:v>
      </x:c>
      <x:c r="B395" s="102" t="str">
        <x:v>VESSEL_00245</x:v>
      </x:c>
      <x:c r="C395" s="102" t="str">
        <x:v>MARBURG</x:v>
      </x:c>
      <x:c r="D395" s="102" t="str">
        <x:v>COMP_UNIFEEDER</x:v>
      </x:c>
      <x:c r="E395" s="102" t="str">
        <x:v>SCHEDULED_BY / SERVICE_DEPLOYMENT</x:v>
      </x:c>
      <x:c r="F395" s="102"/>
      <x:c r="G395" s="102"/>
      <x:c r="H395" s="102" t="str">
        <x:v>High</x:v>
      </x:c>
      <x:c r="I395" s="102" t="str">
        <x:v>SRC_0203</x:v>
      </x:c>
      <x:c r="J395" s="102" t="str">
        <x:v>Carrier schedule evidence: Bremerhaven → Kiel Canal. Does not establish legal ownership or technical management.</x:v>
      </x:c>
    </x:row>
    <x:row r="396">
      <x:c r="A396" s="102" t="str">
        <x:v>VREL_000395</x:v>
      </x:c>
      <x:c r="B396" s="102" t="str">
        <x:v>VESSEL_00246</x:v>
      </x:c>
      <x:c r="C396" s="102" t="str">
        <x:v>ELBSKY</x:v>
      </x:c>
      <x:c r="D396" s="102" t="str">
        <x:v>COMP_UNIFEEDER</x:v>
      </x:c>
      <x:c r="E396" s="102" t="str">
        <x:v>SCHEDULED_BY / SERVICE_DEPLOYMENT</x:v>
      </x:c>
      <x:c r="F396" s="102"/>
      <x:c r="G396" s="102"/>
      <x:c r="H396" s="102" t="str">
        <x:v>High</x:v>
      </x:c>
      <x:c r="I396" s="102" t="str">
        <x:v>SRC_0203</x:v>
      </x:c>
      <x:c r="J396" s="102" t="str">
        <x:v>Carrier schedule evidence: Kiel Canal → Tallinn. Does not establish legal ownership or technical management.</x:v>
      </x:c>
    </x:row>
    <x:row r="397">
      <x:c r="A397" s="102" t="str">
        <x:v>VREL_000396</x:v>
      </x:c>
      <x:c r="B397" s="102" t="str">
        <x:v>VESSEL_00247</x:v>
      </x:c>
      <x:c r="C397" s="102" t="str">
        <x:v>JUDITH</x:v>
      </x:c>
      <x:c r="D397" s="102" t="str">
        <x:v>COMP_UNIFEEDER</x:v>
      </x:c>
      <x:c r="E397" s="102" t="str">
        <x:v>SCHEDULED_BY / SERVICE_DEPLOYMENT</x:v>
      </x:c>
      <x:c r="F397" s="102"/>
      <x:c r="G397" s="102"/>
      <x:c r="H397" s="102" t="str">
        <x:v>High</x:v>
      </x:c>
      <x:c r="I397" s="102" t="str">
        <x:v>SRC_0203</x:v>
      </x:c>
      <x:c r="J397" s="102" t="str">
        <x:v>Carrier schedule evidence: Hamburg → Kiel Canal. Does not establish legal ownership or technical management.</x:v>
      </x:c>
    </x:row>
    <x:row r="398">
      <x:c r="A398" s="102" t="str">
        <x:v>VREL_000397</x:v>
      </x:c>
      <x:c r="B398" s="102" t="str">
        <x:v>VESSEL_00248</x:v>
      </x:c>
      <x:c r="C398" s="102" t="str">
        <x:v>ELBSUMMER</x:v>
      </x:c>
      <x:c r="D398" s="102" t="str">
        <x:v>COMP_UNIFEEDER</x:v>
      </x:c>
      <x:c r="E398" s="102" t="str">
        <x:v>SCHEDULED_BY / SERVICE_DEPLOYMENT</x:v>
      </x:c>
      <x:c r="F398" s="102"/>
      <x:c r="G398" s="102"/>
      <x:c r="H398" s="102" t="str">
        <x:v>High</x:v>
      </x:c>
      <x:c r="I398" s="102" t="str">
        <x:v>SRC_0203</x:v>
      </x:c>
      <x:c r="J398" s="102" t="str">
        <x:v>Carrier schedule evidence: Kiel Canal → Klaipeda. Does not establish legal ownership or technical management.</x:v>
      </x:c>
    </x:row>
    <x:row r="399">
      <x:c r="A399" s="102" t="str">
        <x:v>VREL_000398</x:v>
      </x:c>
      <x:c r="B399" s="102" t="str">
        <x:v>VESSEL_00249</x:v>
      </x:c>
      <x:c r="C399" s="102" t="str">
        <x:v>SAN PEDRO</x:v>
      </x:c>
      <x:c r="D399" s="102" t="str">
        <x:v>COMP_SEALEAD</x:v>
      </x:c>
      <x:c r="E399" s="102" t="str">
        <x:v>SCHEDULED_BY / SERVICE_DEPLOYMENT</x:v>
      </x:c>
      <x:c r="F399" s="102" t="str">
        <x:v>2026-09-05</x:v>
      </x:c>
      <x:c r="G399" s="102" t="str">
        <x:v>2026-09-07</x:v>
      </x:c>
      <x:c r="H399" s="102" t="str">
        <x:v>High</x:v>
      </x:c>
      <x:c r="I399" s="102" t="str">
        <x:v>SRC_0204</x:v>
      </x:c>
      <x:c r="J399" s="102" t="str">
        <x:v>Carrier schedule evidence: Port Klang → Jakarta. Does not establish legal ownership or technical management.</x:v>
      </x:c>
    </x:row>
    <x:row r="400">
      <x:c r="A400" s="102" t="str">
        <x:v>VREL_000399</x:v>
      </x:c>
      <x:c r="B400" s="102" t="str">
        <x:v>VESSEL_00250</x:v>
      </x:c>
      <x:c r="C400" s="102" t="str">
        <x:v>REN JIAN 8</x:v>
      </x:c>
      <x:c r="D400" s="102" t="str">
        <x:v>COMP_SEALEAD</x:v>
      </x:c>
      <x:c r="E400" s="102" t="str">
        <x:v>SCHEDULED_BY / SERVICE_DEPLOYMENT</x:v>
      </x:c>
      <x:c r="F400" s="102" t="str">
        <x:v>2026-09-07</x:v>
      </x:c>
      <x:c r="G400" s="102" t="str">
        <x:v>2026-09-15</x:v>
      </x:c>
      <x:c r="H400" s="102" t="str">
        <x:v>High</x:v>
      </x:c>
      <x:c r="I400" s="102" t="str">
        <x:v>SRC_0204</x:v>
      </x:c>
      <x:c r="J400" s="102" t="str">
        <x:v>Carrier schedule evidence: Shanghai → Yokohama. Does not establish legal ownership or technical management.</x:v>
      </x:c>
    </x:row>
    <x:row r="401">
      <x:c r="A401" s="102" t="str">
        <x:v>VREL_000400</x:v>
      </x:c>
      <x:c r="B401" s="102" t="str">
        <x:v>VESSEL_00251</x:v>
      </x:c>
      <x:c r="C401" s="102" t="str">
        <x:v>ZHONG GU YIN CHUAN</x:v>
      </x:c>
      <x:c r="D401" s="102" t="str">
        <x:v>COMP_SEALEAD</x:v>
      </x:c>
      <x:c r="E401" s="102" t="str">
        <x:v>SCHEDULED_BY / SERVICE_DEPLOYMENT</x:v>
      </x:c>
      <x:c r="F401" s="102" t="str">
        <x:v>2026-09-07</x:v>
      </x:c>
      <x:c r="G401" s="102" t="str">
        <x:v>2026-09-10</x:v>
      </x:c>
      <x:c r="H401" s="102" t="str">
        <x:v>High</x:v>
      </x:c>
      <x:c r="I401" s="102" t="str">
        <x:v>SRC_0204</x:v>
      </x:c>
      <x:c r="J401" s="102" t="str">
        <x:v>Carrier schedule evidence: Ningbo → Nansha. Does not establish legal ownership or technical management.</x:v>
      </x:c>
    </x:row>
    <x:row r="402">
      <x:c r="A402" s="102" t="str">
        <x:v>VREL_000401</x:v>
      </x:c>
      <x:c r="B402" s="102" t="str">
        <x:v>VESSEL_00252</x:v>
      </x:c>
      <x:c r="C402" s="102" t="str">
        <x:v>MARINA VOYAGER</x:v>
      </x:c>
      <x:c r="D402" s="102" t="str">
        <x:v>COMP_SEALEAD</x:v>
      </x:c>
      <x:c r="E402" s="102" t="str">
        <x:v>SCHEDULED_BY / SERVICE_DEPLOYMENT</x:v>
      </x:c>
      <x:c r="F402" s="102" t="str">
        <x:v>2026-09-07</x:v>
      </x:c>
      <x:c r="G402" s="102" t="str">
        <x:v>2026-09-12</x:v>
      </x:c>
      <x:c r="H402" s="102" t="str">
        <x:v>High</x:v>
      </x:c>
      <x:c r="I402" s="102" t="str">
        <x:v>SRC_0204</x:v>
      </x:c>
      <x:c r="J402" s="102" t="str">
        <x:v>Carrier schedule evidence: Visakhapatnam → Tanjung Pelepas. Does not establish legal ownership or technical management.</x:v>
      </x:c>
    </x:row>
    <x:row r="403">
      <x:c r="A403" s="102" t="str">
        <x:v>VREL_000402</x:v>
      </x:c>
      <x:c r="B403" s="102" t="str">
        <x:v>VESSEL_00253</x:v>
      </x:c>
      <x:c r="C403" s="102" t="str">
        <x:v>ESL SHEKOU</x:v>
      </x:c>
      <x:c r="D403" s="102" t="str">
        <x:v>COMP_ESL</x:v>
      </x:c>
      <x:c r="E403" s="102" t="str">
        <x:v>SCHEDULED_BY / SERVICE_DEPLOYMENT</x:v>
      </x:c>
      <x:c r="F403" s="102" t="str">
        <x:v>2026-09-03</x:v>
      </x:c>
      <x:c r="G403" s="102" t="str">
        <x:v>2026-09-07</x:v>
      </x:c>
      <x:c r="H403" s="102" t="str">
        <x:v>High</x:v>
      </x:c>
      <x:c r="I403" s="102" t="str">
        <x:v>SRC_0205</x:v>
      </x:c>
      <x:c r="J403" s="102" t="str">
        <x:v>Carrier schedule evidence: Shanghai → Busan. Does not establish legal ownership or technical management.</x:v>
      </x:c>
    </x:row>
    <x:row r="404">
      <x:c r="A404" s="102" t="str">
        <x:v>VREL_000403</x:v>
      </x:c>
      <x:c r="B404" s="102" t="str">
        <x:v>VESSEL_00254</x:v>
      </x:c>
      <x:c r="C404" s="102" t="str">
        <x:v>ESL WASL</x:v>
      </x:c>
      <x:c r="D404" s="102" t="str">
        <x:v>COMP_ESL</x:v>
      </x:c>
      <x:c r="E404" s="102" t="str">
        <x:v>SCHEDULED_BY / SERVICE_DEPLOYMENT</x:v>
      </x:c>
      <x:c r="F404" s="102" t="str">
        <x:v>2026-09-05</x:v>
      </x:c>
      <x:c r="G404" s="102" t="str">
        <x:v>2026-09-05</x:v>
      </x:c>
      <x:c r="H404" s="102" t="str">
        <x:v>High</x:v>
      </x:c>
      <x:c r="I404" s="102" t="str">
        <x:v>SRC_0205</x:v>
      </x:c>
      <x:c r="J404" s="102" t="str">
        <x:v>Carrier schedule evidence: Nhava Sheva → Hazira. Does not establish legal ownership or technical management.</x:v>
      </x:c>
    </x:row>
    <x:row r="405">
      <x:c r="A405" s="102" t="str">
        <x:v>VREL_000404</x:v>
      </x:c>
      <x:c r="B405" s="102" t="str">
        <x:v>VESSEL_00255</x:v>
      </x:c>
      <x:c r="C405" s="102" t="str">
        <x:v>ZHONG GU KUN MING</x:v>
      </x:c>
      <x:c r="D405" s="102" t="str">
        <x:v>COMP_ESL</x:v>
      </x:c>
      <x:c r="E405" s="102" t="str">
        <x:v>SCHEDULED_BY / SERVICE_DEPLOYMENT</x:v>
      </x:c>
      <x:c r="F405" s="102" t="str">
        <x:v>2026-09-05</x:v>
      </x:c>
      <x:c r="G405" s="102" t="str">
        <x:v>2026-09-10</x:v>
      </x:c>
      <x:c r="H405" s="102" t="str">
        <x:v>High</x:v>
      </x:c>
      <x:c r="I405" s="102" t="str">
        <x:v>SRC_0205</x:v>
      </x:c>
      <x:c r="J405" s="102" t="str">
        <x:v>Carrier schedule evidence: Nhava Sheva → Salalah. Does not establish legal ownership or technical management.</x:v>
      </x:c>
    </x:row>
    <x:row r="406">
      <x:c r="A406" s="102" t="str">
        <x:v>VREL_000405</x:v>
      </x:c>
      <x:c r="B406" s="102" t="str">
        <x:v>VESSEL_00256</x:v>
      </x:c>
      <x:c r="C406" s="102" t="str">
        <x:v>BRIGHT</x:v>
      </x:c>
      <x:c r="D406" s="102" t="str">
        <x:v>COMP_ESL</x:v>
      </x:c>
      <x:c r="E406" s="102" t="str">
        <x:v>SCHEDULED_BY / SERVICE_DEPLOYMENT</x:v>
      </x:c>
      <x:c r="F406" s="102" t="str">
        <x:v>2026-09-06</x:v>
      </x:c>
      <x:c r="G406" s="102" t="str">
        <x:v>2026-09-09</x:v>
      </x:c>
      <x:c r="H406" s="102" t="str">
        <x:v>High</x:v>
      </x:c>
      <x:c r="I406" s="102" t="str">
        <x:v>SRC_0205</x:v>
      </x:c>
      <x:c r="J406" s="102" t="str">
        <x:v>Carrier schedule evidence: Dar es Salaam → Mombasa. Does not establish legal ownership or technical management.</x:v>
      </x:c>
    </x:row>
    <x:row r="407">
      <x:c r="A407" s="102" t="str">
        <x:v>VREL_000406</x:v>
      </x:c>
      <x:c r="B407" s="102" t="str">
        <x:v>VESSEL_00257</x:v>
      </x:c>
      <x:c r="C407" s="102" t="str">
        <x:v>TROUPER</x:v>
      </x:c>
      <x:c r="D407" s="102" t="str">
        <x:v>COMP_XPRESS</x:v>
      </x:c>
      <x:c r="E407" s="102" t="str">
        <x:v>SCHEDULED_BY / SERVICE_DEPLOYMENT</x:v>
      </x:c>
      <x:c r="F407" s="102" t="str">
        <x:v>2026-08-27</x:v>
      </x:c>
      <x:c r="G407" s="102" t="str">
        <x:v>2026-08-27</x:v>
      </x:c>
      <x:c r="H407" s="102" t="str">
        <x:v>High</x:v>
      </x:c>
      <x:c r="I407" s="102" t="str">
        <x:v>SRC_0206</x:v>
      </x:c>
      <x:c r="J407" s="102" t="str">
        <x:v>Carrier schedule evidence: Las Palmas → Santa Cruz de Tenerife. Does not establish legal ownership or technical management.</x:v>
      </x:c>
    </x:row>
    <x:row r="408">
      <x:c r="A408" s="102" t="str">
        <x:v>VREL_000407</x:v>
      </x:c>
      <x:c r="B408" s="102" t="str">
        <x:v>VESSEL_00258</x:v>
      </x:c>
      <x:c r="C408" s="102" t="str">
        <x:v>X PRESS ANGLESEY</x:v>
      </x:c>
      <x:c r="D408" s="102" t="str">
        <x:v>COMP_XPRESS</x:v>
      </x:c>
      <x:c r="E408" s="102" t="str">
        <x:v>SCHEDULED_BY / SERVICE_DEPLOYMENT</x:v>
      </x:c>
      <x:c r="F408" s="102" t="str">
        <x:v>2026-08-27</x:v>
      </x:c>
      <x:c r="G408" s="102" t="str">
        <x:v>2026-08-30</x:v>
      </x:c>
      <x:c r="H408" s="102" t="str">
        <x:v>High</x:v>
      </x:c>
      <x:c r="I408" s="102" t="str">
        <x:v>SRC_0206</x:v>
      </x:c>
      <x:c r="J408" s="102" t="str">
        <x:v>Carrier schedule evidence: Singapore → Laem Chabang. Does not establish legal ownership or technical management.</x:v>
      </x:c>
    </x:row>
    <x:row r="409">
      <x:c r="A409" s="102" t="str">
        <x:v>VREL_000408</x:v>
      </x:c>
      <x:c r="B409" s="102" t="str">
        <x:v>VESSEL_00259</x:v>
      </x:c>
      <x:c r="C409" s="102" t="str">
        <x:v>SKY LIGHT</x:v>
      </x:c>
      <x:c r="D409" s="102" t="str">
        <x:v>COMP_XPRESS</x:v>
      </x:c>
      <x:c r="E409" s="102" t="str">
        <x:v>SCHEDULED_BY / SERVICE_DEPLOYMENT</x:v>
      </x:c>
      <x:c r="F409" s="102" t="str">
        <x:v>2026-08-27</x:v>
      </x:c>
      <x:c r="G409" s="102" t="str">
        <x:v>2026-08-29</x:v>
      </x:c>
      <x:c r="H409" s="102" t="str">
        <x:v>High</x:v>
      </x:c>
      <x:c r="I409" s="102" t="str">
        <x:v>SRC_0206</x:v>
      </x:c>
      <x:c r="J409" s="102" t="str">
        <x:v>Carrier schedule evidence: La Guaira → Cartagena. Does not establish legal ownership or technical management.</x:v>
      </x:c>
    </x:row>
    <x:row r="410">
      <x:c r="A410" s="102" t="str">
        <x:v>VREL_000409</x:v>
      </x:c>
      <x:c r="B410" s="102" t="str">
        <x:v>VESSEL_00260</x:v>
      </x:c>
      <x:c r="C410" s="102" t="str">
        <x:v>GOLDEN STAR 1</x:v>
      </x:c>
      <x:c r="D410" s="102" t="str">
        <x:v>COMP_XPRESS</x:v>
      </x:c>
      <x:c r="E410" s="102" t="str">
        <x:v>SCHEDULED_BY / SERVICE_DEPLOYMENT</x:v>
      </x:c>
      <x:c r="F410" s="102" t="str">
        <x:v>2026-08-27</x:v>
      </x:c>
      <x:c r="G410" s="102" t="str">
        <x:v>2026-08-28</x:v>
      </x:c>
      <x:c r="H410" s="102" t="str">
        <x:v>High</x:v>
      </x:c>
      <x:c r="I410" s="102" t="str">
        <x:v>SRC_0206</x:v>
      </x:c>
      <x:c r="J410" s="102" t="str">
        <x:v>Carrier schedule evidence: Johor Port → Singapore. Does not establish legal ownership or technical management.</x:v>
      </x:c>
    </x:row>
    <x:row r="411">
      <x:c r="A411" s="102" t="str">
        <x:v>VREL_000410</x:v>
      </x:c>
      <x:c r="B411" s="102" t="str">
        <x:v>VESSEL_00261</x:v>
      </x:c>
      <x:c r="C411" s="102" t="str">
        <x:v>SSF VALENCE</x:v>
      </x:c>
      <x:c r="D411" s="102" t="str">
        <x:v>COMP_GFS</x:v>
      </x:c>
      <x:c r="E411" s="102" t="str">
        <x:v>SCHEDULED_BY / SERVICE_DEPLOYMENT</x:v>
      </x:c>
      <x:c r="F411" s="102" t="str">
        <x:v>2026-09-05</x:v>
      </x:c>
      <x:c r="G411" s="102" t="str">
        <x:v>2026-09-11</x:v>
      </x:c>
      <x:c r="H411" s="102" t="str">
        <x:v>High</x:v>
      </x:c>
      <x:c r="I411" s="102" t="str">
        <x:v>SRC_0207</x:v>
      </x:c>
      <x:c r="J411" s="102" t="str">
        <x:v>Carrier schedule evidence: Port Said → Aqaba. Does not establish legal ownership or technical management.</x:v>
      </x:c>
    </x:row>
    <x:row r="412">
      <x:c r="A412" s="102" t="str">
        <x:v>VREL_000411</x:v>
      </x:c>
      <x:c r="B412" s="102" t="str">
        <x:v>VESSEL_00262</x:v>
      </x:c>
      <x:c r="C412" s="102" t="str">
        <x:v>SM MANALI</x:v>
      </x:c>
      <x:c r="D412" s="102" t="str">
        <x:v>COMP_GFS</x:v>
      </x:c>
      <x:c r="E412" s="102" t="str">
        <x:v>SCHEDULED_BY / SERVICE_DEPLOYMENT</x:v>
      </x:c>
      <x:c r="F412" s="102" t="str">
        <x:v>2026-09-06</x:v>
      </x:c>
      <x:c r="G412" s="102" t="str">
        <x:v>2026-09-09</x:v>
      </x:c>
      <x:c r="H412" s="102" t="str">
        <x:v>High</x:v>
      </x:c>
      <x:c r="I412" s="102" t="str">
        <x:v>SRC_0207</x:v>
      </x:c>
      <x:c r="J412" s="102" t="str">
        <x:v>Carrier schedule evidence: Colombo → Visakhapatnam. Does not establish legal ownership or technical management.</x:v>
      </x:c>
    </x:row>
    <x:row r="413">
      <x:c r="A413" s="102" t="str">
        <x:v>VREL_000412</x:v>
      </x:c>
      <x:c r="B413" s="102" t="str">
        <x:v>VESSEL_00263</x:v>
      </x:c>
      <x:c r="C413" s="102" t="str">
        <x:v>REMAH</x:v>
      </x:c>
      <x:c r="D413" s="102" t="str">
        <x:v>COMP_GFS</x:v>
      </x:c>
      <x:c r="E413" s="102" t="str">
        <x:v>SCHEDULED_BY / SERVICE_DEPLOYMENT</x:v>
      </x:c>
      <x:c r="F413" s="102" t="str">
        <x:v>2026-09-06</x:v>
      </x:c>
      <x:c r="G413" s="102" t="str">
        <x:v>2026-09-07</x:v>
      </x:c>
      <x:c r="H413" s="102" t="str">
        <x:v>High</x:v>
      </x:c>
      <x:c r="I413" s="102" t="str">
        <x:v>SRC_0207</x:v>
      </x:c>
      <x:c r="J413" s="102" t="str">
        <x:v>Carrier schedule evidence: Misurata → Khoms. Does not establish legal ownership or technical management.</x:v>
      </x:c>
    </x:row>
    <x:row r="414">
      <x:c r="A414" s="102" t="str">
        <x:v>VREL_000413</x:v>
      </x:c>
      <x:c r="B414" s="102" t="str">
        <x:v>VESSEL_00170</x:v>
      </x:c>
      <x:c r="C414" s="102" t="str">
        <x:v>ATHENA</x:v>
      </x:c>
      <x:c r="D414" s="102" t="str">
        <x:v>COMP_GFS</x:v>
      </x:c>
      <x:c r="E414" s="102" t="str">
        <x:v>SCHEDULED_BY / SERVICE_DEPLOYMENT</x:v>
      </x:c>
      <x:c r="F414" s="102" t="str">
        <x:v>2026-09-06</x:v>
      </x:c>
      <x:c r="G414" s="102" t="str">
        <x:v>2026-09-10</x:v>
      </x:c>
      <x:c r="H414" s="102" t="str">
        <x:v>High</x:v>
      </x:c>
      <x:c r="I414" s="102" t="str">
        <x:v>SRC_0207</x:v>
      </x:c>
      <x:c r="J414" s="102" t="str">
        <x:v>Carrier schedule evidence: Port Said → Misurata. Does not establish legal ownership or technical management.</x:v>
      </x:c>
    </x:row>
    <x:row r="415">
      <x:c r="A415" s="102" t="str">
        <x:v>VREL_000414</x:v>
      </x:c>
      <x:c r="B415" s="102" t="str">
        <x:v>VESSEL_00264</x:v>
      </x:c>
      <x:c r="C415" s="102" t="str">
        <x:v>MIRROR</x:v>
      </x:c>
      <x:c r="D415" s="102" t="str">
        <x:v>COMP_GFS</x:v>
      </x:c>
      <x:c r="E415" s="102" t="str">
        <x:v>SCHEDULED_BY / SERVICE_DEPLOYMENT</x:v>
      </x:c>
      <x:c r="F415" s="102" t="str">
        <x:v>2026-09-06</x:v>
      </x:c>
      <x:c r="G415" s="102" t="str">
        <x:v>2026-09-10</x:v>
      </x:c>
      <x:c r="H415" s="102" t="str">
        <x:v>High</x:v>
      </x:c>
      <x:c r="I415" s="102" t="str">
        <x:v>SRC_0207</x:v>
      </x:c>
      <x:c r="J415" s="102" t="str">
        <x:v>Carrier schedule evidence: Rotterdam → Helsinki. Does not establish legal ownership or technical management.</x:v>
      </x:c>
    </x:row>
    <x:row r="416">
      <x:c r="A416" s="102" t="str">
        <x:v>VREL_000415</x:v>
      </x:c>
      <x:c r="B416" s="102" t="str">
        <x:v>VESSEL_00265</x:v>
      </x:c>
      <x:c r="C416" s="102" t="str">
        <x:v>HUA DA 610</x:v>
      </x:c>
      <x:c r="D416" s="102" t="str">
        <x:v>COMP_SAFEEN_FEEDERS</x:v>
      </x:c>
      <x:c r="E416" s="102" t="str">
        <x:v>SCHEDULED_BY / SERVICE_DEPLOYMENT</x:v>
      </x:c>
      <x:c r="F416" s="102" t="str">
        <x:v>2026-07-07</x:v>
      </x:c>
      <x:c r="G416" s="102" t="str">
        <x:v>2026-08-06</x:v>
      </x:c>
      <x:c r="H416" s="102" t="str">
        <x:v>High</x:v>
      </x:c>
      <x:c r="I416" s="102" t="str">
        <x:v>SRC_0208</x:v>
      </x:c>
      <x:c r="J416" s="102" t="str">
        <x:v>Carrier schedule evidence: Saint Petersburg → Qingdao. Does not establish legal ownership or technical management.</x:v>
      </x:c>
    </x:row>
    <x:row r="417">
      <x:c r="A417" s="102" t="str">
        <x:v>VREL_000416</x:v>
      </x:c>
      <x:c r="B417" s="102" t="str">
        <x:v>VESSEL_00266</x:v>
      </x:c>
      <x:c r="C417" s="102" t="str">
        <x:v>AL BATEEN</x:v>
      </x:c>
      <x:c r="D417" s="102" t="str">
        <x:v>COMP_SAFEEN_FEEDERS</x:v>
      </x:c>
      <x:c r="E417" s="102" t="str">
        <x:v>SCHEDULED_BY / SERVICE_DEPLOYMENT</x:v>
      </x:c>
      <x:c r="F417" s="102" t="str">
        <x:v>2026-07-07</x:v>
      </x:c>
      <x:c r="G417" s="102" t="str">
        <x:v>2026-07-14</x:v>
      </x:c>
      <x:c r="H417" s="102" t="str">
        <x:v>High</x:v>
      </x:c>
      <x:c r="I417" s="102" t="str">
        <x:v>SRC_0208</x:v>
      </x:c>
      <x:c r="J417" s="102" t="str">
        <x:v>Carrier schedule evidence: Tanger Med → Nouakchott. Does not establish legal ownership or technical management.</x:v>
      </x:c>
    </x:row>
    <x:row r="418">
      <x:c r="A418" s="102" t="str">
        <x:v>VREL_000417</x:v>
      </x:c>
      <x:c r="B418" s="102" t="str">
        <x:v>VESSEL_00267</x:v>
      </x:c>
      <x:c r="C418" s="102" t="str">
        <x:v>SAFEEN PRIZE</x:v>
      </x:c>
      <x:c r="D418" s="102" t="str">
        <x:v>COMP_SAFEEN_FEEDERS</x:v>
      </x:c>
      <x:c r="E418" s="102" t="str">
        <x:v>SCHEDULED_BY / SERVICE_DEPLOYMENT</x:v>
      </x:c>
      <x:c r="F418" s="102" t="str">
        <x:v>2026-07-07</x:v>
      </x:c>
      <x:c r="G418" s="102" t="str">
        <x:v>2026-07-13</x:v>
      </x:c>
      <x:c r="H418" s="102" t="str">
        <x:v>High</x:v>
      </x:c>
      <x:c r="I418" s="102" t="str">
        <x:v>SRC_0208</x:v>
      </x:c>
      <x:c r="J418" s="102" t="str">
        <x:v>Carrier schedule evidence: Jeddah → Salalah. Does not establish legal ownership or technical management.</x:v>
      </x:c>
    </x:row>
    <x:row r="419">
      <x:c r="A419" s="102" t="str">
        <x:v>VREL_000418</x:v>
      </x:c>
      <x:c r="B419" s="102" t="str">
        <x:v>VESSEL_00268</x:v>
      </x:c>
      <x:c r="C419" s="102" t="str">
        <x:v>SSF DREAM</x:v>
      </x:c>
      <x:c r="D419" s="102" t="str">
        <x:v>COMP_SAFEEN_FEEDERS</x:v>
      </x:c>
      <x:c r="E419" s="102" t="str">
        <x:v>SCHEDULED_BY / SERVICE_DEPLOYMENT</x:v>
      </x:c>
      <x:c r="F419" s="102" t="str">
        <x:v>2026-07-11</x:v>
      </x:c>
      <x:c r="G419" s="102" t="str">
        <x:v>2026-07-15</x:v>
      </x:c>
      <x:c r="H419" s="102" t="str">
        <x:v>High</x:v>
      </x:c>
      <x:c r="I419" s="102" t="str">
        <x:v>SRC_0208</x:v>
      </x:c>
      <x:c r="J419" s="102" t="str">
        <x:v>Carrier schedule evidence: Qingdao → Shanghai. Does not establish legal ownership or technical management.</x:v>
      </x:c>
    </x:row>
    <x:row r="420">
      <x:c r="A420" s="102" t="str">
        <x:v>VREL_000419</x:v>
      </x:c>
      <x:c r="B420" s="102" t="str">
        <x:v>VESSEL_00272</x:v>
      </x:c>
      <x:c r="C420" s="102" t="str">
        <x:v>GFS RHEA</x:v>
      </x:c>
      <x:c r="D420" s="102" t="str">
        <x:v>COMP_GFS</x:v>
      </x:c>
      <x:c r="E420" s="102" t="str">
        <x:v>REGISTERED_OWNER / REGISTRY_ASSOCIATION</x:v>
      </x:c>
      <x:c r="F420" s="102"/>
      <x:c r="G420" s="102"/>
      <x:c r="H420" s="102" t="str">
        <x:v>High</x:v>
      </x:c>
      <x:c r="I420" s="102" t="str">
        <x:v>SRC_0210</x:v>
      </x:c>
      <x:c r="J420" s="102" t="str">
        <x:v>ShipVault lists Global Feeder Shipping (GFS) as owner; keep commercial deployment and technical management as separate relationships.</x:v>
      </x:c>
    </x:row>
    <x:row r="421">
      <x:c r="A421" s="102" t="str">
        <x:v>VREL_000420</x:v>
      </x:c>
      <x:c r="B421" s="102" t="str">
        <x:v>VESSEL_00290</x:v>
      </x:c>
      <x:c r="C421" s="102" t="str">
        <x:v>Tamarack</x:v>
      </x:c>
      <x:c r="D421" s="102" t="str">
        <x:v>COMP_EUREKA_SHIPPING</x:v>
      </x:c>
      <x:c r="E421" s="102" t="str">
        <x:v>OWNER / JV VEHICLE</x:v>
      </x:c>
      <x:c r="F421" s="102" t="str">
        <x:v>2026-09-07</x:v>
      </x:c>
      <x:c r="G421" s="102"/>
      <x:c r="H421" s="102" t="str">
        <x:v>High</x:v>
      </x:c>
      <x:c r="I421" s="102" t="str">
        <x:v>SRC_0168</x:v>
      </x:c>
      <x:c r="J421" s="102" t="str">
        <x:v>CSL identifies Eureka Shipping as owner.</x:v>
      </x:c>
    </x:row>
    <x:row r="422">
      <x:c r="A422" s="102" t="str">
        <x:v>VREL_000421</x:v>
      </x:c>
      <x:c r="B422" s="102" t="str">
        <x:v>VESSEL_00290</x:v>
      </x:c>
      <x:c r="C422" s="102" t="str">
        <x:v>Tamarack</x:v>
      </x:c>
      <x:c r="D422" s="102" t="str">
        <x:v>COMP_CSL_CANADA</x:v>
      </x:c>
      <x:c r="E422" s="102" t="str">
        <x:v>MANAGER / OPERATOR</x:v>
      </x:c>
      <x:c r="F422" s="102" t="str">
        <x:v>2026-09-07</x:v>
      </x:c>
      <x:c r="G422" s="102"/>
      <x:c r="H422" s="102" t="str">
        <x:v>High</x:v>
      </x:c>
      <x:c r="I422" s="102" t="str">
        <x:v>SRC_0168</x:v>
      </x:c>
      <x:c r="J422" s="102" t="str">
        <x:v>Managed by CSL's Canadian division.</x:v>
      </x:c>
    </x:row>
    <x:row r="423">
      <x:c r="A423" s="102" t="str">
        <x:v>VREL_000422</x:v>
      </x:c>
      <x:c r="B423" s="102" t="str">
        <x:v>VESSEL_00312</x:v>
      </x:c>
      <x:c r="C423" s="102" t="str">
        <x:v>Algoma East Coast</x:v>
      </x:c>
      <x:c r="D423" s="102" t="str">
        <x:v>COMP_ALGOMA_TANKERS</x:v>
      </x:c>
      <x:c r="E423" s="102" t="str">
        <x:v>COMMERCIAL / TECHNICAL OPERATOR</x:v>
      </x:c>
      <x:c r="F423" s="102" t="str">
        <x:v>2026-09-07</x:v>
      </x:c>
      <x:c r="G423" s="102"/>
      <x:c r="H423" s="102" t="str">
        <x:v>High</x:v>
      </x:c>
      <x:c r="I423" s="102" t="str">
        <x:v>SRC_0171</x:v>
      </x:c>
      <x:c r="J423" s="102" t="str">
        <x:v>Algoma-associated tanker operator.</x:v>
      </x:c>
    </x:row>
    <x:row r="424">
      <x:c r="A424" s="102" t="str">
        <x:v>VREL_000423</x:v>
      </x:c>
      <x:c r="B424" s="102" t="str">
        <x:v>VESSEL_00312</x:v>
      </x:c>
      <x:c r="C424" s="102" t="str">
        <x:v>Algoma East Coast</x:v>
      </x:c>
      <x:c r="D424" s="102" t="str">
        <x:v>COMP_ALGOMA</x:v>
      </x:c>
      <x:c r="E424" s="102" t="str">
        <x:v>FLEET PROGRAM / GROUP EXPOSURE</x:v>
      </x:c>
      <x:c r="F424" s="102" t="str">
        <x:v>2026-09-07</x:v>
      </x:c>
      <x:c r="G424" s="102"/>
      <x:c r="H424" s="102" t="str">
        <x:v>High</x:v>
      </x:c>
      <x:c r="I424" s="102" t="str">
        <x:v>SRC_0155</x:v>
      </x:c>
      <x:c r="J424" s="102" t="str">
        <x:v>Included in Algoma's current tanker program.</x:v>
      </x:c>
    </x:row>
    <x:row r="425">
      <x:c r="A425" s="102" t="str">
        <x:v>VREL_000424</x:v>
      </x:c>
      <x:c r="B425" s="102" t="str">
        <x:v>VESSEL_00313</x:v>
      </x:c>
      <x:c r="C425" s="102" t="str">
        <x:v>Algoma Acadian</x:v>
      </x:c>
      <x:c r="D425" s="102" t="str">
        <x:v>COMP_ALGOMA_TANKERS</x:v>
      </x:c>
      <x:c r="E425" s="102" t="str">
        <x:v>COMMERCIAL / TECHNICAL OPERATOR</x:v>
      </x:c>
      <x:c r="F425" s="102" t="str">
        <x:v>2026-09-07</x:v>
      </x:c>
      <x:c r="G425" s="102"/>
      <x:c r="H425" s="102" t="str">
        <x:v>High</x:v>
      </x:c>
      <x:c r="I425" s="102" t="str">
        <x:v>SRC_0171</x:v>
      </x:c>
      <x:c r="J425" s="102" t="str">
        <x:v>Algoma-associated tanker operator.</x:v>
      </x:c>
    </x:row>
    <x:row r="426">
      <x:c r="A426" s="102" t="str">
        <x:v>VREL_000425</x:v>
      </x:c>
      <x:c r="B426" s="102" t="str">
        <x:v>VESSEL_00313</x:v>
      </x:c>
      <x:c r="C426" s="102" t="str">
        <x:v>Algoma Acadian</x:v>
      </x:c>
      <x:c r="D426" s="102" t="str">
        <x:v>COMP_ALGOMA</x:v>
      </x:c>
      <x:c r="E426" s="102" t="str">
        <x:v>FLEET PROGRAM / GROUP EXPOSURE</x:v>
      </x:c>
      <x:c r="F426" s="102" t="str">
        <x:v>2026-09-07</x:v>
      </x:c>
      <x:c r="G426" s="102"/>
      <x:c r="H426" s="102" t="str">
        <x:v>High</x:v>
      </x:c>
      <x:c r="I426" s="102" t="str">
        <x:v>SRC_0155</x:v>
      </x:c>
      <x:c r="J426" s="102" t="str">
        <x:v>Included in Algoma's current tanker program.</x:v>
      </x:c>
    </x:row>
    <x:row r="427">
      <x:c r="A427" s="102" t="str">
        <x:v>VREL_000426</x:v>
      </x:c>
      <x:c r="B427" s="102" t="str">
        <x:v>VESSEL_00001</x:v>
      </x:c>
      <x:c r="C427" s="102" t="str">
        <x:v>UGR Al Samha</x:v>
      </x:c>
      <x:c r="D427" s="102" t="str">
        <x:v>COMP_UGR</x:v>
      </x:c>
      <x:c r="E427" s="102" t="str">
        <x:v>OWNER</x:v>
      </x:c>
      <x:c r="F427" s="102"/>
      <x:c r="G427" s="102"/>
      <x:c r="H427" s="102" t="str">
        <x:v>High</x:v>
      </x:c>
      <x:c r="I427" s="102" t="str">
        <x:v>SRC_0060</x:v>
      </x:c>
      <x:c r="J427" s="102" t="str">
        <x:v>Generated from canonical vessel owner/operator field during v1.9 branch merge.</x:v>
      </x:c>
    </x:row>
    <x:row r="428">
      <x:c r="A428" s="102" t="str">
        <x:v>VREL_000427</x:v>
      </x:c>
      <x:c r="B428" s="102" t="str">
        <x:v>VESSEL_00001</x:v>
      </x:c>
      <x:c r="C428" s="102" t="str">
        <x:v>UGR Al Samha</x:v>
      </x:c>
      <x:c r="D428" s="102" t="str">
        <x:v>COMP_UGR</x:v>
      </x:c>
      <x:c r="E428" s="102" t="str">
        <x:v>OPERATOR</x:v>
      </x:c>
      <x:c r="F428" s="102"/>
      <x:c r="G428" s="102"/>
      <x:c r="H428" s="102" t="str">
        <x:v>High</x:v>
      </x:c>
      <x:c r="I428" s="102" t="str">
        <x:v>SRC_0060</x:v>
      </x:c>
      <x:c r="J428" s="102" t="str">
        <x:v>Generated from canonical vessel owner/operator field during v1.9 branch merge.</x:v>
      </x:c>
    </x:row>
    <x:row r="429">
      <x:c r="A429" s="102" t="str">
        <x:v>VREL_000428</x:v>
      </x:c>
      <x:c r="B429" s="102" t="str">
        <x:v>VESSEL_00002</x:v>
      </x:c>
      <x:c r="C429" s="102" t="str">
        <x:v>UGR Zakher</x:v>
      </x:c>
      <x:c r="D429" s="102" t="str">
        <x:v>COMP_UGR</x:v>
      </x:c>
      <x:c r="E429" s="102" t="str">
        <x:v>OWNER</x:v>
      </x:c>
      <x:c r="F429" s="102"/>
      <x:c r="G429" s="102"/>
      <x:c r="H429" s="102" t="str">
        <x:v>High</x:v>
      </x:c>
      <x:c r="I429" s="102" t="str">
        <x:v>SRC_0060</x:v>
      </x:c>
      <x:c r="J429" s="102" t="str">
        <x:v>Generated from canonical vessel owner/operator field during v1.9 branch merge.</x:v>
      </x:c>
    </x:row>
    <x:row r="430">
      <x:c r="A430" s="102" t="str">
        <x:v>VREL_000429</x:v>
      </x:c>
      <x:c r="B430" s="102" t="str">
        <x:v>VESSEL_00002</x:v>
      </x:c>
      <x:c r="C430" s="102" t="str">
        <x:v>UGR Zakher</x:v>
      </x:c>
      <x:c r="D430" s="102" t="str">
        <x:v>COMP_UGR</x:v>
      </x:c>
      <x:c r="E430" s="102" t="str">
        <x:v>OPERATOR</x:v>
      </x:c>
      <x:c r="F430" s="102"/>
      <x:c r="G430" s="102"/>
      <x:c r="H430" s="102" t="str">
        <x:v>High</x:v>
      </x:c>
      <x:c r="I430" s="102" t="str">
        <x:v>SRC_0060</x:v>
      </x:c>
      <x:c r="J430" s="102" t="str">
        <x:v>Generated from canonical vessel owner/operator field during v1.9 branch merge.</x:v>
      </x:c>
    </x:row>
    <x:row r="431">
      <x:c r="A431" s="102" t="str">
        <x:v>VREL_000430</x:v>
      </x:c>
      <x:c r="B431" s="102" t="str">
        <x:v>VESSEL_00003</x:v>
      </x:c>
      <x:c r="C431" s="102" t="str">
        <x:v>UGR Al Reef</x:v>
      </x:c>
      <x:c r="D431" s="102" t="str">
        <x:v>COMP_UGR</x:v>
      </x:c>
      <x:c r="E431" s="102" t="str">
        <x:v>OWNER</x:v>
      </x:c>
      <x:c r="F431" s="102"/>
      <x:c r="G431" s="102"/>
      <x:c r="H431" s="102" t="str">
        <x:v>High</x:v>
      </x:c>
      <x:c r="I431" s="102" t="str">
        <x:v>SRC_0060</x:v>
      </x:c>
      <x:c r="J431" s="102" t="str">
        <x:v>Generated from canonical vessel owner/operator field during v1.9 branch merge.</x:v>
      </x:c>
    </x:row>
    <x:row r="432">
      <x:c r="A432" s="102" t="str">
        <x:v>VREL_000431</x:v>
      </x:c>
      <x:c r="B432" s="102" t="str">
        <x:v>VESSEL_00003</x:v>
      </x:c>
      <x:c r="C432" s="102" t="str">
        <x:v>UGR Al Reef</x:v>
      </x:c>
      <x:c r="D432" s="102" t="str">
        <x:v>COMP_UGR</x:v>
      </x:c>
      <x:c r="E432" s="102" t="str">
        <x:v>OPERATOR</x:v>
      </x:c>
      <x:c r="F432" s="102"/>
      <x:c r="G432" s="102"/>
      <x:c r="H432" s="102" t="str">
        <x:v>High</x:v>
      </x:c>
      <x:c r="I432" s="102" t="str">
        <x:v>SRC_0060</x:v>
      </x:c>
      <x:c r="J432" s="102" t="str">
        <x:v>Generated from canonical vessel owner/operator field during v1.9 branch merge.</x:v>
      </x:c>
    </x:row>
    <x:row r="433">
      <x:c r="A433" s="102" t="str">
        <x:v>VREL_000432</x:v>
      </x:c>
      <x:c r="B433" s="102" t="str">
        <x:v>VESSEL_00004</x:v>
      </x:c>
      <x:c r="C433" s="102" t="str">
        <x:v>Al Jubail</x:v>
      </x:c>
      <x:c r="D433" s="102" t="str">
        <x:v>COMP_UGR</x:v>
      </x:c>
      <x:c r="E433" s="102" t="str">
        <x:v>OWNER</x:v>
      </x:c>
      <x:c r="F433" s="102"/>
      <x:c r="G433" s="102"/>
      <x:c r="H433" s="102" t="str">
        <x:v>High</x:v>
      </x:c>
      <x:c r="I433" s="102" t="str">
        <x:v>SRC_0060</x:v>
      </x:c>
      <x:c r="J433" s="102" t="str">
        <x:v>Generated from canonical vessel owner/operator field during v1.9 branch merge.</x:v>
      </x:c>
    </x:row>
    <x:row r="434">
      <x:c r="A434" s="102" t="str">
        <x:v>VREL_000433</x:v>
      </x:c>
      <x:c r="B434" s="102" t="str">
        <x:v>VESSEL_00004</x:v>
      </x:c>
      <x:c r="C434" s="102" t="str">
        <x:v>Al Jubail</x:v>
      </x:c>
      <x:c r="D434" s="102" t="str">
        <x:v>COMP_UGR</x:v>
      </x:c>
      <x:c r="E434" s="102" t="str">
        <x:v>OPERATOR</x:v>
      </x:c>
      <x:c r="F434" s="102"/>
      <x:c r="G434" s="102"/>
      <x:c r="H434" s="102" t="str">
        <x:v>High</x:v>
      </x:c>
      <x:c r="I434" s="102" t="str">
        <x:v>SRC_0060</x:v>
      </x:c>
      <x:c r="J434" s="102" t="str">
        <x:v>Generated from canonical vessel owner/operator field during v1.9 branch merge.</x:v>
      </x:c>
    </x:row>
    <x:row r="435">
      <x:c r="A435" s="102" t="str">
        <x:v>VREL_000434</x:v>
      </x:c>
      <x:c r="B435" s="102" t="str">
        <x:v>VESSEL_00005</x:v>
      </x:c>
      <x:c r="C435" s="102" t="str">
        <x:v>Ramhan</x:v>
      </x:c>
      <x:c r="D435" s="102" t="str">
        <x:v>COMP_UGR</x:v>
      </x:c>
      <x:c r="E435" s="102" t="str">
        <x:v>OWNER</x:v>
      </x:c>
      <x:c r="F435" s="102"/>
      <x:c r="G435" s="102"/>
      <x:c r="H435" s="102" t="str">
        <x:v>High</x:v>
      </x:c>
      <x:c r="I435" s="102" t="str">
        <x:v>SRC_0060</x:v>
      </x:c>
      <x:c r="J435" s="102" t="str">
        <x:v>Generated from canonical vessel owner/operator field during v1.9 branch merge.</x:v>
      </x:c>
    </x:row>
    <x:row r="436">
      <x:c r="A436" s="102" t="str">
        <x:v>VREL_000435</x:v>
      </x:c>
      <x:c r="B436" s="102" t="str">
        <x:v>VESSEL_00005</x:v>
      </x:c>
      <x:c r="C436" s="102" t="str">
        <x:v>Ramhan</x:v>
      </x:c>
      <x:c r="D436" s="102" t="str">
        <x:v>COMP_UGR</x:v>
      </x:c>
      <x:c r="E436" s="102" t="str">
        <x:v>OPERATOR</x:v>
      </x:c>
      <x:c r="F436" s="102"/>
      <x:c r="G436" s="102"/>
      <x:c r="H436" s="102" t="str">
        <x:v>High</x:v>
      </x:c>
      <x:c r="I436" s="102" t="str">
        <x:v>SRC_0060</x:v>
      </x:c>
      <x:c r="J436" s="102" t="str">
        <x:v>Generated from canonical vessel owner/operator field during v1.9 branch merge.</x:v>
      </x:c>
    </x:row>
    <x:row r="437">
      <x:c r="A437" s="102" t="str">
        <x:v>VREL_000436</x:v>
      </x:c>
      <x:c r="B437" s="102" t="str">
        <x:v>VESSEL_00006</x:v>
      </x:c>
      <x:c r="C437" s="102" t="str">
        <x:v>UGR Arabian Gulf</x:v>
      </x:c>
      <x:c r="D437" s="102" t="str">
        <x:v>COMP_UGR</x:v>
      </x:c>
      <x:c r="E437" s="102" t="str">
        <x:v>OWNER</x:v>
      </x:c>
      <x:c r="F437" s="102"/>
      <x:c r="G437" s="102"/>
      <x:c r="H437" s="102" t="str">
        <x:v>High</x:v>
      </x:c>
      <x:c r="I437" s="102" t="str">
        <x:v>SRC_0060</x:v>
      </x:c>
      <x:c r="J437" s="102" t="str">
        <x:v>Generated from canonical vessel owner/operator field during v1.9 branch merge.</x:v>
      </x:c>
    </x:row>
    <x:row r="438">
      <x:c r="A438" s="102" t="str">
        <x:v>VREL_000437</x:v>
      </x:c>
      <x:c r="B438" s="102" t="str">
        <x:v>VESSEL_00006</x:v>
      </x:c>
      <x:c r="C438" s="102" t="str">
        <x:v>UGR Arabian Gulf</x:v>
      </x:c>
      <x:c r="D438" s="102" t="str">
        <x:v>COMP_UGR</x:v>
      </x:c>
      <x:c r="E438" s="102" t="str">
        <x:v>OPERATOR</x:v>
      </x:c>
      <x:c r="F438" s="102"/>
      <x:c r="G438" s="102"/>
      <x:c r="H438" s="102" t="str">
        <x:v>High</x:v>
      </x:c>
      <x:c r="I438" s="102" t="str">
        <x:v>SRC_0060</x:v>
      </x:c>
      <x:c r="J438" s="102" t="str">
        <x:v>Generated from canonical vessel owner/operator field during v1.9 branch merge.</x:v>
      </x:c>
    </x:row>
    <x:row r="439">
      <x:c r="A439" s="102" t="str">
        <x:v>VREL_000438</x:v>
      </x:c>
      <x:c r="B439" s="102" t="str">
        <x:v>VESSEL_00007</x:v>
      </x:c>
      <x:c r="C439" s="102" t="str">
        <x:v>Erk İzmir</x:v>
      </x:c>
      <x:c r="D439" s="102" t="str">
        <x:v>COMP_UGR</x:v>
      </x:c>
      <x:c r="E439" s="102" t="str">
        <x:v>OWNER</x:v>
      </x:c>
      <x:c r="F439" s="102"/>
      <x:c r="G439" s="102"/>
      <x:c r="H439" s="102" t="str">
        <x:v>High</x:v>
      </x:c>
      <x:c r="I439" s="102" t="str">
        <x:v>SRC_0060</x:v>
      </x:c>
      <x:c r="J439" s="102" t="str">
        <x:v>Generated from canonical vessel owner/operator field during v1.9 branch merge.</x:v>
      </x:c>
    </x:row>
    <x:row r="440">
      <x:c r="A440" s="102" t="str">
        <x:v>VREL_000439</x:v>
      </x:c>
      <x:c r="B440" s="102" t="str">
        <x:v>VESSEL_00007</x:v>
      </x:c>
      <x:c r="C440" s="102" t="str">
        <x:v>Erk İzmir</x:v>
      </x:c>
      <x:c r="D440" s="102" t="str">
        <x:v>COMP_UGR</x:v>
      </x:c>
      <x:c r="E440" s="102" t="str">
        <x:v>OPERATOR</x:v>
      </x:c>
      <x:c r="F440" s="102"/>
      <x:c r="G440" s="102"/>
      <x:c r="H440" s="102" t="str">
        <x:v>High</x:v>
      </x:c>
      <x:c r="I440" s="102" t="str">
        <x:v>SRC_0060</x:v>
      </x:c>
      <x:c r="J440" s="102" t="str">
        <x:v>Generated from canonical vessel owner/operator field during v1.9 branch merge.</x:v>
      </x:c>
    </x:row>
    <x:row r="441">
      <x:c r="A441" s="102" t="str">
        <x:v>VREL_000440</x:v>
      </x:c>
      <x:c r="B441" s="102" t="str">
        <x:v>VESSEL_00008</x:v>
      </x:c>
      <x:c r="C441" s="102" t="str">
        <x:v>Abu Samrah</x:v>
      </x:c>
      <x:c r="D441" s="102" t="str">
        <x:v>COMP_UGR</x:v>
      </x:c>
      <x:c r="E441" s="102" t="str">
        <x:v>OWNER</x:v>
      </x:c>
      <x:c r="F441" s="102"/>
      <x:c r="G441" s="102"/>
      <x:c r="H441" s="102" t="str">
        <x:v>High</x:v>
      </x:c>
      <x:c r="I441" s="102" t="str">
        <x:v>SRC_0060</x:v>
      </x:c>
      <x:c r="J441" s="102" t="str">
        <x:v>Generated from canonical vessel owner/operator field during v1.9 branch merge.</x:v>
      </x:c>
    </x:row>
    <x:row r="442">
      <x:c r="A442" s="102" t="str">
        <x:v>VREL_000441</x:v>
      </x:c>
      <x:c r="B442" s="102" t="str">
        <x:v>VESSEL_00008</x:v>
      </x:c>
      <x:c r="C442" s="102" t="str">
        <x:v>Abu Samrah</x:v>
      </x:c>
      <x:c r="D442" s="102" t="str">
        <x:v>COMP_UGR</x:v>
      </x:c>
      <x:c r="E442" s="102" t="str">
        <x:v>OPERATOR</x:v>
      </x:c>
      <x:c r="F442" s="102"/>
      <x:c r="G442" s="102"/>
      <x:c r="H442" s="102" t="str">
        <x:v>High</x:v>
      </x:c>
      <x:c r="I442" s="102" t="str">
        <x:v>SRC_0060</x:v>
      </x:c>
      <x:c r="J442" s="102" t="str">
        <x:v>Generated from canonical vessel owner/operator field during v1.9 branch merge.</x:v>
      </x:c>
    </x:row>
    <x:row r="443">
      <x:c r="A443" s="102" t="str">
        <x:v>VREL_000442</x:v>
      </x:c>
      <x:c r="B443" s="102" t="str">
        <x:v>VESSEL_00009</x:v>
      </x:c>
      <x:c r="C443" s="102" t="str">
        <x:v>UGR İstanbul</x:v>
      </x:c>
      <x:c r="D443" s="102" t="str">
        <x:v>COMP_UGR</x:v>
      </x:c>
      <x:c r="E443" s="102" t="str">
        <x:v>OWNER</x:v>
      </x:c>
      <x:c r="F443" s="102"/>
      <x:c r="G443" s="102"/>
      <x:c r="H443" s="102" t="str">
        <x:v>High</x:v>
      </x:c>
      <x:c r="I443" s="102" t="str">
        <x:v>SRC_0060</x:v>
      </x:c>
      <x:c r="J443" s="102" t="str">
        <x:v>Generated from canonical vessel owner/operator field during v1.9 branch merge.</x:v>
      </x:c>
    </x:row>
    <x:row r="444">
      <x:c r="A444" s="102" t="str">
        <x:v>VREL_000443</x:v>
      </x:c>
      <x:c r="B444" s="102" t="str">
        <x:v>VESSEL_00009</x:v>
      </x:c>
      <x:c r="C444" s="102" t="str">
        <x:v>UGR İstanbul</x:v>
      </x:c>
      <x:c r="D444" s="102" t="str">
        <x:v>COMP_UGR</x:v>
      </x:c>
      <x:c r="E444" s="102" t="str">
        <x:v>OPERATOR</x:v>
      </x:c>
      <x:c r="F444" s="102"/>
      <x:c r="G444" s="102"/>
      <x:c r="H444" s="102" t="str">
        <x:v>High</x:v>
      </x:c>
      <x:c r="I444" s="102" t="str">
        <x:v>SRC_0060</x:v>
      </x:c>
      <x:c r="J444" s="102" t="str">
        <x:v>Generated from canonical vessel owner/operator field during v1.9 branch merge.</x:v>
      </x:c>
    </x:row>
    <x:row r="445">
      <x:c r="A445" s="102" t="str">
        <x:v>VREL_000444</x:v>
      </x:c>
      <x:c r="B445" s="102" t="str">
        <x:v>VESSEL_00010</x:v>
      </x:c>
      <x:c r="C445" s="102" t="str">
        <x:v>Saffet Bey</x:v>
      </x:c>
      <x:c r="D445" s="102" t="str">
        <x:v>COMP_UGR</x:v>
      </x:c>
      <x:c r="E445" s="102" t="str">
        <x:v>OWNER</x:v>
      </x:c>
      <x:c r="F445" s="102"/>
      <x:c r="G445" s="102"/>
      <x:c r="H445" s="102" t="str">
        <x:v>High</x:v>
      </x:c>
      <x:c r="I445" s="102" t="str">
        <x:v>SRC_0060</x:v>
      </x:c>
      <x:c r="J445" s="102" t="str">
        <x:v>Generated from canonical vessel owner/operator field during v1.9 branch merge.</x:v>
      </x:c>
    </x:row>
    <x:row r="446">
      <x:c r="A446" s="102" t="str">
        <x:v>VREL_000445</x:v>
      </x:c>
      <x:c r="B446" s="102" t="str">
        <x:v>VESSEL_00010</x:v>
      </x:c>
      <x:c r="C446" s="102" t="str">
        <x:v>Saffet Bey</x:v>
      </x:c>
      <x:c r="D446" s="102" t="str">
        <x:v>COMP_UGR</x:v>
      </x:c>
      <x:c r="E446" s="102" t="str">
        <x:v>OPERATOR</x:v>
      </x:c>
      <x:c r="F446" s="102"/>
      <x:c r="G446" s="102"/>
      <x:c r="H446" s="102" t="str">
        <x:v>High</x:v>
      </x:c>
      <x:c r="I446" s="102" t="str">
        <x:v>SRC_0060</x:v>
      </x:c>
      <x:c r="J446" s="102" t="str">
        <x:v>Generated from canonical vessel owner/operator field during v1.9 branch merge.</x:v>
      </x:c>
    </x:row>
    <x:row r="447">
      <x:c r="A447" s="102" t="str">
        <x:v>VREL_000446</x:v>
      </x:c>
      <x:c r="B447" s="102" t="str">
        <x:v>VESSEL_00011</x:v>
      </x:c>
      <x:c r="C447" s="102" t="str">
        <x:v>Super Fast Baleares</x:v>
      </x:c>
      <x:c r="D447" s="102" t="str">
        <x:v>COMP_UGR</x:v>
      </x:c>
      <x:c r="E447" s="102" t="str">
        <x:v>OWNER</x:v>
      </x:c>
      <x:c r="F447" s="102"/>
      <x:c r="G447" s="102"/>
      <x:c r="H447" s="102" t="str">
        <x:v>High</x:v>
      </x:c>
      <x:c r="I447" s="102" t="str">
        <x:v>SRC_0060</x:v>
      </x:c>
      <x:c r="J447" s="102" t="str">
        <x:v>Generated from canonical vessel owner/operator field during v1.9 branch merge.</x:v>
      </x:c>
    </x:row>
    <x:row r="448">
      <x:c r="A448" s="102" t="str">
        <x:v>VREL_000447</x:v>
      </x:c>
      <x:c r="B448" s="102" t="str">
        <x:v>VESSEL_00011</x:v>
      </x:c>
      <x:c r="C448" s="102" t="str">
        <x:v>Super Fast Baleares</x:v>
      </x:c>
      <x:c r="D448" s="102" t="str">
        <x:v>COMP_UGR</x:v>
      </x:c>
      <x:c r="E448" s="102" t="str">
        <x:v>OPERATOR</x:v>
      </x:c>
      <x:c r="F448" s="102"/>
      <x:c r="G448" s="102"/>
      <x:c r="H448" s="102" t="str">
        <x:v>High</x:v>
      </x:c>
      <x:c r="I448" s="102" t="str">
        <x:v>SRC_0060</x:v>
      </x:c>
      <x:c r="J448" s="102" t="str">
        <x:v>Generated from canonical vessel owner/operator field during v1.9 branch merge.</x:v>
      </x:c>
    </x:row>
    <x:row r="449">
      <x:c r="A449" s="102" t="str">
        <x:v>VREL_000448</x:v>
      </x:c>
      <x:c r="B449" s="102" t="str">
        <x:v>VESSEL_00012</x:v>
      </x:c>
      <x:c r="C449" s="102" t="str">
        <x:v>Chang Sheng Hong</x:v>
      </x:c>
      <x:c r="D449" s="102" t="str">
        <x:v>COMP_UGR</x:v>
      </x:c>
      <x:c r="E449" s="102" t="str">
        <x:v>OWNER</x:v>
      </x:c>
      <x:c r="F449" s="102"/>
      <x:c r="G449" s="102"/>
      <x:c r="H449" s="102" t="str">
        <x:v>High</x:v>
      </x:c>
      <x:c r="I449" s="102" t="str">
        <x:v>SRC_0060</x:v>
      </x:c>
      <x:c r="J449" s="102" t="str">
        <x:v>Generated from canonical vessel owner/operator field during v1.9 branch merge.</x:v>
      </x:c>
    </x:row>
    <x:row r="450">
      <x:c r="A450" s="102" t="str">
        <x:v>VREL_000449</x:v>
      </x:c>
      <x:c r="B450" s="102" t="str">
        <x:v>VESSEL_00012</x:v>
      </x:c>
      <x:c r="C450" s="102" t="str">
        <x:v>Chang Sheng Hong</x:v>
      </x:c>
      <x:c r="D450" s="102" t="str">
        <x:v>COMP_UGR</x:v>
      </x:c>
      <x:c r="E450" s="102" t="str">
        <x:v>OPERATOR</x:v>
      </x:c>
      <x:c r="F450" s="102"/>
      <x:c r="G450" s="102"/>
      <x:c r="H450" s="102" t="str">
        <x:v>High</x:v>
      </x:c>
      <x:c r="I450" s="102" t="str">
        <x:v>SRC_0060</x:v>
      </x:c>
      <x:c r="J450" s="102" t="str">
        <x:v>Generated from canonical vessel owner/operator field during v1.9 branch merge.</x:v>
      </x:c>
    </x:row>
    <x:row r="451">
      <x:c r="A451" s="102" t="str">
        <x:v>VREL_000450</x:v>
      </x:c>
      <x:c r="B451" s="102" t="str">
        <x:v>VESSEL_00013</x:v>
      </x:c>
      <x:c r="C451" s="102" t="str">
        <x:v>JINANAH</x:v>
      </x:c>
      <x:c r="D451" s="102" t="str">
        <x:v>COMP_UGR</x:v>
      </x:c>
      <x:c r="E451" s="102" t="str">
        <x:v>OWNER</x:v>
      </x:c>
      <x:c r="F451" s="102"/>
      <x:c r="G451" s="102"/>
      <x:c r="H451" s="102" t="str">
        <x:v>High</x:v>
      </x:c>
      <x:c r="I451" s="102" t="str">
        <x:v>SRC_0060</x:v>
      </x:c>
      <x:c r="J451" s="102" t="str">
        <x:v>Generated from canonical vessel owner/operator field during v1.9 branch merge.</x:v>
      </x:c>
    </x:row>
    <x:row r="452">
      <x:c r="A452" s="102" t="str">
        <x:v>VREL_000451</x:v>
      </x:c>
      <x:c r="B452" s="102" t="str">
        <x:v>VESSEL_00013</x:v>
      </x:c>
      <x:c r="C452" s="102" t="str">
        <x:v>JINANAH</x:v>
      </x:c>
      <x:c r="D452" s="102" t="str">
        <x:v>COMP_UGR</x:v>
      </x:c>
      <x:c r="E452" s="102" t="str">
        <x:v>OPERATOR</x:v>
      </x:c>
      <x:c r="F452" s="102"/>
      <x:c r="G452" s="102"/>
      <x:c r="H452" s="102" t="str">
        <x:v>High</x:v>
      </x:c>
      <x:c r="I452" s="102" t="str">
        <x:v>SRC_0060</x:v>
      </x:c>
      <x:c r="J452" s="102" t="str">
        <x:v>Generated from canonical vessel owner/operator field during v1.9 branch merge.</x:v>
      </x:c>
    </x:row>
    <x:row r="453">
      <x:c r="A453" s="102" t="str">
        <x:v>VREL_000452</x:v>
      </x:c>
      <x:c r="B453" s="102" t="str">
        <x:v>VESSEL_00014</x:v>
      </x:c>
      <x:c r="C453" s="102" t="str">
        <x:v>SDERIA</x:v>
      </x:c>
      <x:c r="D453" s="102" t="str">
        <x:v>COMP_UGR</x:v>
      </x:c>
      <x:c r="E453" s="102" t="str">
        <x:v>OWNER</x:v>
      </x:c>
      <x:c r="F453" s="102"/>
      <x:c r="G453" s="102"/>
      <x:c r="H453" s="102" t="str">
        <x:v>High</x:v>
      </x:c>
      <x:c r="I453" s="102" t="str">
        <x:v>SRC_0060</x:v>
      </x:c>
      <x:c r="J453" s="102" t="str">
        <x:v>Generated from canonical vessel owner/operator field during v1.9 branch merge.</x:v>
      </x:c>
    </x:row>
    <x:row r="454">
      <x:c r="A454" s="102" t="str">
        <x:v>VREL_000453</x:v>
      </x:c>
      <x:c r="B454" s="102" t="str">
        <x:v>VESSEL_00014</x:v>
      </x:c>
      <x:c r="C454" s="102" t="str">
        <x:v>SDERIA</x:v>
      </x:c>
      <x:c r="D454" s="102" t="str">
        <x:v>COMP_UGR</x:v>
      </x:c>
      <x:c r="E454" s="102" t="str">
        <x:v>OPERATOR</x:v>
      </x:c>
      <x:c r="F454" s="102"/>
      <x:c r="G454" s="102"/>
      <x:c r="H454" s="102" t="str">
        <x:v>High</x:v>
      </x:c>
      <x:c r="I454" s="102" t="str">
        <x:v>SRC_0060</x:v>
      </x:c>
      <x:c r="J454" s="102" t="str">
        <x:v>Generated from canonical vessel owner/operator field during v1.9 branch merge.</x:v>
      </x:c>
    </x:row>
    <x:row r="455">
      <x:c r="A455" s="102" t="str">
        <x:v>VREL_000454</x:v>
      </x:c>
      <x:c r="B455" s="102" t="str">
        <x:v>VESSEL_00015</x:v>
      </x:c>
      <x:c r="C455" s="102" t="str">
        <x:v>CMA CGM MONTE CRISTO</x:v>
      </x:c>
      <x:c r="D455" s="102" t="str">
        <x:v>COMP_CMA_CGM</x:v>
      </x:c>
      <x:c r="E455" s="102" t="str">
        <x:v>OWNER</x:v>
      </x:c>
      <x:c r="F455" s="102"/>
      <x:c r="G455" s="102"/>
      <x:c r="H455" s="102" t="str">
        <x:v>High</x:v>
      </x:c>
      <x:c r="I455" s="102" t="str">
        <x:v>SRC_0045</x:v>
      </x:c>
      <x:c r="J455" s="102" t="str">
        <x:v>Generated from canonical vessel owner/operator field during v1.9 branch merge.</x:v>
      </x:c>
    </x:row>
    <x:row r="456">
      <x:c r="A456" s="102" t="str">
        <x:v>VREL_000455</x:v>
      </x:c>
      <x:c r="B456" s="102" t="str">
        <x:v>VESSEL_00015</x:v>
      </x:c>
      <x:c r="C456" s="102" t="str">
        <x:v>CMA CGM MONTE CRISTO</x:v>
      </x:c>
      <x:c r="D456" s="102" t="str">
        <x:v>COMP_CMA_CGM</x:v>
      </x:c>
      <x:c r="E456" s="102" t="str">
        <x:v>OPERATOR</x:v>
      </x:c>
      <x:c r="F456" s="102"/>
      <x:c r="G456" s="102"/>
      <x:c r="H456" s="102" t="str">
        <x:v>High</x:v>
      </x:c>
      <x:c r="I456" s="102" t="str">
        <x:v>SRC_0045</x:v>
      </x:c>
      <x:c r="J456" s="102" t="str">
        <x:v>Generated from canonical vessel owner/operator field during v1.9 branch merge.</x:v>
      </x:c>
    </x:row>
    <x:row r="457">
      <x:c r="A457" s="102" t="str">
        <x:v>VREL_000456</x:v>
      </x:c>
      <x:c r="B457" s="102" t="str">
        <x:v>VESSEL_00274</x:v>
      </x:c>
      <x:c r="C457" s="102" t="str">
        <x:v>Baie Comeau</x:v>
      </x:c>
      <x:c r="D457" s="102" t="str">
        <x:v>COMP_CSL_CANADA</x:v>
      </x:c>
      <x:c r="E457" s="102" t="str">
        <x:v>OWNER</x:v>
      </x:c>
      <x:c r="F457" s="102"/>
      <x:c r="G457" s="102"/>
      <x:c r="H457" s="102" t="str">
        <x:v>High</x:v>
      </x:c>
      <x:c r="I457" s="102" t="str">
        <x:v>SRC_0153</x:v>
      </x:c>
      <x:c r="J457" s="102" t="str">
        <x:v>Generated from canonical vessel owner/operator field during v1.9 branch merge.</x:v>
      </x:c>
    </x:row>
    <x:row r="458">
      <x:c r="A458" s="102" t="str">
        <x:v>VREL_000457</x:v>
      </x:c>
      <x:c r="B458" s="102" t="str">
        <x:v>VESSEL_00274</x:v>
      </x:c>
      <x:c r="C458" s="102" t="str">
        <x:v>Baie Comeau</x:v>
      </x:c>
      <x:c r="D458" s="102" t="str">
        <x:v>COMP_CSL_CANADA</x:v>
      </x:c>
      <x:c r="E458" s="102" t="str">
        <x:v>OPERATOR</x:v>
      </x:c>
      <x:c r="F458" s="102"/>
      <x:c r="G458" s="102"/>
      <x:c r="H458" s="102" t="str">
        <x:v>High</x:v>
      </x:c>
      <x:c r="I458" s="102" t="str">
        <x:v>SRC_0153</x:v>
      </x:c>
      <x:c r="J458" s="102" t="str">
        <x:v>Generated from canonical vessel owner/operator field during v1.9 branch merge.</x:v>
      </x:c>
    </x:row>
    <x:row r="459">
      <x:c r="A459" s="102" t="str">
        <x:v>VREL_000458</x:v>
      </x:c>
      <x:c r="B459" s="102" t="str">
        <x:v>VESSEL_00275</x:v>
      </x:c>
      <x:c r="C459" s="102" t="str">
        <x:v>Baie St. Paul</x:v>
      </x:c>
      <x:c r="D459" s="102" t="str">
        <x:v>COMP_CSL_CANADA</x:v>
      </x:c>
      <x:c r="E459" s="102" t="str">
        <x:v>OWNER</x:v>
      </x:c>
      <x:c r="F459" s="102"/>
      <x:c r="G459" s="102"/>
      <x:c r="H459" s="102" t="str">
        <x:v>High</x:v>
      </x:c>
      <x:c r="I459" s="102" t="str">
        <x:v>SRC_0153</x:v>
      </x:c>
      <x:c r="J459" s="102" t="str">
        <x:v>Generated from canonical vessel owner/operator field during v1.9 branch merge.</x:v>
      </x:c>
    </x:row>
    <x:row r="460">
      <x:c r="A460" s="102" t="str">
        <x:v>VREL_000459</x:v>
      </x:c>
      <x:c r="B460" s="102" t="str">
        <x:v>VESSEL_00275</x:v>
      </x:c>
      <x:c r="C460" s="102" t="str">
        <x:v>Baie St. Paul</x:v>
      </x:c>
      <x:c r="D460" s="102" t="str">
        <x:v>COMP_CSL_CANADA</x:v>
      </x:c>
      <x:c r="E460" s="102" t="str">
        <x:v>OPERATOR</x:v>
      </x:c>
      <x:c r="F460" s="102"/>
      <x:c r="G460" s="102"/>
      <x:c r="H460" s="102" t="str">
        <x:v>High</x:v>
      </x:c>
      <x:c r="I460" s="102" t="str">
        <x:v>SRC_0153</x:v>
      </x:c>
      <x:c r="J460" s="102" t="str">
        <x:v>Generated from canonical vessel owner/operator field during v1.9 branch merge.</x:v>
      </x:c>
    </x:row>
    <x:row r="461">
      <x:c r="A461" s="102" t="str">
        <x:v>VREL_000460</x:v>
      </x:c>
      <x:c r="B461" s="102" t="str">
        <x:v>VESSEL_00276</x:v>
      </x:c>
      <x:c r="C461" s="102" t="str">
        <x:v>CSL Assiniboine</x:v>
      </x:c>
      <x:c r="D461" s="102" t="str">
        <x:v>COMP_CSL_CANADA</x:v>
      </x:c>
      <x:c r="E461" s="102" t="str">
        <x:v>OWNER</x:v>
      </x:c>
      <x:c r="F461" s="102"/>
      <x:c r="G461" s="102"/>
      <x:c r="H461" s="102" t="str">
        <x:v>High</x:v>
      </x:c>
      <x:c r="I461" s="102" t="str">
        <x:v>SRC_0153</x:v>
      </x:c>
      <x:c r="J461" s="102" t="str">
        <x:v>Generated from canonical vessel owner/operator field during v1.9 branch merge.</x:v>
      </x:c>
    </x:row>
    <x:row r="462">
      <x:c r="A462" s="102" t="str">
        <x:v>VREL_000461</x:v>
      </x:c>
      <x:c r="B462" s="102" t="str">
        <x:v>VESSEL_00276</x:v>
      </x:c>
      <x:c r="C462" s="102" t="str">
        <x:v>CSL Assiniboine</x:v>
      </x:c>
      <x:c r="D462" s="102" t="str">
        <x:v>COMP_CSL_CANADA</x:v>
      </x:c>
      <x:c r="E462" s="102" t="str">
        <x:v>OPERATOR</x:v>
      </x:c>
      <x:c r="F462" s="102"/>
      <x:c r="G462" s="102"/>
      <x:c r="H462" s="102" t="str">
        <x:v>High</x:v>
      </x:c>
      <x:c r="I462" s="102" t="str">
        <x:v>SRC_0153</x:v>
      </x:c>
      <x:c r="J462" s="102" t="str">
        <x:v>Generated from canonical vessel owner/operator field during v1.9 branch merge.</x:v>
      </x:c>
    </x:row>
    <x:row r="463">
      <x:c r="A463" s="102" t="str">
        <x:v>VREL_000462</x:v>
      </x:c>
      <x:c r="B463" s="102" t="str">
        <x:v>VESSEL_00277</x:v>
      </x:c>
      <x:c r="C463" s="102" t="str">
        <x:v>CSL Laurentien</x:v>
      </x:c>
      <x:c r="D463" s="102" t="str">
        <x:v>COMP_CSL_CANADA</x:v>
      </x:c>
      <x:c r="E463" s="102" t="str">
        <x:v>OWNER</x:v>
      </x:c>
      <x:c r="F463" s="102"/>
      <x:c r="G463" s="102"/>
      <x:c r="H463" s="102" t="str">
        <x:v>High</x:v>
      </x:c>
      <x:c r="I463" s="102" t="str">
        <x:v>SRC_0153</x:v>
      </x:c>
      <x:c r="J463" s="102" t="str">
        <x:v>Generated from canonical vessel owner/operator field during v1.9 branch merge.</x:v>
      </x:c>
    </x:row>
    <x:row r="464">
      <x:c r="A464" s="102" t="str">
        <x:v>VREL_000463</x:v>
      </x:c>
      <x:c r="B464" s="102" t="str">
        <x:v>VESSEL_00277</x:v>
      </x:c>
      <x:c r="C464" s="102" t="str">
        <x:v>CSL Laurentien</x:v>
      </x:c>
      <x:c r="D464" s="102" t="str">
        <x:v>COMP_CSL_CANADA</x:v>
      </x:c>
      <x:c r="E464" s="102" t="str">
        <x:v>OPERATOR</x:v>
      </x:c>
      <x:c r="F464" s="102"/>
      <x:c r="G464" s="102"/>
      <x:c r="H464" s="102" t="str">
        <x:v>High</x:v>
      </x:c>
      <x:c r="I464" s="102" t="str">
        <x:v>SRC_0153</x:v>
      </x:c>
      <x:c r="J464" s="102" t="str">
        <x:v>Generated from canonical vessel owner/operator field during v1.9 branch merge.</x:v>
      </x:c>
    </x:row>
    <x:row r="465">
      <x:c r="A465" s="102" t="str">
        <x:v>VREL_000464</x:v>
      </x:c>
      <x:c r="B465" s="102" t="str">
        <x:v>VESSEL_00278</x:v>
      </x:c>
      <x:c r="C465" s="102" t="str">
        <x:v>CSL Niagara</x:v>
      </x:c>
      <x:c r="D465" s="102" t="str">
        <x:v>COMP_CSL_CANADA</x:v>
      </x:c>
      <x:c r="E465" s="102" t="str">
        <x:v>OWNER</x:v>
      </x:c>
      <x:c r="F465" s="102"/>
      <x:c r="G465" s="102"/>
      <x:c r="H465" s="102" t="str">
        <x:v>High</x:v>
      </x:c>
      <x:c r="I465" s="102" t="str">
        <x:v>SRC_0153</x:v>
      </x:c>
      <x:c r="J465" s="102" t="str">
        <x:v>Generated from canonical vessel owner/operator field during v1.9 branch merge.</x:v>
      </x:c>
    </x:row>
    <x:row r="466">
      <x:c r="A466" s="102" t="str">
        <x:v>VREL_000465</x:v>
      </x:c>
      <x:c r="B466" s="102" t="str">
        <x:v>VESSEL_00278</x:v>
      </x:c>
      <x:c r="C466" s="102" t="str">
        <x:v>CSL Niagara</x:v>
      </x:c>
      <x:c r="D466" s="102" t="str">
        <x:v>COMP_CSL_CANADA</x:v>
      </x:c>
      <x:c r="E466" s="102" t="str">
        <x:v>OPERATOR</x:v>
      </x:c>
      <x:c r="F466" s="102"/>
      <x:c r="G466" s="102"/>
      <x:c r="H466" s="102" t="str">
        <x:v>High</x:v>
      </x:c>
      <x:c r="I466" s="102" t="str">
        <x:v>SRC_0153</x:v>
      </x:c>
      <x:c r="J466" s="102" t="str">
        <x:v>Generated from canonical vessel owner/operator field during v1.9 branch merge.</x:v>
      </x:c>
    </x:row>
    <x:row r="467">
      <x:c r="A467" s="102" t="str">
        <x:v>VREL_000466</x:v>
      </x:c>
      <x:c r="B467" s="102" t="str">
        <x:v>VESSEL_00279</x:v>
      </x:c>
      <x:c r="C467" s="102" t="str">
        <x:v>CSL Tadoussac</x:v>
      </x:c>
      <x:c r="D467" s="102" t="str">
        <x:v>COMP_CSL_CANADA</x:v>
      </x:c>
      <x:c r="E467" s="102" t="str">
        <x:v>OWNER</x:v>
      </x:c>
      <x:c r="F467" s="102"/>
      <x:c r="G467" s="102"/>
      <x:c r="H467" s="102" t="str">
        <x:v>High</x:v>
      </x:c>
      <x:c r="I467" s="102" t="str">
        <x:v>SRC_0153</x:v>
      </x:c>
      <x:c r="J467" s="102" t="str">
        <x:v>Generated from canonical vessel owner/operator field during v1.9 branch merge.</x:v>
      </x:c>
    </x:row>
    <x:row r="468">
      <x:c r="A468" s="102" t="str">
        <x:v>VREL_000467</x:v>
      </x:c>
      <x:c r="B468" s="102" t="str">
        <x:v>VESSEL_00279</x:v>
      </x:c>
      <x:c r="C468" s="102" t="str">
        <x:v>CSL Tadoussac</x:v>
      </x:c>
      <x:c r="D468" s="102" t="str">
        <x:v>COMP_CSL_CANADA</x:v>
      </x:c>
      <x:c r="E468" s="102" t="str">
        <x:v>OPERATOR</x:v>
      </x:c>
      <x:c r="F468" s="102"/>
      <x:c r="G468" s="102"/>
      <x:c r="H468" s="102" t="str">
        <x:v>High</x:v>
      </x:c>
      <x:c r="I468" s="102" t="str">
        <x:v>SRC_0153</x:v>
      </x:c>
      <x:c r="J468" s="102" t="str">
        <x:v>Generated from canonical vessel owner/operator field during v1.9 branch merge.</x:v>
      </x:c>
    </x:row>
    <x:row r="469">
      <x:c r="A469" s="102" t="str">
        <x:v>VREL_000468</x:v>
      </x:c>
      <x:c r="B469" s="102" t="str">
        <x:v>VESSEL_00280</x:v>
      </x:c>
      <x:c r="C469" s="102" t="str">
        <x:v>Frontenac</x:v>
      </x:c>
      <x:c r="D469" s="102" t="str">
        <x:v>COMP_CSL_CANADA</x:v>
      </x:c>
      <x:c r="E469" s="102" t="str">
        <x:v>OWNER</x:v>
      </x:c>
      <x:c r="F469" s="102"/>
      <x:c r="G469" s="102"/>
      <x:c r="H469" s="102" t="str">
        <x:v>High</x:v>
      </x:c>
      <x:c r="I469" s="102" t="str">
        <x:v>SRC_0153</x:v>
      </x:c>
      <x:c r="J469" s="102" t="str">
        <x:v>Generated from canonical vessel owner/operator field during v1.9 branch merge.</x:v>
      </x:c>
    </x:row>
    <x:row r="470">
      <x:c r="A470" s="102" t="str">
        <x:v>VREL_000469</x:v>
      </x:c>
      <x:c r="B470" s="102" t="str">
        <x:v>VESSEL_00280</x:v>
      </x:c>
      <x:c r="C470" s="102" t="str">
        <x:v>Frontenac</x:v>
      </x:c>
      <x:c r="D470" s="102" t="str">
        <x:v>COMP_CSL_CANADA</x:v>
      </x:c>
      <x:c r="E470" s="102" t="str">
        <x:v>OPERATOR</x:v>
      </x:c>
      <x:c r="F470" s="102"/>
      <x:c r="G470" s="102"/>
      <x:c r="H470" s="102" t="str">
        <x:v>High</x:v>
      </x:c>
      <x:c r="I470" s="102" t="str">
        <x:v>SRC_0153</x:v>
      </x:c>
      <x:c r="J470" s="102" t="str">
        <x:v>Generated from canonical vessel owner/operator field during v1.9 branch merge.</x:v>
      </x:c>
    </x:row>
    <x:row r="471">
      <x:c r="A471" s="102" t="str">
        <x:v>VREL_000470</x:v>
      </x:c>
      <x:c r="B471" s="102" t="str">
        <x:v>VESSEL_00281</x:v>
      </x:c>
      <x:c r="C471" s="102" t="str">
        <x:v>Nukumi</x:v>
      </x:c>
      <x:c r="D471" s="102" t="str">
        <x:v>COMP_CSL_CANADA</x:v>
      </x:c>
      <x:c r="E471" s="102" t="str">
        <x:v>OWNER</x:v>
      </x:c>
      <x:c r="F471" s="102"/>
      <x:c r="G471" s="102"/>
      <x:c r="H471" s="102" t="str">
        <x:v>High</x:v>
      </x:c>
      <x:c r="I471" s="102" t="str">
        <x:v>SRC_0169</x:v>
      </x:c>
      <x:c r="J471" s="102" t="str">
        <x:v>Generated from canonical vessel owner/operator field during v1.9 branch merge.</x:v>
      </x:c>
    </x:row>
    <x:row r="472">
      <x:c r="A472" s="102" t="str">
        <x:v>VREL_000471</x:v>
      </x:c>
      <x:c r="B472" s="102" t="str">
        <x:v>VESSEL_00281</x:v>
      </x:c>
      <x:c r="C472" s="102" t="str">
        <x:v>Nukumi</x:v>
      </x:c>
      <x:c r="D472" s="102" t="str">
        <x:v>COMP_CSL_CANADA</x:v>
      </x:c>
      <x:c r="E472" s="102" t="str">
        <x:v>OPERATOR</x:v>
      </x:c>
      <x:c r="F472" s="102"/>
      <x:c r="G472" s="102"/>
      <x:c r="H472" s="102" t="str">
        <x:v>High</x:v>
      </x:c>
      <x:c r="I472" s="102" t="str">
        <x:v>SRC_0169</x:v>
      </x:c>
      <x:c r="J472" s="102" t="str">
        <x:v>Generated from canonical vessel owner/operator field during v1.9 branch merge.</x:v>
      </x:c>
    </x:row>
    <x:row r="473">
      <x:c r="A473" s="102" t="str">
        <x:v>VREL_000472</x:v>
      </x:c>
      <x:c r="B473" s="102" t="str">
        <x:v>VESSEL_00282</x:v>
      </x:c>
      <x:c r="C473" s="102" t="str">
        <x:v>Rt. Hon. Paul J. Martin</x:v>
      </x:c>
      <x:c r="D473" s="102" t="str">
        <x:v>COMP_CSL_CANADA</x:v>
      </x:c>
      <x:c r="E473" s="102" t="str">
        <x:v>OWNER</x:v>
      </x:c>
      <x:c r="F473" s="102"/>
      <x:c r="G473" s="102"/>
      <x:c r="H473" s="102" t="str">
        <x:v>High</x:v>
      </x:c>
      <x:c r="I473" s="102" t="str">
        <x:v>SRC_0153</x:v>
      </x:c>
      <x:c r="J473" s="102" t="str">
        <x:v>Generated from canonical vessel owner/operator field during v1.9 branch merge.</x:v>
      </x:c>
    </x:row>
    <x:row r="474">
      <x:c r="A474" s="102" t="str">
        <x:v>VREL_000473</x:v>
      </x:c>
      <x:c r="B474" s="102" t="str">
        <x:v>VESSEL_00282</x:v>
      </x:c>
      <x:c r="C474" s="102" t="str">
        <x:v>Rt. Hon. Paul J. Martin</x:v>
      </x:c>
      <x:c r="D474" s="102" t="str">
        <x:v>COMP_CSL_CANADA</x:v>
      </x:c>
      <x:c r="E474" s="102" t="str">
        <x:v>OPERATOR</x:v>
      </x:c>
      <x:c r="F474" s="102"/>
      <x:c r="G474" s="102"/>
      <x:c r="H474" s="102" t="str">
        <x:v>High</x:v>
      </x:c>
      <x:c r="I474" s="102" t="str">
        <x:v>SRC_0153</x:v>
      </x:c>
      <x:c r="J474" s="102" t="str">
        <x:v>Generated from canonical vessel owner/operator field during v1.9 branch merge.</x:v>
      </x:c>
    </x:row>
    <x:row r="475">
      <x:c r="A475" s="102" t="str">
        <x:v>VREL_000474</x:v>
      </x:c>
      <x:c r="B475" s="102" t="str">
        <x:v>VESSEL_00283</x:v>
      </x:c>
      <x:c r="C475" s="102" t="str">
        <x:v>Thunder Bay</x:v>
      </x:c>
      <x:c r="D475" s="102" t="str">
        <x:v>COMP_CSL_CANADA</x:v>
      </x:c>
      <x:c r="E475" s="102" t="str">
        <x:v>OWNER</x:v>
      </x:c>
      <x:c r="F475" s="102"/>
      <x:c r="G475" s="102"/>
      <x:c r="H475" s="102" t="str">
        <x:v>High</x:v>
      </x:c>
      <x:c r="I475" s="102" t="str">
        <x:v>SRC_0153</x:v>
      </x:c>
      <x:c r="J475" s="102" t="str">
        <x:v>Generated from canonical vessel owner/operator field during v1.9 branch merge.</x:v>
      </x:c>
    </x:row>
    <x:row r="476">
      <x:c r="A476" s="102" t="str">
        <x:v>VREL_000475</x:v>
      </x:c>
      <x:c r="B476" s="102" t="str">
        <x:v>VESSEL_00283</x:v>
      </x:c>
      <x:c r="C476" s="102" t="str">
        <x:v>Thunder Bay</x:v>
      </x:c>
      <x:c r="D476" s="102" t="str">
        <x:v>COMP_CSL_CANADA</x:v>
      </x:c>
      <x:c r="E476" s="102" t="str">
        <x:v>OPERATOR</x:v>
      </x:c>
      <x:c r="F476" s="102"/>
      <x:c r="G476" s="102"/>
      <x:c r="H476" s="102" t="str">
        <x:v>High</x:v>
      </x:c>
      <x:c r="I476" s="102" t="str">
        <x:v>SRC_0153</x:v>
      </x:c>
      <x:c r="J476" s="102" t="str">
        <x:v>Generated from canonical vessel owner/operator field during v1.9 branch merge.</x:v>
      </x:c>
    </x:row>
    <x:row r="477">
      <x:c r="A477" s="102" t="str">
        <x:v>VREL_000476</x:v>
      </x:c>
      <x:c r="B477" s="102" t="str">
        <x:v>VESSEL_00284</x:v>
      </x:c>
      <x:c r="C477" s="102" t="str">
        <x:v>Whitefish Bay</x:v>
      </x:c>
      <x:c r="D477" s="102" t="str">
        <x:v>COMP_CSL_CANADA</x:v>
      </x:c>
      <x:c r="E477" s="102" t="str">
        <x:v>OWNER</x:v>
      </x:c>
      <x:c r="F477" s="102"/>
      <x:c r="G477" s="102"/>
      <x:c r="H477" s="102" t="str">
        <x:v>High</x:v>
      </x:c>
      <x:c r="I477" s="102" t="str">
        <x:v>SRC_0153</x:v>
      </x:c>
      <x:c r="J477" s="102" t="str">
        <x:v>Generated from canonical vessel owner/operator field during v1.9 branch merge.</x:v>
      </x:c>
    </x:row>
    <x:row r="478">
      <x:c r="A478" s="102" t="str">
        <x:v>VREL_000477</x:v>
      </x:c>
      <x:c r="B478" s="102" t="str">
        <x:v>VESSEL_00284</x:v>
      </x:c>
      <x:c r="C478" s="102" t="str">
        <x:v>Whitefish Bay</x:v>
      </x:c>
      <x:c r="D478" s="102" t="str">
        <x:v>COMP_CSL_CANADA</x:v>
      </x:c>
      <x:c r="E478" s="102" t="str">
        <x:v>OPERATOR</x:v>
      </x:c>
      <x:c r="F478" s="102"/>
      <x:c r="G478" s="102"/>
      <x:c r="H478" s="102" t="str">
        <x:v>High</x:v>
      </x:c>
      <x:c r="I478" s="102" t="str">
        <x:v>SRC_0153</x:v>
      </x:c>
      <x:c r="J478" s="102" t="str">
        <x:v>Generated from canonical vessel owner/operator field during v1.9 branch merge.</x:v>
      </x:c>
    </x:row>
    <x:row r="479">
      <x:c r="A479" s="102" t="str">
        <x:v>VREL_000478</x:v>
      </x:c>
      <x:c r="B479" s="102" t="str">
        <x:v>VESSEL_00285</x:v>
      </x:c>
      <x:c r="C479" s="102" t="str">
        <x:v>CSL St-Laurent</x:v>
      </x:c>
      <x:c r="D479" s="102" t="str">
        <x:v>COMP_CSL_CANADA</x:v>
      </x:c>
      <x:c r="E479" s="102" t="str">
        <x:v>OWNER</x:v>
      </x:c>
      <x:c r="F479" s="102"/>
      <x:c r="G479" s="102"/>
      <x:c r="H479" s="102" t="str">
        <x:v>High</x:v>
      </x:c>
      <x:c r="I479" s="102" t="str">
        <x:v>SRC_0153</x:v>
      </x:c>
      <x:c r="J479" s="102" t="str">
        <x:v>Generated from canonical vessel owner/operator field during v1.9 branch merge.</x:v>
      </x:c>
    </x:row>
    <x:row r="480">
      <x:c r="A480" s="102" t="str">
        <x:v>VREL_000479</x:v>
      </x:c>
      <x:c r="B480" s="102" t="str">
        <x:v>VESSEL_00285</x:v>
      </x:c>
      <x:c r="C480" s="102" t="str">
        <x:v>CSL St-Laurent</x:v>
      </x:c>
      <x:c r="D480" s="102" t="str">
        <x:v>COMP_CSL_CANADA</x:v>
      </x:c>
      <x:c r="E480" s="102" t="str">
        <x:v>OPERATOR</x:v>
      </x:c>
      <x:c r="F480" s="102"/>
      <x:c r="G480" s="102"/>
      <x:c r="H480" s="102" t="str">
        <x:v>High</x:v>
      </x:c>
      <x:c r="I480" s="102" t="str">
        <x:v>SRC_0153</x:v>
      </x:c>
      <x:c r="J480" s="102" t="str">
        <x:v>Generated from canonical vessel owner/operator field during v1.9 branch merge.</x:v>
      </x:c>
    </x:row>
    <x:row r="481">
      <x:c r="A481" s="102" t="str">
        <x:v>VREL_000480</x:v>
      </x:c>
      <x:c r="B481" s="102" t="str">
        <x:v>VESSEL_00286</x:v>
      </x:c>
      <x:c r="C481" s="102" t="str">
        <x:v>CSL Welland</x:v>
      </x:c>
      <x:c r="D481" s="102" t="str">
        <x:v>COMP_CSL_CANADA</x:v>
      </x:c>
      <x:c r="E481" s="102" t="str">
        <x:v>OWNER</x:v>
      </x:c>
      <x:c r="F481" s="102"/>
      <x:c r="G481" s="102"/>
      <x:c r="H481" s="102" t="str">
        <x:v>High</x:v>
      </x:c>
      <x:c r="I481" s="102" t="str">
        <x:v>SRC_0153</x:v>
      </x:c>
      <x:c r="J481" s="102" t="str">
        <x:v>Generated from canonical vessel owner/operator field during v1.9 branch merge.</x:v>
      </x:c>
    </x:row>
    <x:row r="482">
      <x:c r="A482" s="102" t="str">
        <x:v>VREL_000481</x:v>
      </x:c>
      <x:c r="B482" s="102" t="str">
        <x:v>VESSEL_00286</x:v>
      </x:c>
      <x:c r="C482" s="102" t="str">
        <x:v>CSL Welland</x:v>
      </x:c>
      <x:c r="D482" s="102" t="str">
        <x:v>COMP_CSL_CANADA</x:v>
      </x:c>
      <x:c r="E482" s="102" t="str">
        <x:v>OPERATOR</x:v>
      </x:c>
      <x:c r="F482" s="102"/>
      <x:c r="G482" s="102"/>
      <x:c r="H482" s="102" t="str">
        <x:v>High</x:v>
      </x:c>
      <x:c r="I482" s="102" t="str">
        <x:v>SRC_0153</x:v>
      </x:c>
      <x:c r="J482" s="102" t="str">
        <x:v>Generated from canonical vessel owner/operator field during v1.9 branch merge.</x:v>
      </x:c>
    </x:row>
    <x:row r="483">
      <x:c r="A483" s="102" t="str">
        <x:v>VREL_000482</x:v>
      </x:c>
      <x:c r="B483" s="102" t="str">
        <x:v>VESSEL_00287</x:v>
      </x:c>
      <x:c r="C483" s="102" t="str">
        <x:v>Ferbec</x:v>
      </x:c>
      <x:c r="D483" s="102" t="str">
        <x:v>COMP_CSL_CANADA</x:v>
      </x:c>
      <x:c r="E483" s="102" t="str">
        <x:v>OWNER</x:v>
      </x:c>
      <x:c r="F483" s="102"/>
      <x:c r="G483" s="102"/>
      <x:c r="H483" s="102" t="str">
        <x:v>High</x:v>
      </x:c>
      <x:c r="I483" s="102" t="str">
        <x:v>SRC_0153</x:v>
      </x:c>
      <x:c r="J483" s="102" t="str">
        <x:v>Generated from canonical vessel owner/operator field during v1.9 branch merge.</x:v>
      </x:c>
    </x:row>
    <x:row r="484">
      <x:c r="A484" s="102" t="str">
        <x:v>VREL_000483</x:v>
      </x:c>
      <x:c r="B484" s="102" t="str">
        <x:v>VESSEL_00287</x:v>
      </x:c>
      <x:c r="C484" s="102" t="str">
        <x:v>Ferbec</x:v>
      </x:c>
      <x:c r="D484" s="102" t="str">
        <x:v>COMP_CSL_CANADA</x:v>
      </x:c>
      <x:c r="E484" s="102" t="str">
        <x:v>OPERATOR</x:v>
      </x:c>
      <x:c r="F484" s="102"/>
      <x:c r="G484" s="102"/>
      <x:c r="H484" s="102" t="str">
        <x:v>High</x:v>
      </x:c>
      <x:c r="I484" s="102" t="str">
        <x:v>SRC_0153</x:v>
      </x:c>
      <x:c r="J484" s="102" t="str">
        <x:v>Generated from canonical vessel owner/operator field during v1.9 branch merge.</x:v>
      </x:c>
    </x:row>
    <x:row r="485">
      <x:c r="A485" s="102" t="str">
        <x:v>VREL_000484</x:v>
      </x:c>
      <x:c r="B485" s="102" t="str">
        <x:v>VESSEL_00288</x:v>
      </x:c>
      <x:c r="C485" s="102" t="str">
        <x:v>Oakglen</x:v>
      </x:c>
      <x:c r="D485" s="102" t="str">
        <x:v>COMP_CSL_CANADA</x:v>
      </x:c>
      <x:c r="E485" s="102" t="str">
        <x:v>OWNER</x:v>
      </x:c>
      <x:c r="F485" s="102"/>
      <x:c r="G485" s="102"/>
      <x:c r="H485" s="102" t="str">
        <x:v>High</x:v>
      </x:c>
      <x:c r="I485" s="102" t="str">
        <x:v>SRC_0153</x:v>
      </x:c>
      <x:c r="J485" s="102" t="str">
        <x:v>Generated from canonical vessel owner/operator field during v1.9 branch merge.</x:v>
      </x:c>
    </x:row>
    <x:row r="486">
      <x:c r="A486" s="102" t="str">
        <x:v>VREL_000485</x:v>
      </x:c>
      <x:c r="B486" s="102" t="str">
        <x:v>VESSEL_00288</x:v>
      </x:c>
      <x:c r="C486" s="102" t="str">
        <x:v>Oakglen</x:v>
      </x:c>
      <x:c r="D486" s="102" t="str">
        <x:v>COMP_CSL_CANADA</x:v>
      </x:c>
      <x:c r="E486" s="102" t="str">
        <x:v>OPERATOR</x:v>
      </x:c>
      <x:c r="F486" s="102"/>
      <x:c r="G486" s="102"/>
      <x:c r="H486" s="102" t="str">
        <x:v>High</x:v>
      </x:c>
      <x:c r="I486" s="102" t="str">
        <x:v>SRC_0153</x:v>
      </x:c>
      <x:c r="J486" s="102" t="str">
        <x:v>Generated from canonical vessel owner/operator field during v1.9 branch merge.</x:v>
      </x:c>
    </x:row>
    <x:row r="487">
      <x:c r="A487" s="102" t="str">
        <x:v>VREL_000486</x:v>
      </x:c>
      <x:c r="B487" s="102" t="str">
        <x:v>VESSEL_00289</x:v>
      </x:c>
      <x:c r="C487" s="102" t="str">
        <x:v>Spruceglen</x:v>
      </x:c>
      <x:c r="D487" s="102" t="str">
        <x:v>COMP_CSL_CANADA</x:v>
      </x:c>
      <x:c r="E487" s="102" t="str">
        <x:v>OWNER</x:v>
      </x:c>
      <x:c r="F487" s="102"/>
      <x:c r="G487" s="102"/>
      <x:c r="H487" s="102" t="str">
        <x:v>High</x:v>
      </x:c>
      <x:c r="I487" s="102" t="str">
        <x:v>SRC_0153</x:v>
      </x:c>
      <x:c r="J487" s="102" t="str">
        <x:v>Generated from canonical vessel owner/operator field during v1.9 branch merge.</x:v>
      </x:c>
    </x:row>
    <x:row r="488">
      <x:c r="A488" s="102" t="str">
        <x:v>VREL_000487</x:v>
      </x:c>
      <x:c r="B488" s="102" t="str">
        <x:v>VESSEL_00289</x:v>
      </x:c>
      <x:c r="C488" s="102" t="str">
        <x:v>Spruceglen</x:v>
      </x:c>
      <x:c r="D488" s="102" t="str">
        <x:v>COMP_CSL_CANADA</x:v>
      </x:c>
      <x:c r="E488" s="102" t="str">
        <x:v>OPERATOR</x:v>
      </x:c>
      <x:c r="F488" s="102"/>
      <x:c r="G488" s="102"/>
      <x:c r="H488" s="102" t="str">
        <x:v>High</x:v>
      </x:c>
      <x:c r="I488" s="102" t="str">
        <x:v>SRC_0153</x:v>
      </x:c>
      <x:c r="J488" s="102" t="str">
        <x:v>Generated from canonical vessel owner/operator field during v1.9 branch merge.</x:v>
      </x:c>
    </x:row>
    <x:row r="489">
      <x:c r="A489" s="102" t="str">
        <x:v>VREL_000488</x:v>
      </x:c>
      <x:c r="B489" s="102" t="str">
        <x:v>VESSEL_00290</x:v>
      </x:c>
      <x:c r="C489" s="102" t="str">
        <x:v>Tamarack</x:v>
      </x:c>
      <x:c r="D489" s="102" t="str">
        <x:v>COMP_EUREKA_SHIPPING</x:v>
      </x:c>
      <x:c r="E489" s="102" t="str">
        <x:v>OWNER</x:v>
      </x:c>
      <x:c r="F489" s="102"/>
      <x:c r="G489" s="102"/>
      <x:c r="H489" s="102" t="str">
        <x:v>High</x:v>
      </x:c>
      <x:c r="I489" s="102" t="str">
        <x:v>SRC_0170</x:v>
      </x:c>
      <x:c r="J489" s="102" t="str">
        <x:v>Generated from canonical vessel owner/operator field during v1.9 branch merge.</x:v>
      </x:c>
    </x:row>
    <x:row r="490">
      <x:c r="A490" s="102" t="str">
        <x:v>VREL_000489</x:v>
      </x:c>
      <x:c r="B490" s="102" t="str">
        <x:v>VESSEL_00290</x:v>
      </x:c>
      <x:c r="C490" s="102" t="str">
        <x:v>Tamarack</x:v>
      </x:c>
      <x:c r="D490" s="102" t="str">
        <x:v>COMP_CSL_CANADA</x:v>
      </x:c>
      <x:c r="E490" s="102" t="str">
        <x:v>OPERATOR</x:v>
      </x:c>
      <x:c r="F490" s="102"/>
      <x:c r="G490" s="102"/>
      <x:c r="H490" s="102" t="str">
        <x:v>High</x:v>
      </x:c>
      <x:c r="I490" s="102" t="str">
        <x:v>SRC_0170</x:v>
      </x:c>
      <x:c r="J490" s="102" t="str">
        <x:v>Generated from canonical vessel owner/operator field during v1.9 branch merge.</x:v>
      </x:c>
    </x:row>
    <x:row r="491">
      <x:c r="A491" s="102" t="str">
        <x:v>VREL_000490</x:v>
      </x:c>
      <x:c r="B491" s="102" t="str">
        <x:v>VESSEL_00291</x:v>
      </x:c>
      <x:c r="C491" s="102" t="str">
        <x:v>Algoma Guardian</x:v>
      </x:c>
      <x:c r="D491" s="102" t="str">
        <x:v>COMP_ALGOMA</x:v>
      </x:c>
      <x:c r="E491" s="102" t="str">
        <x:v>OWNER</x:v>
      </x:c>
      <x:c r="F491" s="102"/>
      <x:c r="G491" s="102"/>
      <x:c r="H491" s="102" t="str">
        <x:v>High</x:v>
      </x:c>
      <x:c r="I491" s="102" t="str">
        <x:v>SRC_0167</x:v>
      </x:c>
      <x:c r="J491" s="102" t="str">
        <x:v>Generated from canonical vessel owner/operator field during v1.9 branch merge.</x:v>
      </x:c>
    </x:row>
    <x:row r="492">
      <x:c r="A492" s="102" t="str">
        <x:v>VREL_000491</x:v>
      </x:c>
      <x:c r="B492" s="102" t="str">
        <x:v>VESSEL_00291</x:v>
      </x:c>
      <x:c r="C492" s="102" t="str">
        <x:v>Algoma Guardian</x:v>
      </x:c>
      <x:c r="D492" s="102" t="str">
        <x:v>COMP_ALGOMA</x:v>
      </x:c>
      <x:c r="E492" s="102" t="str">
        <x:v>OPERATOR</x:v>
      </x:c>
      <x:c r="F492" s="102"/>
      <x:c r="G492" s="102"/>
      <x:c r="H492" s="102" t="str">
        <x:v>High</x:v>
      </x:c>
      <x:c r="I492" s="102" t="str">
        <x:v>SRC_0167</x:v>
      </x:c>
      <x:c r="J492" s="102" t="str">
        <x:v>Generated from canonical vessel owner/operator field during v1.9 branch merge.</x:v>
      </x:c>
    </x:row>
    <x:row r="493">
      <x:c r="A493" s="102" t="str">
        <x:v>VREL_000492</x:v>
      </x:c>
      <x:c r="B493" s="102" t="str">
        <x:v>VESSEL_00292</x:v>
      </x:c>
      <x:c r="C493" s="102" t="str">
        <x:v>Algoma Harvester</x:v>
      </x:c>
      <x:c r="D493" s="102" t="str">
        <x:v>COMP_ALGOMA</x:v>
      </x:c>
      <x:c r="E493" s="102" t="str">
        <x:v>OWNER</x:v>
      </x:c>
      <x:c r="F493" s="102"/>
      <x:c r="G493" s="102"/>
      <x:c r="H493" s="102" t="str">
        <x:v>High</x:v>
      </x:c>
      <x:c r="I493" s="102" t="str">
        <x:v>SRC_0167</x:v>
      </x:c>
      <x:c r="J493" s="102" t="str">
        <x:v>Generated from canonical vessel owner/operator field during v1.9 branch merge.</x:v>
      </x:c>
    </x:row>
    <x:row r="494">
      <x:c r="A494" s="102" t="str">
        <x:v>VREL_000493</x:v>
      </x:c>
      <x:c r="B494" s="102" t="str">
        <x:v>VESSEL_00292</x:v>
      </x:c>
      <x:c r="C494" s="102" t="str">
        <x:v>Algoma Harvester</x:v>
      </x:c>
      <x:c r="D494" s="102" t="str">
        <x:v>COMP_ALGOMA</x:v>
      </x:c>
      <x:c r="E494" s="102" t="str">
        <x:v>OPERATOR</x:v>
      </x:c>
      <x:c r="F494" s="102"/>
      <x:c r="G494" s="102"/>
      <x:c r="H494" s="102" t="str">
        <x:v>High</x:v>
      </x:c>
      <x:c r="I494" s="102" t="str">
        <x:v>SRC_0167</x:v>
      </x:c>
      <x:c r="J494" s="102" t="str">
        <x:v>Generated from canonical vessel owner/operator field during v1.9 branch merge.</x:v>
      </x:c>
    </x:row>
    <x:row r="495">
      <x:c r="A495" s="102" t="str">
        <x:v>VREL_000494</x:v>
      </x:c>
      <x:c r="B495" s="102" t="str">
        <x:v>VESSEL_00293</x:v>
      </x:c>
      <x:c r="C495" s="102" t="str">
        <x:v>Algoma Innovator</x:v>
      </x:c>
      <x:c r="D495" s="102" t="str">
        <x:v>COMP_ALGOMA</x:v>
      </x:c>
      <x:c r="E495" s="102" t="str">
        <x:v>OWNER</x:v>
      </x:c>
      <x:c r="F495" s="102"/>
      <x:c r="G495" s="102"/>
      <x:c r="H495" s="102" t="str">
        <x:v>High</x:v>
      </x:c>
      <x:c r="I495" s="102" t="str">
        <x:v>SRC_0167</x:v>
      </x:c>
      <x:c r="J495" s="102" t="str">
        <x:v>Generated from canonical vessel owner/operator field during v1.9 branch merge.</x:v>
      </x:c>
    </x:row>
    <x:row r="496">
      <x:c r="A496" s="102" t="str">
        <x:v>VREL_000495</x:v>
      </x:c>
      <x:c r="B496" s="102" t="str">
        <x:v>VESSEL_00293</x:v>
      </x:c>
      <x:c r="C496" s="102" t="str">
        <x:v>Algoma Innovator</x:v>
      </x:c>
      <x:c r="D496" s="102" t="str">
        <x:v>COMP_ALGOMA</x:v>
      </x:c>
      <x:c r="E496" s="102" t="str">
        <x:v>OPERATOR</x:v>
      </x:c>
      <x:c r="F496" s="102"/>
      <x:c r="G496" s="102"/>
      <x:c r="H496" s="102" t="str">
        <x:v>High</x:v>
      </x:c>
      <x:c r="I496" s="102" t="str">
        <x:v>SRC_0167</x:v>
      </x:c>
      <x:c r="J496" s="102" t="str">
        <x:v>Generated from canonical vessel owner/operator field during v1.9 branch merge.</x:v>
      </x:c>
    </x:row>
    <x:row r="497">
      <x:c r="A497" s="102" t="str">
        <x:v>VREL_000496</x:v>
      </x:c>
      <x:c r="B497" s="102" t="str">
        <x:v>VESSEL_00294</x:v>
      </x:c>
      <x:c r="C497" s="102" t="str">
        <x:v>Algoma Intrepid</x:v>
      </x:c>
      <x:c r="D497" s="102" t="str">
        <x:v>COMP_ALGOMA</x:v>
      </x:c>
      <x:c r="E497" s="102" t="str">
        <x:v>OWNER</x:v>
      </x:c>
      <x:c r="F497" s="102"/>
      <x:c r="G497" s="102"/>
      <x:c r="H497" s="102" t="str">
        <x:v>High</x:v>
      </x:c>
      <x:c r="I497" s="102" t="str">
        <x:v>SRC_0167</x:v>
      </x:c>
      <x:c r="J497" s="102" t="str">
        <x:v>Generated from canonical vessel owner/operator field during v1.9 branch merge.</x:v>
      </x:c>
    </x:row>
    <x:row r="498">
      <x:c r="A498" s="102" t="str">
        <x:v>VREL_000497</x:v>
      </x:c>
      <x:c r="B498" s="102" t="str">
        <x:v>VESSEL_00294</x:v>
      </x:c>
      <x:c r="C498" s="102" t="str">
        <x:v>Algoma Intrepid</x:v>
      </x:c>
      <x:c r="D498" s="102" t="str">
        <x:v>COMP_ALGOMA</x:v>
      </x:c>
      <x:c r="E498" s="102" t="str">
        <x:v>OPERATOR</x:v>
      </x:c>
      <x:c r="F498" s="102"/>
      <x:c r="G498" s="102"/>
      <x:c r="H498" s="102" t="str">
        <x:v>High</x:v>
      </x:c>
      <x:c r="I498" s="102" t="str">
        <x:v>SRC_0167</x:v>
      </x:c>
      <x:c r="J498" s="102" t="str">
        <x:v>Generated from canonical vessel owner/operator field during v1.9 branch merge.</x:v>
      </x:c>
    </x:row>
    <x:row r="499">
      <x:c r="A499" s="102" t="str">
        <x:v>VREL_000498</x:v>
      </x:c>
      <x:c r="B499" s="102" t="str">
        <x:v>VESSEL_00295</x:v>
      </x:c>
      <x:c r="C499" s="102" t="str">
        <x:v>Algoma Mariner</x:v>
      </x:c>
      <x:c r="D499" s="102" t="str">
        <x:v>COMP_ALGOMA</x:v>
      </x:c>
      <x:c r="E499" s="102" t="str">
        <x:v>OWNER</x:v>
      </x:c>
      <x:c r="F499" s="102"/>
      <x:c r="G499" s="102"/>
      <x:c r="H499" s="102" t="str">
        <x:v>High</x:v>
      </x:c>
      <x:c r="I499" s="102" t="str">
        <x:v>SRC_0167</x:v>
      </x:c>
      <x:c r="J499" s="102" t="str">
        <x:v>Generated from canonical vessel owner/operator field during v1.9 branch merge.</x:v>
      </x:c>
    </x:row>
    <x:row r="500">
      <x:c r="A500" s="102" t="str">
        <x:v>VREL_000499</x:v>
      </x:c>
      <x:c r="B500" s="102" t="str">
        <x:v>VESSEL_00295</x:v>
      </x:c>
      <x:c r="C500" s="102" t="str">
        <x:v>Algoma Mariner</x:v>
      </x:c>
      <x:c r="D500" s="102" t="str">
        <x:v>COMP_ALGOMA</x:v>
      </x:c>
      <x:c r="E500" s="102" t="str">
        <x:v>OPERATOR</x:v>
      </x:c>
      <x:c r="F500" s="102"/>
      <x:c r="G500" s="102"/>
      <x:c r="H500" s="102" t="str">
        <x:v>High</x:v>
      </x:c>
      <x:c r="I500" s="102" t="str">
        <x:v>SRC_0167</x:v>
      </x:c>
      <x:c r="J500" s="102" t="str">
        <x:v>Generated from canonical vessel owner/operator field during v1.9 branch merge.</x:v>
      </x:c>
    </x:row>
    <x:row r="501">
      <x:c r="A501" s="102" t="str">
        <x:v>VREL_000500</x:v>
      </x:c>
      <x:c r="B501" s="102" t="str">
        <x:v>VESSEL_00296</x:v>
      </x:c>
      <x:c r="C501" s="102" t="str">
        <x:v>Algoma Niagara</x:v>
      </x:c>
      <x:c r="D501" s="102" t="str">
        <x:v>COMP_ALGOMA</x:v>
      </x:c>
      <x:c r="E501" s="102" t="str">
        <x:v>OWNER</x:v>
      </x:c>
      <x:c r="F501" s="102"/>
      <x:c r="G501" s="102"/>
      <x:c r="H501" s="102" t="str">
        <x:v>High</x:v>
      </x:c>
      <x:c r="I501" s="102" t="str">
        <x:v>SRC_0167</x:v>
      </x:c>
      <x:c r="J501" s="102" t="str">
        <x:v>Generated from canonical vessel owner/operator field during v1.9 branch merge.</x:v>
      </x:c>
    </x:row>
    <x:row r="502">
      <x:c r="A502" s="102" t="str">
        <x:v>VREL_000501</x:v>
      </x:c>
      <x:c r="B502" s="102" t="str">
        <x:v>VESSEL_00296</x:v>
      </x:c>
      <x:c r="C502" s="102" t="str">
        <x:v>Algoma Niagara</x:v>
      </x:c>
      <x:c r="D502" s="102" t="str">
        <x:v>COMP_ALGOMA</x:v>
      </x:c>
      <x:c r="E502" s="102" t="str">
        <x:v>OPERATOR</x:v>
      </x:c>
      <x:c r="F502" s="102"/>
      <x:c r="G502" s="102"/>
      <x:c r="H502" s="102" t="str">
        <x:v>High</x:v>
      </x:c>
      <x:c r="I502" s="102" t="str">
        <x:v>SRC_0167</x:v>
      </x:c>
      <x:c r="J502" s="102" t="str">
        <x:v>Generated from canonical vessel owner/operator field during v1.9 branch merge.</x:v>
      </x:c>
    </x:row>
    <x:row r="503">
      <x:c r="A503" s="102" t="str">
        <x:v>VREL_000502</x:v>
      </x:c>
      <x:c r="B503" s="102" t="str">
        <x:v>VESSEL_00297</x:v>
      </x:c>
      <x:c r="C503" s="102" t="str">
        <x:v>Algoma Sault</x:v>
      </x:c>
      <x:c r="D503" s="102" t="str">
        <x:v>COMP_ALGOMA</x:v>
      </x:c>
      <x:c r="E503" s="102" t="str">
        <x:v>OWNER</x:v>
      </x:c>
      <x:c r="F503" s="102"/>
      <x:c r="G503" s="102"/>
      <x:c r="H503" s="102" t="str">
        <x:v>High</x:v>
      </x:c>
      <x:c r="I503" s="102" t="str">
        <x:v>SRC_0167</x:v>
      </x:c>
      <x:c r="J503" s="102" t="str">
        <x:v>Generated from canonical vessel owner/operator field during v1.9 branch merge.</x:v>
      </x:c>
    </x:row>
    <x:row r="504">
      <x:c r="A504" s="102" t="str">
        <x:v>VREL_000503</x:v>
      </x:c>
      <x:c r="B504" s="102" t="str">
        <x:v>VESSEL_00297</x:v>
      </x:c>
      <x:c r="C504" s="102" t="str">
        <x:v>Algoma Sault</x:v>
      </x:c>
      <x:c r="D504" s="102" t="str">
        <x:v>COMP_ALGOMA</x:v>
      </x:c>
      <x:c r="E504" s="102" t="str">
        <x:v>OPERATOR</x:v>
      </x:c>
      <x:c r="F504" s="102"/>
      <x:c r="G504" s="102"/>
      <x:c r="H504" s="102" t="str">
        <x:v>High</x:v>
      </x:c>
      <x:c r="I504" s="102" t="str">
        <x:v>SRC_0167</x:v>
      </x:c>
      <x:c r="J504" s="102" t="str">
        <x:v>Generated from canonical vessel owner/operator field during v1.9 branch merge.</x:v>
      </x:c>
    </x:row>
    <x:row r="505">
      <x:c r="A505" s="102" t="str">
        <x:v>VREL_000504</x:v>
      </x:c>
      <x:c r="B505" s="102" t="str">
        <x:v>VESSEL_00298</x:v>
      </x:c>
      <x:c r="C505" s="102" t="str">
        <x:v>Algoma Strongfield</x:v>
      </x:c>
      <x:c r="D505" s="102" t="str">
        <x:v>COMP_ALGOMA</x:v>
      </x:c>
      <x:c r="E505" s="102" t="str">
        <x:v>OWNER</x:v>
      </x:c>
      <x:c r="F505" s="102"/>
      <x:c r="G505" s="102"/>
      <x:c r="H505" s="102" t="str">
        <x:v>High</x:v>
      </x:c>
      <x:c r="I505" s="102" t="str">
        <x:v>SRC_0167</x:v>
      </x:c>
      <x:c r="J505" s="102" t="str">
        <x:v>Generated from canonical vessel owner/operator field during v1.9 branch merge.</x:v>
      </x:c>
    </x:row>
    <x:row r="506">
      <x:c r="A506" s="102" t="str">
        <x:v>VREL_000505</x:v>
      </x:c>
      <x:c r="B506" s="102" t="str">
        <x:v>VESSEL_00298</x:v>
      </x:c>
      <x:c r="C506" s="102" t="str">
        <x:v>Algoma Strongfield</x:v>
      </x:c>
      <x:c r="D506" s="102" t="str">
        <x:v>COMP_ALGOMA</x:v>
      </x:c>
      <x:c r="E506" s="102" t="str">
        <x:v>OPERATOR</x:v>
      </x:c>
      <x:c r="F506" s="102"/>
      <x:c r="G506" s="102"/>
      <x:c r="H506" s="102" t="str">
        <x:v>High</x:v>
      </x:c>
      <x:c r="I506" s="102" t="str">
        <x:v>SRC_0167</x:v>
      </x:c>
      <x:c r="J506" s="102" t="str">
        <x:v>Generated from canonical vessel owner/operator field during v1.9 branch merge.</x:v>
      </x:c>
    </x:row>
    <x:row r="507">
      <x:c r="A507" s="102" t="str">
        <x:v>VREL_000506</x:v>
      </x:c>
      <x:c r="B507" s="102" t="str">
        <x:v>VESSEL_00299</x:v>
      </x:c>
      <x:c r="C507" s="102" t="str">
        <x:v>Algoma Transport</x:v>
      </x:c>
      <x:c r="D507" s="102" t="str">
        <x:v>COMP_ALGOMA</x:v>
      </x:c>
      <x:c r="E507" s="102" t="str">
        <x:v>OWNER</x:v>
      </x:c>
      <x:c r="F507" s="102"/>
      <x:c r="G507" s="102"/>
      <x:c r="H507" s="102" t="str">
        <x:v>High</x:v>
      </x:c>
      <x:c r="I507" s="102" t="str">
        <x:v>SRC_0167</x:v>
      </x:c>
      <x:c r="J507" s="102" t="str">
        <x:v>Generated from canonical vessel owner/operator field during v1.9 branch merge.</x:v>
      </x:c>
    </x:row>
    <x:row r="508">
      <x:c r="A508" s="102" t="str">
        <x:v>VREL_000507</x:v>
      </x:c>
      <x:c r="B508" s="102" t="str">
        <x:v>VESSEL_00299</x:v>
      </x:c>
      <x:c r="C508" s="102" t="str">
        <x:v>Algoma Transport</x:v>
      </x:c>
      <x:c r="D508" s="102" t="str">
        <x:v>COMP_ALGOMA</x:v>
      </x:c>
      <x:c r="E508" s="102" t="str">
        <x:v>OPERATOR</x:v>
      </x:c>
      <x:c r="F508" s="102"/>
      <x:c r="G508" s="102"/>
      <x:c r="H508" s="102" t="str">
        <x:v>High</x:v>
      </x:c>
      <x:c r="I508" s="102" t="str">
        <x:v>SRC_0167</x:v>
      </x:c>
      <x:c r="J508" s="102" t="str">
        <x:v>Generated from canonical vessel owner/operator field during v1.9 branch merge.</x:v>
      </x:c>
    </x:row>
    <x:row r="509">
      <x:c r="A509" s="102" t="str">
        <x:v>VREL_000508</x:v>
      </x:c>
      <x:c r="B509" s="102" t="str">
        <x:v>VESSEL_00300</x:v>
      </x:c>
      <x:c r="C509" s="102" t="str">
        <x:v>Capt. Henry Jackman</x:v>
      </x:c>
      <x:c r="D509" s="102" t="str">
        <x:v>COMP_ALGOMA</x:v>
      </x:c>
      <x:c r="E509" s="102" t="str">
        <x:v>OWNER</x:v>
      </x:c>
      <x:c r="F509" s="102"/>
      <x:c r="G509" s="102"/>
      <x:c r="H509" s="102" t="str">
        <x:v>High</x:v>
      </x:c>
      <x:c r="I509" s="102" t="str">
        <x:v>SRC_0167</x:v>
      </x:c>
      <x:c r="J509" s="102" t="str">
        <x:v>Generated from canonical vessel owner/operator field during v1.9 branch merge.</x:v>
      </x:c>
    </x:row>
    <x:row r="510">
      <x:c r="A510" s="102" t="str">
        <x:v>VREL_000509</x:v>
      </x:c>
      <x:c r="B510" s="102" t="str">
        <x:v>VESSEL_00300</x:v>
      </x:c>
      <x:c r="C510" s="102" t="str">
        <x:v>Capt. Henry Jackman</x:v>
      </x:c>
      <x:c r="D510" s="102" t="str">
        <x:v>COMP_ALGOMA</x:v>
      </x:c>
      <x:c r="E510" s="102" t="str">
        <x:v>OPERATOR</x:v>
      </x:c>
      <x:c r="F510" s="102"/>
      <x:c r="G510" s="102"/>
      <x:c r="H510" s="102" t="str">
        <x:v>High</x:v>
      </x:c>
      <x:c r="I510" s="102" t="str">
        <x:v>SRC_0167</x:v>
      </x:c>
      <x:c r="J510" s="102" t="str">
        <x:v>Generated from canonical vessel owner/operator field during v1.9 branch merge.</x:v>
      </x:c>
    </x:row>
    <x:row r="511">
      <x:c r="A511" s="102" t="str">
        <x:v>VREL_000510</x:v>
      </x:c>
      <x:c r="B511" s="102" t="str">
        <x:v>VESSEL_00301</x:v>
      </x:c>
      <x:c r="C511" s="102" t="str">
        <x:v>G3 Marquis</x:v>
      </x:c>
      <x:c r="D511" s="102" t="str">
        <x:v>COMP_ALGOMA</x:v>
      </x:c>
      <x:c r="E511" s="102" t="str">
        <x:v>OWNER</x:v>
      </x:c>
      <x:c r="F511" s="102"/>
      <x:c r="G511" s="102"/>
      <x:c r="H511" s="102" t="str">
        <x:v>High</x:v>
      </x:c>
      <x:c r="I511" s="102" t="str">
        <x:v>SRC_0167</x:v>
      </x:c>
      <x:c r="J511" s="102" t="str">
        <x:v>Generated from canonical vessel owner/operator field during v1.9 branch merge.</x:v>
      </x:c>
    </x:row>
    <x:row r="512">
      <x:c r="A512" s="102" t="str">
        <x:v>VREL_000511</x:v>
      </x:c>
      <x:c r="B512" s="102" t="str">
        <x:v>VESSEL_00301</x:v>
      </x:c>
      <x:c r="C512" s="102" t="str">
        <x:v>G3 Marquis</x:v>
      </x:c>
      <x:c r="D512" s="102" t="str">
        <x:v>COMP_ALGOMA</x:v>
      </x:c>
      <x:c r="E512" s="102" t="str">
        <x:v>OPERATOR</x:v>
      </x:c>
      <x:c r="F512" s="102"/>
      <x:c r="G512" s="102"/>
      <x:c r="H512" s="102" t="str">
        <x:v>High</x:v>
      </x:c>
      <x:c r="I512" s="102" t="str">
        <x:v>SRC_0167</x:v>
      </x:c>
      <x:c r="J512" s="102" t="str">
        <x:v>Generated from canonical vessel owner/operator field during v1.9 branch merge.</x:v>
      </x:c>
    </x:row>
    <x:row r="513">
      <x:c r="A513" s="102" t="str">
        <x:v>VREL_000512</x:v>
      </x:c>
      <x:c r="B513" s="102" t="str">
        <x:v>VESSEL_00302</x:v>
      </x:c>
      <x:c r="C513" s="102" t="str">
        <x:v>John D Leitch</x:v>
      </x:c>
      <x:c r="D513" s="102" t="str">
        <x:v>COMP_ALGOMA</x:v>
      </x:c>
      <x:c r="E513" s="102" t="str">
        <x:v>OWNER</x:v>
      </x:c>
      <x:c r="F513" s="102"/>
      <x:c r="G513" s="102"/>
      <x:c r="H513" s="102" t="str">
        <x:v>High</x:v>
      </x:c>
      <x:c r="I513" s="102" t="str">
        <x:v>SRC_0167</x:v>
      </x:c>
      <x:c r="J513" s="102" t="str">
        <x:v>Generated from canonical vessel owner/operator field during v1.9 branch merge.</x:v>
      </x:c>
    </x:row>
    <x:row r="514">
      <x:c r="A514" s="102" t="str">
        <x:v>VREL_000513</x:v>
      </x:c>
      <x:c r="B514" s="102" t="str">
        <x:v>VESSEL_00302</x:v>
      </x:c>
      <x:c r="C514" s="102" t="str">
        <x:v>John D Leitch</x:v>
      </x:c>
      <x:c r="D514" s="102" t="str">
        <x:v>COMP_ALGOMA</x:v>
      </x:c>
      <x:c r="E514" s="102" t="str">
        <x:v>OPERATOR</x:v>
      </x:c>
      <x:c r="F514" s="102"/>
      <x:c r="G514" s="102"/>
      <x:c r="H514" s="102" t="str">
        <x:v>High</x:v>
      </x:c>
      <x:c r="I514" s="102" t="str">
        <x:v>SRC_0167</x:v>
      </x:c>
      <x:c r="J514" s="102" t="str">
        <x:v>Generated from canonical vessel owner/operator field during v1.9 branch merge.</x:v>
      </x:c>
    </x:row>
    <x:row r="515">
      <x:c r="A515" s="102" t="str">
        <x:v>VREL_000514</x:v>
      </x:c>
      <x:c r="B515" s="102" t="str">
        <x:v>VESSEL_00303</x:v>
      </x:c>
      <x:c r="C515" s="102" t="str">
        <x:v>Radcliffe R Latimer</x:v>
      </x:c>
      <x:c r="D515" s="102" t="str">
        <x:v>COMP_ALGOMA</x:v>
      </x:c>
      <x:c r="E515" s="102" t="str">
        <x:v>OWNER</x:v>
      </x:c>
      <x:c r="F515" s="102"/>
      <x:c r="G515" s="102"/>
      <x:c r="H515" s="102" t="str">
        <x:v>High</x:v>
      </x:c>
      <x:c r="I515" s="102" t="str">
        <x:v>SRC_0167</x:v>
      </x:c>
      <x:c r="J515" s="102" t="str">
        <x:v>Generated from canonical vessel owner/operator field during v1.9 branch merge.</x:v>
      </x:c>
    </x:row>
    <x:row r="516">
      <x:c r="A516" s="102" t="str">
        <x:v>VREL_000515</x:v>
      </x:c>
      <x:c r="B516" s="102" t="str">
        <x:v>VESSEL_00303</x:v>
      </x:c>
      <x:c r="C516" s="102" t="str">
        <x:v>Radcliffe R Latimer</x:v>
      </x:c>
      <x:c r="D516" s="102" t="str">
        <x:v>COMP_ALGOMA</x:v>
      </x:c>
      <x:c r="E516" s="102" t="str">
        <x:v>OPERATOR</x:v>
      </x:c>
      <x:c r="F516" s="102"/>
      <x:c r="G516" s="102"/>
      <x:c r="H516" s="102" t="str">
        <x:v>High</x:v>
      </x:c>
      <x:c r="I516" s="102" t="str">
        <x:v>SRC_0167</x:v>
      </x:c>
      <x:c r="J516" s="102" t="str">
        <x:v>Generated from canonical vessel owner/operator field during v1.9 branch merge.</x:v>
      </x:c>
    </x:row>
    <x:row r="517">
      <x:c r="A517" s="102" t="str">
        <x:v>VREL_000516</x:v>
      </x:c>
      <x:c r="B517" s="102" t="str">
        <x:v>VESSEL_00304</x:v>
      </x:c>
      <x:c r="C517" s="102" t="str">
        <x:v>Tim S Dool</x:v>
      </x:c>
      <x:c r="D517" s="102" t="str">
        <x:v>COMP_ALGOMA</x:v>
      </x:c>
      <x:c r="E517" s="102" t="str">
        <x:v>OWNER</x:v>
      </x:c>
      <x:c r="F517" s="102"/>
      <x:c r="G517" s="102"/>
      <x:c r="H517" s="102" t="str">
        <x:v>High</x:v>
      </x:c>
      <x:c r="I517" s="102" t="str">
        <x:v>SRC_0167</x:v>
      </x:c>
      <x:c r="J517" s="102" t="str">
        <x:v>Generated from canonical vessel owner/operator field during v1.9 branch merge.</x:v>
      </x:c>
    </x:row>
    <x:row r="518">
      <x:c r="A518" s="102" t="str">
        <x:v>VREL_000517</x:v>
      </x:c>
      <x:c r="B518" s="102" t="str">
        <x:v>VESSEL_00304</x:v>
      </x:c>
      <x:c r="C518" s="102" t="str">
        <x:v>Tim S Dool</x:v>
      </x:c>
      <x:c r="D518" s="102" t="str">
        <x:v>COMP_ALGOMA</x:v>
      </x:c>
      <x:c r="E518" s="102" t="str">
        <x:v>OPERATOR</x:v>
      </x:c>
      <x:c r="F518" s="102"/>
      <x:c r="G518" s="102"/>
      <x:c r="H518" s="102" t="str">
        <x:v>High</x:v>
      </x:c>
      <x:c r="I518" s="102" t="str">
        <x:v>SRC_0167</x:v>
      </x:c>
      <x:c r="J518" s="102" t="str">
        <x:v>Generated from canonical vessel owner/operator field during v1.9 branch merge.</x:v>
      </x:c>
    </x:row>
    <x:row r="519">
      <x:c r="A519" s="102" t="str">
        <x:v>VREL_000518</x:v>
      </x:c>
      <x:c r="B519" s="102" t="str">
        <x:v>VESSEL_00305</x:v>
      </x:c>
      <x:c r="C519" s="102" t="str">
        <x:v>Algonova</x:v>
      </x:c>
      <x:c r="D519" s="102" t="str">
        <x:v>COMP_ALGOMA</x:v>
      </x:c>
      <x:c r="E519" s="102" t="str">
        <x:v>OWNER</x:v>
      </x:c>
      <x:c r="F519" s="102"/>
      <x:c r="G519" s="102"/>
      <x:c r="H519" s="102" t="str">
        <x:v>High</x:v>
      </x:c>
      <x:c r="I519" s="102" t="str">
        <x:v>SRC_0167</x:v>
      </x:c>
      <x:c r="J519" s="102" t="str">
        <x:v>Generated from canonical vessel owner/operator field during v1.9 branch merge.</x:v>
      </x:c>
    </x:row>
    <x:row r="520">
      <x:c r="A520" s="102" t="str">
        <x:v>VREL_000519</x:v>
      </x:c>
      <x:c r="B520" s="102" t="str">
        <x:v>VESSEL_00305</x:v>
      </x:c>
      <x:c r="C520" s="102" t="str">
        <x:v>Algonova</x:v>
      </x:c>
      <x:c r="D520" s="102" t="str">
        <x:v>COMP_ALGOMA</x:v>
      </x:c>
      <x:c r="E520" s="102" t="str">
        <x:v>OPERATOR</x:v>
      </x:c>
      <x:c r="F520" s="102"/>
      <x:c r="G520" s="102"/>
      <x:c r="H520" s="102" t="str">
        <x:v>High</x:v>
      </x:c>
      <x:c r="I520" s="102" t="str">
        <x:v>SRC_0167</x:v>
      </x:c>
      <x:c r="J520" s="102" t="str">
        <x:v>Generated from canonical vessel owner/operator field during v1.9 branch merge.</x:v>
      </x:c>
    </x:row>
    <x:row r="521">
      <x:c r="A521" s="102" t="str">
        <x:v>VREL_000520</x:v>
      </x:c>
      <x:c r="B521" s="102" t="str">
        <x:v>VESSEL_00306</x:v>
      </x:c>
      <x:c r="C521" s="102" t="str">
        <x:v>Algoscotia</x:v>
      </x:c>
      <x:c r="D521" s="102" t="str">
        <x:v>COMP_ALGOMA</x:v>
      </x:c>
      <x:c r="E521" s="102" t="str">
        <x:v>OWNER</x:v>
      </x:c>
      <x:c r="F521" s="102"/>
      <x:c r="G521" s="102"/>
      <x:c r="H521" s="102" t="str">
        <x:v>High</x:v>
      </x:c>
      <x:c r="I521" s="102" t="str">
        <x:v>SRC_0167</x:v>
      </x:c>
      <x:c r="J521" s="102" t="str">
        <x:v>Generated from canonical vessel owner/operator field during v1.9 branch merge.</x:v>
      </x:c>
    </x:row>
    <x:row r="522">
      <x:c r="A522" s="102" t="str">
        <x:v>VREL_000521</x:v>
      </x:c>
      <x:c r="B522" s="102" t="str">
        <x:v>VESSEL_00306</x:v>
      </x:c>
      <x:c r="C522" s="102" t="str">
        <x:v>Algoscotia</x:v>
      </x:c>
      <x:c r="D522" s="102" t="str">
        <x:v>COMP_ALGOMA</x:v>
      </x:c>
      <x:c r="E522" s="102" t="str">
        <x:v>OPERATOR</x:v>
      </x:c>
      <x:c r="F522" s="102"/>
      <x:c r="G522" s="102"/>
      <x:c r="H522" s="102" t="str">
        <x:v>High</x:v>
      </x:c>
      <x:c r="I522" s="102" t="str">
        <x:v>SRC_0167</x:v>
      </x:c>
      <x:c r="J522" s="102" t="str">
        <x:v>Generated from canonical vessel owner/operator field during v1.9 branch merge.</x:v>
      </x:c>
    </x:row>
    <x:row r="523">
      <x:c r="A523" s="102" t="str">
        <x:v>VREL_000522</x:v>
      </x:c>
      <x:c r="B523" s="102" t="str">
        <x:v>VESSEL_00307</x:v>
      </x:c>
      <x:c r="C523" s="102" t="str">
        <x:v>Algosea</x:v>
      </x:c>
      <x:c r="D523" s="102" t="str">
        <x:v>COMP_ALGOMA</x:v>
      </x:c>
      <x:c r="E523" s="102" t="str">
        <x:v>OWNER</x:v>
      </x:c>
      <x:c r="F523" s="102"/>
      <x:c r="G523" s="102"/>
      <x:c r="H523" s="102" t="str">
        <x:v>High</x:v>
      </x:c>
      <x:c r="I523" s="102" t="str">
        <x:v>SRC_0167</x:v>
      </x:c>
      <x:c r="J523" s="102" t="str">
        <x:v>Generated from canonical vessel owner/operator field during v1.9 branch merge.</x:v>
      </x:c>
    </x:row>
    <x:row r="524">
      <x:c r="A524" s="102" t="str">
        <x:v>VREL_000523</x:v>
      </x:c>
      <x:c r="B524" s="102" t="str">
        <x:v>VESSEL_00307</x:v>
      </x:c>
      <x:c r="C524" s="102" t="str">
        <x:v>Algosea</x:v>
      </x:c>
      <x:c r="D524" s="102" t="str">
        <x:v>COMP_ALGOMA</x:v>
      </x:c>
      <x:c r="E524" s="102" t="str">
        <x:v>OPERATOR</x:v>
      </x:c>
      <x:c r="F524" s="102"/>
      <x:c r="G524" s="102"/>
      <x:c r="H524" s="102" t="str">
        <x:v>High</x:v>
      </x:c>
      <x:c r="I524" s="102" t="str">
        <x:v>SRC_0167</x:v>
      </x:c>
      <x:c r="J524" s="102" t="str">
        <x:v>Generated from canonical vessel owner/operator field during v1.9 branch merge.</x:v>
      </x:c>
    </x:row>
    <x:row r="525">
      <x:c r="A525" s="102" t="str">
        <x:v>VREL_000524</x:v>
      </x:c>
      <x:c r="B525" s="102" t="str">
        <x:v>VESSEL_00308</x:v>
      </x:c>
      <x:c r="C525" s="102" t="str">
        <x:v>Algoterra</x:v>
      </x:c>
      <x:c r="D525" s="102" t="str">
        <x:v>COMP_ALGOMA</x:v>
      </x:c>
      <x:c r="E525" s="102" t="str">
        <x:v>OWNER</x:v>
      </x:c>
      <x:c r="F525" s="102"/>
      <x:c r="G525" s="102"/>
      <x:c r="H525" s="102" t="str">
        <x:v>High</x:v>
      </x:c>
      <x:c r="I525" s="102" t="str">
        <x:v>SRC_0167</x:v>
      </x:c>
      <x:c r="J525" s="102" t="str">
        <x:v>Generated from canonical vessel owner/operator field during v1.9 branch merge.</x:v>
      </x:c>
    </x:row>
    <x:row r="526">
      <x:c r="A526" s="102" t="str">
        <x:v>VREL_000525</x:v>
      </x:c>
      <x:c r="B526" s="102" t="str">
        <x:v>VESSEL_00308</x:v>
      </x:c>
      <x:c r="C526" s="102" t="str">
        <x:v>Algoterra</x:v>
      </x:c>
      <x:c r="D526" s="102" t="str">
        <x:v>COMP_ALGOMA</x:v>
      </x:c>
      <x:c r="E526" s="102" t="str">
        <x:v>OPERATOR</x:v>
      </x:c>
      <x:c r="F526" s="102"/>
      <x:c r="G526" s="102"/>
      <x:c r="H526" s="102" t="str">
        <x:v>High</x:v>
      </x:c>
      <x:c r="I526" s="102" t="str">
        <x:v>SRC_0167</x:v>
      </x:c>
      <x:c r="J526" s="102" t="str">
        <x:v>Generated from canonical vessel owner/operator field during v1.9 branch merge.</x:v>
      </x:c>
    </x:row>
    <x:row r="527">
      <x:c r="A527" s="102" t="str">
        <x:v>VREL_000526</x:v>
      </x:c>
      <x:c r="B527" s="102" t="str">
        <x:v>VESSEL_00309</x:v>
      </x:c>
      <x:c r="C527" s="102" t="str">
        <x:v>Algotitan</x:v>
      </x:c>
      <x:c r="D527" s="102" t="str">
        <x:v>COMP_ALGOMA</x:v>
      </x:c>
      <x:c r="E527" s="102" t="str">
        <x:v>OWNER</x:v>
      </x:c>
      <x:c r="F527" s="102"/>
      <x:c r="G527" s="102"/>
      <x:c r="H527" s="102" t="str">
        <x:v>High</x:v>
      </x:c>
      <x:c r="I527" s="102" t="str">
        <x:v>SRC_0167</x:v>
      </x:c>
      <x:c r="J527" s="102" t="str">
        <x:v>Generated from canonical vessel owner/operator field during v1.9 branch merge.</x:v>
      </x:c>
    </x:row>
    <x:row r="528">
      <x:c r="A528" s="102" t="str">
        <x:v>VREL_000527</x:v>
      </x:c>
      <x:c r="B528" s="102" t="str">
        <x:v>VESSEL_00309</x:v>
      </x:c>
      <x:c r="C528" s="102" t="str">
        <x:v>Algotitan</x:v>
      </x:c>
      <x:c r="D528" s="102" t="str">
        <x:v>COMP_ALGOMA</x:v>
      </x:c>
      <x:c r="E528" s="102" t="str">
        <x:v>OPERATOR</x:v>
      </x:c>
      <x:c r="F528" s="102"/>
      <x:c r="G528" s="102"/>
      <x:c r="H528" s="102" t="str">
        <x:v>High</x:v>
      </x:c>
      <x:c r="I528" s="102" t="str">
        <x:v>SRC_0167</x:v>
      </x:c>
      <x:c r="J528" s="102" t="str">
        <x:v>Generated from canonical vessel owner/operator field during v1.9 branch merge.</x:v>
      </x:c>
    </x:row>
    <x:row r="529">
      <x:c r="A529" s="102" t="str">
        <x:v>VREL_000528</x:v>
      </x:c>
      <x:c r="B529" s="102" t="str">
        <x:v>VESSEL_00310</x:v>
      </x:c>
      <x:c r="C529" s="102" t="str">
        <x:v>Algoma Bear</x:v>
      </x:c>
      <x:c r="D529" s="102" t="str">
        <x:v>COMP_ALGOMA</x:v>
      </x:c>
      <x:c r="E529" s="102" t="str">
        <x:v>OWNER</x:v>
      </x:c>
      <x:c r="F529" s="102"/>
      <x:c r="G529" s="102"/>
      <x:c r="H529" s="102" t="str">
        <x:v>High</x:v>
      </x:c>
      <x:c r="I529" s="102" t="str">
        <x:v>SRC_0174</x:v>
      </x:c>
      <x:c r="J529" s="102" t="str">
        <x:v>Generated from canonical vessel owner/operator field during v1.9 branch merge.</x:v>
      </x:c>
    </x:row>
    <x:row r="530">
      <x:c r="A530" s="102" t="str">
        <x:v>VREL_000529</x:v>
      </x:c>
      <x:c r="B530" s="102" t="str">
        <x:v>VESSEL_00310</x:v>
      </x:c>
      <x:c r="C530" s="102" t="str">
        <x:v>Algoma Bear</x:v>
      </x:c>
      <x:c r="D530" s="102" t="str">
        <x:v>COMP_ALGOMA</x:v>
      </x:c>
      <x:c r="E530" s="102" t="str">
        <x:v>OPERATOR</x:v>
      </x:c>
      <x:c r="F530" s="102"/>
      <x:c r="G530" s="102"/>
      <x:c r="H530" s="102" t="str">
        <x:v>High</x:v>
      </x:c>
      <x:c r="I530" s="102" t="str">
        <x:v>SRC_0174</x:v>
      </x:c>
      <x:c r="J530" s="102" t="str">
        <x:v>Generated from canonical vessel owner/operator field during v1.9 branch merge.</x:v>
      </x:c>
    </x:row>
    <x:row r="531">
      <x:c r="A531" s="102" t="str">
        <x:v>VREL_000530</x:v>
      </x:c>
      <x:c r="B531" s="102" t="str">
        <x:v>VESSEL_00311</x:v>
      </x:c>
      <x:c r="C531" s="102" t="str">
        <x:v>Algoma Endeavour</x:v>
      </x:c>
      <x:c r="D531" s="102" t="str">
        <x:v>COMP_ALGOMA</x:v>
      </x:c>
      <x:c r="E531" s="102" t="str">
        <x:v>OWNER</x:v>
      </x:c>
      <x:c r="F531" s="102"/>
      <x:c r="G531" s="102"/>
      <x:c r="H531" s="102" t="str">
        <x:v>High</x:v>
      </x:c>
      <x:c r="I531" s="102" t="str">
        <x:v>SRC_0175</x:v>
      </x:c>
      <x:c r="J531" s="102" t="str">
        <x:v>Generated from canonical vessel owner/operator field during v1.9 branch merge.</x:v>
      </x:c>
    </x:row>
    <x:row r="532">
      <x:c r="A532" s="102" t="str">
        <x:v>VREL_000531</x:v>
      </x:c>
      <x:c r="B532" s="102" t="str">
        <x:v>VESSEL_00311</x:v>
      </x:c>
      <x:c r="C532" s="102" t="str">
        <x:v>Algoma Endeavour</x:v>
      </x:c>
      <x:c r="D532" s="102" t="str">
        <x:v>COMP_ALGOMA</x:v>
      </x:c>
      <x:c r="E532" s="102" t="str">
        <x:v>OPERATOR</x:v>
      </x:c>
      <x:c r="F532" s="102"/>
      <x:c r="G532" s="102"/>
      <x:c r="H532" s="102" t="str">
        <x:v>High</x:v>
      </x:c>
      <x:c r="I532" s="102" t="str">
        <x:v>SRC_0175</x:v>
      </x:c>
      <x:c r="J532" s="102" t="str">
        <x:v>Generated from canonical vessel owner/operator field during v1.9 branch merge.</x:v>
      </x:c>
    </x:row>
    <x:row r="533">
      <x:c r="A533" s="102" t="str">
        <x:v>VREL_000532</x:v>
      </x:c>
      <x:c r="B533" s="102" t="str">
        <x:v>VESSEL_00312</x:v>
      </x:c>
      <x:c r="C533" s="102" t="str">
        <x:v>Algoma East Coast</x:v>
      </x:c>
      <x:c r="D533" s="102" t="str">
        <x:v>COMP_FUNDY_TANKERS</x:v>
      </x:c>
      <x:c r="E533" s="102" t="str">
        <x:v>OWNER</x:v>
      </x:c>
      <x:c r="F533" s="102"/>
      <x:c r="G533" s="102"/>
      <x:c r="H533" s="102" t="str">
        <x:v>High</x:v>
      </x:c>
      <x:c r="I533" s="102" t="str">
        <x:v>SRC_0172</x:v>
      </x:c>
      <x:c r="J533" s="102" t="str">
        <x:v>Generated from canonical vessel owner/operator field during v1.9 branch merge.</x:v>
      </x:c>
    </x:row>
    <x:row r="534">
      <x:c r="A534" s="102" t="str">
        <x:v>VREL_000533</x:v>
      </x:c>
      <x:c r="B534" s="102" t="str">
        <x:v>VESSEL_00312</x:v>
      </x:c>
      <x:c r="C534" s="102" t="str">
        <x:v>Algoma East Coast</x:v>
      </x:c>
      <x:c r="D534" s="102" t="str">
        <x:v>COMP_ALGOMA_TANKERS</x:v>
      </x:c>
      <x:c r="E534" s="102" t="str">
        <x:v>OPERATOR</x:v>
      </x:c>
      <x:c r="F534" s="102"/>
      <x:c r="G534" s="102"/>
      <x:c r="H534" s="102" t="str">
        <x:v>High</x:v>
      </x:c>
      <x:c r="I534" s="102" t="str">
        <x:v>SRC_0172</x:v>
      </x:c>
      <x:c r="J534" s="102" t="str">
        <x:v>Generated from canonical vessel owner/operator field during v1.9 branch merge.</x:v>
      </x:c>
    </x:row>
    <x:row r="535">
      <x:c r="A535" s="102" t="str">
        <x:v>VREL_000534</x:v>
      </x:c>
      <x:c r="B535" s="102" t="str">
        <x:v>VESSEL_00313</x:v>
      </x:c>
      <x:c r="C535" s="102" t="str">
        <x:v>Algoma Acadian</x:v>
      </x:c>
      <x:c r="D535" s="102" t="str">
        <x:v>COMP_FUNDY_TANKERS</x:v>
      </x:c>
      <x:c r="E535" s="102" t="str">
        <x:v>OWNER</x:v>
      </x:c>
      <x:c r="F535" s="102"/>
      <x:c r="G535" s="102"/>
      <x:c r="H535" s="102" t="str">
        <x:v>High</x:v>
      </x:c>
      <x:c r="I535" s="102" t="str">
        <x:v>SRC_0173</x:v>
      </x:c>
      <x:c r="J535" s="102" t="str">
        <x:v>Generated from canonical vessel owner/operator field during v1.9 branch merge.</x:v>
      </x:c>
    </x:row>
    <x:row r="536">
      <x:c r="A536" s="102" t="str">
        <x:v>VREL_000535</x:v>
      </x:c>
      <x:c r="B536" s="102" t="str">
        <x:v>VESSEL_00313</x:v>
      </x:c>
      <x:c r="C536" s="102" t="str">
        <x:v>Algoma Acadian</x:v>
      </x:c>
      <x:c r="D536" s="102" t="str">
        <x:v>COMP_ALGOMA_TANKERS</x:v>
      </x:c>
      <x:c r="E536" s="102" t="str">
        <x:v>OPERATOR</x:v>
      </x:c>
      <x:c r="F536" s="102"/>
      <x:c r="G536" s="102"/>
      <x:c r="H536" s="102" t="str">
        <x:v>High</x:v>
      </x:c>
      <x:c r="I536" s="102" t="str">
        <x:v>SRC_0173</x:v>
      </x:c>
      <x:c r="J536" s="102" t="str">
        <x:v>Generated from canonical vessel owner/operator field during v1.9 branch merge.</x:v>
      </x:c>
    </x:row>
    <x:row r="537">
      <x:c r="A537" s="102" t="str">
        <x:v>VREL_000536</x:v>
      </x:c>
      <x:c r="B537" s="102" t="str">
        <x:v>VESSEL_00314</x:v>
      </x:c>
      <x:c r="C537" s="102" t="str">
        <x:v>Mark W. Barker</x:v>
      </x:c>
      <x:c r="D537" s="102" t="str">
        <x:v>COMP_INTERLAKE</x:v>
      </x:c>
      <x:c r="E537" s="102" t="str">
        <x:v>OWNER</x:v>
      </x:c>
      <x:c r="F537" s="102"/>
      <x:c r="G537" s="102"/>
      <x:c r="H537" s="102" t="str">
        <x:v>High</x:v>
      </x:c>
      <x:c r="I537" s="102" t="str">
        <x:v>SRC_0156</x:v>
      </x:c>
      <x:c r="J537" s="102" t="str">
        <x:v>Generated from canonical vessel owner/operator field during v1.9 branch merge.</x:v>
      </x:c>
    </x:row>
    <x:row r="538">
      <x:c r="A538" s="102" t="str">
        <x:v>VREL_000537</x:v>
      </x:c>
      <x:c r="B538" s="102" t="str">
        <x:v>VESSEL_00314</x:v>
      </x:c>
      <x:c r="C538" s="102" t="str">
        <x:v>Mark W. Barker</x:v>
      </x:c>
      <x:c r="D538" s="102" t="str">
        <x:v>COMP_INTERLAKE</x:v>
      </x:c>
      <x:c r="E538" s="102" t="str">
        <x:v>OPERATOR</x:v>
      </x:c>
      <x:c r="F538" s="102"/>
      <x:c r="G538" s="102"/>
      <x:c r="H538" s="102" t="str">
        <x:v>High</x:v>
      </x:c>
      <x:c r="I538" s="102" t="str">
        <x:v>SRC_0156</x:v>
      </x:c>
      <x:c r="J538" s="102" t="str">
        <x:v>Generated from canonical vessel owner/operator field during v1.9 branch merge.</x:v>
      </x:c>
    </x:row>
    <x:row r="539">
      <x:c r="A539" s="102" t="str">
        <x:v>VREL_000538</x:v>
      </x:c>
      <x:c r="B539" s="102" t="str">
        <x:v>VESSEL_00315</x:v>
      </x:c>
      <x:c r="C539" s="102" t="str">
        <x:v>Paul R. Tregurtha</x:v>
      </x:c>
      <x:c r="D539" s="102" t="str">
        <x:v>COMP_INTERLAKE</x:v>
      </x:c>
      <x:c r="E539" s="102" t="str">
        <x:v>OWNER</x:v>
      </x:c>
      <x:c r="F539" s="102"/>
      <x:c r="G539" s="102"/>
      <x:c r="H539" s="102" t="str">
        <x:v>High</x:v>
      </x:c>
      <x:c r="I539" s="102" t="str">
        <x:v>SRC_0156</x:v>
      </x:c>
      <x:c r="J539" s="102" t="str">
        <x:v>Generated from canonical vessel owner/operator field during v1.9 branch merge.</x:v>
      </x:c>
    </x:row>
    <x:row r="540">
      <x:c r="A540" s="102" t="str">
        <x:v>VREL_000539</x:v>
      </x:c>
      <x:c r="B540" s="102" t="str">
        <x:v>VESSEL_00315</x:v>
      </x:c>
      <x:c r="C540" s="102" t="str">
        <x:v>Paul R. Tregurtha</x:v>
      </x:c>
      <x:c r="D540" s="102" t="str">
        <x:v>COMP_INTERLAKE</x:v>
      </x:c>
      <x:c r="E540" s="102" t="str">
        <x:v>OPERATOR</x:v>
      </x:c>
      <x:c r="F540" s="102"/>
      <x:c r="G540" s="102"/>
      <x:c r="H540" s="102" t="str">
        <x:v>High</x:v>
      </x:c>
      <x:c r="I540" s="102" t="str">
        <x:v>SRC_0156</x:v>
      </x:c>
      <x:c r="J540" s="102" t="str">
        <x:v>Generated from canonical vessel owner/operator field during v1.9 branch merge.</x:v>
      </x:c>
    </x:row>
    <x:row r="541">
      <x:c r="A541" s="102" t="str">
        <x:v>VREL_000540</x:v>
      </x:c>
      <x:c r="B541" s="102" t="str">
        <x:v>VESSEL_00316</x:v>
      </x:c>
      <x:c r="C541" s="102" t="str">
        <x:v>James R. Barker</x:v>
      </x:c>
      <x:c r="D541" s="102" t="str">
        <x:v>COMP_INTERLAKE</x:v>
      </x:c>
      <x:c r="E541" s="102" t="str">
        <x:v>OWNER</x:v>
      </x:c>
      <x:c r="F541" s="102"/>
      <x:c r="G541" s="102"/>
      <x:c r="H541" s="102" t="str">
        <x:v>High</x:v>
      </x:c>
      <x:c r="I541" s="102" t="str">
        <x:v>SRC_0156</x:v>
      </x:c>
      <x:c r="J541" s="102" t="str">
        <x:v>Generated from canonical vessel owner/operator field during v1.9 branch merge.</x:v>
      </x:c>
    </x:row>
    <x:row r="542">
      <x:c r="A542" s="102" t="str">
        <x:v>VREL_000541</x:v>
      </x:c>
      <x:c r="B542" s="102" t="str">
        <x:v>VESSEL_00316</x:v>
      </x:c>
      <x:c r="C542" s="102" t="str">
        <x:v>James R. Barker</x:v>
      </x:c>
      <x:c r="D542" s="102" t="str">
        <x:v>COMP_INTERLAKE</x:v>
      </x:c>
      <x:c r="E542" s="102" t="str">
        <x:v>OPERATOR</x:v>
      </x:c>
      <x:c r="F542" s="102"/>
      <x:c r="G542" s="102"/>
      <x:c r="H542" s="102" t="str">
        <x:v>High</x:v>
      </x:c>
      <x:c r="I542" s="102" t="str">
        <x:v>SRC_0156</x:v>
      </x:c>
      <x:c r="J542" s="102" t="str">
        <x:v>Generated from canonical vessel owner/operator field during v1.9 branch merge.</x:v>
      </x:c>
    </x:row>
    <x:row r="543">
      <x:c r="A543" s="102" t="str">
        <x:v>VREL_000542</x:v>
      </x:c>
      <x:c r="B543" s="102" t="str">
        <x:v>VESSEL_00317</x:v>
      </x:c>
      <x:c r="C543" s="102" t="str">
        <x:v>Mesabi Miner</x:v>
      </x:c>
      <x:c r="D543" s="102" t="str">
        <x:v>COMP_INTERLAKE</x:v>
      </x:c>
      <x:c r="E543" s="102" t="str">
        <x:v>OWNER</x:v>
      </x:c>
      <x:c r="F543" s="102"/>
      <x:c r="G543" s="102"/>
      <x:c r="H543" s="102" t="str">
        <x:v>High</x:v>
      </x:c>
      <x:c r="I543" s="102" t="str">
        <x:v>SRC_0156</x:v>
      </x:c>
      <x:c r="J543" s="102" t="str">
        <x:v>Generated from canonical vessel owner/operator field during v1.9 branch merge.</x:v>
      </x:c>
    </x:row>
    <x:row r="544">
      <x:c r="A544" s="102" t="str">
        <x:v>VREL_000543</x:v>
      </x:c>
      <x:c r="B544" s="102" t="str">
        <x:v>VESSEL_00317</x:v>
      </x:c>
      <x:c r="C544" s="102" t="str">
        <x:v>Mesabi Miner</x:v>
      </x:c>
      <x:c r="D544" s="102" t="str">
        <x:v>COMP_INTERLAKE</x:v>
      </x:c>
      <x:c r="E544" s="102" t="str">
        <x:v>OPERATOR</x:v>
      </x:c>
      <x:c r="F544" s="102"/>
      <x:c r="G544" s="102"/>
      <x:c r="H544" s="102" t="str">
        <x:v>High</x:v>
      </x:c>
      <x:c r="I544" s="102" t="str">
        <x:v>SRC_0156</x:v>
      </x:c>
      <x:c r="J544" s="102" t="str">
        <x:v>Generated from canonical vessel owner/operator field during v1.9 branch merge.</x:v>
      </x:c>
    </x:row>
    <x:row r="545">
      <x:c r="A545" s="102" t="str">
        <x:v>VREL_000544</x:v>
      </x:c>
      <x:c r="B545" s="102" t="str">
        <x:v>VESSEL_00318</x:v>
      </x:c>
      <x:c r="C545" s="102" t="str">
        <x:v>Lee A. Tregurtha</x:v>
      </x:c>
      <x:c r="D545" s="102" t="str">
        <x:v>COMP_INTERLAKE</x:v>
      </x:c>
      <x:c r="E545" s="102" t="str">
        <x:v>OWNER</x:v>
      </x:c>
      <x:c r="F545" s="102"/>
      <x:c r="G545" s="102"/>
      <x:c r="H545" s="102" t="str">
        <x:v>High</x:v>
      </x:c>
      <x:c r="I545" s="102" t="str">
        <x:v>SRC_0156</x:v>
      </x:c>
      <x:c r="J545" s="102" t="str">
        <x:v>Generated from canonical vessel owner/operator field during v1.9 branch merge.</x:v>
      </x:c>
    </x:row>
    <x:row r="546">
      <x:c r="A546" s="102" t="str">
        <x:v>VREL_000545</x:v>
      </x:c>
      <x:c r="B546" s="102" t="str">
        <x:v>VESSEL_00318</x:v>
      </x:c>
      <x:c r="C546" s="102" t="str">
        <x:v>Lee A. Tregurtha</x:v>
      </x:c>
      <x:c r="D546" s="102" t="str">
        <x:v>COMP_INTERLAKE</x:v>
      </x:c>
      <x:c r="E546" s="102" t="str">
        <x:v>OPERATOR</x:v>
      </x:c>
      <x:c r="F546" s="102"/>
      <x:c r="G546" s="102"/>
      <x:c r="H546" s="102" t="str">
        <x:v>High</x:v>
      </x:c>
      <x:c r="I546" s="102" t="str">
        <x:v>SRC_0156</x:v>
      </x:c>
      <x:c r="J546" s="102" t="str">
        <x:v>Generated from canonical vessel owner/operator field during v1.9 branch merge.</x:v>
      </x:c>
    </x:row>
    <x:row r="547">
      <x:c r="A547" s="102" t="str">
        <x:v>VREL_000546</x:v>
      </x:c>
      <x:c r="B547" s="102" t="str">
        <x:v>VESSEL_00319</x:v>
      </x:c>
      <x:c r="C547" s="102" t="str">
        <x:v>Honorable James L. Oberstar</x:v>
      </x:c>
      <x:c r="D547" s="102" t="str">
        <x:v>COMP_INTERLAKE</x:v>
      </x:c>
      <x:c r="E547" s="102" t="str">
        <x:v>OWNER</x:v>
      </x:c>
      <x:c r="F547" s="102"/>
      <x:c r="G547" s="102"/>
      <x:c r="H547" s="102" t="str">
        <x:v>High</x:v>
      </x:c>
      <x:c r="I547" s="102" t="str">
        <x:v>SRC_0156</x:v>
      </x:c>
      <x:c r="J547" s="102" t="str">
        <x:v>Generated from canonical vessel owner/operator field during v1.9 branch merge.</x:v>
      </x:c>
    </x:row>
    <x:row r="548">
      <x:c r="A548" s="102" t="str">
        <x:v>VREL_000547</x:v>
      </x:c>
      <x:c r="B548" s="102" t="str">
        <x:v>VESSEL_00319</x:v>
      </x:c>
      <x:c r="C548" s="102" t="str">
        <x:v>Honorable James L. Oberstar</x:v>
      </x:c>
      <x:c r="D548" s="102" t="str">
        <x:v>COMP_INTERLAKE</x:v>
      </x:c>
      <x:c r="E548" s="102" t="str">
        <x:v>OPERATOR</x:v>
      </x:c>
      <x:c r="F548" s="102"/>
      <x:c r="G548" s="102"/>
      <x:c r="H548" s="102" t="str">
        <x:v>High</x:v>
      </x:c>
      <x:c r="I548" s="102" t="str">
        <x:v>SRC_0156</x:v>
      </x:c>
      <x:c r="J548" s="102" t="str">
        <x:v>Generated from canonical vessel owner/operator field during v1.9 branch merge.</x:v>
      </x:c>
    </x:row>
    <x:row r="549">
      <x:c r="A549" s="102" t="str">
        <x:v>VREL_000548</x:v>
      </x:c>
      <x:c r="B549" s="102" t="str">
        <x:v>VESSEL_00320</x:v>
      </x:c>
      <x:c r="C549" s="102" t="str">
        <x:v>Kaye E. Barker</x:v>
      </x:c>
      <x:c r="D549" s="102" t="str">
        <x:v>COMP_INTERLAKE</x:v>
      </x:c>
      <x:c r="E549" s="102" t="str">
        <x:v>OWNER</x:v>
      </x:c>
      <x:c r="F549" s="102"/>
      <x:c r="G549" s="102"/>
      <x:c r="H549" s="102" t="str">
        <x:v>High</x:v>
      </x:c>
      <x:c r="I549" s="102" t="str">
        <x:v>SRC_0156</x:v>
      </x:c>
      <x:c r="J549" s="102" t="str">
        <x:v>Generated from canonical vessel owner/operator field during v1.9 branch merge.</x:v>
      </x:c>
    </x:row>
    <x:row r="550">
      <x:c r="A550" s="102" t="str">
        <x:v>VREL_000549</x:v>
      </x:c>
      <x:c r="B550" s="102" t="str">
        <x:v>VESSEL_00320</x:v>
      </x:c>
      <x:c r="C550" s="102" t="str">
        <x:v>Kaye E. Barker</x:v>
      </x:c>
      <x:c r="D550" s="102" t="str">
        <x:v>COMP_INTERLAKE</x:v>
      </x:c>
      <x:c r="E550" s="102" t="str">
        <x:v>OPERATOR</x:v>
      </x:c>
      <x:c r="F550" s="102"/>
      <x:c r="G550" s="102"/>
      <x:c r="H550" s="102" t="str">
        <x:v>High</x:v>
      </x:c>
      <x:c r="I550" s="102" t="str">
        <x:v>SRC_0156</x:v>
      </x:c>
      <x:c r="J550" s="102" t="str">
        <x:v>Generated from canonical vessel owner/operator field during v1.9 branch merge.</x:v>
      </x:c>
    </x:row>
    <x:row r="551">
      <x:c r="A551" s="102" t="str">
        <x:v>VREL_000550</x:v>
      </x:c>
      <x:c r="B551" s="102" t="str">
        <x:v>VESSEL_00321</x:v>
      </x:c>
      <x:c r="C551" s="102" t="str">
        <x:v>Herbert C. Jackson</x:v>
      </x:c>
      <x:c r="D551" s="102" t="str">
        <x:v>COMP_INTERLAKE</x:v>
      </x:c>
      <x:c r="E551" s="102" t="str">
        <x:v>OWNER</x:v>
      </x:c>
      <x:c r="F551" s="102"/>
      <x:c r="G551" s="102"/>
      <x:c r="H551" s="102" t="str">
        <x:v>High</x:v>
      </x:c>
      <x:c r="I551" s="102" t="str">
        <x:v>SRC_0156</x:v>
      </x:c>
      <x:c r="J551" s="102" t="str">
        <x:v>Generated from canonical vessel owner/operator field during v1.9 branch merge.</x:v>
      </x:c>
    </x:row>
    <x:row r="552">
      <x:c r="A552" s="102" t="str">
        <x:v>VREL_000551</x:v>
      </x:c>
      <x:c r="B552" s="102" t="str">
        <x:v>VESSEL_00321</x:v>
      </x:c>
      <x:c r="C552" s="102" t="str">
        <x:v>Herbert C. Jackson</x:v>
      </x:c>
      <x:c r="D552" s="102" t="str">
        <x:v>COMP_INTERLAKE</x:v>
      </x:c>
      <x:c r="E552" s="102" t="str">
        <x:v>OPERATOR</x:v>
      </x:c>
      <x:c r="F552" s="102"/>
      <x:c r="G552" s="102"/>
      <x:c r="H552" s="102" t="str">
        <x:v>High</x:v>
      </x:c>
      <x:c r="I552" s="102" t="str">
        <x:v>SRC_0156</x:v>
      </x:c>
      <x:c r="J552" s="102" t="str">
        <x:v>Generated from canonical vessel owner/operator field during v1.9 branch merge.</x:v>
      </x:c>
    </x:row>
    <x:row r="553">
      <x:c r="A553" s="102" t="str">
        <x:v>VREL_000552</x:v>
      </x:c>
      <x:c r="B553" s="102" t="str">
        <x:v>VESSEL_00322</x:v>
      </x:c>
      <x:c r="C553" s="102" t="str">
        <x:v>Dorothy Ann</x:v>
      </x:c>
      <x:c r="D553" s="102" t="str">
        <x:v>COMP_INTERLAKE</x:v>
      </x:c>
      <x:c r="E553" s="102" t="str">
        <x:v>OWNER</x:v>
      </x:c>
      <x:c r="F553" s="102"/>
      <x:c r="G553" s="102"/>
      <x:c r="H553" s="102" t="str">
        <x:v>High</x:v>
      </x:c>
      <x:c r="I553" s="102" t="str">
        <x:v>SRC_0156</x:v>
      </x:c>
      <x:c r="J553" s="102" t="str">
        <x:v>Generated from canonical vessel owner/operator field during v1.9 branch merge.</x:v>
      </x:c>
    </x:row>
    <x:row r="554">
      <x:c r="A554" s="102" t="str">
        <x:v>VREL_000553</x:v>
      </x:c>
      <x:c r="B554" s="102" t="str">
        <x:v>VESSEL_00322</x:v>
      </x:c>
      <x:c r="C554" s="102" t="str">
        <x:v>Dorothy Ann</x:v>
      </x:c>
      <x:c r="D554" s="102" t="str">
        <x:v>COMP_INTERLAKE</x:v>
      </x:c>
      <x:c r="E554" s="102" t="str">
        <x:v>OPERATOR</x:v>
      </x:c>
      <x:c r="F554" s="102"/>
      <x:c r="G554" s="102"/>
      <x:c r="H554" s="102" t="str">
        <x:v>High</x:v>
      </x:c>
      <x:c r="I554" s="102" t="str">
        <x:v>SRC_0156</x:v>
      </x:c>
      <x:c r="J554" s="102" t="str">
        <x:v>Generated from canonical vessel owner/operator field during v1.9 branch merge.</x:v>
      </x:c>
    </x:row>
    <x:row r="555">
      <x:c r="A555" s="102" t="str">
        <x:v>VREL_000554</x:v>
      </x:c>
      <x:c r="B555" s="102" t="str">
        <x:v>VESSEL_00323</x:v>
      </x:c>
      <x:c r="C555" s="102" t="str">
        <x:v>Stewart J. Cort</x:v>
      </x:c>
      <x:c r="D555" s="102" t="str">
        <x:v>COMP_INTERLAKE</x:v>
      </x:c>
      <x:c r="E555" s="102" t="str">
        <x:v>OWNER</x:v>
      </x:c>
      <x:c r="F555" s="102"/>
      <x:c r="G555" s="102"/>
      <x:c r="H555" s="102" t="str">
        <x:v>High</x:v>
      </x:c>
      <x:c r="I555" s="102" t="str">
        <x:v>SRC_0156</x:v>
      </x:c>
      <x:c r="J555" s="102" t="str">
        <x:v>Generated from canonical vessel owner/operator field during v1.9 branch merge.</x:v>
      </x:c>
    </x:row>
    <x:row r="556">
      <x:c r="A556" s="102" t="str">
        <x:v>VREL_000555</x:v>
      </x:c>
      <x:c r="B556" s="102" t="str">
        <x:v>VESSEL_00323</x:v>
      </x:c>
      <x:c r="C556" s="102" t="str">
        <x:v>Stewart J. Cort</x:v>
      </x:c>
      <x:c r="D556" s="102" t="str">
        <x:v>COMP_INTERLAKE</x:v>
      </x:c>
      <x:c r="E556" s="102" t="str">
        <x:v>OPERATOR</x:v>
      </x:c>
      <x:c r="F556" s="102"/>
      <x:c r="G556" s="102"/>
      <x:c r="H556" s="102" t="str">
        <x:v>High</x:v>
      </x:c>
      <x:c r="I556" s="102" t="str">
        <x:v>SRC_0156</x:v>
      </x:c>
      <x:c r="J556" s="102" t="str">
        <x:v>Generated from canonical vessel owner/operator field during v1.9 branch merge.</x:v>
      </x:c>
    </x:row>
    <x:row r="557">
      <x:c r="A557" s="102" t="str">
        <x:v>VREL_000556</x:v>
      </x:c>
      <x:c r="B557" s="102" t="str">
        <x:v>VESSEL_00324</x:v>
      </x:c>
      <x:c r="C557" s="102" t="str">
        <x:v>American Century</x:v>
      </x:c>
      <x:c r="D557" s="102" t="str">
        <x:v>COMP_ASC</x:v>
      </x:c>
      <x:c r="E557" s="102" t="str">
        <x:v>OWNER</x:v>
      </x:c>
      <x:c r="F557" s="102"/>
      <x:c r="G557" s="102"/>
      <x:c r="H557" s="102" t="str">
        <x:v>High</x:v>
      </x:c>
      <x:c r="I557" s="102" t="str">
        <x:v>SRC_0167</x:v>
      </x:c>
      <x:c r="J557" s="102" t="str">
        <x:v>Generated from canonical vessel owner/operator field during v1.9 branch merge.</x:v>
      </x:c>
    </x:row>
    <x:row r="558">
      <x:c r="A558" s="102" t="str">
        <x:v>VREL_000557</x:v>
      </x:c>
      <x:c r="B558" s="102" t="str">
        <x:v>VESSEL_00324</x:v>
      </x:c>
      <x:c r="C558" s="102" t="str">
        <x:v>American Century</x:v>
      </x:c>
      <x:c r="D558" s="102" t="str">
        <x:v>COMP_ASC</x:v>
      </x:c>
      <x:c r="E558" s="102" t="str">
        <x:v>OPERATOR</x:v>
      </x:c>
      <x:c r="F558" s="102"/>
      <x:c r="G558" s="102"/>
      <x:c r="H558" s="102" t="str">
        <x:v>High</x:v>
      </x:c>
      <x:c r="I558" s="102" t="str">
        <x:v>SRC_0167</x:v>
      </x:c>
      <x:c r="J558" s="102" t="str">
        <x:v>Generated from canonical vessel owner/operator field during v1.9 branch merge.</x:v>
      </x:c>
    </x:row>
    <x:row r="559">
      <x:c r="A559" s="102" t="str">
        <x:v>VREL_000558</x:v>
      </x:c>
      <x:c r="B559" s="102" t="str">
        <x:v>VESSEL_00325</x:v>
      </x:c>
      <x:c r="C559" s="102" t="str">
        <x:v>American Courage</x:v>
      </x:c>
      <x:c r="D559" s="102" t="str">
        <x:v>COMP_ASC</x:v>
      </x:c>
      <x:c r="E559" s="102" t="str">
        <x:v>OWNER</x:v>
      </x:c>
      <x:c r="F559" s="102"/>
      <x:c r="G559" s="102"/>
      <x:c r="H559" s="102" t="str">
        <x:v>High</x:v>
      </x:c>
      <x:c r="I559" s="102" t="str">
        <x:v>SRC_0167</x:v>
      </x:c>
      <x:c r="J559" s="102" t="str">
        <x:v>Generated from canonical vessel owner/operator field during v1.9 branch merge.</x:v>
      </x:c>
    </x:row>
    <x:row r="560">
      <x:c r="A560" s="102" t="str">
        <x:v>VREL_000559</x:v>
      </x:c>
      <x:c r="B560" s="102" t="str">
        <x:v>VESSEL_00325</x:v>
      </x:c>
      <x:c r="C560" s="102" t="str">
        <x:v>American Courage</x:v>
      </x:c>
      <x:c r="D560" s="102" t="str">
        <x:v>COMP_ASC</x:v>
      </x:c>
      <x:c r="E560" s="102" t="str">
        <x:v>OPERATOR</x:v>
      </x:c>
      <x:c r="F560" s="102"/>
      <x:c r="G560" s="102"/>
      <x:c r="H560" s="102" t="str">
        <x:v>High</x:v>
      </x:c>
      <x:c r="I560" s="102" t="str">
        <x:v>SRC_0167</x:v>
      </x:c>
      <x:c r="J560" s="102" t="str">
        <x:v>Generated from canonical vessel owner/operator field during v1.9 branch merge.</x:v>
      </x:c>
    </x:row>
    <x:row r="561">
      <x:c r="A561" s="102" t="str">
        <x:v>VREL_000560</x:v>
      </x:c>
      <x:c r="B561" s="102" t="str">
        <x:v>VESSEL_00326</x:v>
      </x:c>
      <x:c r="C561" s="102" t="str">
        <x:v>American Integrity</x:v>
      </x:c>
      <x:c r="D561" s="102" t="str">
        <x:v>COMP_ASC</x:v>
      </x:c>
      <x:c r="E561" s="102" t="str">
        <x:v>OWNER</x:v>
      </x:c>
      <x:c r="F561" s="102"/>
      <x:c r="G561" s="102"/>
      <x:c r="H561" s="102" t="str">
        <x:v>High</x:v>
      </x:c>
      <x:c r="I561" s="102" t="str">
        <x:v>SRC_0167</x:v>
      </x:c>
      <x:c r="J561" s="102" t="str">
        <x:v>Generated from canonical vessel owner/operator field during v1.9 branch merge.</x:v>
      </x:c>
    </x:row>
    <x:row r="562">
      <x:c r="A562" s="102" t="str">
        <x:v>VREL_000561</x:v>
      </x:c>
      <x:c r="B562" s="102" t="str">
        <x:v>VESSEL_00326</x:v>
      </x:c>
      <x:c r="C562" s="102" t="str">
        <x:v>American Integrity</x:v>
      </x:c>
      <x:c r="D562" s="102" t="str">
        <x:v>COMP_ASC</x:v>
      </x:c>
      <x:c r="E562" s="102" t="str">
        <x:v>OPERATOR</x:v>
      </x:c>
      <x:c r="F562" s="102"/>
      <x:c r="G562" s="102"/>
      <x:c r="H562" s="102" t="str">
        <x:v>High</x:v>
      </x:c>
      <x:c r="I562" s="102" t="str">
        <x:v>SRC_0167</x:v>
      </x:c>
      <x:c r="J562" s="102" t="str">
        <x:v>Generated from canonical vessel owner/operator field during v1.9 branch merge.</x:v>
      </x:c>
    </x:row>
    <x:row r="563">
      <x:c r="A563" s="102" t="str">
        <x:v>VREL_000562</x:v>
      </x:c>
      <x:c r="B563" s="102" t="str">
        <x:v>VESSEL_00327</x:v>
      </x:c>
      <x:c r="C563" s="102" t="str">
        <x:v>American Mariner</x:v>
      </x:c>
      <x:c r="D563" s="102" t="str">
        <x:v>COMP_ASC</x:v>
      </x:c>
      <x:c r="E563" s="102" t="str">
        <x:v>OWNER</x:v>
      </x:c>
      <x:c r="F563" s="102"/>
      <x:c r="G563" s="102"/>
      <x:c r="H563" s="102" t="str">
        <x:v>High</x:v>
      </x:c>
      <x:c r="I563" s="102" t="str">
        <x:v>SRC_0167</x:v>
      </x:c>
      <x:c r="J563" s="102" t="str">
        <x:v>Generated from canonical vessel owner/operator field during v1.9 branch merge.</x:v>
      </x:c>
    </x:row>
    <x:row r="564">
      <x:c r="A564" s="102" t="str">
        <x:v>VREL_000563</x:v>
      </x:c>
      <x:c r="B564" s="102" t="str">
        <x:v>VESSEL_00327</x:v>
      </x:c>
      <x:c r="C564" s="102" t="str">
        <x:v>American Mariner</x:v>
      </x:c>
      <x:c r="D564" s="102" t="str">
        <x:v>COMP_ASC</x:v>
      </x:c>
      <x:c r="E564" s="102" t="str">
        <x:v>OPERATOR</x:v>
      </x:c>
      <x:c r="F564" s="102"/>
      <x:c r="G564" s="102"/>
      <x:c r="H564" s="102" t="str">
        <x:v>High</x:v>
      </x:c>
      <x:c r="I564" s="102" t="str">
        <x:v>SRC_0167</x:v>
      </x:c>
      <x:c r="J564" s="102" t="str">
        <x:v>Generated from canonical vessel owner/operator field during v1.9 branch merge.</x:v>
      </x:c>
    </x:row>
    <x:row r="565">
      <x:c r="A565" s="102" t="str">
        <x:v>VREL_000564</x:v>
      </x:c>
      <x:c r="B565" s="102" t="str">
        <x:v>VESSEL_00328</x:v>
      </x:c>
      <x:c r="C565" s="102" t="str">
        <x:v>American Spirit</x:v>
      </x:c>
      <x:c r="D565" s="102" t="str">
        <x:v>COMP_ASC</x:v>
      </x:c>
      <x:c r="E565" s="102" t="str">
        <x:v>OWNER</x:v>
      </x:c>
      <x:c r="F565" s="102"/>
      <x:c r="G565" s="102"/>
      <x:c r="H565" s="102" t="str">
        <x:v>High</x:v>
      </x:c>
      <x:c r="I565" s="102" t="str">
        <x:v>SRC_0167</x:v>
      </x:c>
      <x:c r="J565" s="102" t="str">
        <x:v>Generated from canonical vessel owner/operator field during v1.9 branch merge.</x:v>
      </x:c>
    </x:row>
    <x:row r="566">
      <x:c r="A566" s="102" t="str">
        <x:v>VREL_000565</x:v>
      </x:c>
      <x:c r="B566" s="102" t="str">
        <x:v>VESSEL_00328</x:v>
      </x:c>
      <x:c r="C566" s="102" t="str">
        <x:v>American Spirit</x:v>
      </x:c>
      <x:c r="D566" s="102" t="str">
        <x:v>COMP_ASC</x:v>
      </x:c>
      <x:c r="E566" s="102" t="str">
        <x:v>OPERATOR</x:v>
      </x:c>
      <x:c r="F566" s="102"/>
      <x:c r="G566" s="102"/>
      <x:c r="H566" s="102" t="str">
        <x:v>High</x:v>
      </x:c>
      <x:c r="I566" s="102" t="str">
        <x:v>SRC_0167</x:v>
      </x:c>
      <x:c r="J566" s="102" t="str">
        <x:v>Generated from canonical vessel owner/operator field during v1.9 branch merge.</x:v>
      </x:c>
    </x:row>
    <x:row r="567">
      <x:c r="A567" s="102" t="str">
        <x:v>VREL_000566</x:v>
      </x:c>
      <x:c r="B567" s="102" t="str">
        <x:v>VESSEL_00329</x:v>
      </x:c>
      <x:c r="C567" s="102" t="str">
        <x:v>Burns Harbor</x:v>
      </x:c>
      <x:c r="D567" s="102" t="str">
        <x:v>COMP_ASC</x:v>
      </x:c>
      <x:c r="E567" s="102" t="str">
        <x:v>OWNER</x:v>
      </x:c>
      <x:c r="F567" s="102"/>
      <x:c r="G567" s="102"/>
      <x:c r="H567" s="102" t="str">
        <x:v>High</x:v>
      </x:c>
      <x:c r="I567" s="102" t="str">
        <x:v>SRC_0167</x:v>
      </x:c>
      <x:c r="J567" s="102" t="str">
        <x:v>Generated from canonical vessel owner/operator field during v1.9 branch merge.</x:v>
      </x:c>
    </x:row>
    <x:row r="568">
      <x:c r="A568" s="102" t="str">
        <x:v>VREL_000567</x:v>
      </x:c>
      <x:c r="B568" s="102" t="str">
        <x:v>VESSEL_00329</x:v>
      </x:c>
      <x:c r="C568" s="102" t="str">
        <x:v>Burns Harbor</x:v>
      </x:c>
      <x:c r="D568" s="102" t="str">
        <x:v>COMP_ASC</x:v>
      </x:c>
      <x:c r="E568" s="102" t="str">
        <x:v>OPERATOR</x:v>
      </x:c>
      <x:c r="F568" s="102"/>
      <x:c r="G568" s="102"/>
      <x:c r="H568" s="102" t="str">
        <x:v>High</x:v>
      </x:c>
      <x:c r="I568" s="102" t="str">
        <x:v>SRC_0167</x:v>
      </x:c>
      <x:c r="J568" s="102" t="str">
        <x:v>Generated from canonical vessel owner/operator field during v1.9 branch merge.</x:v>
      </x:c>
    </x:row>
    <x:row r="569">
      <x:c r="A569" s="102" t="str">
        <x:v>VREL_000568</x:v>
      </x:c>
      <x:c r="B569" s="102" t="str">
        <x:v>VESSEL_00330</x:v>
      </x:c>
      <x:c r="C569" s="102" t="str">
        <x:v>H. Lee White</x:v>
      </x:c>
      <x:c r="D569" s="102" t="str">
        <x:v>COMP_ASC</x:v>
      </x:c>
      <x:c r="E569" s="102" t="str">
        <x:v>OWNER</x:v>
      </x:c>
      <x:c r="F569" s="102"/>
      <x:c r="G569" s="102"/>
      <x:c r="H569" s="102" t="str">
        <x:v>High</x:v>
      </x:c>
      <x:c r="I569" s="102" t="str">
        <x:v>SRC_0167</x:v>
      </x:c>
      <x:c r="J569" s="102" t="str">
        <x:v>Generated from canonical vessel owner/operator field during v1.9 branch merge.</x:v>
      </x:c>
    </x:row>
    <x:row r="570">
      <x:c r="A570" s="102" t="str">
        <x:v>VREL_000569</x:v>
      </x:c>
      <x:c r="B570" s="102" t="str">
        <x:v>VESSEL_00330</x:v>
      </x:c>
      <x:c r="C570" s="102" t="str">
        <x:v>H. Lee White</x:v>
      </x:c>
      <x:c r="D570" s="102" t="str">
        <x:v>COMP_ASC</x:v>
      </x:c>
      <x:c r="E570" s="102" t="str">
        <x:v>OPERATOR</x:v>
      </x:c>
      <x:c r="F570" s="102"/>
      <x:c r="G570" s="102"/>
      <x:c r="H570" s="102" t="str">
        <x:v>High</x:v>
      </x:c>
      <x:c r="I570" s="102" t="str">
        <x:v>SRC_0167</x:v>
      </x:c>
      <x:c r="J570" s="102" t="str">
        <x:v>Generated from canonical vessel owner/operator field during v1.9 branch merge.</x:v>
      </x:c>
    </x:row>
    <x:row r="571">
      <x:c r="A571" s="102" t="str">
        <x:v>VREL_000570</x:v>
      </x:c>
      <x:c r="B571" s="102" t="str">
        <x:v>VESSEL_00331</x:v>
      </x:c>
      <x:c r="C571" s="102" t="str">
        <x:v>Indiana Harbor</x:v>
      </x:c>
      <x:c r="D571" s="102" t="str">
        <x:v>COMP_ASC</x:v>
      </x:c>
      <x:c r="E571" s="102" t="str">
        <x:v>OWNER</x:v>
      </x:c>
      <x:c r="F571" s="102"/>
      <x:c r="G571" s="102"/>
      <x:c r="H571" s="102" t="str">
        <x:v>High</x:v>
      </x:c>
      <x:c r="I571" s="102" t="str">
        <x:v>SRC_0167</x:v>
      </x:c>
      <x:c r="J571" s="102" t="str">
        <x:v>Generated from canonical vessel owner/operator field during v1.9 branch merge.</x:v>
      </x:c>
    </x:row>
    <x:row r="572">
      <x:c r="A572" s="102" t="str">
        <x:v>VREL_000571</x:v>
      </x:c>
      <x:c r="B572" s="102" t="str">
        <x:v>VESSEL_00331</x:v>
      </x:c>
      <x:c r="C572" s="102" t="str">
        <x:v>Indiana Harbor</x:v>
      </x:c>
      <x:c r="D572" s="102" t="str">
        <x:v>COMP_ASC</x:v>
      </x:c>
      <x:c r="E572" s="102" t="str">
        <x:v>OPERATOR</x:v>
      </x:c>
      <x:c r="F572" s="102"/>
      <x:c r="G572" s="102"/>
      <x:c r="H572" s="102" t="str">
        <x:v>High</x:v>
      </x:c>
      <x:c r="I572" s="102" t="str">
        <x:v>SRC_0167</x:v>
      </x:c>
      <x:c r="J572" s="102" t="str">
        <x:v>Generated from canonical vessel owner/operator field during v1.9 branch merge.</x:v>
      </x:c>
    </x:row>
    <x:row r="573">
      <x:c r="A573" s="102" t="str">
        <x:v>VREL_000572</x:v>
      </x:c>
      <x:c r="B573" s="102" t="str">
        <x:v>VESSEL_00332</x:v>
      </x:c>
      <x:c r="C573" s="102" t="str">
        <x:v>John J Boland</x:v>
      </x:c>
      <x:c r="D573" s="102" t="str">
        <x:v>COMP_ASC</x:v>
      </x:c>
      <x:c r="E573" s="102" t="str">
        <x:v>OWNER</x:v>
      </x:c>
      <x:c r="F573" s="102"/>
      <x:c r="G573" s="102"/>
      <x:c r="H573" s="102" t="str">
        <x:v>High</x:v>
      </x:c>
      <x:c r="I573" s="102" t="str">
        <x:v>SRC_0167</x:v>
      </x:c>
      <x:c r="J573" s="102" t="str">
        <x:v>Generated from canonical vessel owner/operator field during v1.9 branch merge.</x:v>
      </x:c>
    </x:row>
    <x:row r="574">
      <x:c r="A574" s="102" t="str">
        <x:v>VREL_000573</x:v>
      </x:c>
      <x:c r="B574" s="102" t="str">
        <x:v>VESSEL_00332</x:v>
      </x:c>
      <x:c r="C574" s="102" t="str">
        <x:v>John J Boland</x:v>
      </x:c>
      <x:c r="D574" s="102" t="str">
        <x:v>COMP_ASC</x:v>
      </x:c>
      <x:c r="E574" s="102" t="str">
        <x:v>OPERATOR</x:v>
      </x:c>
      <x:c r="F574" s="102"/>
      <x:c r="G574" s="102"/>
      <x:c r="H574" s="102" t="str">
        <x:v>High</x:v>
      </x:c>
      <x:c r="I574" s="102" t="str">
        <x:v>SRC_0167</x:v>
      </x:c>
      <x:c r="J574" s="102" t="str">
        <x:v>Generated from canonical vessel owner/operator field during v1.9 branch merge.</x:v>
      </x:c>
    </x:row>
    <x:row r="575">
      <x:c r="A575" s="102" t="str">
        <x:v>VREL_000574</x:v>
      </x:c>
      <x:c r="B575" s="102" t="str">
        <x:v>VESSEL_00333</x:v>
      </x:c>
      <x:c r="C575" s="102" t="str">
        <x:v>Sam Laud</x:v>
      </x:c>
      <x:c r="D575" s="102" t="str">
        <x:v>COMP_ASC</x:v>
      </x:c>
      <x:c r="E575" s="102" t="str">
        <x:v>OWNER</x:v>
      </x:c>
      <x:c r="F575" s="102"/>
      <x:c r="G575" s="102"/>
      <x:c r="H575" s="102" t="str">
        <x:v>High</x:v>
      </x:c>
      <x:c r="I575" s="102" t="str">
        <x:v>SRC_0167</x:v>
      </x:c>
      <x:c r="J575" s="102" t="str">
        <x:v>Generated from canonical vessel owner/operator field during v1.9 branch merge.</x:v>
      </x:c>
    </x:row>
    <x:row r="576">
      <x:c r="A576" s="102" t="str">
        <x:v>VREL_000575</x:v>
      </x:c>
      <x:c r="B576" s="102" t="str">
        <x:v>VESSEL_00333</x:v>
      </x:c>
      <x:c r="C576" s="102" t="str">
        <x:v>Sam Laud</x:v>
      </x:c>
      <x:c r="D576" s="102" t="str">
        <x:v>COMP_ASC</x:v>
      </x:c>
      <x:c r="E576" s="102" t="str">
        <x:v>OPERATOR</x:v>
      </x:c>
      <x:c r="F576" s="102"/>
      <x:c r="G576" s="102"/>
      <x:c r="H576" s="102" t="str">
        <x:v>High</x:v>
      </x:c>
      <x:c r="I576" s="102" t="str">
        <x:v>SRC_0167</x:v>
      </x:c>
      <x:c r="J576" s="102" t="str">
        <x:v>Generated from canonical vessel owner/operator field during v1.9 branch merge.</x:v>
      </x:c>
    </x:row>
    <x:row r="577">
      <x:c r="A577" s="102" t="str">
        <x:v>VREL_000576</x:v>
      </x:c>
      <x:c r="B577" s="102" t="str">
        <x:v>VESSEL_00334</x:v>
      </x:c>
      <x:c r="C577" s="102" t="str">
        <x:v>Walter J. McCarthy Jr.</x:v>
      </x:c>
      <x:c r="D577" s="102" t="str">
        <x:v>COMP_ASC</x:v>
      </x:c>
      <x:c r="E577" s="102" t="str">
        <x:v>OWNER</x:v>
      </x:c>
      <x:c r="F577" s="102"/>
      <x:c r="G577" s="102"/>
      <x:c r="H577" s="102" t="str">
        <x:v>High</x:v>
      </x:c>
      <x:c r="I577" s="102" t="str">
        <x:v>SRC_0167</x:v>
      </x:c>
      <x:c r="J577" s="102" t="str">
        <x:v>Generated from canonical vessel owner/operator field during v1.9 branch merge.</x:v>
      </x:c>
    </x:row>
    <x:row r="578">
      <x:c r="A578" s="102" t="str">
        <x:v>VREL_000577</x:v>
      </x:c>
      <x:c r="B578" s="102" t="str">
        <x:v>VESSEL_00334</x:v>
      </x:c>
      <x:c r="C578" s="102" t="str">
        <x:v>Walter J. McCarthy Jr.</x:v>
      </x:c>
      <x:c r="D578" s="102" t="str">
        <x:v>COMP_ASC</x:v>
      </x:c>
      <x:c r="E578" s="102" t="str">
        <x:v>OPERATOR</x:v>
      </x:c>
      <x:c r="F578" s="102"/>
      <x:c r="G578" s="102"/>
      <x:c r="H578" s="102" t="str">
        <x:v>High</x:v>
      </x:c>
      <x:c r="I578" s="102" t="str">
        <x:v>SRC_0167</x:v>
      </x:c>
      <x:c r="J578" s="102" t="str">
        <x:v>Generated from canonical vessel owner/operator field during v1.9 branch merge.</x:v>
      </x:c>
    </x:row>
    <x:row r="579">
      <x:c r="A579" s="102" t="str">
        <x:v>VREL_000578</x:v>
      </x:c>
      <x:c r="B579" s="102" t="str">
        <x:v>VESSEL_00335</x:v>
      </x:c>
      <x:c r="C579" s="102" t="str">
        <x:v>Calumet</x:v>
      </x:c>
      <x:c r="D579" s="102" t="str">
        <x:v>COMP_GRN</x:v>
      </x:c>
      <x:c r="E579" s="102" t="str">
        <x:v>OWNER</x:v>
      </x:c>
      <x:c r="F579" s="102"/>
      <x:c r="G579" s="102"/>
      <x:c r="H579" s="102" t="str">
        <x:v>High</x:v>
      </x:c>
      <x:c r="I579" s="102" t="str">
        <x:v>SRC_0167</x:v>
      </x:c>
      <x:c r="J579" s="102" t="str">
        <x:v>Generated from canonical vessel owner/operator field during v1.9 branch merge.</x:v>
      </x:c>
    </x:row>
    <x:row r="580">
      <x:c r="A580" s="102" t="str">
        <x:v>VREL_000579</x:v>
      </x:c>
      <x:c r="B580" s="102" t="str">
        <x:v>VESSEL_00335</x:v>
      </x:c>
      <x:c r="C580" s="102" t="str">
        <x:v>Calumet</x:v>
      </x:c>
      <x:c r="D580" s="102" t="str">
        <x:v>COMP_GRN</x:v>
      </x:c>
      <x:c r="E580" s="102" t="str">
        <x:v>OPERATOR</x:v>
      </x:c>
      <x:c r="F580" s="102"/>
      <x:c r="G580" s="102"/>
      <x:c r="H580" s="102" t="str">
        <x:v>High</x:v>
      </x:c>
      <x:c r="I580" s="102" t="str">
        <x:v>SRC_0167</x:v>
      </x:c>
      <x:c r="J580" s="102" t="str">
        <x:v>Generated from canonical vessel owner/operator field during v1.9 branch merge.</x:v>
      </x:c>
    </x:row>
    <x:row r="581">
      <x:c r="A581" s="102" t="str">
        <x:v>VREL_000580</x:v>
      </x:c>
      <x:c r="B581" s="102" t="str">
        <x:v>VESSEL_00336</x:v>
      </x:c>
      <x:c r="C581" s="102" t="str">
        <x:v>Defiance</x:v>
      </x:c>
      <x:c r="D581" s="102" t="str">
        <x:v>COMP_GRN</x:v>
      </x:c>
      <x:c r="E581" s="102" t="str">
        <x:v>OWNER</x:v>
      </x:c>
      <x:c r="F581" s="102"/>
      <x:c r="G581" s="102"/>
      <x:c r="H581" s="102" t="str">
        <x:v>High</x:v>
      </x:c>
      <x:c r="I581" s="102" t="str">
        <x:v>SRC_0167</x:v>
      </x:c>
      <x:c r="J581" s="102" t="str">
        <x:v>Generated from canonical vessel owner/operator field during v1.9 branch merge.</x:v>
      </x:c>
    </x:row>
    <x:row r="582">
      <x:c r="A582" s="102" t="str">
        <x:v>VREL_000581</x:v>
      </x:c>
      <x:c r="B582" s="102" t="str">
        <x:v>VESSEL_00336</x:v>
      </x:c>
      <x:c r="C582" s="102" t="str">
        <x:v>Defiance</x:v>
      </x:c>
      <x:c r="D582" s="102" t="str">
        <x:v>COMP_GRN</x:v>
      </x:c>
      <x:c r="E582" s="102" t="str">
        <x:v>OPERATOR</x:v>
      </x:c>
      <x:c r="F582" s="102"/>
      <x:c r="G582" s="102"/>
      <x:c r="H582" s="102" t="str">
        <x:v>High</x:v>
      </x:c>
      <x:c r="I582" s="102" t="str">
        <x:v>SRC_0167</x:v>
      </x:c>
      <x:c r="J582" s="102" t="str">
        <x:v>Generated from canonical vessel owner/operator field during v1.9 branch merge.</x:v>
      </x:c>
    </x:row>
    <x:row r="583">
      <x:c r="A583" s="102" t="str">
        <x:v>VREL_000582</x:v>
      </x:c>
      <x:c r="B583" s="102" t="str">
        <x:v>VESSEL_00337</x:v>
      </x:c>
      <x:c r="C583" s="102" t="str">
        <x:v>Manitowoc</x:v>
      </x:c>
      <x:c r="D583" s="102" t="str">
        <x:v>COMP_GRN</x:v>
      </x:c>
      <x:c r="E583" s="102" t="str">
        <x:v>OWNER</x:v>
      </x:c>
      <x:c r="F583" s="102"/>
      <x:c r="G583" s="102"/>
      <x:c r="H583" s="102" t="str">
        <x:v>High</x:v>
      </x:c>
      <x:c r="I583" s="102" t="str">
        <x:v>SRC_0167</x:v>
      </x:c>
      <x:c r="J583" s="102" t="str">
        <x:v>Generated from canonical vessel owner/operator field during v1.9 branch merge.</x:v>
      </x:c>
    </x:row>
    <x:row r="584">
      <x:c r="A584" s="102" t="str">
        <x:v>VREL_000583</x:v>
      </x:c>
      <x:c r="B584" s="102" t="str">
        <x:v>VESSEL_00337</x:v>
      </x:c>
      <x:c r="C584" s="102" t="str">
        <x:v>Manitowoc</x:v>
      </x:c>
      <x:c r="D584" s="102" t="str">
        <x:v>COMP_GRN</x:v>
      </x:c>
      <x:c r="E584" s="102" t="str">
        <x:v>OPERATOR</x:v>
      </x:c>
      <x:c r="F584" s="102"/>
      <x:c r="G584" s="102"/>
      <x:c r="H584" s="102" t="str">
        <x:v>High</x:v>
      </x:c>
      <x:c r="I584" s="102" t="str">
        <x:v>SRC_0167</x:v>
      </x:c>
      <x:c r="J584" s="102" t="str">
        <x:v>Generated from canonical vessel owner/operator field during v1.9 branch merge.</x:v>
      </x:c>
    </x:row>
    <x:row r="585">
      <x:c r="A585" s="102" t="str">
        <x:v>VREL_000584</x:v>
      </x:c>
      <x:c r="B585" s="102" t="str">
        <x:v>VESSEL_00338</x:v>
      </x:c>
      <x:c r="C585" s="102" t="str">
        <x:v>Menominee</x:v>
      </x:c>
      <x:c r="D585" s="102" t="str">
        <x:v>COMP_GRN</x:v>
      </x:c>
      <x:c r="E585" s="102" t="str">
        <x:v>OWNER</x:v>
      </x:c>
      <x:c r="F585" s="102"/>
      <x:c r="G585" s="102"/>
      <x:c r="H585" s="102" t="str">
        <x:v>High</x:v>
      </x:c>
      <x:c r="I585" s="102" t="str">
        <x:v>SRC_0167</x:v>
      </x:c>
      <x:c r="J585" s="102" t="str">
        <x:v>Generated from canonical vessel owner/operator field during v1.9 branch merge.</x:v>
      </x:c>
    </x:row>
    <x:row r="586">
      <x:c r="A586" s="102" t="str">
        <x:v>VREL_000585</x:v>
      </x:c>
      <x:c r="B586" s="102" t="str">
        <x:v>VESSEL_00338</x:v>
      </x:c>
      <x:c r="C586" s="102" t="str">
        <x:v>Menominee</x:v>
      </x:c>
      <x:c r="D586" s="102" t="str">
        <x:v>COMP_GRN</x:v>
      </x:c>
      <x:c r="E586" s="102" t="str">
        <x:v>OPERATOR</x:v>
      </x:c>
      <x:c r="F586" s="102"/>
      <x:c r="G586" s="102"/>
      <x:c r="H586" s="102" t="str">
        <x:v>High</x:v>
      </x:c>
      <x:c r="I586" s="102" t="str">
        <x:v>SRC_0167</x:v>
      </x:c>
      <x:c r="J586" s="102" t="str">
        <x:v>Generated from canonical vessel owner/operator field during v1.9 branch merge.</x:v>
      </x:c>
    </x:row>
    <x:row r="587">
      <x:c r="A587" s="102" t="str">
        <x:v>VREL_000586</x:v>
      </x:c>
      <x:c r="B587" s="102" t="str">
        <x:v>VESSEL_00339</x:v>
      </x:c>
      <x:c r="C587" s="102" t="str">
        <x:v>Victory</x:v>
      </x:c>
      <x:c r="D587" s="102" t="str">
        <x:v>COMP_GRN</x:v>
      </x:c>
      <x:c r="E587" s="102" t="str">
        <x:v>OWNER</x:v>
      </x:c>
      <x:c r="F587" s="102"/>
      <x:c r="G587" s="102"/>
      <x:c r="H587" s="102" t="str">
        <x:v>High</x:v>
      </x:c>
      <x:c r="I587" s="102" t="str">
        <x:v>SRC_0167</x:v>
      </x:c>
      <x:c r="J587" s="102" t="str">
        <x:v>Generated from canonical vessel owner/operator field during v1.9 branch merge.</x:v>
      </x:c>
    </x:row>
    <x:row r="588">
      <x:c r="A588" s="102" t="str">
        <x:v>VREL_000587</x:v>
      </x:c>
      <x:c r="B588" s="102" t="str">
        <x:v>VESSEL_00339</x:v>
      </x:c>
      <x:c r="C588" s="102" t="str">
        <x:v>Victory</x:v>
      </x:c>
      <x:c r="D588" s="102" t="str">
        <x:v>COMP_GRN</x:v>
      </x:c>
      <x:c r="E588" s="102" t="str">
        <x:v>OPERATOR</x:v>
      </x:c>
      <x:c r="F588" s="102"/>
      <x:c r="G588" s="102"/>
      <x:c r="H588" s="102" t="str">
        <x:v>High</x:v>
      </x:c>
      <x:c r="I588" s="102" t="str">
        <x:v>SRC_0167</x:v>
      </x:c>
      <x:c r="J588" s="102" t="str">
        <x:v>Generated from canonical vessel owner/operator field during v1.9 branch merge.</x:v>
      </x:c>
    </x:row>
    <x:row r="589">
      <x:c r="A589" s="102" t="str">
        <x:v>VREL_000588</x:v>
      </x:c>
      <x:c r="B589" s="102" t="str">
        <x:v>VESSEL_00340</x:v>
      </x:c>
      <x:c r="C589" s="102" t="str">
        <x:v>Olive L Moore</x:v>
      </x:c>
      <x:c r="D589" s="102" t="str">
        <x:v>COMP_GRN</x:v>
      </x:c>
      <x:c r="E589" s="102" t="str">
        <x:v>OWNER</x:v>
      </x:c>
      <x:c r="F589" s="102"/>
      <x:c r="G589" s="102"/>
      <x:c r="H589" s="102" t="str">
        <x:v>High</x:v>
      </x:c>
      <x:c r="I589" s="102" t="str">
        <x:v>SRC_0167</x:v>
      </x:c>
      <x:c r="J589" s="102" t="str">
        <x:v>Generated from canonical vessel owner/operator field during v1.9 branch merge.</x:v>
      </x:c>
    </x:row>
    <x:row r="590">
      <x:c r="A590" s="102" t="str">
        <x:v>VREL_000589</x:v>
      </x:c>
      <x:c r="B590" s="102" t="str">
        <x:v>VESSEL_00340</x:v>
      </x:c>
      <x:c r="C590" s="102" t="str">
        <x:v>Olive L Moore</x:v>
      </x:c>
      <x:c r="D590" s="102" t="str">
        <x:v>COMP_GRN</x:v>
      </x:c>
      <x:c r="E590" s="102" t="str">
        <x:v>OPERATOR</x:v>
      </x:c>
      <x:c r="F590" s="102"/>
      <x:c r="G590" s="102"/>
      <x:c r="H590" s="102" t="str">
        <x:v>High</x:v>
      </x:c>
      <x:c r="I590" s="102" t="str">
        <x:v>SRC_0167</x:v>
      </x:c>
      <x:c r="J590" s="102" t="str">
        <x:v>Generated from canonical vessel owner/operator field during v1.9 branch merge.</x:v>
      </x:c>
    </x:row>
    <x:row r="591">
      <x:c r="A591" s="102" t="str">
        <x:v>VREL_000590</x:v>
      </x:c>
      <x:c r="B591" s="102" t="str">
        <x:v>VESSEL_00341</x:v>
      </x:c>
      <x:c r="C591" s="102" t="str">
        <x:v>Ashtabula</x:v>
      </x:c>
      <x:c r="D591" s="102" t="str">
        <x:v>COMP_GRN</x:v>
      </x:c>
      <x:c r="E591" s="102" t="str">
        <x:v>OWNER</x:v>
      </x:c>
      <x:c r="F591" s="102"/>
      <x:c r="G591" s="102"/>
      <x:c r="H591" s="102" t="str">
        <x:v>High</x:v>
      </x:c>
      <x:c r="I591" s="102" t="str">
        <x:v>SRC_0167</x:v>
      </x:c>
      <x:c r="J591" s="102" t="str">
        <x:v>Generated from canonical vessel owner/operator field during v1.9 branch merge.</x:v>
      </x:c>
    </x:row>
    <x:row r="592">
      <x:c r="A592" s="102" t="str">
        <x:v>VREL_000591</x:v>
      </x:c>
      <x:c r="B592" s="102" t="str">
        <x:v>VESSEL_00341</x:v>
      </x:c>
      <x:c r="C592" s="102" t="str">
        <x:v>Ashtabula</x:v>
      </x:c>
      <x:c r="D592" s="102" t="str">
        <x:v>COMP_GRN</x:v>
      </x:c>
      <x:c r="E592" s="102" t="str">
        <x:v>OPERATOR</x:v>
      </x:c>
      <x:c r="F592" s="102"/>
      <x:c r="G592" s="102"/>
      <x:c r="H592" s="102" t="str">
        <x:v>High</x:v>
      </x:c>
      <x:c r="I592" s="102" t="str">
        <x:v>SRC_0167</x:v>
      </x:c>
      <x:c r="J592" s="102" t="str">
        <x:v>Generated from canonical vessel owner/operator field during v1.9 branch merge.</x:v>
      </x:c>
    </x:row>
    <x:row r="593">
      <x:c r="A593" s="102" t="str">
        <x:v>VREL_000592</x:v>
      </x:c>
      <x:c r="B593" s="102" t="str">
        <x:v>VESSEL_00342</x:v>
      </x:c>
      <x:c r="C593" s="102" t="str">
        <x:v>Cuyahoga</x:v>
      </x:c>
      <x:c r="D593" s="102" t="str">
        <x:v>COMP_LOWER_LAKES</x:v>
      </x:c>
      <x:c r="E593" s="102" t="str">
        <x:v>OWNER</x:v>
      </x:c>
      <x:c r="F593" s="102"/>
      <x:c r="G593" s="102"/>
      <x:c r="H593" s="102" t="str">
        <x:v>High</x:v>
      </x:c>
      <x:c r="I593" s="102" t="str">
        <x:v>SRC_0167</x:v>
      </x:c>
      <x:c r="J593" s="102" t="str">
        <x:v>Generated from canonical vessel owner/operator field during v1.9 branch merge.</x:v>
      </x:c>
    </x:row>
    <x:row r="594">
      <x:c r="A594" s="102" t="str">
        <x:v>VREL_000593</x:v>
      </x:c>
      <x:c r="B594" s="102" t="str">
        <x:v>VESSEL_00342</x:v>
      </x:c>
      <x:c r="C594" s="102" t="str">
        <x:v>Cuyahoga</x:v>
      </x:c>
      <x:c r="D594" s="102" t="str">
        <x:v>COMP_LOWER_LAKES</x:v>
      </x:c>
      <x:c r="E594" s="102" t="str">
        <x:v>OPERATOR</x:v>
      </x:c>
      <x:c r="F594" s="102"/>
      <x:c r="G594" s="102"/>
      <x:c r="H594" s="102" t="str">
        <x:v>High</x:v>
      </x:c>
      <x:c r="I594" s="102" t="str">
        <x:v>SRC_0167</x:v>
      </x:c>
      <x:c r="J594" s="102" t="str">
        <x:v>Generated from canonical vessel owner/operator field during v1.9 branch merge.</x:v>
      </x:c>
    </x:row>
    <x:row r="595">
      <x:c r="A595" s="102" t="str">
        <x:v>VREL_000594</x:v>
      </x:c>
      <x:c r="B595" s="102" t="str">
        <x:v>VESSEL_00343</x:v>
      </x:c>
      <x:c r="C595" s="102" t="str">
        <x:v>Kaministiqua</x:v>
      </x:c>
      <x:c r="D595" s="102" t="str">
        <x:v>COMP_LOWER_LAKES</x:v>
      </x:c>
      <x:c r="E595" s="102" t="str">
        <x:v>OWNER</x:v>
      </x:c>
      <x:c r="F595" s="102"/>
      <x:c r="G595" s="102"/>
      <x:c r="H595" s="102" t="str">
        <x:v>High</x:v>
      </x:c>
      <x:c r="I595" s="102" t="str">
        <x:v>SRC_0167</x:v>
      </x:c>
      <x:c r="J595" s="102" t="str">
        <x:v>Generated from canonical vessel owner/operator field during v1.9 branch merge.</x:v>
      </x:c>
    </x:row>
    <x:row r="596">
      <x:c r="A596" s="102" t="str">
        <x:v>VREL_000595</x:v>
      </x:c>
      <x:c r="B596" s="102" t="str">
        <x:v>VESSEL_00343</x:v>
      </x:c>
      <x:c r="C596" s="102" t="str">
        <x:v>Kaministiqua</x:v>
      </x:c>
      <x:c r="D596" s="102" t="str">
        <x:v>COMP_LOWER_LAKES</x:v>
      </x:c>
      <x:c r="E596" s="102" t="str">
        <x:v>OPERATOR</x:v>
      </x:c>
      <x:c r="F596" s="102"/>
      <x:c r="G596" s="102"/>
      <x:c r="H596" s="102" t="str">
        <x:v>High</x:v>
      </x:c>
      <x:c r="I596" s="102" t="str">
        <x:v>SRC_0167</x:v>
      </x:c>
      <x:c r="J596" s="102" t="str">
        <x:v>Generated from canonical vessel owner/operator field during v1.9 branch merge.</x:v>
      </x:c>
    </x:row>
    <x:row r="597">
      <x:c r="A597" s="102" t="str">
        <x:v>VREL_000596</x:v>
      </x:c>
      <x:c r="B597" s="102" t="str">
        <x:v>VESSEL_00344</x:v>
      </x:c>
      <x:c r="C597" s="102" t="str">
        <x:v>Manitoulin</x:v>
      </x:c>
      <x:c r="D597" s="102" t="str">
        <x:v>COMP_LOWER_LAKES</x:v>
      </x:c>
      <x:c r="E597" s="102" t="str">
        <x:v>OWNER</x:v>
      </x:c>
      <x:c r="F597" s="102"/>
      <x:c r="G597" s="102"/>
      <x:c r="H597" s="102" t="str">
        <x:v>High</x:v>
      </x:c>
      <x:c r="I597" s="102" t="str">
        <x:v>SRC_0167</x:v>
      </x:c>
      <x:c r="J597" s="102" t="str">
        <x:v>Generated from canonical vessel owner/operator field during v1.9 branch merge.</x:v>
      </x:c>
    </x:row>
    <x:row r="598">
      <x:c r="A598" s="102" t="str">
        <x:v>VREL_000597</x:v>
      </x:c>
      <x:c r="B598" s="102" t="str">
        <x:v>VESSEL_00344</x:v>
      </x:c>
      <x:c r="C598" s="102" t="str">
        <x:v>Manitoulin</x:v>
      </x:c>
      <x:c r="D598" s="102" t="str">
        <x:v>COMP_LOWER_LAKES</x:v>
      </x:c>
      <x:c r="E598" s="102" t="str">
        <x:v>OPERATOR</x:v>
      </x:c>
      <x:c r="F598" s="102"/>
      <x:c r="G598" s="102"/>
      <x:c r="H598" s="102" t="str">
        <x:v>High</x:v>
      </x:c>
      <x:c r="I598" s="102" t="str">
        <x:v>SRC_0167</x:v>
      </x:c>
      <x:c r="J598" s="102" t="str">
        <x:v>Generated from canonical vessel owner/operator field during v1.9 branch merge.</x:v>
      </x:c>
    </x:row>
    <x:row r="599">
      <x:c r="A599" s="102" t="str">
        <x:v>VREL_000598</x:v>
      </x:c>
      <x:c r="B599" s="102" t="str">
        <x:v>VESSEL_00345</x:v>
      </x:c>
      <x:c r="C599" s="102" t="str">
        <x:v>Michipicoten</x:v>
      </x:c>
      <x:c r="D599" s="102" t="str">
        <x:v>COMP_LOWER_LAKES</x:v>
      </x:c>
      <x:c r="E599" s="102" t="str">
        <x:v>OWNER</x:v>
      </x:c>
      <x:c r="F599" s="102"/>
      <x:c r="G599" s="102"/>
      <x:c r="H599" s="102" t="str">
        <x:v>High</x:v>
      </x:c>
      <x:c r="I599" s="102" t="str">
        <x:v>SRC_0167</x:v>
      </x:c>
      <x:c r="J599" s="102" t="str">
        <x:v>Generated from canonical vessel owner/operator field during v1.9 branch merge.</x:v>
      </x:c>
    </x:row>
    <x:row r="600">
      <x:c r="A600" s="102" t="str">
        <x:v>VREL_000599</x:v>
      </x:c>
      <x:c r="B600" s="102" t="str">
        <x:v>VESSEL_00345</x:v>
      </x:c>
      <x:c r="C600" s="102" t="str">
        <x:v>Michipicoten</x:v>
      </x:c>
      <x:c r="D600" s="102" t="str">
        <x:v>COMP_LOWER_LAKES</x:v>
      </x:c>
      <x:c r="E600" s="102" t="str">
        <x:v>OPERATOR</x:v>
      </x:c>
      <x:c r="F600" s="102"/>
      <x:c r="G600" s="102"/>
      <x:c r="H600" s="102" t="str">
        <x:v>High</x:v>
      </x:c>
      <x:c r="I600" s="102" t="str">
        <x:v>SRC_0167</x:v>
      </x:c>
      <x:c r="J600" s="102" t="str">
        <x:v>Generated from canonical vessel owner/operator field during v1.9 branch merge.</x:v>
      </x:c>
    </x:row>
    <x:row r="601">
      <x:c r="A601" s="102" t="str">
        <x:v>VREL_000600</x:v>
      </x:c>
      <x:c r="B601" s="102" t="str">
        <x:v>VESSEL_00346</x:v>
      </x:c>
      <x:c r="C601" s="102" t="str">
        <x:v>Robert S. Pierson</x:v>
      </x:c>
      <x:c r="D601" s="102" t="str">
        <x:v>COMP_LOWER_LAKES</x:v>
      </x:c>
      <x:c r="E601" s="102" t="str">
        <x:v>OWNER</x:v>
      </x:c>
      <x:c r="F601" s="102"/>
      <x:c r="G601" s="102"/>
      <x:c r="H601" s="102" t="str">
        <x:v>High</x:v>
      </x:c>
      <x:c r="I601" s="102" t="str">
        <x:v>SRC_0167</x:v>
      </x:c>
      <x:c r="J601" s="102" t="str">
        <x:v>Generated from canonical vessel owner/operator field during v1.9 branch merge.</x:v>
      </x:c>
    </x:row>
    <x:row r="602">
      <x:c r="A602" s="102" t="str">
        <x:v>VREL_000601</x:v>
      </x:c>
      <x:c r="B602" s="102" t="str">
        <x:v>VESSEL_00346</x:v>
      </x:c>
      <x:c r="C602" s="102" t="str">
        <x:v>Robert S. Pierson</x:v>
      </x:c>
      <x:c r="D602" s="102" t="str">
        <x:v>COMP_LOWER_LAKES</x:v>
      </x:c>
      <x:c r="E602" s="102" t="str">
        <x:v>OPERATOR</x:v>
      </x:c>
      <x:c r="F602" s="102"/>
      <x:c r="G602" s="102"/>
      <x:c r="H602" s="102" t="str">
        <x:v>High</x:v>
      </x:c>
      <x:c r="I602" s="102" t="str">
        <x:v>SRC_0167</x:v>
      </x:c>
      <x:c r="J602" s="102" t="str">
        <x:v>Generated from canonical vessel owner/operator field during v1.9 branch merge.</x:v>
      </x:c>
    </x:row>
    <x:row r="603">
      <x:c r="A603" s="102" t="str">
        <x:v>VREL_000602</x:v>
      </x:c>
      <x:c r="B603" s="102" t="str">
        <x:v>VESSEL_00347</x:v>
      </x:c>
      <x:c r="C603" s="102" t="str">
        <x:v>Saginaw</x:v>
      </x:c>
      <x:c r="D603" s="102" t="str">
        <x:v>COMP_LOWER_LAKES</x:v>
      </x:c>
      <x:c r="E603" s="102" t="str">
        <x:v>OWNER</x:v>
      </x:c>
      <x:c r="F603" s="102"/>
      <x:c r="G603" s="102"/>
      <x:c r="H603" s="102" t="str">
        <x:v>High</x:v>
      </x:c>
      <x:c r="I603" s="102" t="str">
        <x:v>SRC_0167</x:v>
      </x:c>
      <x:c r="J603" s="102" t="str">
        <x:v>Generated from canonical vessel owner/operator field during v1.9 branch merge.</x:v>
      </x:c>
    </x:row>
    <x:row r="604">
      <x:c r="A604" s="102" t="str">
        <x:v>VREL_000603</x:v>
      </x:c>
      <x:c r="B604" s="102" t="str">
        <x:v>VESSEL_00347</x:v>
      </x:c>
      <x:c r="C604" s="102" t="str">
        <x:v>Saginaw</x:v>
      </x:c>
      <x:c r="D604" s="102" t="str">
        <x:v>COMP_LOWER_LAKES</x:v>
      </x:c>
      <x:c r="E604" s="102" t="str">
        <x:v>OPERATOR</x:v>
      </x:c>
      <x:c r="F604" s="102"/>
      <x:c r="G604" s="102"/>
      <x:c r="H604" s="102" t="str">
        <x:v>High</x:v>
      </x:c>
      <x:c r="I604" s="102" t="str">
        <x:v>SRC_0167</x:v>
      </x:c>
      <x:c r="J604" s="102" t="str">
        <x:v>Generated from canonical vessel owner/operator field during v1.9 branch merge.</x:v>
      </x:c>
    </x:row>
    <x:row r="605">
      <x:c r="A605" s="102" t="str">
        <x:v>VREL_000604</x:v>
      </x:c>
      <x:c r="B605" s="102" t="str">
        <x:v>VESSEL_00348</x:v>
      </x:c>
      <x:c r="C605" s="102" t="str">
        <x:v>Arthur M. Anderson</x:v>
      </x:c>
      <x:c r="D605" s="102" t="str">
        <x:v>COMP_GREAT_LAKES_FLEET</x:v>
      </x:c>
      <x:c r="E605" s="102" t="str">
        <x:v>OWNER</x:v>
      </x:c>
      <x:c r="F605" s="102"/>
      <x:c r="G605" s="102"/>
      <x:c r="H605" s="102" t="str">
        <x:v>High</x:v>
      </x:c>
      <x:c r="I605" s="102" t="str">
        <x:v>SRC_0167</x:v>
      </x:c>
      <x:c r="J605" s="102" t="str">
        <x:v>Generated from canonical vessel owner/operator field during v1.9 branch merge.</x:v>
      </x:c>
    </x:row>
    <x:row r="606">
      <x:c r="A606" s="102" t="str">
        <x:v>VREL_000605</x:v>
      </x:c>
      <x:c r="B606" s="102" t="str">
        <x:v>VESSEL_00348</x:v>
      </x:c>
      <x:c r="C606" s="102" t="str">
        <x:v>Arthur M. Anderson</x:v>
      </x:c>
      <x:c r="D606" s="102" t="str">
        <x:v>COMP_KEY_LAKES</x:v>
      </x:c>
      <x:c r="E606" s="102" t="str">
        <x:v>OPERATOR</x:v>
      </x:c>
      <x:c r="F606" s="102"/>
      <x:c r="G606" s="102"/>
      <x:c r="H606" s="102" t="str">
        <x:v>High</x:v>
      </x:c>
      <x:c r="I606" s="102" t="str">
        <x:v>SRC_0167</x:v>
      </x:c>
      <x:c r="J606" s="102" t="str">
        <x:v>Generated from canonical vessel owner/operator field during v1.9 branch merge.</x:v>
      </x:c>
    </x:row>
    <x:row r="607">
      <x:c r="A607" s="102" t="str">
        <x:v>VREL_000606</x:v>
      </x:c>
      <x:c r="B607" s="102" t="str">
        <x:v>VESSEL_00349</x:v>
      </x:c>
      <x:c r="C607" s="102" t="str">
        <x:v>Cason J. Callaway</x:v>
      </x:c>
      <x:c r="D607" s="102" t="str">
        <x:v>COMP_GREAT_LAKES_FLEET</x:v>
      </x:c>
      <x:c r="E607" s="102" t="str">
        <x:v>OWNER</x:v>
      </x:c>
      <x:c r="F607" s="102"/>
      <x:c r="G607" s="102"/>
      <x:c r="H607" s="102" t="str">
        <x:v>High</x:v>
      </x:c>
      <x:c r="I607" s="102" t="str">
        <x:v>SRC_0167</x:v>
      </x:c>
      <x:c r="J607" s="102" t="str">
        <x:v>Generated from canonical vessel owner/operator field during v1.9 branch merge.</x:v>
      </x:c>
    </x:row>
    <x:row r="608">
      <x:c r="A608" s="102" t="str">
        <x:v>VREL_000607</x:v>
      </x:c>
      <x:c r="B608" s="102" t="str">
        <x:v>VESSEL_00349</x:v>
      </x:c>
      <x:c r="C608" s="102" t="str">
        <x:v>Cason J. Callaway</x:v>
      </x:c>
      <x:c r="D608" s="102" t="str">
        <x:v>COMP_KEY_LAKES</x:v>
      </x:c>
      <x:c r="E608" s="102" t="str">
        <x:v>OPERATOR</x:v>
      </x:c>
      <x:c r="F608" s="102"/>
      <x:c r="G608" s="102"/>
      <x:c r="H608" s="102" t="str">
        <x:v>High</x:v>
      </x:c>
      <x:c r="I608" s="102" t="str">
        <x:v>SRC_0167</x:v>
      </x:c>
      <x:c r="J608" s="102" t="str">
        <x:v>Generated from canonical vessel owner/operator field during v1.9 branch merge.</x:v>
      </x:c>
    </x:row>
    <x:row r="609">
      <x:c r="A609" s="102" t="str">
        <x:v>VREL_000608</x:v>
      </x:c>
      <x:c r="B609" s="102" t="str">
        <x:v>VESSEL_00350</x:v>
      </x:c>
      <x:c r="C609" s="102" t="str">
        <x:v>Edgar B. Speer</x:v>
      </x:c>
      <x:c r="D609" s="102" t="str">
        <x:v>COMP_GREAT_LAKES_FLEET</x:v>
      </x:c>
      <x:c r="E609" s="102" t="str">
        <x:v>OWNER</x:v>
      </x:c>
      <x:c r="F609" s="102"/>
      <x:c r="G609" s="102"/>
      <x:c r="H609" s="102" t="str">
        <x:v>High</x:v>
      </x:c>
      <x:c r="I609" s="102" t="str">
        <x:v>SRC_0167</x:v>
      </x:c>
      <x:c r="J609" s="102" t="str">
        <x:v>Generated from canonical vessel owner/operator field during v1.9 branch merge.</x:v>
      </x:c>
    </x:row>
    <x:row r="610">
      <x:c r="A610" s="102" t="str">
        <x:v>VREL_000609</x:v>
      </x:c>
      <x:c r="B610" s="102" t="str">
        <x:v>VESSEL_00350</x:v>
      </x:c>
      <x:c r="C610" s="102" t="str">
        <x:v>Edgar B. Speer</x:v>
      </x:c>
      <x:c r="D610" s="102" t="str">
        <x:v>COMP_KEY_LAKES</x:v>
      </x:c>
      <x:c r="E610" s="102" t="str">
        <x:v>OPERATOR</x:v>
      </x:c>
      <x:c r="F610" s="102"/>
      <x:c r="G610" s="102"/>
      <x:c r="H610" s="102" t="str">
        <x:v>High</x:v>
      </x:c>
      <x:c r="I610" s="102" t="str">
        <x:v>SRC_0167</x:v>
      </x:c>
      <x:c r="J610" s="102" t="str">
        <x:v>Generated from canonical vessel owner/operator field during v1.9 branch merge.</x:v>
      </x:c>
    </x:row>
    <x:row r="611">
      <x:c r="A611" s="102" t="str">
        <x:v>VREL_000610</x:v>
      </x:c>
      <x:c r="B611" s="102" t="str">
        <x:v>VESSEL_00351</x:v>
      </x:c>
      <x:c r="C611" s="102" t="str">
        <x:v>Edwin H. Gott</x:v>
      </x:c>
      <x:c r="D611" s="102" t="str">
        <x:v>COMP_GREAT_LAKES_FLEET</x:v>
      </x:c>
      <x:c r="E611" s="102" t="str">
        <x:v>OWNER</x:v>
      </x:c>
      <x:c r="F611" s="102"/>
      <x:c r="G611" s="102"/>
      <x:c r="H611" s="102" t="str">
        <x:v>High</x:v>
      </x:c>
      <x:c r="I611" s="102" t="str">
        <x:v>SRC_0167</x:v>
      </x:c>
      <x:c r="J611" s="102" t="str">
        <x:v>Generated from canonical vessel owner/operator field during v1.9 branch merge.</x:v>
      </x:c>
    </x:row>
    <x:row r="612">
      <x:c r="A612" s="102" t="str">
        <x:v>VREL_000611</x:v>
      </x:c>
      <x:c r="B612" s="102" t="str">
        <x:v>VESSEL_00351</x:v>
      </x:c>
      <x:c r="C612" s="102" t="str">
        <x:v>Edwin H. Gott</x:v>
      </x:c>
      <x:c r="D612" s="102" t="str">
        <x:v>COMP_KEY_LAKES</x:v>
      </x:c>
      <x:c r="E612" s="102" t="str">
        <x:v>OPERATOR</x:v>
      </x:c>
      <x:c r="F612" s="102"/>
      <x:c r="G612" s="102"/>
      <x:c r="H612" s="102" t="str">
        <x:v>High</x:v>
      </x:c>
      <x:c r="I612" s="102" t="str">
        <x:v>SRC_0167</x:v>
      </x:c>
      <x:c r="J612" s="102" t="str">
        <x:v>Generated from canonical vessel owner/operator field during v1.9 branch merge.</x:v>
      </x:c>
    </x:row>
    <x:row r="613">
      <x:c r="A613" s="102" t="str">
        <x:v>VREL_000612</x:v>
      </x:c>
      <x:c r="B613" s="102" t="str">
        <x:v>VESSEL_00352</x:v>
      </x:c>
      <x:c r="C613" s="102" t="str">
        <x:v>Great Republic</x:v>
      </x:c>
      <x:c r="D613" s="102" t="str">
        <x:v>COMP_GREAT_LAKES_FLEET</x:v>
      </x:c>
      <x:c r="E613" s="102" t="str">
        <x:v>OWNER</x:v>
      </x:c>
      <x:c r="F613" s="102"/>
      <x:c r="G613" s="102"/>
      <x:c r="H613" s="102" t="str">
        <x:v>High</x:v>
      </x:c>
      <x:c r="I613" s="102" t="str">
        <x:v>SRC_0167</x:v>
      </x:c>
      <x:c r="J613" s="102" t="str">
        <x:v>Generated from canonical vessel owner/operator field during v1.9 branch merge.</x:v>
      </x:c>
    </x:row>
    <x:row r="614">
      <x:c r="A614" s="102" t="str">
        <x:v>VREL_000613</x:v>
      </x:c>
      <x:c r="B614" s="102" t="str">
        <x:v>VESSEL_00352</x:v>
      </x:c>
      <x:c r="C614" s="102" t="str">
        <x:v>Great Republic</x:v>
      </x:c>
      <x:c r="D614" s="102" t="str">
        <x:v>COMP_KEY_LAKES</x:v>
      </x:c>
      <x:c r="E614" s="102" t="str">
        <x:v>OPERATOR</x:v>
      </x:c>
      <x:c r="F614" s="102"/>
      <x:c r="G614" s="102"/>
      <x:c r="H614" s="102" t="str">
        <x:v>High</x:v>
      </x:c>
      <x:c r="I614" s="102" t="str">
        <x:v>SRC_0167</x:v>
      </x:c>
      <x:c r="J614" s="102" t="str">
        <x:v>Generated from canonical vessel owner/operator field during v1.9 branch merge.</x:v>
      </x:c>
    </x:row>
    <x:row r="615">
      <x:c r="A615" s="102" t="str">
        <x:v>VREL_000614</x:v>
      </x:c>
      <x:c r="B615" s="102" t="str">
        <x:v>VESSEL_00353</x:v>
      </x:c>
      <x:c r="C615" s="102" t="str">
        <x:v>John G. Munson</x:v>
      </x:c>
      <x:c r="D615" s="102" t="str">
        <x:v>COMP_GREAT_LAKES_FLEET</x:v>
      </x:c>
      <x:c r="E615" s="102" t="str">
        <x:v>OWNER</x:v>
      </x:c>
      <x:c r="F615" s="102"/>
      <x:c r="G615" s="102"/>
      <x:c r="H615" s="102" t="str">
        <x:v>High</x:v>
      </x:c>
      <x:c r="I615" s="102" t="str">
        <x:v>SRC_0167</x:v>
      </x:c>
      <x:c r="J615" s="102" t="str">
        <x:v>Generated from canonical vessel owner/operator field during v1.9 branch merge.</x:v>
      </x:c>
    </x:row>
    <x:row r="616">
      <x:c r="A616" s="102" t="str">
        <x:v>VREL_000615</x:v>
      </x:c>
      <x:c r="B616" s="102" t="str">
        <x:v>VESSEL_00353</x:v>
      </x:c>
      <x:c r="C616" s="102" t="str">
        <x:v>John G. Munson</x:v>
      </x:c>
      <x:c r="D616" s="102" t="str">
        <x:v>COMP_KEY_LAKES</x:v>
      </x:c>
      <x:c r="E616" s="102" t="str">
        <x:v>OPERATOR</x:v>
      </x:c>
      <x:c r="F616" s="102"/>
      <x:c r="G616" s="102"/>
      <x:c r="H616" s="102" t="str">
        <x:v>High</x:v>
      </x:c>
      <x:c r="I616" s="102" t="str">
        <x:v>SRC_0167</x:v>
      </x:c>
      <x:c r="J616" s="102" t="str">
        <x:v>Generated from canonical vessel owner/operator field during v1.9 branch merge.</x:v>
      </x:c>
    </x:row>
    <x:row r="617">
      <x:c r="A617" s="102" t="str">
        <x:v>VREL_000616</x:v>
      </x:c>
      <x:c r="B617" s="102" t="str">
        <x:v>VESSEL_00354</x:v>
      </x:c>
      <x:c r="C617" s="102" t="str">
        <x:v>Philip R. Clarke</x:v>
      </x:c>
      <x:c r="D617" s="102" t="str">
        <x:v>COMP_GREAT_LAKES_FLEET</x:v>
      </x:c>
      <x:c r="E617" s="102" t="str">
        <x:v>OWNER</x:v>
      </x:c>
      <x:c r="F617" s="102"/>
      <x:c r="G617" s="102"/>
      <x:c r="H617" s="102" t="str">
        <x:v>High</x:v>
      </x:c>
      <x:c r="I617" s="102" t="str">
        <x:v>SRC_0167</x:v>
      </x:c>
      <x:c r="J617" s="102" t="str">
        <x:v>Generated from canonical vessel owner/operator field during v1.9 branch merge.</x:v>
      </x:c>
    </x:row>
    <x:row r="618">
      <x:c r="A618" s="102" t="str">
        <x:v>VREL_000617</x:v>
      </x:c>
      <x:c r="B618" s="102" t="str">
        <x:v>VESSEL_00354</x:v>
      </x:c>
      <x:c r="C618" s="102" t="str">
        <x:v>Philip R. Clarke</x:v>
      </x:c>
      <x:c r="D618" s="102" t="str">
        <x:v>COMP_KEY_LAKES</x:v>
      </x:c>
      <x:c r="E618" s="102" t="str">
        <x:v>OPERATOR</x:v>
      </x:c>
      <x:c r="F618" s="102"/>
      <x:c r="G618" s="102"/>
      <x:c r="H618" s="102" t="str">
        <x:v>High</x:v>
      </x:c>
      <x:c r="I618" s="102" t="str">
        <x:v>SRC_0167</x:v>
      </x:c>
      <x:c r="J618" s="102" t="str">
        <x:v>Generated from canonical vessel owner/operator field during v1.9 branch merge.</x:v>
      </x:c>
    </x:row>
    <x:row r="619">
      <x:c r="A619" s="102" t="str">
        <x:v>VREL_000618</x:v>
      </x:c>
      <x:c r="B619" s="102" t="str">
        <x:v>VESSEL_00355</x:v>
      </x:c>
      <x:c r="C619" s="102" t="str">
        <x:v>Presque Isle</x:v>
      </x:c>
      <x:c r="D619" s="102" t="str">
        <x:v>COMP_GREAT_LAKES_FLEET</x:v>
      </x:c>
      <x:c r="E619" s="102" t="str">
        <x:v>OWNER</x:v>
      </x:c>
      <x:c r="F619" s="102"/>
      <x:c r="G619" s="102"/>
      <x:c r="H619" s="102" t="str">
        <x:v>High</x:v>
      </x:c>
      <x:c r="I619" s="102" t="str">
        <x:v>SRC_0167</x:v>
      </x:c>
      <x:c r="J619" s="102" t="str">
        <x:v>Generated from canonical vessel owner/operator field during v1.9 branch merge.</x:v>
      </x:c>
    </x:row>
    <x:row r="620">
      <x:c r="A620" s="102" t="str">
        <x:v>VREL_000619</x:v>
      </x:c>
      <x:c r="B620" s="102" t="str">
        <x:v>VESSEL_00355</x:v>
      </x:c>
      <x:c r="C620" s="102" t="str">
        <x:v>Presque Isle</x:v>
      </x:c>
      <x:c r="D620" s="102" t="str">
        <x:v>COMP_KEY_LAKES</x:v>
      </x:c>
      <x:c r="E620" s="102" t="str">
        <x:v>OPERATOR</x:v>
      </x:c>
      <x:c r="F620" s="102"/>
      <x:c r="G620" s="102"/>
      <x:c r="H620" s="102" t="str">
        <x:v>High</x:v>
      </x:c>
      <x:c r="I620" s="102" t="str">
        <x:v>SRC_0167</x:v>
      </x:c>
      <x:c r="J620" s="102" t="str">
        <x:v>Generated from canonical vessel owner/operator field during v1.9 branch merge.</x:v>
      </x:c>
    </x:row>
    <x:row r="621">
      <x:c r="A621" s="102" t="str">
        <x:v>VREL_000620</x:v>
      </x:c>
      <x:c r="B621" s="102" t="str">
        <x:v>VESSEL_00356</x:v>
      </x:c>
      <x:c r="C621" s="102" t="str">
        <x:v>Roger Blough</x:v>
      </x:c>
      <x:c r="D621" s="102" t="str">
        <x:v>COMP_GREAT_LAKES_FLEET</x:v>
      </x:c>
      <x:c r="E621" s="102" t="str">
        <x:v>OWNER</x:v>
      </x:c>
      <x:c r="F621" s="102"/>
      <x:c r="G621" s="102"/>
      <x:c r="H621" s="102" t="str">
        <x:v>High</x:v>
      </x:c>
      <x:c r="I621" s="102" t="str">
        <x:v>SRC_0167</x:v>
      </x:c>
      <x:c r="J621" s="102" t="str">
        <x:v>Generated from canonical vessel owner/operator field during v1.9 branch merge.</x:v>
      </x:c>
    </x:row>
    <x:row r="622">
      <x:c r="A622" s="102" t="str">
        <x:v>VREL_000621</x:v>
      </x:c>
      <x:c r="B622" s="102" t="str">
        <x:v>VESSEL_00356</x:v>
      </x:c>
      <x:c r="C622" s="102" t="str">
        <x:v>Roger Blough</x:v>
      </x:c>
      <x:c r="D622" s="102" t="str">
        <x:v>COMP_KEY_LAKES</x:v>
      </x:c>
      <x:c r="E622" s="102" t="str">
        <x:v>OPERATOR</x:v>
      </x:c>
      <x:c r="F622" s="102"/>
      <x:c r="G622" s="102"/>
      <x:c r="H622" s="102" t="str">
        <x:v>High</x:v>
      </x:c>
      <x:c r="I622" s="102" t="str">
        <x:v>SRC_0167</x:v>
      </x:c>
      <x:c r="J622" s="102" t="str">
        <x:v>Generated from canonical vessel owner/operator field during v1.9 branch merge.</x:v>
      </x:c>
    </x:row>
    <x:row r="623">
      <x:c r="A623" s="102" t="str">
        <x:v>VREL_000622</x:v>
      </x:c>
      <x:c r="B623" s="102" t="str">
        <x:v>VESSEL_00357</x:v>
      </x:c>
      <x:c r="C623" s="102" t="str">
        <x:v>Badger</x:v>
      </x:c>
      <x:c r="D623" s="102" t="str">
        <x:v>COMP_LAKE_MICHIGAN_CARFERRY</x:v>
      </x:c>
      <x:c r="E623" s="102" t="str">
        <x:v>OWNER</x:v>
      </x:c>
      <x:c r="F623" s="102"/>
      <x:c r="G623" s="102"/>
      <x:c r="H623" s="102" t="str">
        <x:v>High</x:v>
      </x:c>
      <x:c r="I623" s="102" t="str">
        <x:v>SRC_0167</x:v>
      </x:c>
      <x:c r="J623" s="102" t="str">
        <x:v>Generated from canonical vessel owner/operator field during v1.9 branch merge.</x:v>
      </x:c>
    </x:row>
    <x:row r="624">
      <x:c r="A624" s="102" t="str">
        <x:v>VREL_000623</x:v>
      </x:c>
      <x:c r="B624" s="102" t="str">
        <x:v>VESSEL_00357</x:v>
      </x:c>
      <x:c r="C624" s="102" t="str">
        <x:v>Badger</x:v>
      </x:c>
      <x:c r="D624" s="102" t="str">
        <x:v>COMP_LAKE_MICHIGAN_CARFERRY</x:v>
      </x:c>
      <x:c r="E624" s="102" t="str">
        <x:v>OPERATOR</x:v>
      </x:c>
      <x:c r="F624" s="102"/>
      <x:c r="G624" s="102"/>
      <x:c r="H624" s="102" t="str">
        <x:v>High</x:v>
      </x:c>
      <x:c r="I624" s="102" t="str">
        <x:v>SRC_0167</x:v>
      </x:c>
      <x:c r="J624" s="102" t="str">
        <x:v>Generated from canonical vessel owner/operator field during v1.9 branch merge.</x:v>
      </x:c>
    </x:row>
    <x:row r="625">
      <x:c r="A625" s="102" t="str">
        <x:v>VREL_000624</x:v>
      </x:c>
      <x:c r="B625" s="102" t="str">
        <x:v>VESSEL_00358</x:v>
      </x:c>
      <x:c r="C625" s="102" t="str">
        <x:v>Florence Spirit</x:v>
      </x:c>
      <x:c r="D625" s="102" t="str">
        <x:v>COMP_MCKEIL</x:v>
      </x:c>
      <x:c r="E625" s="102" t="str">
        <x:v>OWNER</x:v>
      </x:c>
      <x:c r="F625" s="102"/>
      <x:c r="G625" s="102"/>
      <x:c r="H625" s="102" t="str">
        <x:v>High</x:v>
      </x:c>
      <x:c r="I625" s="102" t="str">
        <x:v>SRC_0177</x:v>
      </x:c>
      <x:c r="J625" s="102" t="str">
        <x:v>Generated from canonical vessel owner/operator field during v1.9 branch merge.</x:v>
      </x:c>
    </x:row>
    <x:row r="626">
      <x:c r="A626" s="102" t="str">
        <x:v>VREL_000625</x:v>
      </x:c>
      <x:c r="B626" s="102" t="str">
        <x:v>VESSEL_00358</x:v>
      </x:c>
      <x:c r="C626" s="102" t="str">
        <x:v>Florence Spirit</x:v>
      </x:c>
      <x:c r="D626" s="102" t="str">
        <x:v>COMP_MCKEIL</x:v>
      </x:c>
      <x:c r="E626" s="102" t="str">
        <x:v>OPERATOR</x:v>
      </x:c>
      <x:c r="F626" s="102"/>
      <x:c r="G626" s="102"/>
      <x:c r="H626" s="102" t="str">
        <x:v>High</x:v>
      </x:c>
      <x:c r="I626" s="102" t="str">
        <x:v>SRC_0177</x:v>
      </x:c>
      <x:c r="J626" s="102" t="str">
        <x:v>Generated from canonical vessel owner/operator field during v1.9 branch merge.</x:v>
      </x:c>
    </x:row>
  </x:sheetData>
  <x:pageMargins left="0.7" right="0.7" top="0.75" bottom="0.75" header="0.3" footer="0.3"/>
  <x:tableParts count="1">
    <x:tablePart xmlns:r="http://schemas.openxmlformats.org/officeDocument/2006/relationships" r:id="R0ff934108cb54594"/>
  </x:tableParts>
</x:worksheet>
</file>

<file path=xl/worksheets/sheet29.xml><?xml version="1.0" encoding="utf-8"?>
<x:worksheet xmlns:x="http://schemas.openxmlformats.org/spreadsheetml/2006/main">
  <x:sheetFormatPr defaultRowHeight="15"/>
  <x:cols>
    <x:col min="1" max="1" width="18" hidden="0" customWidth="1"/>
    <x:col min="2" max="2" width="24" hidden="0" customWidth="1"/>
    <x:col min="3" max="3" width="24" hidden="0" customWidth="1"/>
    <x:col min="4" max="4" width="24" hidden="0" customWidth="1"/>
    <x:col min="5" max="5" width="24"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20" hidden="0" customWidth="1"/>
    <x:col min="14" max="14" width="30" hidden="0" customWidth="1"/>
  </x:cols>
  <x:sheetData>
    <x:row r="1">
      <x:c r="A1" s="65" t="str">
        <x:v>Build Record ID</x:v>
      </x:c>
      <x:c r="B1" s="65" t="str">
        <x:v>Vessel ID</x:v>
      </x:c>
      <x:c r="C1" s="65" t="str">
        <x:v>Vessel Name</x:v>
      </x:c>
      <x:c r="D1" s="65" t="str">
        <x:v>Shipyard ID</x:v>
      </x:c>
      <x:c r="E1" s="65" t="str">
        <x:v>Shipyard</x:v>
      </x:c>
      <x:c r="F1" s="65" t="str">
        <x:v>Build Country</x:v>
      </x:c>
      <x:c r="G1" s="65" t="str">
        <x:v>Hull No.</x:v>
      </x:c>
      <x:c r="H1" s="65" t="str">
        <x:v>Order Date</x:v>
      </x:c>
      <x:c r="I1" s="65" t="str">
        <x:v>Delivery Date / Year</x:v>
      </x:c>
      <x:c r="J1" s="65" t="str">
        <x:v>Build Status</x:v>
      </x:c>
      <x:c r="K1" s="65" t="str">
        <x:v>Capacity</x:v>
      </x:c>
      <x:c r="L1" s="65" t="str">
        <x:v>Fuel / Propulsion</x:v>
      </x:c>
      <x:c r="M1" s="65" t="str">
        <x:v>Source ID</x:v>
      </x:c>
      <x:c r="N1" s="65" t="str">
        <x:v>Notes</x:v>
      </x:c>
    </x:row>
    <x:row r="2">
      <x:c r="A2" s="42" t="str">
        <x:v>BUILD_000001</x:v>
      </x:c>
      <x:c r="B2" s="42" t="str">
        <x:v>VESSEL_00109</x:v>
      </x:c>
      <x:c r="C2" s="42" t="str">
        <x:v>BYD Explorer No.1</x:v>
      </x:c>
      <x:c r="D2" s="42" t="str">
        <x:v>YARD_0014</x:v>
      </x:c>
      <x:c r="E2" s="42" t="str">
        <x:v>CIMC Raffles / Yantai Raffles</x:v>
      </x:c>
      <x:c r="F2" s="42" t="str">
        <x:v>China</x:v>
      </x:c>
      <x:c r="G2" s="42" t="str"/>
      <x:c r="H2" s="42" t="str"/>
      <x:c r="I2" s="42" t="str">
        <x:v>2024</x:v>
      </x:c>
      <x:c r="J2" s="42" t="str">
        <x:v>Delivered</x:v>
      </x:c>
      <x:c r="K2" s="42" t="str">
        <x:v>7,000 CEU</x:v>
      </x:c>
      <x:c r="L2" s="42" t="str">
        <x:v>LNG dual-fuel</x:v>
      </x:c>
      <x:c r="M2" s="42" t="str">
        <x:v>SRC_0091</x:v>
      </x:c>
      <x:c r="N2" s="42" t="str">
        <x:v>Zodiac-owned; chartered to BYD.</x:v>
      </x:c>
    </x:row>
    <x:row r="3">
      <x:c r="A3" s="42" t="str">
        <x:v>BUILD_000002</x:v>
      </x:c>
      <x:c r="B3" s="42" t="str">
        <x:v>VESSEL_00110</x:v>
      </x:c>
      <x:c r="C3" s="42" t="str">
        <x:v>BYD Changzhou</x:v>
      </x:c>
      <x:c r="D3" s="42" t="str">
        <x:v>YARD_0014</x:v>
      </x:c>
      <x:c r="E3" s="42" t="str">
        <x:v>CIMC Raffles / Yantai Raffles</x:v>
      </x:c>
      <x:c r="F3" s="42" t="str">
        <x:v>China</x:v>
      </x:c>
      <x:c r="G3" s="42" t="str"/>
      <x:c r="H3" s="42" t="str"/>
      <x:c r="I3" s="42" t="str">
        <x:v>2024</x:v>
      </x:c>
      <x:c r="J3" s="42" t="str">
        <x:v>Delivered</x:v>
      </x:c>
      <x:c r="K3" s="42" t="str">
        <x:v>7,000 CEU</x:v>
      </x:c>
      <x:c r="L3" s="42" t="str">
        <x:v>LNG dual-fuel</x:v>
      </x:c>
      <x:c r="M3" s="42" t="str">
        <x:v>SRC_0091</x:v>
      </x:c>
      <x:c r="N3" s="42" t="str">
        <x:v>Zodiac-owned; chartered to BYD.</x:v>
      </x:c>
    </x:row>
    <x:row r="4">
      <x:c r="A4" s="42" t="str">
        <x:v>BUILD_000003</x:v>
      </x:c>
      <x:c r="B4" s="42" t="str">
        <x:v>VESSEL_00111</x:v>
      </x:c>
      <x:c r="C4" s="42" t="str">
        <x:v>BYD Hefei</x:v>
      </x:c>
      <x:c r="D4" s="42" t="str">
        <x:v>YARD_0013</x:v>
      </x:c>
      <x:c r="E4" s="42" t="str">
        <x:v>Guangzhou Shipyard International</x:v>
      </x:c>
      <x:c r="F4" s="42" t="str">
        <x:v>China</x:v>
      </x:c>
      <x:c r="G4" s="42" t="str"/>
      <x:c r="H4" s="42" t="str"/>
      <x:c r="I4" s="42" t="str">
        <x:v>2025</x:v>
      </x:c>
      <x:c r="J4" s="42" t="str">
        <x:v>Delivered</x:v>
      </x:c>
      <x:c r="K4" s="42" t="str">
        <x:v>7,000 CEU</x:v>
      </x:c>
      <x:c r="L4" s="42" t="str">
        <x:v>LNG dual-fuel</x:v>
      </x:c>
      <x:c r="M4" s="42" t="str">
        <x:v>SRC_0091</x:v>
      </x:c>
      <x:c r="N4" s="42" t="str">
        <x:v>First BYD-owned PCTC in this series.</x:v>
      </x:c>
    </x:row>
    <x:row r="5">
      <x:c r="A5" s="42" t="str">
        <x:v>BUILD_000004</x:v>
      </x:c>
      <x:c r="B5" s="42" t="str">
        <x:v>VESSEL_00112</x:v>
      </x:c>
      <x:c r="C5" s="42" t="str">
        <x:v>BYD Zhengzhou</x:v>
      </x:c>
      <x:c r="D5" s="42" t="str">
        <x:v>YARD_0013</x:v>
      </x:c>
      <x:c r="E5" s="42" t="str">
        <x:v>Guangzhou Shipyard International</x:v>
      </x:c>
      <x:c r="F5" s="42" t="str">
        <x:v>China</x:v>
      </x:c>
      <x:c r="G5" s="42" t="str"/>
      <x:c r="H5" s="42" t="str"/>
      <x:c r="I5" s="42" t="str">
        <x:v>2025-07-16</x:v>
      </x:c>
      <x:c r="J5" s="42" t="str">
        <x:v>Delivered</x:v>
      </x:c>
      <x:c r="K5" s="42" t="str">
        <x:v>7,000 CEU</x:v>
      </x:c>
      <x:c r="L5" s="42" t="str">
        <x:v>LNG dual-fuel</x:v>
      </x:c>
      <x:c r="M5" s="42" t="str">
        <x:v>SRC_0091</x:v>
      </x:c>
      <x:c r="N5" s="42" t="str">
        <x:v>Sister to BYD Hefei.</x:v>
      </x:c>
    </x:row>
    <x:row r="6">
      <x:c r="A6" s="42" t="str">
        <x:v>BUILD_000005</x:v>
      </x:c>
      <x:c r="B6" s="42" t="str">
        <x:v>VESSEL_00113</x:v>
      </x:c>
      <x:c r="C6" s="42" t="str">
        <x:v>BYD Shenzhen</x:v>
      </x:c>
      <x:c r="D6" s="42" t="str">
        <x:v>YARD_0011</x:v>
      </x:c>
      <x:c r="E6" s="42" t="str">
        <x:v>China Merchants Jinling Shipyard (Jiangsu) Co Ltd</x:v>
      </x:c>
      <x:c r="F6" s="42" t="str">
        <x:v>China</x:v>
      </x:c>
      <x:c r="G6" s="42" t="str"/>
      <x:c r="H6" s="42" t="str"/>
      <x:c r="I6" s="42" t="str">
        <x:v>2025-04</x:v>
      </x:c>
      <x:c r="J6" s="42" t="str">
        <x:v>Delivered</x:v>
      </x:c>
      <x:c r="K6" s="42" t="str">
        <x:v>9,200 CEU</x:v>
      </x:c>
      <x:c r="L6" s="42" t="str">
        <x:v>LNG dual-fuel + battery</x:v>
      </x:c>
      <x:c r="M6" s="42" t="str">
        <x:v>SRC_0092</x:v>
      </x:c>
      <x:c r="N6" s="42" t="str">
        <x:v>Deltamarin individual reference.</x:v>
      </x:c>
    </x:row>
    <x:row r="7">
      <x:c r="A7" s="42" t="str">
        <x:v>BUILD_000006</x:v>
      </x:c>
      <x:c r="B7" s="42" t="str">
        <x:v>VESSEL_00114</x:v>
      </x:c>
      <x:c r="C7" s="42" t="str">
        <x:v>BYD Xi'an</x:v>
      </x:c>
      <x:c r="D7" s="42" t="str">
        <x:v>YARD_0011</x:v>
      </x:c>
      <x:c r="E7" s="42" t="str">
        <x:v>China Merchants Jinling Shipyard (Jiangsu) Co Ltd</x:v>
      </x:c>
      <x:c r="F7" s="42" t="str">
        <x:v>China</x:v>
      </x:c>
      <x:c r="G7" s="42" t="str"/>
      <x:c r="H7" s="42" t="str"/>
      <x:c r="I7" s="42" t="str">
        <x:v>2025-06</x:v>
      </x:c>
      <x:c r="J7" s="42" t="str">
        <x:v>Delivered</x:v>
      </x:c>
      <x:c r="K7" s="42" t="str">
        <x:v>9,200 CEU</x:v>
      </x:c>
      <x:c r="L7" s="42" t="str">
        <x:v>LNG dual-fuel + battery</x:v>
      </x:c>
      <x:c r="M7" s="42" t="str">
        <x:v>SRC_0095</x:v>
      </x:c>
      <x:c r="N7" s="42" t="str">
        <x:v>Deltamarin individual reference.</x:v>
      </x:c>
    </x:row>
    <x:row r="8">
      <x:c r="A8" s="42" t="str">
        <x:v>BUILD_000007</x:v>
      </x:c>
      <x:c r="B8" s="42" t="str">
        <x:v>VESSEL_00115</x:v>
      </x:c>
      <x:c r="C8" s="42" t="str">
        <x:v>BYD Changsha</x:v>
      </x:c>
      <x:c r="D8" s="42" t="str">
        <x:v>YARD_0012</x:v>
      </x:c>
      <x:c r="E8" s="42" t="str">
        <x:v>China Merchants Heavy Industry (Jiangsu) Co Ltd</x:v>
      </x:c>
      <x:c r="F8" s="42" t="str">
        <x:v>China</x:v>
      </x:c>
      <x:c r="G8" s="42" t="str"/>
      <x:c r="H8" s="42" t="str"/>
      <x:c r="I8" s="42" t="str">
        <x:v>2025-06</x:v>
      </x:c>
      <x:c r="J8" s="42" t="str">
        <x:v>Delivered</x:v>
      </x:c>
      <x:c r="K8" s="42" t="str">
        <x:v>9,200 CEU</x:v>
      </x:c>
      <x:c r="L8" s="42" t="str">
        <x:v>LNG dual-fuel + battery</x:v>
      </x:c>
      <x:c r="M8" s="42" t="str">
        <x:v>SRC_0093</x:v>
      </x:c>
      <x:c r="N8" s="42" t="str">
        <x:v>Deltamarin individual reference.</x:v>
      </x:c>
    </x:row>
    <x:row r="9">
      <x:c r="A9" s="42" t="str">
        <x:v>BUILD_000008</x:v>
      </x:c>
      <x:c r="B9" s="42" t="str">
        <x:v>VESSEL_00116</x:v>
      </x:c>
      <x:c r="C9" s="42" t="str">
        <x:v>BYD Jinan</x:v>
      </x:c>
      <x:c r="D9" s="42" t="str">
        <x:v>YARD_0011</x:v>
      </x:c>
      <x:c r="E9" s="42" t="str">
        <x:v>China Merchants Jinling Shipyard (Jiangsu) Co Ltd</x:v>
      </x:c>
      <x:c r="F9" s="42" t="str">
        <x:v>China</x:v>
      </x:c>
      <x:c r="G9" s="42" t="str"/>
      <x:c r="H9" s="42" t="str"/>
      <x:c r="I9" s="42" t="str">
        <x:v>2025-09</x:v>
      </x:c>
      <x:c r="J9" s="42" t="str">
        <x:v>Delivered</x:v>
      </x:c>
      <x:c r="K9" s="42" t="str">
        <x:v>9,200 CEU</x:v>
      </x:c>
      <x:c r="L9" s="42" t="str">
        <x:v>LNG dual-fuel + battery</x:v>
      </x:c>
      <x:c r="M9" s="42" t="str">
        <x:v>SRC_0094</x:v>
      </x:c>
      <x:c r="N9" s="42" t="str">
        <x:v>Individual Deltamarin page maps Jinan to CMJL; class-level yard split requires reconciliation.</x:v>
      </x:c>
    </x:row>
    <x:row r="10">
      <x:c r="A10" s="42" t="str">
        <x:v>BUILD_000009</x:v>
      </x:c>
      <x:c r="B10" s="42" t="str">
        <x:v>VESSEL_00016</x:v>
      </x:c>
      <x:c r="C10" s="42" t="str">
        <x:v>Al Sadaf</x:v>
      </x:c>
      <x:c r="D10" s="42" t="str">
        <x:v>YARD_0003</x:v>
      </x:c>
      <x:c r="E10" s="42" t="str">
        <x:v>Jiangnan Shipyard</x:v>
      </x:c>
      <x:c r="F10" s="42" t="str">
        <x:v>China</x:v>
      </x:c>
      <x:c r="G10" s="42" t="str">
        <x:v>2703</x:v>
      </x:c>
      <x:c r="H10" s="42" t="str">
        <x:v>2022</x:v>
      </x:c>
      <x:c r="I10" s="42" t="str">
        <x:v>2025</x:v>
      </x:c>
      <x:c r="J10" s="42" t="str">
        <x:v>Delivered</x:v>
      </x:c>
      <x:c r="K10" s="42" t="str">
        <x:v>175,000 m3</x:v>
      </x:c>
      <x:c r="L10" s="42" t="str"/>
      <x:c r="M10" s="42" t="str">
        <x:v>SRC_0070</x:v>
      </x:c>
      <x:c r="N10" s="42" t="str">
        <x:v>Part of USD1.2bn six-vessel Jiangnan LNG order.</x:v>
      </x:c>
    </x:row>
    <x:row r="11">
      <x:c r="A11" s="42" t="str">
        <x:v>BUILD_000010</x:v>
      </x:c>
      <x:c r="B11" s="42" t="str">
        <x:v>VESSEL_00017</x:v>
      </x:c>
      <x:c r="C11" s="42" t="str">
        <x:v>Arada</x:v>
      </x:c>
      <x:c r="D11" s="42" t="str">
        <x:v>YARD_0003</x:v>
      </x:c>
      <x:c r="E11" s="42" t="str">
        <x:v>Jiangnan Shipyard</x:v>
      </x:c>
      <x:c r="F11" s="42" t="str">
        <x:v>China</x:v>
      </x:c>
      <x:c r="G11" s="42" t="str">
        <x:v>2704</x:v>
      </x:c>
      <x:c r="H11" s="42" t="str">
        <x:v>2022</x:v>
      </x:c>
      <x:c r="I11" s="42" t="str">
        <x:v>2026-03</x:v>
      </x:c>
      <x:c r="J11" s="42" t="str">
        <x:v>Delivered</x:v>
      </x:c>
      <x:c r="K11" s="42" t="str">
        <x:v>175,000 m3</x:v>
      </x:c>
      <x:c r="L11" s="42" t="str"/>
      <x:c r="M11" s="42" t="str">
        <x:v>SRC_0070</x:v>
      </x:c>
      <x:c r="N11" s="42" t="str">
        <x:v>Part of USD1.2bn six-vessel Jiangnan LNG order.</x:v>
      </x:c>
    </x:row>
    <x:row r="12">
      <x:c r="A12" s="42" t="str">
        <x:v>BUILD_000011</x:v>
      </x:c>
      <x:c r="B12" s="42" t="str">
        <x:v>VESSEL_00018</x:v>
      </x:c>
      <x:c r="C12" s="42" t="str">
        <x:v>Al Taweelah</x:v>
      </x:c>
      <x:c r="D12" s="42" t="str">
        <x:v>YARD_0003</x:v>
      </x:c>
      <x:c r="E12" s="42" t="str">
        <x:v>Jiangnan Shipyard</x:v>
      </x:c>
      <x:c r="F12" s="42" t="str">
        <x:v>China</x:v>
      </x:c>
      <x:c r="G12" s="42" t="str">
        <x:v>2705</x:v>
      </x:c>
      <x:c r="H12" s="42" t="str">
        <x:v>2022</x:v>
      </x:c>
      <x:c r="I12" s="42" t="str">
        <x:v>2026-04</x:v>
      </x:c>
      <x:c r="J12" s="42" t="str">
        <x:v>Delivered</x:v>
      </x:c>
      <x:c r="K12" s="42" t="str">
        <x:v>175,000 m3</x:v>
      </x:c>
      <x:c r="L12" s="42" t="str"/>
      <x:c r="M12" s="42" t="str">
        <x:v>SRC_0070</x:v>
      </x:c>
      <x:c r="N12" s="42" t="str">
        <x:v>Part of USD1.2bn six-vessel Jiangnan LNG order.</x:v>
      </x:c>
    </x:row>
    <x:row r="13">
      <x:c r="A13" s="42" t="str">
        <x:v>BUILD_000012</x:v>
      </x:c>
      <x:c r="B13" s="42" t="str">
        <x:v>VESSEL_00020</x:v>
      </x:c>
      <x:c r="C13" s="42" t="str">
        <x:v>Al Rahba</x:v>
      </x:c>
      <x:c r="D13" s="42" t="str">
        <x:v>YARD_0003</x:v>
      </x:c>
      <x:c r="E13" s="42" t="str">
        <x:v>Jiangnan Shipyard</x:v>
      </x:c>
      <x:c r="F13" s="42" t="str">
        <x:v>China</x:v>
      </x:c>
      <x:c r="G13" s="42" t="str"/>
      <x:c r="H13" s="42" t="str">
        <x:v>2022</x:v>
      </x:c>
      <x:c r="I13" s="42" t="str">
        <x:v>2025-2026</x:v>
      </x:c>
      <x:c r="J13" s="42" t="str">
        <x:v>Delivered</x:v>
      </x:c>
      <x:c r="K13" s="42" t="str">
        <x:v>175,000 m3</x:v>
      </x:c>
      <x:c r="L13" s="42" t="str"/>
      <x:c r="M13" s="42" t="str">
        <x:v>SRC_0070</x:v>
      </x:c>
      <x:c r="N13" s="42" t="str">
        <x:v>Part of USD1.2bn six-vessel Jiangnan LNG order.</x:v>
      </x:c>
    </x:row>
    <x:row r="14">
      <x:c r="A14" s="42" t="str">
        <x:v>BUILD_000013</x:v>
      </x:c>
      <x:c r="B14" s="42" t="str">
        <x:v>VESSEL_00021</x:v>
      </x:c>
      <x:c r="C14" s="42" t="str">
        <x:v>Al Reef</x:v>
      </x:c>
      <x:c r="D14" s="42" t="str">
        <x:v>YARD_0003</x:v>
      </x:c>
      <x:c r="E14" s="42" t="str">
        <x:v>Jiangnan Shipyard</x:v>
      </x:c>
      <x:c r="F14" s="42" t="str">
        <x:v>China</x:v>
      </x:c>
      <x:c r="G14" s="42" t="str"/>
      <x:c r="H14" s="42" t="str">
        <x:v>2022</x:v>
      </x:c>
      <x:c r="I14" s="42" t="str">
        <x:v>2025-2026</x:v>
      </x:c>
      <x:c r="J14" s="42" t="str">
        <x:v>Delivered</x:v>
      </x:c>
      <x:c r="K14" s="42" t="str">
        <x:v>175,000 m3</x:v>
      </x:c>
      <x:c r="L14" s="42" t="str"/>
      <x:c r="M14" s="42" t="str">
        <x:v>SRC_0070</x:v>
      </x:c>
      <x:c r="N14" s="42" t="str">
        <x:v>Part of USD1.2bn six-vessel Jiangnan LNG order.</x:v>
      </x:c>
    </x:row>
    <x:row r="15">
      <x:c r="A15" s="42" t="str">
        <x:v>BUILD_000014</x:v>
      </x:c>
      <x:c r="B15" s="42" t="str">
        <x:v>VESSEL_00022</x:v>
      </x:c>
      <x:c r="C15" s="42" t="str">
        <x:v>Al Shelila</x:v>
      </x:c>
      <x:c r="D15" s="42" t="str">
        <x:v>YARD_0003</x:v>
      </x:c>
      <x:c r="E15" s="42" t="str">
        <x:v>Jiangnan Shipyard</x:v>
      </x:c>
      <x:c r="F15" s="42" t="str">
        <x:v>China</x:v>
      </x:c>
      <x:c r="G15" s="42" t="str"/>
      <x:c r="H15" s="42" t="str">
        <x:v>2022</x:v>
      </x:c>
      <x:c r="I15" s="42" t="str">
        <x:v>2025-2026</x:v>
      </x:c>
      <x:c r="J15" s="42" t="str">
        <x:v>Delivered</x:v>
      </x:c>
      <x:c r="K15" s="42" t="str">
        <x:v>175,000 m3</x:v>
      </x:c>
      <x:c r="L15" s="42" t="str"/>
      <x:c r="M15" s="42" t="str">
        <x:v>SRC_0070</x:v>
      </x:c>
      <x:c r="N15" s="42" t="str">
        <x:v>Part of USD1.2bn six-vessel Jiangnan LNG order.</x:v>
      </x:c>
    </x:row>
    <x:row r="16">
      <x:c r="A16" s="42" t="str">
        <x:v>BUILD_000015</x:v>
      </x:c>
      <x:c r="B16" s="42" t="str">
        <x:v>VESSEL_00028</x:v>
      </x:c>
      <x:c r="C16" s="42" t="str">
        <x:v>Ruwais LNG H2711</x:v>
      </x:c>
      <x:c r="D16" s="42" t="str">
        <x:v>YARD_0004</x:v>
      </x:c>
      <x:c r="E16" s="42" t="str">
        <x:v>Samsung Heavy Industries</x:v>
      </x:c>
      <x:c r="F16" s="42" t="str">
        <x:v>South Korea</x:v>
      </x:c>
      <x:c r="G16" s="42" t="str">
        <x:v>H2711</x:v>
      </x:c>
      <x:c r="H16" s="42" t="str">
        <x:v>2024</x:v>
      </x:c>
      <x:c r="I16" s="42" t="str">
        <x:v>2028 onward</x:v>
      </x:c>
      <x:c r="J16" s="42" t="str">
        <x:v>On order</x:v>
      </x:c>
      <x:c r="K16" s="42" t="str">
        <x:v>174,000 m3</x:v>
      </x:c>
      <x:c r="L16" s="42" t="str"/>
      <x:c r="M16" s="42" t="str">
        <x:v>SRC_0072</x:v>
      </x:c>
      <x:c r="N16" s="42" t="str">
        <x:v>Firm ADNOC L&amp;S newbuild.</x:v>
      </x:c>
    </x:row>
    <x:row r="17">
      <x:c r="A17" s="42" t="str">
        <x:v>BUILD_000016</x:v>
      </x:c>
      <x:c r="B17" s="42" t="str">
        <x:v>VESSEL_00029</x:v>
      </x:c>
      <x:c r="C17" s="42" t="str">
        <x:v>Ruwais LNG H2712</x:v>
      </x:c>
      <x:c r="D17" s="42" t="str">
        <x:v>YARD_0004</x:v>
      </x:c>
      <x:c r="E17" s="42" t="str">
        <x:v>Samsung Heavy Industries</x:v>
      </x:c>
      <x:c r="F17" s="42" t="str">
        <x:v>South Korea</x:v>
      </x:c>
      <x:c r="G17" s="42" t="str">
        <x:v>H2712</x:v>
      </x:c>
      <x:c r="H17" s="42" t="str">
        <x:v>2024</x:v>
      </x:c>
      <x:c r="I17" s="42" t="str">
        <x:v>2028 onward</x:v>
      </x:c>
      <x:c r="J17" s="42" t="str">
        <x:v>On order</x:v>
      </x:c>
      <x:c r="K17" s="42" t="str">
        <x:v>174,000 m3</x:v>
      </x:c>
      <x:c r="L17" s="42" t="str"/>
      <x:c r="M17" s="42" t="str">
        <x:v>SRC_0072</x:v>
      </x:c>
      <x:c r="N17" s="42" t="str">
        <x:v>Firm ADNOC L&amp;S newbuild.</x:v>
      </x:c>
    </x:row>
    <x:row r="18">
      <x:c r="A18" s="42" t="str">
        <x:v>BUILD_000017</x:v>
      </x:c>
      <x:c r="B18" s="42" t="str">
        <x:v>VESSEL_00030</x:v>
      </x:c>
      <x:c r="C18" s="42" t="str">
        <x:v>Ruwais LNG H2713</x:v>
      </x:c>
      <x:c r="D18" s="42" t="str">
        <x:v>YARD_0004</x:v>
      </x:c>
      <x:c r="E18" s="42" t="str">
        <x:v>Samsung Heavy Industries</x:v>
      </x:c>
      <x:c r="F18" s="42" t="str">
        <x:v>South Korea</x:v>
      </x:c>
      <x:c r="G18" s="42" t="str">
        <x:v>H2713</x:v>
      </x:c>
      <x:c r="H18" s="42" t="str">
        <x:v>2024</x:v>
      </x:c>
      <x:c r="I18" s="42" t="str">
        <x:v>2028 onward</x:v>
      </x:c>
      <x:c r="J18" s="42" t="str">
        <x:v>On order</x:v>
      </x:c>
      <x:c r="K18" s="42" t="str">
        <x:v>174,000 m3</x:v>
      </x:c>
      <x:c r="L18" s="42" t="str"/>
      <x:c r="M18" s="42" t="str">
        <x:v>SRC_0072</x:v>
      </x:c>
      <x:c r="N18" s="42" t="str">
        <x:v>Firm ADNOC L&amp;S newbuild.</x:v>
      </x:c>
    </x:row>
    <x:row r="19">
      <x:c r="A19" s="42" t="str">
        <x:v>BUILD_000018</x:v>
      </x:c>
      <x:c r="B19" s="42" t="str">
        <x:v>VESSEL_00031</x:v>
      </x:c>
      <x:c r="C19" s="42" t="str">
        <x:v>Ruwais LNG H2714</x:v>
      </x:c>
      <x:c r="D19" s="42" t="str">
        <x:v>YARD_0004</x:v>
      </x:c>
      <x:c r="E19" s="42" t="str">
        <x:v>Samsung Heavy Industries</x:v>
      </x:c>
      <x:c r="F19" s="42" t="str">
        <x:v>South Korea</x:v>
      </x:c>
      <x:c r="G19" s="42" t="str">
        <x:v>H2714</x:v>
      </x:c>
      <x:c r="H19" s="42" t="str">
        <x:v>2024</x:v>
      </x:c>
      <x:c r="I19" s="42" t="str">
        <x:v>2028 onward</x:v>
      </x:c>
      <x:c r="J19" s="42" t="str">
        <x:v>On order</x:v>
      </x:c>
      <x:c r="K19" s="42" t="str">
        <x:v>174,000 m3</x:v>
      </x:c>
      <x:c r="L19" s="42" t="str"/>
      <x:c r="M19" s="42" t="str">
        <x:v>SRC_0072</x:v>
      </x:c>
      <x:c r="N19" s="42" t="str">
        <x:v>Firm ADNOC L&amp;S newbuild.</x:v>
      </x:c>
    </x:row>
    <x:row r="20">
      <x:c r="A20" s="42" t="str">
        <x:v>BUILD_000019</x:v>
      </x:c>
      <x:c r="B20" s="42" t="str">
        <x:v>VESSEL_00032</x:v>
      </x:c>
      <x:c r="C20" s="42" t="str">
        <x:v>Ruwais LNG H2598</x:v>
      </x:c>
      <x:c r="D20" s="42" t="str">
        <x:v>YARD_0005</x:v>
      </x:c>
      <x:c r="E20" s="42" t="str">
        <x:v>Hanwha Ocean</x:v>
      </x:c>
      <x:c r="F20" s="42" t="str">
        <x:v>South Korea</x:v>
      </x:c>
      <x:c r="G20" s="42" t="str">
        <x:v>H2598</x:v>
      </x:c>
      <x:c r="H20" s="42" t="str">
        <x:v>2024</x:v>
      </x:c>
      <x:c r="I20" s="42" t="str">
        <x:v>2028 onward</x:v>
      </x:c>
      <x:c r="J20" s="42" t="str">
        <x:v>On order</x:v>
      </x:c>
      <x:c r="K20" s="42" t="str">
        <x:v>174,000 m3</x:v>
      </x:c>
      <x:c r="L20" s="42" t="str"/>
      <x:c r="M20" s="42" t="str">
        <x:v>SRC_0072</x:v>
      </x:c>
      <x:c r="N20" s="42" t="str">
        <x:v>Firm ADNOC L&amp;S newbuild.</x:v>
      </x:c>
    </x:row>
    <x:row r="21">
      <x:c r="A21" s="42" t="str">
        <x:v>BUILD_000020</x:v>
      </x:c>
      <x:c r="B21" s="42" t="str">
        <x:v>VESSEL_00033</x:v>
      </x:c>
      <x:c r="C21" s="42" t="str">
        <x:v>Ruwais LNG H2599</x:v>
      </x:c>
      <x:c r="D21" s="42" t="str">
        <x:v>YARD_0005</x:v>
      </x:c>
      <x:c r="E21" s="42" t="str">
        <x:v>Hanwha Ocean</x:v>
      </x:c>
      <x:c r="F21" s="42" t="str">
        <x:v>South Korea</x:v>
      </x:c>
      <x:c r="G21" s="42" t="str">
        <x:v>H2599</x:v>
      </x:c>
      <x:c r="H21" s="42" t="str">
        <x:v>2024</x:v>
      </x:c>
      <x:c r="I21" s="42" t="str">
        <x:v>2028 onward</x:v>
      </x:c>
      <x:c r="J21" s="42" t="str">
        <x:v>On order</x:v>
      </x:c>
      <x:c r="K21" s="42" t="str">
        <x:v>174,000 m3</x:v>
      </x:c>
      <x:c r="L21" s="42" t="str"/>
      <x:c r="M21" s="42" t="str">
        <x:v>SRC_0072</x:v>
      </x:c>
      <x:c r="N21" s="42" t="str">
        <x:v>Firm ADNOC L&amp;S newbuild.</x:v>
      </x:c>
    </x:row>
    <x:row r="22">
      <x:c r="A22" s="42" t="str">
        <x:v>BUILD_000021</x:v>
      </x:c>
      <x:c r="B22" s="42" t="str">
        <x:v>VESSEL_00034</x:v>
      </x:c>
      <x:c r="C22" s="42" t="str">
        <x:v>Ruwais LNG H2600</x:v>
      </x:c>
      <x:c r="D22" s="42" t="str">
        <x:v>YARD_0005</x:v>
      </x:c>
      <x:c r="E22" s="42" t="str">
        <x:v>Hanwha Ocean</x:v>
      </x:c>
      <x:c r="F22" s="42" t="str">
        <x:v>South Korea</x:v>
      </x:c>
      <x:c r="G22" s="42" t="str">
        <x:v>H2600</x:v>
      </x:c>
      <x:c r="H22" s="42" t="str">
        <x:v>2024</x:v>
      </x:c>
      <x:c r="I22" s="42" t="str">
        <x:v>2028 onward</x:v>
      </x:c>
      <x:c r="J22" s="42" t="str">
        <x:v>On order</x:v>
      </x:c>
      <x:c r="K22" s="42" t="str">
        <x:v>174,000 m3</x:v>
      </x:c>
      <x:c r="L22" s="42" t="str"/>
      <x:c r="M22" s="42" t="str">
        <x:v>SRC_0072</x:v>
      </x:c>
      <x:c r="N22" s="42" t="str">
        <x:v>Firm ADNOC L&amp;S newbuild.</x:v>
      </x:c>
    </x:row>
    <x:row r="23">
      <x:c r="A23" s="42" t="str">
        <x:v>BUILD_000022</x:v>
      </x:c>
      <x:c r="B23" s="42" t="str">
        <x:v>VESSEL_00035</x:v>
      </x:c>
      <x:c r="C23" s="42" t="str">
        <x:v>Ruwais LNG H2601</x:v>
      </x:c>
      <x:c r="D23" s="42" t="str">
        <x:v>YARD_0005</x:v>
      </x:c>
      <x:c r="E23" s="42" t="str">
        <x:v>Hanwha Ocean</x:v>
      </x:c>
      <x:c r="F23" s="42" t="str">
        <x:v>South Korea</x:v>
      </x:c>
      <x:c r="G23" s="42" t="str">
        <x:v>H2601</x:v>
      </x:c>
      <x:c r="H23" s="42" t="str">
        <x:v>2024</x:v>
      </x:c>
      <x:c r="I23" s="42" t="str">
        <x:v>2028 onward</x:v>
      </x:c>
      <x:c r="J23" s="42" t="str">
        <x:v>On order</x:v>
      </x:c>
      <x:c r="K23" s="42" t="str">
        <x:v>174,000 m3</x:v>
      </x:c>
      <x:c r="L23" s="42" t="str"/>
      <x:c r="M23" s="42" t="str">
        <x:v>SRC_0072</x:v>
      </x:c>
      <x:c r="N23" s="42" t="str">
        <x:v>Firm ADNOC L&amp;S newbuild.</x:v>
      </x:c>
    </x:row>
    <x:row r="24">
      <x:c r="A24" s="42" t="str">
        <x:v>BUILD_000023</x:v>
      </x:c>
      <x:c r="B24" s="42" t="str">
        <x:v>VESSEL_00038</x:v>
      </x:c>
      <x:c r="C24" s="42" t="str">
        <x:v>AWS-Al Ain</x:v>
      </x:c>
      <x:c r="D24" s="42" t="str">
        <x:v>YARD_0003</x:v>
      </x:c>
      <x:c r="E24" s="42" t="str">
        <x:v>Jiangnan Shipyard</x:v>
      </x:c>
      <x:c r="F24" s="42" t="str">
        <x:v>China</x:v>
      </x:c>
      <x:c r="G24" s="42" t="str"/>
      <x:c r="H24" s="42" t="str"/>
      <x:c r="I24" s="42" t="str">
        <x:v>2023</x:v>
      </x:c>
      <x:c r="J24" s="42" t="str">
        <x:v>Delivered</x:v>
      </x:c>
      <x:c r="K24" s="42" t="str">
        <x:v>86,000 m3</x:v>
      </x:c>
      <x:c r="L24" s="42" t="str">
        <x:v>LPG dual-fuel</x:v>
      </x:c>
      <x:c r="M24" s="42" t="str">
        <x:v>SRC_0071</x:v>
      </x:c>
      <x:c r="N24" s="42" t="str">
        <x:v>AW Shipping VLGC newbuild.</x:v>
      </x:c>
    </x:row>
    <x:row r="25">
      <x:c r="A25" s="42" t="str">
        <x:v>BUILD_000024</x:v>
      </x:c>
      <x:c r="B25" s="42" t="str">
        <x:v>VESSEL_00039</x:v>
      </x:c>
      <x:c r="C25" s="42" t="str">
        <x:v>AWS-Zakher</x:v>
      </x:c>
      <x:c r="D25" s="42" t="str">
        <x:v>YARD_0003</x:v>
      </x:c>
      <x:c r="E25" s="42" t="str">
        <x:v>Jiangnan Shipyard</x:v>
      </x:c>
      <x:c r="F25" s="42" t="str">
        <x:v>China</x:v>
      </x:c>
      <x:c r="G25" s="42" t="str"/>
      <x:c r="H25" s="42" t="str"/>
      <x:c r="I25" s="42" t="str">
        <x:v>2023</x:v>
      </x:c>
      <x:c r="J25" s="42" t="str">
        <x:v>Delivered</x:v>
      </x:c>
      <x:c r="K25" s="42" t="str">
        <x:v>86,000 m3</x:v>
      </x:c>
      <x:c r="L25" s="42" t="str">
        <x:v>LPG dual-fuel</x:v>
      </x:c>
      <x:c r="M25" s="42" t="str">
        <x:v>SRC_0071</x:v>
      </x:c>
      <x:c r="N25" s="42" t="str">
        <x:v>AW Shipping VLGC newbuild.</x:v>
      </x:c>
    </x:row>
    <x:row r="26">
      <x:c r="A26" s="42" t="str">
        <x:v>BUILD_000025</x:v>
      </x:c>
      <x:c r="B26" s="42" t="str">
        <x:v>VESSEL_00040</x:v>
      </x:c>
      <x:c r="C26" s="42" t="str">
        <x:v>AWS-Rabdan</x:v>
      </x:c>
      <x:c r="D26" s="42" t="str">
        <x:v>YARD_0003</x:v>
      </x:c>
      <x:c r="E26" s="42" t="str">
        <x:v>Jiangnan Shipyard</x:v>
      </x:c>
      <x:c r="F26" s="42" t="str">
        <x:v>China</x:v>
      </x:c>
      <x:c r="G26" s="42" t="str"/>
      <x:c r="H26" s="42" t="str"/>
      <x:c r="I26" s="42" t="str">
        <x:v>2023</x:v>
      </x:c>
      <x:c r="J26" s="42" t="str">
        <x:v>Delivered</x:v>
      </x:c>
      <x:c r="K26" s="42" t="str">
        <x:v>86,000 m3</x:v>
      </x:c>
      <x:c r="L26" s="42" t="str">
        <x:v>LPG dual-fuel</x:v>
      </x:c>
      <x:c r="M26" s="42" t="str">
        <x:v>SRC_0071</x:v>
      </x:c>
      <x:c r="N26" s="42" t="str">
        <x:v>AW Shipping VLGC newbuild.</x:v>
      </x:c>
    </x:row>
    <x:row r="27">
      <x:c r="A27" s="42" t="str">
        <x:v>BUILD_000026</x:v>
      </x:c>
      <x:c r="B27" s="42" t="str">
        <x:v>VESSEL_00041</x:v>
      </x:c>
      <x:c r="C27" s="42" t="str">
        <x:v>AWS-Al Salam</x:v>
      </x:c>
      <x:c r="D27" s="42" t="str">
        <x:v>YARD_0003</x:v>
      </x:c>
      <x:c r="E27" s="42" t="str">
        <x:v>Jiangnan Shipyard</x:v>
      </x:c>
      <x:c r="F27" s="42" t="str">
        <x:v>China</x:v>
      </x:c>
      <x:c r="G27" s="42" t="str"/>
      <x:c r="H27" s="42" t="str"/>
      <x:c r="I27" s="42" t="str">
        <x:v>2023</x:v>
      </x:c>
      <x:c r="J27" s="42" t="str">
        <x:v>Delivered</x:v>
      </x:c>
      <x:c r="K27" s="42" t="str">
        <x:v>86,000 m3</x:v>
      </x:c>
      <x:c r="L27" s="42" t="str">
        <x:v>LPG dual-fuel</x:v>
      </x:c>
      <x:c r="M27" s="42" t="str">
        <x:v>SRC_0071</x:v>
      </x:c>
      <x:c r="N27" s="42" t="str">
        <x:v>AW Shipping VLGC newbuild.</x:v>
      </x:c>
    </x:row>
    <x:row r="28">
      <x:c r="A28" s="42" t="str">
        <x:v>BUILD_000027</x:v>
      </x:c>
      <x:c r="B28" s="42" t="str">
        <x:v>VESSEL_00042</x:v>
      </x:c>
      <x:c r="C28" s="42" t="str">
        <x:v>AWS-Baynounah</x:v>
      </x:c>
      <x:c r="D28" s="42" t="str">
        <x:v>YARD_0003</x:v>
      </x:c>
      <x:c r="E28" s="42" t="str">
        <x:v>Jiangnan Shipyard</x:v>
      </x:c>
      <x:c r="F28" s="42" t="str">
        <x:v>China</x:v>
      </x:c>
      <x:c r="G28" s="42" t="str"/>
      <x:c r="H28" s="42" t="str"/>
      <x:c r="I28" s="42" t="str">
        <x:v>2023</x:v>
      </x:c>
      <x:c r="J28" s="42" t="str">
        <x:v>Delivered</x:v>
      </x:c>
      <x:c r="K28" s="42" t="str">
        <x:v>86,000 m3</x:v>
      </x:c>
      <x:c r="L28" s="42" t="str">
        <x:v>LPG dual-fuel</x:v>
      </x:c>
      <x:c r="M28" s="42" t="str">
        <x:v>SRC_0071</x:v>
      </x:c>
      <x:c r="N28" s="42" t="str">
        <x:v>AW Shipping VLGC newbuild.</x:v>
      </x:c>
    </x:row>
    <x:row r="29">
      <x:c r="A29" s="42" t="str">
        <x:v>BUILD_000028</x:v>
      </x:c>
      <x:c r="B29" s="42" t="str">
        <x:v>VESSEL_00073</x:v>
      </x:c>
      <x:c r="C29" s="42" t="str">
        <x:v>ADNOC L&amp;S molten sulphur newbuild</x:v>
      </x:c>
      <x:c r="D29" s="42" t="str">
        <x:v>YARD_0017</x:v>
      </x:c>
      <x:c r="E29" s="42" t="str">
        <x:v>Jiangsu Zhenjiang Shipyard</x:v>
      </x:c>
      <x:c r="F29" s="42" t="str">
        <x:v>China</x:v>
      </x:c>
      <x:c r="G29" s="42" t="str"/>
      <x:c r="H29" s="42" t="str"/>
      <x:c r="I29" s="42" t="str"/>
      <x:c r="J29" s="42" t="str">
        <x:v>On order</x:v>
      </x:c>
      <x:c r="K29" s="42" t="str">
        <x:v>11,000</x:v>
      </x:c>
      <x:c r="L29" s="42" t="str"/>
      <x:c r="M29" s="42" t="str">
        <x:v>SRC_0066</x:v>
      </x:c>
      <x:c r="N29" s="42" t="str">
        <x:v>Unnamed molten-sulphur carrier shown on official fleet sheet.</x:v>
      </x:c>
    </x:row>
    <x:row r="30">
      <x:c r="A30" s="42" t="str">
        <x:v>BUILD_000029</x:v>
      </x:c>
      <x:c r="B30" s="42" t="str">
        <x:v>VESSEL_00117</x:v>
      </x:c>
      <x:c r="C30" s="42" t="str">
        <x:v>SINOKOR NIIGATA</x:v>
      </x:c>
      <x:c r="D30" s="42" t="str">
        <x:v>YARD_0022</x:v>
      </x:c>
      <x:c r="E30" s="42" t="str">
        <x:v>Murakami Hide Shipyard</x:v>
      </x:c>
      <x:c r="F30" s="42" t="str">
        <x:v>Japan</x:v>
      </x:c>
      <x:c r="G30" s="42" t="str"/>
      <x:c r="H30" s="42" t="str"/>
      <x:c r="I30" s="42" t="str">
        <x:v>1999</x:v>
      </x:c>
      <x:c r="J30" s="42" t="str">
        <x:v>Delivered</x:v>
      </x:c>
      <x:c r="K30" s="42" t="str">
        <x:v>550 TEU</x:v>
      </x:c>
      <x:c r="L30" s="42" t="str"/>
      <x:c r="M30" s="42" t="str">
        <x:v>SRC_0102</x:v>
      </x:c>
      <x:c r="N30" s="42" t="str">
        <x:v>Historical builder copied from SINOKOR public vessel page; exact yard entity normalized only where unambiguous.</x:v>
      </x:c>
    </x:row>
    <x:row r="31">
      <x:c r="A31" s="42" t="str">
        <x:v>BUILD_000030</x:v>
      </x:c>
      <x:c r="B31" s="42" t="str">
        <x:v>VESSEL_00118</x:v>
      </x:c>
      <x:c r="C31" s="42" t="str">
        <x:v>MEREDITH VICTORY</x:v>
      </x:c>
      <x:c r="D31" s="42" t="str">
        <x:v>YARD_0006</x:v>
      </x:c>
      <x:c r="E31" s="42" t="str">
        <x:v>Hyundai Heavy Industries</x:v>
      </x:c>
      <x:c r="F31" s="42" t="str">
        <x:v>South Korea</x:v>
      </x:c>
      <x:c r="G31" s="42" t="str"/>
      <x:c r="H31" s="42" t="str"/>
      <x:c r="I31" s="42" t="str">
        <x:v>2009</x:v>
      </x:c>
      <x:c r="J31" s="42" t="str">
        <x:v>Delivered</x:v>
      </x:c>
      <x:c r="K31" s="42" t="str"/>
      <x:c r="L31" s="42" t="str"/>
      <x:c r="M31" s="42" t="str">
        <x:v>SRC_0102</x:v>
      </x:c>
      <x:c r="N31" s="42" t="str">
        <x:v>Historical builder copied from SINOKOR public vessel page; exact yard entity normalized only where unambiguous.</x:v>
      </x:c>
    </x:row>
    <x:row r="32">
      <x:c r="A32" s="42" t="str">
        <x:v>BUILD_000031</x:v>
      </x:c>
      <x:c r="B32" s="42" t="str">
        <x:v>VESSEL_00120</x:v>
      </x:c>
      <x:c r="C32" s="42" t="str">
        <x:v>GENEVA QUEEN</x:v>
      </x:c>
      <x:c r="D32" s="42" t="str">
        <x:v>YARD_0023</x:v>
      </x:c>
      <x:c r="E32" s="42" t="str">
        <x:v>Sungdong Shipbuilding &amp; Marine Engineering</x:v>
      </x:c>
      <x:c r="F32" s="42" t="str">
        <x:v>South Korea</x:v>
      </x:c>
      <x:c r="G32" s="42" t="str"/>
      <x:c r="H32" s="42" t="str"/>
      <x:c r="I32" s="42" t="str">
        <x:v>2012</x:v>
      </x:c>
      <x:c r="J32" s="42" t="str">
        <x:v>Delivered</x:v>
      </x:c>
      <x:c r="K32" s="42" t="str"/>
      <x:c r="L32" s="42" t="str"/>
      <x:c r="M32" s="42" t="str">
        <x:v>SRC_0102</x:v>
      </x:c>
      <x:c r="N32" s="42" t="str">
        <x:v>Historical builder copied from SINOKOR public vessel page; exact yard entity normalized only where unambiguous.</x:v>
      </x:c>
    </x:row>
    <x:row r="33">
      <x:c r="A33" s="42" t="str">
        <x:v>BUILD_000032</x:v>
      </x:c>
      <x:c r="B33" s="42" t="str">
        <x:v>VESSEL_00121</x:v>
      </x:c>
      <x:c r="C33" s="42" t="str">
        <x:v>Hakata Voyager</x:v>
      </x:c>
      <x:c r="D33" s="42" t="str">
        <x:v>YARD_0019</x:v>
      </x:c>
      <x:c r="E33" s="42" t="str">
        <x:v>Fujian Mawei Shipbuilding</x:v>
      </x:c>
      <x:c r="F33" s="42" t="str">
        <x:v>China</x:v>
      </x:c>
      <x:c r="G33" s="42" t="str"/>
      <x:c r="H33" s="42" t="str"/>
      <x:c r="I33" s="42" t="str">
        <x:v>2005</x:v>
      </x:c>
      <x:c r="J33" s="42" t="str">
        <x:v>Delivered</x:v>
      </x:c>
      <x:c r="K33" s="42" t="str">
        <x:v>698 TEU</x:v>
      </x:c>
      <x:c r="L33" s="42" t="str"/>
      <x:c r="M33" s="42" t="str">
        <x:v>SRC_0102</x:v>
      </x:c>
      <x:c r="N33" s="42" t="str">
        <x:v>Historical builder copied from SINOKOR public vessel page; exact yard entity normalized only where unambiguous.</x:v>
      </x:c>
    </x:row>
    <x:row r="34">
      <x:c r="A34" s="42" t="str">
        <x:v>BUILD_000033</x:v>
      </x:c>
      <x:c r="B34" s="42" t="str">
        <x:v>VESSEL_00122</x:v>
      </x:c>
      <x:c r="C34" s="42" t="str">
        <x:v>Vostochny Voyager</x:v>
      </x:c>
      <x:c r="D34" s="42" t="str">
        <x:v>YARD_0019</x:v>
      </x:c>
      <x:c r="E34" s="42" t="str">
        <x:v>Fujian Mawei Shipbuilding</x:v>
      </x:c>
      <x:c r="F34" s="42" t="str">
        <x:v>China</x:v>
      </x:c>
      <x:c r="G34" s="42" t="str"/>
      <x:c r="H34" s="42" t="str"/>
      <x:c r="I34" s="42" t="str">
        <x:v>2005</x:v>
      </x:c>
      <x:c r="J34" s="42" t="str">
        <x:v>Delivered</x:v>
      </x:c>
      <x:c r="K34" s="42" t="str">
        <x:v>698 TEU</x:v>
      </x:c>
      <x:c r="L34" s="42" t="str"/>
      <x:c r="M34" s="42" t="str">
        <x:v>SRC_0102</x:v>
      </x:c>
      <x:c r="N34" s="42" t="str">
        <x:v>Historical builder copied from SINOKOR public vessel page; exact yard entity normalized only where unambiguous.</x:v>
      </x:c>
    </x:row>
    <x:row r="35">
      <x:c r="A35" s="42" t="str">
        <x:v>BUILD_000034</x:v>
      </x:c>
      <x:c r="B35" s="42" t="str">
        <x:v>VESSEL_00123</x:v>
      </x:c>
      <x:c r="C35" s="42" t="str">
        <x:v>HongKong Voyager</x:v>
      </x:c>
      <x:c r="D35" s="42" t="str"/>
      <x:c r="E35" s="42" t="str">
        <x:v>Hakata (shipyard as listed by SINOKOR)</x:v>
      </x:c>
      <x:c r="F35" s="42" t="str">
        <x:v>Japan</x:v>
      </x:c>
      <x:c r="G35" s="42" t="str"/>
      <x:c r="H35" s="42" t="str"/>
      <x:c r="I35" s="42" t="str">
        <x:v>2006</x:v>
      </x:c>
      <x:c r="J35" s="42" t="str">
        <x:v>Delivered</x:v>
      </x:c>
      <x:c r="K35" s="42" t="str">
        <x:v>1,060 TEU</x:v>
      </x:c>
      <x:c r="L35" s="42" t="str"/>
      <x:c r="M35" s="42" t="str">
        <x:v>SRC_0102</x:v>
      </x:c>
      <x:c r="N35" s="42" t="str">
        <x:v>Historical builder copied from SINOKOR public vessel page; exact yard entity normalized only where unambiguous.</x:v>
      </x:c>
    </x:row>
    <x:row r="36">
      <x:c r="A36" s="42" t="str">
        <x:v>BUILD_000035</x:v>
      </x:c>
      <x:c r="B36" s="42" t="str">
        <x:v>VESSEL_00124</x:v>
      </x:c>
      <x:c r="C36" s="42" t="str">
        <x:v>Osaka Voyager</x:v>
      </x:c>
      <x:c r="D36" s="42" t="str">
        <x:v>YARD_0019</x:v>
      </x:c>
      <x:c r="E36" s="42" t="str">
        <x:v>Fujian Mawei Shipbuilding</x:v>
      </x:c>
      <x:c r="F36" s="42" t="str">
        <x:v>China</x:v>
      </x:c>
      <x:c r="G36" s="42" t="str"/>
      <x:c r="H36" s="42" t="str"/>
      <x:c r="I36" s="42" t="str">
        <x:v>2005</x:v>
      </x:c>
      <x:c r="J36" s="42" t="str">
        <x:v>Delivered</x:v>
      </x:c>
      <x:c r="K36" s="42" t="str">
        <x:v>698 TEU</x:v>
      </x:c>
      <x:c r="L36" s="42" t="str"/>
      <x:c r="M36" s="42" t="str">
        <x:v>SRC_0102</x:v>
      </x:c>
      <x:c r="N36" s="42" t="str">
        <x:v>Historical builder copied from SINOKOR public vessel page; exact yard entity normalized only where unambiguous.</x:v>
      </x:c>
    </x:row>
    <x:row r="37">
      <x:c r="A37" s="42" t="str">
        <x:v>BUILD_000036</x:v>
      </x:c>
      <x:c r="B37" s="42" t="str">
        <x:v>VESSEL_00125</x:v>
      </x:c>
      <x:c r="C37" s="42" t="str">
        <x:v>NAGOYA TRADER</x:v>
      </x:c>
      <x:c r="D37" s="42" t="str">
        <x:v>YARD_0024</x:v>
      </x:c>
      <x:c r="E37" s="42" t="str">
        <x:v>Kyokuyo Shipyard</x:v>
      </x:c>
      <x:c r="F37" s="42" t="str">
        <x:v>Japan</x:v>
      </x:c>
      <x:c r="G37" s="42" t="str"/>
      <x:c r="H37" s="42" t="str"/>
      <x:c r="I37" s="42" t="str">
        <x:v>2009</x:v>
      </x:c>
      <x:c r="J37" s="42" t="str">
        <x:v>Delivered</x:v>
      </x:c>
      <x:c r="K37" s="42" t="str">
        <x:v>907 TEU</x:v>
      </x:c>
      <x:c r="L37" s="42" t="str"/>
      <x:c r="M37" s="42" t="str">
        <x:v>SRC_0102</x:v>
      </x:c>
      <x:c r="N37" s="42" t="str">
        <x:v>Historical builder copied from SINOKOR public vessel page; exact yard entity normalized only where unambiguous.</x:v>
      </x:c>
    </x:row>
    <x:row r="38">
      <x:c r="A38" s="42" t="str">
        <x:v>BUILD_000037</x:v>
      </x:c>
      <x:c r="B38" s="42" t="str">
        <x:v>VESSEL_00126</x:v>
      </x:c>
      <x:c r="C38" s="42" t="str">
        <x:v>SAWASDEE PACIFIC</x:v>
      </x:c>
      <x:c r="D38" s="42" t="str">
        <x:v>YARD_0016</x:v>
      </x:c>
      <x:c r="E38" s="42" t="str">
        <x:v>Hyundai Mipo Dockyard</x:v>
      </x:c>
      <x:c r="F38" s="42" t="str">
        <x:v>South Korea</x:v>
      </x:c>
      <x:c r="G38" s="42" t="str"/>
      <x:c r="H38" s="42" t="str"/>
      <x:c r="I38" s="42" t="str">
        <x:v>2020</x:v>
      </x:c>
      <x:c r="J38" s="42" t="str">
        <x:v>Delivered</x:v>
      </x:c>
      <x:c r="K38" s="42" t="str">
        <x:v>1,809 TEU</x:v>
      </x:c>
      <x:c r="L38" s="42" t="str"/>
      <x:c r="M38" s="42" t="str">
        <x:v>SRC_0102</x:v>
      </x:c>
      <x:c r="N38" s="42" t="str">
        <x:v>Historical builder copied from SINOKOR public vessel page; exact yard entity normalized only where unambiguous.</x:v>
      </x:c>
    </x:row>
    <x:row r="39">
      <x:c r="A39" s="42" t="str">
        <x:v>BUILD_000038</x:v>
      </x:c>
      <x:c r="B39" s="42" t="str">
        <x:v>VESSEL_00127</x:v>
      </x:c>
      <x:c r="C39" s="42" t="str">
        <x:v>SAWASDEE ATLANTIC</x:v>
      </x:c>
      <x:c r="D39" s="42" t="str">
        <x:v>YARD_0016</x:v>
      </x:c>
      <x:c r="E39" s="42" t="str">
        <x:v>Hyundai Mipo Dockyard</x:v>
      </x:c>
      <x:c r="F39" s="42" t="str">
        <x:v>South Korea</x:v>
      </x:c>
      <x:c r="G39" s="42" t="str"/>
      <x:c r="H39" s="42" t="str"/>
      <x:c r="I39" s="42" t="str">
        <x:v>2020</x:v>
      </x:c>
      <x:c r="J39" s="42" t="str">
        <x:v>Delivered</x:v>
      </x:c>
      <x:c r="K39" s="42" t="str">
        <x:v>1,809 TEU</x:v>
      </x:c>
      <x:c r="L39" s="42" t="str"/>
      <x:c r="M39" s="42" t="str">
        <x:v>SRC_0102</x:v>
      </x:c>
      <x:c r="N39" s="42" t="str">
        <x:v>Historical builder copied from SINOKOR public vessel page; exact yard entity normalized only where unambiguous.</x:v>
      </x:c>
    </x:row>
    <x:row r="40">
      <x:c r="A40" s="42" t="str">
        <x:v>BUILD_000039</x:v>
      </x:c>
      <x:c r="B40" s="42" t="str">
        <x:v>VESSEL_00128</x:v>
      </x:c>
      <x:c r="C40" s="42" t="str">
        <x:v>SAWASDEE BALTIC</x:v>
      </x:c>
      <x:c r="D40" s="42" t="str">
        <x:v>YARD_0016</x:v>
      </x:c>
      <x:c r="E40" s="42" t="str">
        <x:v>Hyundai Mipo Dockyard</x:v>
      </x:c>
      <x:c r="F40" s="42" t="str">
        <x:v>South Korea</x:v>
      </x:c>
      <x:c r="G40" s="42" t="str"/>
      <x:c r="H40" s="42" t="str"/>
      <x:c r="I40" s="42" t="str">
        <x:v>2020</x:v>
      </x:c>
      <x:c r="J40" s="42" t="str">
        <x:v>Delivered</x:v>
      </x:c>
      <x:c r="K40" s="42" t="str">
        <x:v>1,800 TEU</x:v>
      </x:c>
      <x:c r="L40" s="42" t="str"/>
      <x:c r="M40" s="42" t="str">
        <x:v>SRC_0102</x:v>
      </x:c>
      <x:c r="N40" s="42" t="str">
        <x:v>Historical builder copied from SINOKOR public vessel page; exact yard entity normalized only where unambiguous.</x:v>
      </x:c>
    </x:row>
    <x:row r="41">
      <x:c r="A41" s="42" t="str">
        <x:v>BUILD_000040</x:v>
      </x:c>
      <x:c r="B41" s="42" t="str">
        <x:v>VESSEL_00129</x:v>
      </x:c>
      <x:c r="C41" s="42" t="str">
        <x:v>SAWASDEE SUNRISE</x:v>
      </x:c>
      <x:c r="D41" s="42" t="str">
        <x:v>YARD_0016</x:v>
      </x:c>
      <x:c r="E41" s="42" t="str">
        <x:v>Hyundai Mipo Dockyard</x:v>
      </x:c>
      <x:c r="F41" s="42" t="str">
        <x:v>South Korea</x:v>
      </x:c>
      <x:c r="G41" s="42" t="str"/>
      <x:c r="H41" s="42" t="str"/>
      <x:c r="I41" s="42" t="str">
        <x:v>2020</x:v>
      </x:c>
      <x:c r="J41" s="42" t="str">
        <x:v>Delivered</x:v>
      </x:c>
      <x:c r="K41" s="42" t="str">
        <x:v>1,800 TEU</x:v>
      </x:c>
      <x:c r="L41" s="42" t="str"/>
      <x:c r="M41" s="42" t="str">
        <x:v>SRC_0102</x:v>
      </x:c>
      <x:c r="N41" s="42" t="str">
        <x:v>Historical builder copied from SINOKOR public vessel page; exact yard entity normalized only where unambiguous.</x:v>
      </x:c>
    </x:row>
    <x:row r="42">
      <x:c r="A42" s="42" t="str">
        <x:v>BUILD_000041</x:v>
      </x:c>
      <x:c r="B42" s="42" t="str">
        <x:v>VESSEL_00136</x:v>
      </x:c>
      <x:c r="C42" s="42" t="str">
        <x:v>KOBE TRADER</x:v>
      </x:c>
      <x:c r="D42" s="42" t="str">
        <x:v>YARD_0018</x:v>
      </x:c>
      <x:c r="E42" s="42" t="str">
        <x:v>Wenchong Shipyard</x:v>
      </x:c>
      <x:c r="F42" s="42" t="str">
        <x:v>China</x:v>
      </x:c>
      <x:c r="G42" s="42" t="str"/>
      <x:c r="H42" s="42" t="str"/>
      <x:c r="I42" s="42" t="str">
        <x:v>2021</x:v>
      </x:c>
      <x:c r="J42" s="42" t="str">
        <x:v>Delivered</x:v>
      </x:c>
      <x:c r="K42" s="42" t="str">
        <x:v>1,080 TEU</x:v>
      </x:c>
      <x:c r="L42" s="42" t="str"/>
      <x:c r="M42" s="42" t="str">
        <x:v>SRC_0102</x:v>
      </x:c>
      <x:c r="N42" s="42" t="str">
        <x:v>Historical builder copied from SINOKOR public vessel page; exact yard entity normalized only where unambiguous.</x:v>
      </x:c>
    </x:row>
    <x:row r="43">
      <x:c r="A43" s="42" t="str">
        <x:v>BUILD_000042</x:v>
      </x:c>
      <x:c r="B43" s="42" t="str">
        <x:v>VESSEL_00137</x:v>
      </x:c>
      <x:c r="C43" s="42" t="str">
        <x:v>CHENNAI VOYAGER</x:v>
      </x:c>
      <x:c r="D43" s="42" t="str">
        <x:v>YARD_0021</x:v>
      </x:c>
      <x:c r="E43" s="42" t="str">
        <x:v>Volkswerft Stralsund</x:v>
      </x:c>
      <x:c r="F43" s="42" t="str">
        <x:v>Germany</x:v>
      </x:c>
      <x:c r="G43" s="42" t="str"/>
      <x:c r="H43" s="42" t="str"/>
      <x:c r="I43" s="42" t="str">
        <x:v>1999</x:v>
      </x:c>
      <x:c r="J43" s="42" t="str">
        <x:v>Delivered</x:v>
      </x:c>
      <x:c r="K43" s="42" t="str">
        <x:v>2,546 TEU</x:v>
      </x:c>
      <x:c r="L43" s="42" t="str"/>
      <x:c r="M43" s="42" t="str">
        <x:v>SRC_0102</x:v>
      </x:c>
      <x:c r="N43" s="42" t="str">
        <x:v>Historical builder copied from SINOKOR public vessel page; exact yard entity normalized only where unambiguous.</x:v>
      </x:c>
    </x:row>
    <x:row r="44">
      <x:c r="A44" s="42" t="str">
        <x:v>BUILD_000043</x:v>
      </x:c>
      <x:c r="B44" s="42" t="str">
        <x:v>VESSEL_00138</x:v>
      </x:c>
      <x:c r="C44" s="42" t="str">
        <x:v>SENDAI TRADER</x:v>
      </x:c>
      <x:c r="D44" s="42" t="str">
        <x:v>YARD_0020</x:v>
      </x:c>
      <x:c r="E44" s="42" t="str">
        <x:v>Taizhou Kouan Shipbuilding</x:v>
      </x:c>
      <x:c r="F44" s="42" t="str">
        <x:v>China</x:v>
      </x:c>
      <x:c r="G44" s="42" t="str"/>
      <x:c r="H44" s="42" t="str"/>
      <x:c r="I44" s="42" t="str">
        <x:v>2008</x:v>
      </x:c>
      <x:c r="J44" s="42" t="str">
        <x:v>Delivered</x:v>
      </x:c>
      <x:c r="K44" s="42" t="str">
        <x:v>1,118 TEU</x:v>
      </x:c>
      <x:c r="L44" s="42" t="str"/>
      <x:c r="M44" s="42" t="str">
        <x:v>SRC_0102</x:v>
      </x:c>
      <x:c r="N44" s="42" t="str">
        <x:v>Historical builder copied from SINOKOR public vessel page; exact yard entity normalized only where unambiguous.</x:v>
      </x:c>
    </x:row>
    <x:row r="45">
      <x:c r="A45" s="42" t="str">
        <x:v>BUILD_000044</x:v>
      </x:c>
      <x:c r="B45" s="42" t="str">
        <x:v>VESSEL_00139</x:v>
      </x:c>
      <x:c r="C45" s="42" t="str">
        <x:v>QINGDAO TRADER</x:v>
      </x:c>
      <x:c r="D45" s="42" t="str">
        <x:v>YARD_0018</x:v>
      </x:c>
      <x:c r="E45" s="42" t="str">
        <x:v>Wenchong Shipyard</x:v>
      </x:c>
      <x:c r="F45" s="42" t="str">
        <x:v>China</x:v>
      </x:c>
      <x:c r="G45" s="42" t="str"/>
      <x:c r="H45" s="42" t="str"/>
      <x:c r="I45" s="42" t="str">
        <x:v>2021</x:v>
      </x:c>
      <x:c r="J45" s="42" t="str">
        <x:v>Delivered</x:v>
      </x:c>
      <x:c r="K45" s="42" t="str">
        <x:v>1,080 TEU</x:v>
      </x:c>
      <x:c r="L45" s="42" t="str"/>
      <x:c r="M45" s="42" t="str">
        <x:v>SRC_0102</x:v>
      </x:c>
      <x:c r="N45" s="42" t="str">
        <x:v>Historical builder copied from SINOKOR public vessel page; exact yard entity normalized only where unambiguous.</x:v>
      </x:c>
    </x:row>
    <x:row r="46">
      <x:c r="A46" s="42" t="str">
        <x:v>BUILD_000045</x:v>
      </x:c>
      <x:c r="B46" s="42" t="str">
        <x:v>VESSEL_00140</x:v>
      </x:c>
      <x:c r="C46" s="42" t="str">
        <x:v>YANGTZE TRADER</x:v>
      </x:c>
      <x:c r="D46" s="42" t="str">
        <x:v>YARD_0018</x:v>
      </x:c>
      <x:c r="E46" s="42" t="str">
        <x:v>Wenchong Shipyard</x:v>
      </x:c>
      <x:c r="F46" s="42" t="str">
        <x:v>China</x:v>
      </x:c>
      <x:c r="G46" s="42" t="str"/>
      <x:c r="H46" s="42" t="str"/>
      <x:c r="I46" s="42" t="str">
        <x:v>2022</x:v>
      </x:c>
      <x:c r="J46" s="42" t="str">
        <x:v>Delivered</x:v>
      </x:c>
      <x:c r="K46" s="42" t="str">
        <x:v>1,084 TEU</x:v>
      </x:c>
      <x:c r="L46" s="42" t="str"/>
      <x:c r="M46" s="42" t="str">
        <x:v>SRC_0102</x:v>
      </x:c>
      <x:c r="N46" s="42" t="str">
        <x:v>Historical builder copied from SINOKOR public vessel page; exact yard entity normalized only where unambiguous.</x:v>
      </x:c>
    </x:row>
    <x:row r="47">
      <x:c r="A47" s="42" t="str">
        <x:v>BUILD_000046</x:v>
      </x:c>
      <x:c r="B47" s="42" t="str">
        <x:v>VESSEL_00141</x:v>
      </x:c>
      <x:c r="C47" s="42" t="str">
        <x:v>NO.2 OCEAN PIONEER</x:v>
      </x:c>
      <x:c r="D47" s="42" t="str">
        <x:v>YARD_0026</x:v>
      </x:c>
      <x:c r="E47" s="42" t="str">
        <x:v>Usuki Shipyard</x:v>
      </x:c>
      <x:c r="F47" s="42" t="str">
        <x:v>Japan</x:v>
      </x:c>
      <x:c r="G47" s="42" t="str"/>
      <x:c r="H47" s="42" t="str"/>
      <x:c r="I47" s="42" t="str">
        <x:v>2006</x:v>
      </x:c>
      <x:c r="J47" s="42" t="str">
        <x:v>Delivered</x:v>
      </x:c>
      <x:c r="K47" s="42" t="str"/>
      <x:c r="L47" s="42" t="str"/>
      <x:c r="M47" s="42" t="str">
        <x:v>SRC_0102</x:v>
      </x:c>
      <x:c r="N47" s="42" t="str">
        <x:v>Historical builder copied from SINOKOR public vessel page; exact yard entity normalized only where unambiguous.</x:v>
      </x:c>
    </x:row>
    <x:row r="48">
      <x:c r="A48" s="42" t="str">
        <x:v>BUILD_000047</x:v>
      </x:c>
      <x:c r="B48" s="42" t="str">
        <x:v>VESSEL_00142</x:v>
      </x:c>
      <x:c r="C48" s="42" t="str">
        <x:v>OCEAN PIONEER</x:v>
      </x:c>
      <x:c r="D48" s="42" t="str">
        <x:v>YARD_0025</x:v>
      </x:c>
      <x:c r="E48" s="42" t="str">
        <x:v>Fukuoka Shipbuilding</x:v>
      </x:c>
      <x:c r="F48" s="42" t="str">
        <x:v>Japan</x:v>
      </x:c>
      <x:c r="G48" s="42" t="str"/>
      <x:c r="H48" s="42" t="str"/>
      <x:c r="I48" s="42" t="str">
        <x:v>2007</x:v>
      </x:c>
      <x:c r="J48" s="42" t="str">
        <x:v>Delivered</x:v>
      </x:c>
      <x:c r="K48" s="42" t="str"/>
      <x:c r="L48" s="42" t="str"/>
      <x:c r="M48" s="42" t="str">
        <x:v>SRC_0102</x:v>
      </x:c>
      <x:c r="N48" s="42" t="str">
        <x:v>Historical builder copied from SINOKOR public vessel page; exact yard entity normalized only where unambiguous.</x:v>
      </x:c>
    </x:row>
    <x:row r="49">
      <x:c r="A49" s="42" t="str">
        <x:v>BUILD_000048</x:v>
      </x:c>
      <x:c r="B49" s="42" t="str">
        <x:v>VESSEL_00143</x:v>
      </x:c>
      <x:c r="C49" s="42" t="str">
        <x:v>SAWASDEE CHITTAGONG</x:v>
      </x:c>
      <x:c r="D49" s="42" t="str"/>
      <x:c r="E49" s="42" t="str">
        <x:v>Hyundai (exact yard not specified on captured SINOKOR record)</x:v>
      </x:c>
      <x:c r="F49" s="42" t="str">
        <x:v>South Korea</x:v>
      </x:c>
      <x:c r="G49" s="42" t="str"/>
      <x:c r="H49" s="42" t="str"/>
      <x:c r="I49" s="42" t="str">
        <x:v>2022</x:v>
      </x:c>
      <x:c r="J49" s="42" t="str">
        <x:v>Delivered</x:v>
      </x:c>
      <x:c r="K49" s="42" t="str">
        <x:v>1,800 TEU</x:v>
      </x:c>
      <x:c r="L49" s="42" t="str"/>
      <x:c r="M49" s="42" t="str">
        <x:v>SRC_0102</x:v>
      </x:c>
      <x:c r="N49" s="42" t="str">
        <x:v>Historical builder copied from SINOKOR public vessel page; exact yard entity normalized only where unambiguous.</x:v>
      </x:c>
    </x:row>
    <x:row r="50">
      <x:c r="A50" s="42" t="str">
        <x:v>BUILD_000049</x:v>
      </x:c>
      <x:c r="B50" s="42" t="str">
        <x:v>VESSEL_00144</x:v>
      </x:c>
      <x:c r="C50" s="42" t="str">
        <x:v>SAWASDEE SHANGHAI</x:v>
      </x:c>
      <x:c r="D50" s="42" t="str"/>
      <x:c r="E50" s="42" t="str">
        <x:v>Hyundai (exact yard not specified on captured SINOKOR record)</x:v>
      </x:c>
      <x:c r="F50" s="42" t="str">
        <x:v>South Korea</x:v>
      </x:c>
      <x:c r="G50" s="42" t="str"/>
      <x:c r="H50" s="42" t="str"/>
      <x:c r="I50" s="42" t="str">
        <x:v>2022</x:v>
      </x:c>
      <x:c r="J50" s="42" t="str">
        <x:v>Delivered</x:v>
      </x:c>
      <x:c r="K50" s="42" t="str">
        <x:v>1,800 TEU</x:v>
      </x:c>
      <x:c r="L50" s="42" t="str"/>
      <x:c r="M50" s="42" t="str">
        <x:v>SRC_0102</x:v>
      </x:c>
      <x:c r="N50" s="42" t="str">
        <x:v>Historical builder copied from SINOKOR public vessel page; exact yard entity normalized only where unambiguous.</x:v>
      </x:c>
    </x:row>
    <x:row r="51">
      <x:c r="A51" s="42" t="str">
        <x:v>BUILD_000050</x:v>
      </x:c>
      <x:c r="B51" s="42" t="str">
        <x:v>VESSEL_00145</x:v>
      </x:c>
      <x:c r="C51" s="42" t="str">
        <x:v>SAWASDEE XIAMEN</x:v>
      </x:c>
      <x:c r="D51" s="42" t="str"/>
      <x:c r="E51" s="42" t="str">
        <x:v>Hyundai (exact yard not specified on captured SINOKOR record)</x:v>
      </x:c>
      <x:c r="F51" s="42" t="str">
        <x:v>South Korea</x:v>
      </x:c>
      <x:c r="G51" s="42" t="str"/>
      <x:c r="H51" s="42" t="str"/>
      <x:c r="I51" s="42" t="str">
        <x:v>2022</x:v>
      </x:c>
      <x:c r="J51" s="42" t="str">
        <x:v>Delivered</x:v>
      </x:c>
      <x:c r="K51" s="42" t="str">
        <x:v>1,800 TEU</x:v>
      </x:c>
      <x:c r="L51" s="42" t="str"/>
      <x:c r="M51" s="42" t="str">
        <x:v>SRC_0102</x:v>
      </x:c>
      <x:c r="N51" s="42" t="str">
        <x:v>Historical builder copied from SINOKOR public vessel page; exact yard entity normalized only where unambiguous.</x:v>
      </x:c>
    </x:row>
    <x:row r="52">
      <x:c r="A52" s="42" t="str">
        <x:v>BUILD_000051</x:v>
      </x:c>
      <x:c r="B52" s="42" t="str">
        <x:v>VESSEL_00146</x:v>
      </x:c>
      <x:c r="C52" s="42" t="str">
        <x:v>SAWASDEE INCHEON</x:v>
      </x:c>
      <x:c r="D52" s="42" t="str"/>
      <x:c r="E52" s="42" t="str">
        <x:v>Hyundai (exact yard not specified on captured SINOKOR record)</x:v>
      </x:c>
      <x:c r="F52" s="42" t="str">
        <x:v>South Korea</x:v>
      </x:c>
      <x:c r="G52" s="42" t="str"/>
      <x:c r="H52" s="42" t="str"/>
      <x:c r="I52" s="42" t="str">
        <x:v>2022</x:v>
      </x:c>
      <x:c r="J52" s="42" t="str">
        <x:v>Delivered</x:v>
      </x:c>
      <x:c r="K52" s="42" t="str">
        <x:v>1,800 TEU</x:v>
      </x:c>
      <x:c r="L52" s="42" t="str"/>
      <x:c r="M52" s="42" t="str">
        <x:v>SRC_0102</x:v>
      </x:c>
      <x:c r="N52" s="42" t="str">
        <x:v>Historical builder copied from SINOKOR public vessel page; exact yard entity normalized only where unambiguous.</x:v>
      </x:c>
    </x:row>
    <x:row r="53">
      <x:c r="A53" s="42" t="str">
        <x:v>BUILD_000052</x:v>
      </x:c>
      <x:c r="B53" s="42" t="str">
        <x:v>VESSEL_00152</x:v>
      </x:c>
      <x:c r="C53" s="42" t="str">
        <x:v>SAWASDEE SPICA</x:v>
      </x:c>
      <x:c r="D53" s="42" t="str"/>
      <x:c r="E53" s="42" t="str">
        <x:v>Hyundai (exact yard not specified on captured SINOKOR record)</x:v>
      </x:c>
      <x:c r="F53" s="42" t="str">
        <x:v>South Korea</x:v>
      </x:c>
      <x:c r="G53" s="42" t="str"/>
      <x:c r="H53" s="42" t="str"/>
      <x:c r="I53" s="42" t="str">
        <x:v>2023</x:v>
      </x:c>
      <x:c r="J53" s="42" t="str">
        <x:v>Delivered</x:v>
      </x:c>
      <x:c r="K53" s="42" t="str">
        <x:v>1,800 TEU</x:v>
      </x:c>
      <x:c r="L53" s="42" t="str"/>
      <x:c r="M53" s="42" t="str">
        <x:v>SRC_0102</x:v>
      </x:c>
      <x:c r="N53" s="42" t="str">
        <x:v>Historical builder copied from SINOKOR public vessel page; exact yard entity normalized only where unambiguous.</x:v>
      </x:c>
    </x:row>
    <x:row r="54">
      <x:c r="A54" s="42" t="str">
        <x:v>BUILD_000053</x:v>
      </x:c>
      <x:c r="B54" s="42" t="str">
        <x:v>VESSEL_00153</x:v>
      </x:c>
      <x:c r="C54" s="42" t="str">
        <x:v>SAWASDEE DENEB</x:v>
      </x:c>
      <x:c r="D54" s="42" t="str"/>
      <x:c r="E54" s="42" t="str">
        <x:v>Hyundai (exact yard not specified on captured SINOKOR record)</x:v>
      </x:c>
      <x:c r="F54" s="42" t="str">
        <x:v>South Korea</x:v>
      </x:c>
      <x:c r="G54" s="42" t="str"/>
      <x:c r="H54" s="42" t="str"/>
      <x:c r="I54" s="42" t="str">
        <x:v>2023</x:v>
      </x:c>
      <x:c r="J54" s="42" t="str">
        <x:v>Delivered</x:v>
      </x:c>
      <x:c r="K54" s="42" t="str">
        <x:v>1,800 TEU</x:v>
      </x:c>
      <x:c r="L54" s="42" t="str"/>
      <x:c r="M54" s="42" t="str">
        <x:v>SRC_0102</x:v>
      </x:c>
      <x:c r="N54" s="42" t="str">
        <x:v>Historical builder copied from SINOKOR public vessel page; exact yard entity normalized only where unambiguous.</x:v>
      </x:c>
    </x:row>
    <x:row r="55">
      <x:c r="A55" s="42" t="str">
        <x:v>BUILD_000054</x:v>
      </x:c>
      <x:c r="B55" s="42" t="str">
        <x:v>VESSEL_00154</x:v>
      </x:c>
      <x:c r="C55" s="42" t="str">
        <x:v>YEOSU VOYAGER</x:v>
      </x:c>
      <x:c r="D55" s="42" t="str"/>
      <x:c r="E55" s="42" t="str">
        <x:v>Hyundai (exact yard not specified on captured SINOKOR record)</x:v>
      </x:c>
      <x:c r="F55" s="42" t="str">
        <x:v>South Korea</x:v>
      </x:c>
      <x:c r="G55" s="42" t="str"/>
      <x:c r="H55" s="42" t="str"/>
      <x:c r="I55" s="42" t="str">
        <x:v>2023</x:v>
      </x:c>
      <x:c r="J55" s="42" t="str">
        <x:v>Delivered</x:v>
      </x:c>
      <x:c r="K55" s="42" t="str">
        <x:v>2,500 TEU</x:v>
      </x:c>
      <x:c r="L55" s="42" t="str"/>
      <x:c r="M55" s="42" t="str">
        <x:v>SRC_0102</x:v>
      </x:c>
      <x:c r="N55" s="42" t="str">
        <x:v>Historical builder copied from SINOKOR public vessel page; exact yard entity normalized only where unambiguous.</x:v>
      </x:c>
    </x:row>
    <x:row r="56">
      <x:c r="A56" s="42" t="str">
        <x:v>BUILD_000055</x:v>
      </x:c>
      <x:c r="B56" s="42" t="str">
        <x:v>VESSEL_00155</x:v>
      </x:c>
      <x:c r="C56" s="42" t="str">
        <x:v>INCHEON VOYAGER</x:v>
      </x:c>
      <x:c r="D56" s="42" t="str"/>
      <x:c r="E56" s="42" t="str">
        <x:v>Hyundai (exact yard not specified on captured SINOKOR record)</x:v>
      </x:c>
      <x:c r="F56" s="42" t="str">
        <x:v>South Korea</x:v>
      </x:c>
      <x:c r="G56" s="42" t="str"/>
      <x:c r="H56" s="42" t="str"/>
      <x:c r="I56" s="42" t="str">
        <x:v>2023</x:v>
      </x:c>
      <x:c r="J56" s="42" t="str">
        <x:v>Delivered</x:v>
      </x:c>
      <x:c r="K56" s="42" t="str">
        <x:v>2,500 TEU</x:v>
      </x:c>
      <x:c r="L56" s="42" t="str"/>
      <x:c r="M56" s="42" t="str">
        <x:v>SRC_0102</x:v>
      </x:c>
      <x:c r="N56" s="42" t="str">
        <x:v>Historical builder copied from SINOKOR public vessel page; exact yard entity normalized only where unambiguous.</x:v>
      </x:c>
    </x:row>
    <x:row r="57">
      <x:c r="A57" s="42" t="str">
        <x:v>BUILD_000056</x:v>
      </x:c>
      <x:c r="B57" s="42" t="str">
        <x:v>VESSEL_00156</x:v>
      </x:c>
      <x:c r="C57" s="42" t="str">
        <x:v>ULSAN VOYAGER</x:v>
      </x:c>
      <x:c r="D57" s="42" t="str"/>
      <x:c r="E57" s="42" t="str">
        <x:v>Hyundai (exact yard not specified on captured SINOKOR record)</x:v>
      </x:c>
      <x:c r="F57" s="42" t="str">
        <x:v>South Korea</x:v>
      </x:c>
      <x:c r="G57" s="42" t="str"/>
      <x:c r="H57" s="42" t="str"/>
      <x:c r="I57" s="42" t="str">
        <x:v>2023</x:v>
      </x:c>
      <x:c r="J57" s="42" t="str">
        <x:v>Delivered</x:v>
      </x:c>
      <x:c r="K57" s="42" t="str">
        <x:v>2,500 TEU</x:v>
      </x:c>
      <x:c r="L57" s="42" t="str"/>
      <x:c r="M57" s="42" t="str">
        <x:v>SRC_0102</x:v>
      </x:c>
      <x:c r="N57" s="42" t="str">
        <x:v>Historical builder copied from SINOKOR public vessel page; exact yard entity normalized only where unambiguous.</x:v>
      </x:c>
    </x:row>
    <x:row r="58">
      <x:c r="A58" s="42" t="str">
        <x:v>BUILD_000057</x:v>
      </x:c>
      <x:c r="B58" s="42" t="str">
        <x:v>VESSEL_00157</x:v>
      </x:c>
      <x:c r="C58" s="42" t="str">
        <x:v>SAWASDEE MIMOSA</x:v>
      </x:c>
      <x:c r="D58" s="42" t="str"/>
      <x:c r="E58" s="42" t="str">
        <x:v>Hyundai (exact yard not specified on captured SINOKOR record)</x:v>
      </x:c>
      <x:c r="F58" s="42" t="str">
        <x:v>South Korea</x:v>
      </x:c>
      <x:c r="G58" s="42" t="str"/>
      <x:c r="H58" s="42" t="str"/>
      <x:c r="I58" s="42" t="str">
        <x:v>2023</x:v>
      </x:c>
      <x:c r="J58" s="42" t="str">
        <x:v>Delivered</x:v>
      </x:c>
      <x:c r="K58" s="42" t="str">
        <x:v>1,800 TEU</x:v>
      </x:c>
      <x:c r="L58" s="42" t="str"/>
      <x:c r="M58" s="42" t="str">
        <x:v>SRC_0102</x:v>
      </x:c>
      <x:c r="N58" s="42" t="str">
        <x:v>Historical builder copied from SINOKOR public vessel page; exact yard entity normalized only where unambiguous.</x:v>
      </x:c>
    </x:row>
    <x:row r="59">
      <x:c r="A59" s="42" t="str">
        <x:v>BUILD_000058</x:v>
      </x:c>
      <x:c r="B59" s="42" t="str">
        <x:v>VESSEL_00158</x:v>
      </x:c>
      <x:c r="C59" s="42" t="str">
        <x:v>TOYAMA TRADER</x:v>
      </x:c>
      <x:c r="D59" s="42" t="str"/>
      <x:c r="E59" s="42" t="str">
        <x:v>Hyundai (exact yard not specified on captured SINOKOR record)</x:v>
      </x:c>
      <x:c r="F59" s="42" t="str">
        <x:v>South Korea</x:v>
      </x:c>
      <x:c r="G59" s="42" t="str"/>
      <x:c r="H59" s="42" t="str"/>
      <x:c r="I59" s="42" t="str">
        <x:v>2023</x:v>
      </x:c>
      <x:c r="J59" s="42" t="str">
        <x:v>Delivered</x:v>
      </x:c>
      <x:c r="K59" s="42" t="str">
        <x:v>1,000 TEU</x:v>
      </x:c>
      <x:c r="L59" s="42" t="str"/>
      <x:c r="M59" s="42" t="str">
        <x:v>SRC_0102</x:v>
      </x:c>
      <x:c r="N59" s="42" t="str">
        <x:v>Historical builder copied from SINOKOR public vessel page; exact yard entity normalized only where unambiguous.</x:v>
      </x:c>
    </x:row>
    <x:row r="60">
      <x:c r="A60" s="42" t="str">
        <x:v>BUILD_000059</x:v>
      </x:c>
      <x:c r="B60" s="42" t="str">
        <x:v>VESSEL_00159</x:v>
      </x:c>
      <x:c r="C60" s="42" t="str">
        <x:v>KWANGYANG VOYAGER</x:v>
      </x:c>
      <x:c r="D60" s="42" t="str"/>
      <x:c r="E60" s="42" t="str">
        <x:v>Hyundai (exact yard not specified on captured SINOKOR record)</x:v>
      </x:c>
      <x:c r="F60" s="42" t="str">
        <x:v>South Korea</x:v>
      </x:c>
      <x:c r="G60" s="42" t="str"/>
      <x:c r="H60" s="42" t="str"/>
      <x:c r="I60" s="42" t="str">
        <x:v>2024</x:v>
      </x:c>
      <x:c r="J60" s="42" t="str">
        <x:v>Delivered</x:v>
      </x:c>
      <x:c r="K60" s="42" t="str">
        <x:v>2,500 TEU</x:v>
      </x:c>
      <x:c r="L60" s="42" t="str"/>
      <x:c r="M60" s="42" t="str">
        <x:v>SRC_0102</x:v>
      </x:c>
      <x:c r="N60" s="42" t="str">
        <x:v>Historical builder copied from SINOKOR public vessel page; exact yard entity normalized only where unambiguous.</x:v>
      </x:c>
    </x:row>
    <x:row r="61">
      <x:c r="A61" s="42" t="str">
        <x:v>BUILD_000060</x:v>
      </x:c>
      <x:c r="B61" s="42" t="str">
        <x:v>VESSEL_00160</x:v>
      </x:c>
      <x:c r="C61" s="42" t="str">
        <x:v>AKITA TRADER</x:v>
      </x:c>
      <x:c r="D61" s="42" t="str"/>
      <x:c r="E61" s="42" t="str">
        <x:v>Hyundai (exact yard not specified on captured SINOKOR record)</x:v>
      </x:c>
      <x:c r="F61" s="42" t="str">
        <x:v>South Korea</x:v>
      </x:c>
      <x:c r="G61" s="42" t="str"/>
      <x:c r="H61" s="42" t="str"/>
      <x:c r="I61" s="42" t="str">
        <x:v>2024</x:v>
      </x:c>
      <x:c r="J61" s="42" t="str">
        <x:v>Delivered</x:v>
      </x:c>
      <x:c r="K61" s="42" t="str">
        <x:v>1,000 TEU</x:v>
      </x:c>
      <x:c r="L61" s="42" t="str"/>
      <x:c r="M61" s="42" t="str">
        <x:v>SRC_0102</x:v>
      </x:c>
      <x:c r="N61" s="42" t="str">
        <x:v>Historical builder copied from SINOKOR public vessel page; exact yard entity normalized only where unambiguous.</x:v>
      </x:c>
    </x:row>
    <x:row r="62">
      <x:c r="A62" s="42" t="str">
        <x:v>BUILD_000061</x:v>
      </x:c>
      <x:c r="B62" s="42" t="str">
        <x:v>VESSEL_00161</x:v>
      </x:c>
      <x:c r="C62" s="42" t="str">
        <x:v>MELBOURNE BRIDGE</x:v>
      </x:c>
      <x:c r="D62" s="42" t="str"/>
      <x:c r="E62" s="42" t="str">
        <x:v>Hyundai (exact yard not specified on captured SINOKOR record)</x:v>
      </x:c>
      <x:c r="F62" s="42" t="str">
        <x:v>South Korea</x:v>
      </x:c>
      <x:c r="G62" s="42" t="str"/>
      <x:c r="H62" s="42" t="str"/>
      <x:c r="I62" s="42" t="str">
        <x:v>2024</x:v>
      </x:c>
      <x:c r="J62" s="42" t="str">
        <x:v>Delivered</x:v>
      </x:c>
      <x:c r="K62" s="42" t="str">
        <x:v>8,000 TEU</x:v>
      </x:c>
      <x:c r="L62" s="42" t="str"/>
      <x:c r="M62" s="42" t="str">
        <x:v>SRC_0102</x:v>
      </x:c>
      <x:c r="N62" s="42" t="str">
        <x:v>Historical builder copied from SINOKOR public vessel page; exact yard entity normalized only where unambiguous.</x:v>
      </x:c>
    </x:row>
    <x:row r="63">
      <x:c r="A63" s="42" t="str">
        <x:v>BUILD_000062</x:v>
      </x:c>
      <x:c r="B63" s="42" t="str">
        <x:v>VESSEL_00162</x:v>
      </x:c>
      <x:c r="C63" s="42" t="str">
        <x:v>SYDNEY BRIDGE</x:v>
      </x:c>
      <x:c r="D63" s="42" t="str"/>
      <x:c r="E63" s="42" t="str">
        <x:v>Hyundai (exact yard not specified on captured SINOKOR record)</x:v>
      </x:c>
      <x:c r="F63" s="42" t="str">
        <x:v>South Korea</x:v>
      </x:c>
      <x:c r="G63" s="42" t="str"/>
      <x:c r="H63" s="42" t="str"/>
      <x:c r="I63" s="42" t="str">
        <x:v>2024</x:v>
      </x:c>
      <x:c r="J63" s="42" t="str">
        <x:v>Delivered</x:v>
      </x:c>
      <x:c r="K63" s="42" t="str">
        <x:v>8,000 TEU</x:v>
      </x:c>
      <x:c r="L63" s="42" t="str"/>
      <x:c r="M63" s="42" t="str">
        <x:v>SRC_0102</x:v>
      </x:c>
      <x:c r="N63" s="42" t="str">
        <x:v>Historical builder copied from SINOKOR public vessel page; exact yard entity normalized only where unambiguous.</x:v>
      </x:c>
    </x:row>
    <x:row r="64">
      <x:c r="A64" s="42" t="str">
        <x:v>BUILD_000063</x:v>
      </x:c>
      <x:c r="B64" s="42" t="str">
        <x:v>VESSEL_00163</x:v>
      </x:c>
      <x:c r="C64" s="42" t="str">
        <x:v>MOJI EXPRESS</x:v>
      </x:c>
      <x:c r="D64" s="42" t="str">
        <x:v>YARD_0017</x:v>
      </x:c>
      <x:c r="E64" s="42" t="str">
        <x:v>Jiangsu Zhenjiang Shipyard</x:v>
      </x:c>
      <x:c r="F64" s="42" t="str">
        <x:v>China</x:v>
      </x:c>
      <x:c r="G64" s="42" t="str"/>
      <x:c r="H64" s="42" t="str"/>
      <x:c r="I64" s="42" t="str">
        <x:v>2025</x:v>
      </x:c>
      <x:c r="J64" s="42" t="str">
        <x:v>Delivered</x:v>
      </x:c>
      <x:c r="K64" s="42" t="str">
        <x:v>430 TEU</x:v>
      </x:c>
      <x:c r="L64" s="42" t="str"/>
      <x:c r="M64" s="42" t="str">
        <x:v>SRC_0102</x:v>
      </x:c>
      <x:c r="N64" s="42" t="str">
        <x:v>Historical builder copied from SINOKOR public vessel page; exact yard entity normalized only where unambiguous.</x:v>
      </x:c>
    </x:row>
  </x:sheetData>
  <x:pageMargins left="0.7" right="0.7" top="0.75" bottom="0.75" header="0.3" footer="0.3"/>
  <x:tableParts count="1">
    <x:tablePart xmlns:r="http://schemas.openxmlformats.org/officeDocument/2006/relationships" r:id="R7214926bb6624970"/>
  </x:tableParts>
</x:worksheet>
</file>

<file path=xl/worksheets/sheet30.xml><?xml version="1.0" encoding="utf-8"?>
<x:worksheet xmlns:x="http://schemas.openxmlformats.org/spreadsheetml/2006/main">
  <x:sheetFormatPr defaultRowHeight="15"/>
  <x:cols>
    <x:col min="1" max="1" width="18" hidden="0" customWidth="1"/>
    <x:col min="2" max="2" width="24" hidden="0" customWidth="1"/>
    <x:col min="3" max="3" width="24" hidden="0" customWidth="1"/>
    <x:col min="4" max="4" width="18" hidden="0" customWidth="1"/>
    <x:col min="5" max="5" width="24" hidden="0" customWidth="1"/>
    <x:col min="6" max="6" width="18" hidden="0" customWidth="1"/>
    <x:col min="7" max="7" width="30" hidden="0" customWidth="1"/>
    <x:col min="8" max="8" width="18" hidden="0" customWidth="1"/>
    <x:col min="9" max="9" width="18" hidden="0" customWidth="1"/>
    <x:col min="10" max="10" width="18" hidden="0" customWidth="1"/>
    <x:col min="11" max="11" width="30" hidden="0" customWidth="1"/>
    <x:col min="12" max="12" width="30" hidden="0" customWidth="1"/>
    <x:col min="13" max="13" width="18" hidden="0" customWidth="1"/>
    <x:col min="14" max="14" width="20" hidden="0" customWidth="1"/>
    <x:col min="15" max="15" width="30" hidden="0" customWidth="1"/>
  </x:cols>
  <x:sheetData>
    <x:row r="1">
      <x:c r="A1" s="65" t="str">
        <x:v>Contract ID</x:v>
      </x:c>
      <x:c r="B1" s="65" t="str">
        <x:v>Vessel ID</x:v>
      </x:c>
      <x:c r="C1" s="65" t="str">
        <x:v>Vessel Name</x:v>
      </x:c>
      <x:c r="D1" s="65" t="str">
        <x:v>Fleet / Order Reference</x:v>
      </x:c>
      <x:c r="E1" s="65" t="str">
        <x:v>Company ID</x:v>
      </x:c>
      <x:c r="F1" s="65" t="str">
        <x:v>Role</x:v>
      </x:c>
      <x:c r="G1" s="65" t="str">
        <x:v>Counterparty</x:v>
      </x:c>
      <x:c r="H1" s="65" t="str">
        <x:v>Start</x:v>
      </x:c>
      <x:c r="I1" s="65" t="str">
        <x:v>Term</x:v>
      </x:c>
      <x:c r="J1" s="65" t="str">
        <x:v>Rate / Value</x:v>
      </x:c>
      <x:c r="K1" s="65" t="str">
        <x:v>Cargo / Service</x:v>
      </x:c>
      <x:c r="L1" s="65" t="str">
        <x:v>Route / Corridor</x:v>
      </x:c>
      <x:c r="M1" s="65" t="str">
        <x:v>Status</x:v>
      </x:c>
      <x:c r="N1" s="65" t="str">
        <x:v>Source ID</x:v>
      </x:c>
      <x:c r="O1" s="65" t="str">
        <x:v>Notes</x:v>
      </x:c>
    </x:row>
    <x:row r="2">
      <x:c r="A2" s="42" t="str">
        <x:v>VCON_00001</x:v>
      </x:c>
      <x:c r="B2" s="42" t="str">
        <x:v>VESSEL_00165</x:v>
      </x:c>
      <x:c r="C2" s="42" t="str">
        <x:v>P. Long Beach</x:v>
      </x:c>
      <x:c r="D2" s="42" t="str"/>
      <x:c r="E2" s="42" t="str">
        <x:v>COMP_SEARIVER</x:v>
      </x:c>
      <x:c r="F2" s="42" t="str">
        <x:v>Time charterer</x:v>
      </x:c>
      <x:c r="G2" s="42" t="str">
        <x:v>COMP_PERFORMANCE_SHIPPING</x:v>
      </x:c>
      <x:c r="H2" s="42" t="str">
        <x:v>~2025-12</x:v>
      </x:c>
      <x:c r="I2" s="42" t="str">
        <x:v>24 months +/-30 days</x:v>
      </x:c>
      <x:c r="J2" s="42" t="str">
        <x:v>USD 30,500/day</x:v>
      </x:c>
      <x:c r="K2" s="42" t="str">
        <x:v>Tanker capacity</x:v>
      </x:c>
      <x:c r="L2" s="42" t="str">
        <x:v>Global / deployment by charterer</x:v>
      </x:c>
      <x:c r="M2" s="42" t="str">
        <x:v>Active</x:v>
      </x:c>
      <x:c r="N2" s="42" t="str">
        <x:v>SRC_0109</x:v>
      </x:c>
      <x:c r="O2" s="42" t="str">
        <x:v>Owner is Performance Shipping; charterer is ExxonMobil subsidiary SeaRiver Maritime.</x:v>
      </x:c>
    </x:row>
    <x:row r="3">
      <x:c r="A3" s="42" t="str">
        <x:v>VCON_00002</x:v>
      </x:c>
      <x:c r="B3" s="42" t="str">
        <x:v>VESSEL_00166</x:v>
      </x:c>
      <x:c r="C3" s="42" t="str">
        <x:v>Largo Eagle</x:v>
      </x:c>
      <x:c r="D3" s="42" t="str"/>
      <x:c r="E3" s="42" t="str">
        <x:v>COMP_EXXON</x:v>
      </x:c>
      <x:c r="F3" s="42" t="str">
        <x:v>Cargo principal / sub-charter user</x:v>
      </x:c>
      <x:c r="G3" s="42" t="str">
        <x:v>COMP_VITOL</x:v>
      </x:c>
      <x:c r="H3" s="42" t="str">
        <x:v>2026-03</x:v>
      </x:c>
      <x:c r="I3" s="42" t="str">
        <x:v>Voyage charter / cargo booking</x:v>
      </x:c>
      <x:c r="J3" s="42" t="str">
        <x:v>~USD 6m estimated voyage cost per MR tanker (Reuters estimate)</x:v>
      </x:c>
      <x:c r="K3" s="42" t="str">
        <x:v>Gasoline / refined products</x:v>
      </x:c>
      <x:c r="L3" s="42" t="str">
        <x:v>U.S. Gulf Coast → Australia</x:v>
      </x:c>
      <x:c r="M3" s="42" t="str">
        <x:v>Completed / voyage-specific</x:v>
      </x:c>
      <x:c r="N3" s="42" t="str">
        <x:v>SRC_0110</x:v>
      </x:c>
      <x:c r="O3" s="42" t="str">
        <x:v>Reuters reported vessel was under Vitol charter and effectively rented to Exxon.</x:v>
      </x:c>
    </x:row>
    <x:row r="4">
      <x:c r="A4" s="42" t="str">
        <x:v>VCON_00003</x:v>
      </x:c>
      <x:c r="B4" s="42" t="str">
        <x:v>VESSEL_00167</x:v>
      </x:c>
      <x:c r="C4" s="42" t="str">
        <x:v>Nord Ventura</x:v>
      </x:c>
      <x:c r="D4" s="42" t="str"/>
      <x:c r="E4" s="42" t="str">
        <x:v>COMP_EXXON</x:v>
      </x:c>
      <x:c r="F4" s="42" t="str">
        <x:v>Cargo principal / sub-charter user</x:v>
      </x:c>
      <x:c r="G4" s="42" t="str">
        <x:v>COMP_VITOL</x:v>
      </x:c>
      <x:c r="H4" s="42" t="str">
        <x:v>2026-03</x:v>
      </x:c>
      <x:c r="I4" s="42" t="str">
        <x:v>Voyage charter / cargo booking</x:v>
      </x:c>
      <x:c r="J4" s="42" t="str">
        <x:v>~USD 6m estimated voyage cost per MR tanker (Reuters estimate)</x:v>
      </x:c>
      <x:c r="K4" s="42" t="str">
        <x:v>Gasoline / refined products</x:v>
      </x:c>
      <x:c r="L4" s="42" t="str">
        <x:v>U.S. Gulf Coast → Australia</x:v>
      </x:c>
      <x:c r="M4" s="42" t="str">
        <x:v>Completed / voyage-specific</x:v>
      </x:c>
      <x:c r="N4" s="42" t="str">
        <x:v>SRC_0110</x:v>
      </x:c>
      <x:c r="O4" s="42" t="str">
        <x:v>Reuters reported vessel was under Vitol charter and effectively rented to Exxon.</x:v>
      </x:c>
    </x:row>
    <x:row r="5">
      <x:c r="A5" s="42" t="str">
        <x:v>VCON_00004</x:v>
      </x:c>
      <x:c r="B5" s="42" t="str"/>
      <x:c r="C5" s="42" t="str"/>
      <x:c r="D5" s="42" t="str">
        <x:v>ORDER_QE_NAKILAT_25</x:v>
      </x:c>
      <x:c r="E5" s="42" t="str">
        <x:v>COMP_QATARENERGY</x:v>
      </x:c>
      <x:c r="F5" s="42" t="str">
        <x:v>Long-term charterer</x:v>
      </x:c>
      <x:c r="G5" s="42" t="str">
        <x:v>COMP_NAKILAT</x:v>
      </x:c>
      <x:c r="H5" s="42" t="str">
        <x:v>2024</x:v>
      </x:c>
      <x:c r="I5" s="42" t="str">
        <x:v>Long-term time charterparty</x:v>
      </x:c>
      <x:c r="J5" s="42" t="str"/>
      <x:c r="K5" s="42" t="str">
        <x:v>LNG</x:v>
      </x:c>
      <x:c r="L5" s="42" t="str">
        <x:v>Qatar LNG export system</x:v>
      </x:c>
      <x:c r="M5" s="42" t="str">
        <x:v>Program / under construction</x:v>
      </x:c>
      <x:c r="N5" s="42" t="str">
        <x:v>SRC_0088</x:v>
      </x:c>
      <x:c r="O5" s="42" t="str">
        <x:v>QatarEnergy entered time charterparty agreements with Nakilat for 25 conventional-size LNG vessels.</x:v>
      </x:c>
    </x:row>
    <x:row r="6">
      <x:c r="A6" s="42" t="str">
        <x:v>VCON_00005</x:v>
      </x:c>
      <x:c r="B6" s="42" t="str"/>
      <x:c r="C6" s="42" t="str"/>
      <x:c r="D6" s="42" t="str">
        <x:v>ADNOC_LNG_6</x:v>
      </x:c>
      <x:c r="E6" s="42" t="str">
        <x:v>COMP_ADNOC_GAS</x:v>
      </x:c>
      <x:c r="F6" s="42" t="str">
        <x:v>Long-term charter counterparty</x:v>
      </x:c>
      <x:c r="G6" s="42" t="str">
        <x:v>COMP_ADNOC_LS</x:v>
      </x:c>
      <x:c r="H6" s="42" t="str">
        <x:v>2026</x:v>
      </x:c>
      <x:c r="I6" s="42" t="str">
        <x:v>Up to 15 years</x:v>
      </x:c>
      <x:c r="J6" s="42" t="str"/>
      <x:c r="K6" s="42" t="str">
        <x:v>LNG</x:v>
      </x:c>
      <x:c r="L6" s="42" t="str">
        <x:v>ADNOC gas export routes</x:v>
      </x:c>
      <x:c r="M6" s="42" t="str">
        <x:v>Active / deployment</x:v>
      </x:c>
      <x:c r="N6" s="42" t="str">
        <x:v>SRC_0068</x:v>
      </x:c>
      <x:c r="O6" s="42" t="str">
        <x:v>Five of six 175,000 m3 Jiangnan vessels deployed on contracts of up to 15 years with ADNOC Gas as of 2026.</x:v>
      </x:c>
    </x:row>
    <x:row r="7">
      <x:c r="A7" s="42" t="str">
        <x:v>VCON_00006</x:v>
      </x:c>
      <x:c r="B7" s="42" t="str"/>
      <x:c r="C7" s="42" t="str"/>
      <x:c r="D7" s="42" t="str">
        <x:v>ZIM_10_LNG</x:v>
      </x:c>
      <x:c r="E7" s="42" t="str">
        <x:v>COMP_ZIM</x:v>
      </x:c>
      <x:c r="F7" s="42" t="str">
        <x:v>Long-term charterer</x:v>
      </x:c>
      <x:c r="G7" s="42" t="str">
        <x:v>Multiple shipowners / affiliates</x:v>
      </x:c>
      <x:c r="H7" s="42" t="str">
        <x:v>2025</x:v>
      </x:c>
      <x:c r="I7" s="42" t="str">
        <x:v>12 years + options</x:v>
      </x:c>
      <x:c r="J7" s="42" t="str">
        <x:v>~USD 2.3bn total charter consideration</x:v>
      </x:c>
      <x:c r="K7" s="42" t="str">
        <x:v>Container capacity</x:v>
      </x:c>
      <x:c r="L7" s="42" t="str">
        <x:v>ZIM liner network</x:v>
      </x:c>
      <x:c r="M7" s="42" t="str">
        <x:v>Future delivery 2027-2028</x:v>
      </x:c>
      <x:c r="N7" s="42" t="str">
        <x:v>SRC_0097</x:v>
      </x:c>
      <x:c r="O7" s="42" t="str">
        <x:v>Ten 11,500 TEU LNG dual-fuel vessels built at Zhoushan Changhong.</x:v>
      </x:c>
    </x:row>
    <x:row r="8">
      <x:c r="A8" s="42" t="str">
        <x:v>VCON_00007</x:v>
      </x:c>
      <x:c r="B8" s="42" t="str"/>
      <x:c r="C8" s="42" t="str"/>
      <x:c r="D8" s="42" t="str">
        <x:v>ZIM_FUTURE_40</x:v>
      </x:c>
      <x:c r="E8" s="42" t="str">
        <x:v>COMP_ZIM</x:v>
      </x:c>
      <x:c r="F8" s="42" t="str">
        <x:v>Charterer</x:v>
      </x:c>
      <x:c r="G8" s="42" t="str">
        <x:v>Multiple counterparties</x:v>
      </x:c>
      <x:c r="H8" s="42" t="str">
        <x:v>2025-2026</x:v>
      </x:c>
      <x:c r="I8" s="42" t="str">
        <x:v>5-12 years depending tranche</x:v>
      </x:c>
      <x:c r="J8" s="42" t="str"/>
      <x:c r="K8" s="42" t="str">
        <x:v>Container capacity</x:v>
      </x:c>
      <x:c r="L8" s="42" t="str">
        <x:v>ZIM liner network</x:v>
      </x:c>
      <x:c r="M8" s="42" t="str">
        <x:v>Future delivery 2026-2028</x:v>
      </x:c>
      <x:c r="N8" s="42" t="str">
        <x:v>SRC_0096</x:v>
      </x:c>
      <x:c r="O8" s="42" t="str">
        <x:v>Aggregate future charter portfolio totals 40 vessels / ~286k TEU.</x:v>
      </x:c>
    </x:row>
  </x:sheetData>
  <x:pageMargins left="0.7" right="0.7" top="0.75" bottom="0.75" header="0.3" footer="0.3"/>
  <x:tableParts count="1">
    <x:tablePart xmlns:r="http://schemas.openxmlformats.org/officeDocument/2006/relationships" r:id="R3cd999dc75144242"/>
  </x:tableParts>
</x:worksheet>
</file>

<file path=xl/worksheets/sheet31.xml><?xml version="1.0" encoding="utf-8"?>
<x:worksheet xmlns:x="http://schemas.openxmlformats.org/spreadsheetml/2006/main">
  <x:sheetFormatPr defaultRowHeight="15"/>
  <x:cols>
    <x:col min="1" max="1" width="18" hidden="0" customWidth="1"/>
    <x:col min="2" max="2" width="24" hidden="0" customWidth="1"/>
    <x:col min="3" max="3" width="18" hidden="0" customWidth="1"/>
    <x:col min="4" max="4" width="18" hidden="0" customWidth="1"/>
    <x:col min="5" max="5" width="18" hidden="0" customWidth="1"/>
    <x:col min="6" max="6" width="18" hidden="0" customWidth="1"/>
    <x:col min="7" max="7" width="18" hidden="0" customWidth="1"/>
    <x:col min="8" max="8" width="30" hidden="0" customWidth="1"/>
    <x:col min="9" max="9" width="18" hidden="0" customWidth="1"/>
    <x:col min="10" max="10" width="18" hidden="0" customWidth="1"/>
    <x:col min="11" max="11" width="20" hidden="0" customWidth="1"/>
  </x:cols>
  <x:sheetData>
    <x:row r="1">
      <x:c r="A1" s="166" t="str">
        <x:v>Coverage ID</x:v>
      </x:c>
      <x:c r="B1" s="166" t="str">
        <x:v>Company ID</x:v>
      </x:c>
      <x:c r="C1" s="166" t="str">
        <x:v>Dataset</x:v>
      </x:c>
      <x:c r="D1" s="166" t="str">
        <x:v>Known Total</x:v>
      </x:c>
      <x:c r="E1" s="166" t="str">
        <x:v>Individual Records Captured</x:v>
      </x:c>
      <x:c r="F1" s="166" t="str">
        <x:v>Capture %</x:v>
      </x:c>
      <x:c r="G1" s="166" t="str">
        <x:v>Coverage Status</x:v>
      </x:c>
      <x:c r="H1" s="166" t="str">
        <x:v>Definition / Caveat</x:v>
      </x:c>
      <x:c r="I1" s="166" t="str">
        <x:v>Last Verified</x:v>
      </x:c>
      <x:c r="J1" s="166" t="str">
        <x:v>Priority</x:v>
      </x:c>
      <x:c r="K1" s="166" t="str">
        <x:v>Source ID</x:v>
      </x:c>
      <x:c r="L1" s="165"/>
      <x:c r="M1" s="165"/>
      <x:c r="N1" s="165"/>
      <x:c r="O1" s="165"/>
      <x:c r="P1" s="165"/>
      <x:c r="Q1" s="165"/>
      <x:c r="R1" s="165"/>
      <x:c r="S1" s="165"/>
      <x:c r="T1" s="165"/>
      <x:c r="U1" s="165"/>
      <x:c r="V1" s="165"/>
      <x:c r="W1" s="165"/>
      <x:c r="X1" s="165"/>
      <x:c r="Y1" s="165"/>
      <x:c r="Z1" s="165"/>
      <x:c r="AA1" s="165"/>
      <x:c r="AB1" s="165"/>
      <x:c r="AC1" s="165"/>
      <x:c r="AD1" s="165"/>
      <x:c r="AE1" s="165"/>
      <x:c r="AF1" s="165"/>
      <x:c r="AG1" s="165"/>
      <x:c r="AH1" s="165"/>
      <x:c r="AI1" s="165"/>
      <x:c r="AJ1" s="165"/>
      <x:c r="AK1" s="165"/>
      <x:c r="AL1" s="165"/>
      <x:c r="AM1" s="165"/>
      <x:c r="AN1" s="165"/>
      <x:c r="AO1" s="165"/>
      <x:c r="AP1" s="165"/>
      <x:c r="AQ1" s="165"/>
      <x:c r="AR1" s="165"/>
      <x:c r="AS1" s="165"/>
      <x:c r="AT1" s="165"/>
      <x:c r="AU1" s="165"/>
      <x:c r="AV1" s="165"/>
      <x:c r="AW1" s="165"/>
      <x:c r="AX1" s="165"/>
      <x:c r="AY1" s="165"/>
      <x:c r="AZ1" s="165"/>
    </x:row>
    <x:row r="2">
      <x:c r="A2" s="42" t="str">
        <x:v>COV_0001</x:v>
      </x:c>
      <x:c r="B2" s="42" t="str">
        <x:v>COMP_ADNOC_LS</x:v>
      </x:c>
      <x:c r="C2" s="42" t="str">
        <x:v>Shipping fleet</x:v>
      </x:c>
      <x:c r="D2" s="42" t="n">
        <x:v>112</x:v>
      </x:c>
      <x:c r="E2" s="42" t="n">
        <x:v>93</x:v>
      </x:c>
      <x:c r="F2" s="66" t="n">
        <x:v>0.8303571428571429</x:v>
      </x:c>
      <x:c r="G2" s="42" t="str">
        <x:v>Partial / strong seed</x:v>
      </x:c>
      <x:c r="H2" s="42" t="str">
        <x:v>Official shipping-fleet total is 112; individual records captured from the public fleet sheet do not yet cover every container/dry-bulk/other shipping asset.</x:v>
      </x:c>
      <x:c r="I2" s="42" t="str">
        <x:v>2026-09-07</x:v>
      </x:c>
      <x:c r="J2" s="42" t="str">
        <x:v>High</x:v>
      </x:c>
      <x:c r="K2" s="42" t="str">
        <x:v>SRC_0066</x:v>
      </x:c>
    </x:row>
    <x:row r="3">
      <x:c r="A3" s="42" t="str">
        <x:v>COV_0002</x:v>
      </x:c>
      <x:c r="B3" s="42" t="str">
        <x:v>COMP_NAVIG8</x:v>
      </x:c>
      <x:c r="C3" s="42" t="str">
        <x:v>Individual vessel register</x:v>
      </x:c>
      <x:c r="D3" s="42" t="n">
        <x:v>32</x:v>
      </x:c>
      <x:c r="E3" s="42" t="n">
        <x:v>29</x:v>
      </x:c>
      <x:c r="F3" s="66" t="n">
        <x:v>0.90625</x:v>
      </x:c>
      <x:c r="G3" s="42" t="str">
        <x:v>Partial</x:v>
      </x:c>
      <x:c r="H3" s="42" t="str">
        <x:v>ADNOC L&amp;S reported Navig8 integration of a 32-vessel fleet; current individual seed is based on vessels visible in the ADNOC L&amp;S fleet sheet.</x:v>
      </x:c>
      <x:c r="I3" s="42" t="str">
        <x:v>2026-09-07</x:v>
      </x:c>
      <x:c r="J3" s="42" t="str">
        <x:v>High</x:v>
      </x:c>
      <x:c r="K3" s="42" t="str">
        <x:v>SRC_0069</x:v>
      </x:c>
    </x:row>
    <x:row r="4">
      <x:c r="A4" s="42" t="str">
        <x:v>COV_0003</x:v>
      </x:c>
      <x:c r="B4" s="42" t="str">
        <x:v>COMP_BYD</x:v>
      </x:c>
      <x:c r="C4" s="42" t="str">
        <x:v>Dedicated vehicle carriers</x:v>
      </x:c>
      <x:c r="D4" s="42" t="n">
        <x:v>8</x:v>
      </x:c>
      <x:c r="E4" s="42" t="n">
        <x:v>8</x:v>
      </x:c>
      <x:c r="F4" s="66" t="n">
        <x:v>1</x:v>
      </x:c>
      <x:c r="G4" s="42" t="str">
        <x:v>Good seed / role reconciliation ongoing</x:v>
      </x:c>
      <x:c r="H4" s="42" t="str">
        <x:v>All eight current dedicated BYD fleet names are captured; ownership/management is mixed, including two Zodiac-owned vessels chartered to BYD.</x:v>
      </x:c>
      <x:c r="I4" s="42" t="str">
        <x:v>2026-09-07</x:v>
      </x:c>
      <x:c r="J4" s="42" t="str">
        <x:v>Medium</x:v>
      </x:c>
      <x:c r="K4" s="42" t="str">
        <x:v>SRC_0090</x:v>
      </x:c>
    </x:row>
    <x:row r="5">
      <x:c r="A5" s="42" t="str">
        <x:v>COV_0004</x:v>
      </x:c>
      <x:c r="B5" s="42" t="str">
        <x:v>COMP_SINOKOR</x:v>
      </x:c>
      <x:c r="C5" s="42" t="str">
        <x:v>Operating fleet</x:v>
      </x:c>
      <x:c r="D5" s="42" t="n">
        <x:v>66</x:v>
      </x:c>
      <x:c r="E5" s="42" t="n">
        <x:v>47</x:v>
      </x:c>
      <x:c r="F5" s="66" t="n">
        <x:v>0.7121212121212122</x:v>
      </x:c>
      <x:c r="G5" s="42" t="str">
        <x:v>Partial / reconciliation required</x:v>
      </x:c>
      <x:c r="H5" s="42" t="str">
        <x:v>English corporate site states 66 operating vessels; public vessel-information page exposes fewer named vessels. Do not equate page list with full operating fleet.</x:v>
      </x:c>
      <x:c r="I5" s="42" t="str">
        <x:v>2026-09-07</x:v>
      </x:c>
      <x:c r="J5" s="42" t="str">
        <x:v>High</x:v>
      </x:c>
      <x:c r="K5" s="42" t="str">
        <x:v>SRC_0099</x:v>
      </x:c>
    </x:row>
    <x:row r="6">
      <x:c r="A6" s="42" t="str">
        <x:v>COV_0005</x:v>
      </x:c>
      <x:c r="B6" s="42" t="str">
        <x:v>COMP_BAHRI</x:v>
      </x:c>
      <x:c r="C6" s="42" t="str">
        <x:v>Owned fleet</x:v>
      </x:c>
      <x:c r="D6" s="42" t="n">
        <x:v>107</x:v>
      </x:c>
      <x:c r="E6" s="42"/>
      <x:c r="F6" s="66"/>
      <x:c r="G6" s="42" t="str">
        <x:v>Fleet summary only</x:v>
      </x:c>
      <x:c r="H6" s="42" t="str">
        <x:v>Current total is known, but the individual-vessel register has not yet been populated from Bahri vessel-level sources.</x:v>
      </x:c>
      <x:c r="I6" s="42" t="str">
        <x:v>2026-09-07</x:v>
      </x:c>
      <x:c r="J6" s="42" t="str">
        <x:v>High</x:v>
      </x:c>
      <x:c r="K6" s="42" t="str">
        <x:v>SRC_0074</x:v>
      </x:c>
    </x:row>
    <x:row r="7">
      <x:c r="A7" s="42" t="str">
        <x:v>COV_0006</x:v>
      </x:c>
      <x:c r="B7" s="42" t="str">
        <x:v>COMP_NAKILAT</x:v>
      </x:c>
      <x:c r="C7" s="42" t="str">
        <x:v>Existing fleet</x:v>
      </x:c>
      <x:c r="D7" s="42"/>
      <x:c r="E7" s="42"/>
      <x:c r="F7" s="66"/>
      <x:c r="G7" s="42" t="str">
        <x:v>Needs reconciliation</x:v>
      </x:c>
      <x:c r="H7" s="42" t="str">
        <x:v>Current live fleet definitions and annual-report totals need reconciliation before setting a canonical current-vessel total. The 40-vessel newbuild orderbook is separately captured.</x:v>
      </x:c>
      <x:c r="I7" s="42" t="str">
        <x:v>2026-09-07</x:v>
      </x:c>
      <x:c r="J7" s="42" t="str">
        <x:v>High</x:v>
      </x:c>
      <x:c r="K7" s="42" t="str">
        <x:v>SRC_0079</x:v>
      </x:c>
    </x:row>
    <x:row r="8">
      <x:c r="A8" s="42" t="str">
        <x:v>COV_0007</x:v>
      </x:c>
      <x:c r="B8" s="42" t="str">
        <x:v>COMP_MILAHA</x:v>
      </x:c>
      <x:c r="C8" s="42" t="str">
        <x:v>Wholly owned gas/petrochem vessels</x:v>
      </x:c>
      <x:c r="D8" s="42" t="n">
        <x:v>3</x:v>
      </x:c>
      <x:c r="E8" s="42"/>
      <x:c r="F8" s="66"/>
      <x:c r="G8" s="42" t="str">
        <x:v>Fleet summary only</x:v>
      </x:c>
      <x:c r="H8" s="42" t="str">
        <x:v>2025 annual-report structure identifies two LNG vessels and one FSO; names/specifications still to populate.</x:v>
      </x:c>
      <x:c r="I8" s="42" t="str">
        <x:v>2026-09-07</x:v>
      </x:c>
      <x:c r="J8" s="42" t="str">
        <x:v>Medium</x:v>
      </x:c>
      <x:c r="K8" s="42" t="str">
        <x:v>SRC_0082</x:v>
      </x:c>
    </x:row>
    <x:row r="9">
      <x:c r="A9" s="42" t="str">
        <x:v>COV_0008</x:v>
      </x:c>
      <x:c r="B9" s="42" t="str">
        <x:v>COMP_QATARENERGY</x:v>
      </x:c>
      <x:c r="C9" s="42" t="str">
        <x:v>Existing LNG transport fleet</x:v>
      </x:c>
      <x:c r="D9" s="42" t="n">
        <x:v>69</x:v>
      </x:c>
      <x:c r="E9" s="42" t="n">
        <x:v>1</x:v>
      </x:c>
      <x:c r="F9" s="66" t="n">
        <x:v>0.014492753623188406</x:v>
      </x:c>
      <x:c r="G9" s="42" t="str">
        <x:v>Program / charter structure</x:v>
      </x:c>
      <x:c r="H9" s="42" t="str">
        <x:v>QatarEnergy and venture partners use 69 LNG vessels; ownership/operator mapping is distributed across JVs and shipowners. Rex Tillerson is seeded as a program vessel.</x:v>
      </x:c>
      <x:c r="I9" s="42" t="str">
        <x:v>2026-09-07</x:v>
      </x:c>
      <x:c r="J9" s="42" t="str">
        <x:v>High</x:v>
      </x:c>
      <x:c r="K9" s="42" t="str">
        <x:v>SRC_0085</x:v>
      </x:c>
    </x:row>
    <x:row r="10">
      <x:c r="A10" s="42" t="str">
        <x:v>COV_0009</x:v>
      </x:c>
      <x:c r="B10" s="42" t="str">
        <x:v>COMP_ZIM</x:v>
      </x:c>
      <x:c r="C10" s="42" t="str">
        <x:v>Operated shipping fleet</x:v>
      </x:c>
      <x:c r="D10" s="42" t="n">
        <x:v>128</x:v>
      </x:c>
      <x:c r="E10" s="42"/>
      <x:c r="F10" s="66"/>
      <x:c r="G10" s="42" t="str">
        <x:v>Fleet summary only</x:v>
      </x:c>
      <x:c r="H10" s="42" t="str">
        <x:v>115 containerships plus 13 car carriers in Q2 2026; vessel names, owners and charter counterparties remain to populate.</x:v>
      </x:c>
      <x:c r="I10" s="42" t="str">
        <x:v>2026-09-07</x:v>
      </x:c>
      <x:c r="J10" s="42" t="str">
        <x:v>High</x:v>
      </x:c>
      <x:c r="K10" s="42" t="str">
        <x:v>SRC_0096</x:v>
      </x:c>
    </x:row>
    <x:row r="11">
      <x:c r="A11" s="42" t="str">
        <x:v>COV_0010</x:v>
      </x:c>
      <x:c r="B11" s="42" t="str">
        <x:v>COMP_BP_SHIPPING</x:v>
      </x:c>
      <x:c r="C11" s="42" t="str">
        <x:v>International fleet baseline</x:v>
      </x:c>
      <x:c r="D11" s="42" t="n">
        <x:v>48</x:v>
      </x:c>
      <x:c r="E11" s="42"/>
      <x:c r="F11" s="66"/>
      <x:c r="G11" s="42" t="str">
        <x:v>Stale baseline</x:v>
      </x:c>
      <x:c r="H11" s="42" t="str">
        <x:v>48-vessel figure is an end-2024 filing baseline; current 2026 vessel list and owned/chartered split require refresh.</x:v>
      </x:c>
      <x:c r="I11" s="42" t="str">
        <x:v>2026-09-07</x:v>
      </x:c>
      <x:c r="J11" s="42" t="str">
        <x:v>High</x:v>
      </x:c>
      <x:c r="K11" s="42" t="str">
        <x:v>SRC_0103</x:v>
      </x:c>
    </x:row>
    <x:row r="12">
      <x:c r="A12" s="42" t="str">
        <x:v>COV_0011</x:v>
      </x:c>
      <x:c r="B12" s="42" t="str">
        <x:v>COMP_CHEVRON_SHIPPING</x:v>
      </x:c>
      <x:c r="C12" s="42" t="str">
        <x:v>Owned / bareboat-chartered fleet</x:v>
      </x:c>
      <x:c r="D12" s="42"/>
      <x:c r="E12" s="42" t="n">
        <x:v>1</x:v>
      </x:c>
      <x:c r="F12" s="66"/>
      <x:c r="G12" s="42" t="str">
        <x:v>Partial</x:v>
      </x:c>
      <x:c r="H12" s="42" t="str">
        <x:v>Chevron confirms the ownership/charter model but the cited current page does not publish a total fleet count. Asia Excellence is seeded.</x:v>
      </x:c>
      <x:c r="I12" s="42" t="str">
        <x:v>2026-09-07</x:v>
      </x:c>
      <x:c r="J12" s="42" t="str">
        <x:v>High</x:v>
      </x:c>
      <x:c r="K12" s="42" t="str">
        <x:v>SRC_0105</x:v>
      </x:c>
    </x:row>
    <x:row r="13">
      <x:c r="A13" s="42" t="str">
        <x:v>COV_0012</x:v>
      </x:c>
      <x:c r="B13" s="42" t="str">
        <x:v>COMP_EXXON</x:v>
      </x:c>
      <x:c r="C13" s="42" t="str">
        <x:v>Marine charter / cargo exposure</x:v>
      </x:c>
      <x:c r="D13" s="42"/>
      <x:c r="E13" s="42" t="n">
        <x:v>3</x:v>
      </x:c>
      <x:c r="F13" s="66"/>
      <x:c r="G13" s="42" t="str">
        <x:v>Charter-exposure seed</x:v>
      </x:c>
      <x:c r="H13" s="42" t="str">
        <x:v>Do not infer Exxon ownership from cargo bookings. P. Long Beach, Largo Eagle and Nord Ventura are represented through charter/cargo relationships.</x:v>
      </x:c>
      <x:c r="I13" s="42" t="str">
        <x:v>2026-09-07</x:v>
      </x:c>
      <x:c r="J13" s="42" t="str">
        <x:v>High</x:v>
      </x:c>
      <x:c r="K13" s="42" t="str">
        <x:v>SRC_0110</x:v>
      </x:c>
    </x:row>
    <x:row r="14">
      <x:c r="A14" s="102" t="str">
        <x:v>COV_0013</x:v>
      </x:c>
      <x:c r="B14" s="102" t="str">
        <x:v>COMP_CMA_CGM</x:v>
      </x:c>
      <x:c r="C14" s="102" t="str">
        <x:v>Commercially scheduled carrier fleet</x:v>
      </x:c>
      <x:c r="D14" s="102" t="n">
        <x:v>844</x:v>
      </x:c>
      <x:c r="E14" s="102" t="n">
        <x:v>1</x:v>
      </x:c>
      <x:c r="F14" s="112" t="n">
        <x:v>0.001184834123222749</x:v>
      </x:c>
      <x:c r="G14" s="102" t="str">
        <x:v>Early seed / full harvest queued</x:v>
      </x:c>
      <x:c r="H14" s="102" t="str">
        <x:v>Linescape daily fleet snapshot; this is commercially scheduled fleet and must not be equated with CMA CGM's owned-vessel count.</x:v>
      </x:c>
      <x:c r="I14" s="102" t="str">
        <x:v>2026-09-07</x:v>
      </x:c>
      <x:c r="J14" s="102" t="str">
        <x:v>High</x:v>
      </x:c>
      <x:c r="K14" s="102" t="str">
        <x:v>SRC_0182</x:v>
      </x:c>
    </x:row>
    <x:row r="15">
      <x:c r="A15" s="102" t="str">
        <x:v>COV_0014</x:v>
      </x:c>
      <x:c r="B15" s="102" t="str">
        <x:v>COMP_GFS</x:v>
      </x:c>
      <x:c r="C15" s="102" t="str">
        <x:v>Commercial carrier fleet</x:v>
      </x:c>
      <x:c r="D15" s="102" t="n">
        <x:v>36</x:v>
      </x:c>
      <x:c r="E15" s="102" t="n">
        <x:v>2</x:v>
      </x:c>
      <x:c r="F15" s="112" t="n">
        <x:v>0.05555555555555555</x:v>
      </x:c>
      <x:c r="G15" s="102" t="str">
        <x:v>Partial / role reconciliation</x:v>
      </x:c>
      <x:c r="H15" s="102" t="str">
        <x:v>Linescape commercial carrier snapshot. Only vessels with a defensible current operator relationship are counted here; GFS Ship Management fleet is tracked separately.</x:v>
      </x:c>
      <x:c r="I15" s="102" t="str">
        <x:v>2026-09-07</x:v>
      </x:c>
      <x:c r="J15" s="102" t="str">
        <x:v>High</x:v>
      </x:c>
      <x:c r="K15" s="102" t="str">
        <x:v>SRC_0181</x:v>
      </x:c>
    </x:row>
    <x:row r="16">
      <x:c r="A16" s="102" t="str">
        <x:v>COV_0015</x:v>
      </x:c>
      <x:c r="B16" s="102" t="str">
        <x:v>COMP_GFS_SHIP_MGMT</x:v>
      </x:c>
      <x:c r="C16" s="102" t="str">
        <x:v>Published managed / in-house fleet</x:v>
      </x:c>
      <x:c r="D16" s="102"/>
      <x:c r="E16" s="102" t="n">
        <x:v>16</x:v>
      </x:c>
      <x:c r="F16" s="102"/>
      <x:c r="G16" s="102" t="str">
        <x:v>Partial / official page subset</x:v>
      </x:c>
      <x:c r="H16" s="102" t="str">
        <x:v>Official site says 30+ in-house vessels and &gt;120,000 TEU under management; public container-fleet page currently exposes 16 named container vessels.</x:v>
      </x:c>
      <x:c r="I16" s="102" t="str">
        <x:v>2026-09-07</x:v>
      </x:c>
      <x:c r="J16" s="102" t="str">
        <x:v>High</x:v>
      </x:c>
      <x:c r="K16" s="102" t="str">
        <x:v>SRC_0180</x:v>
      </x:c>
    </x:row>
    <x:row r="17">
      <x:c r="A17" s="102" t="str">
        <x:v>COV_0016</x:v>
      </x:c>
      <x:c r="B17" s="102" t="str">
        <x:v>COMP_CMA_CGM</x:v>
      </x:c>
      <x:c r="C17" s="102" t="str">
        <x:v>Current / recent carrier schedule seed</x:v>
      </x:c>
      <x:c r="D17" s="102"/>
      <x:c r="E17" s="102" t="n">
        <x:v>5</x:v>
      </x:c>
      <x:c r="F17" s="102"/>
      <x:c r="G17" s="102" t="str">
        <x:v>Deployment sample — not fleet total</x:v>
      </x:c>
      <x:c r="H17" s="102" t="str">
        <x:v>Observed scheduled vessels only. Do not use this sample as the carrier's fleet-size denominator or infer ownership from schedule appearance.</x:v>
      </x:c>
      <x:c r="I17" s="102" t="str">
        <x:v>2026-09-07</x:v>
      </x:c>
      <x:c r="J17" s="102" t="str">
        <x:v>High</x:v>
      </x:c>
      <x:c r="K17" s="102" t="str">
        <x:v>SRC_0191</x:v>
      </x:c>
    </x:row>
    <x:row r="18">
      <x:c r="A18" s="102" t="str">
        <x:v>COV_0017</x:v>
      </x:c>
      <x:c r="B18" s="102" t="str">
        <x:v>COMP_MSC</x:v>
      </x:c>
      <x:c r="C18" s="102" t="str">
        <x:v>Current / recent carrier schedule seed</x:v>
      </x:c>
      <x:c r="D18" s="102"/>
      <x:c r="E18" s="102" t="n">
        <x:v>5</x:v>
      </x:c>
      <x:c r="F18" s="102"/>
      <x:c r="G18" s="102" t="str">
        <x:v>Deployment sample — not fleet total</x:v>
      </x:c>
      <x:c r="H18" s="102" t="str">
        <x:v>Observed scheduled vessels only. Do not use this sample as the carrier's fleet-size denominator or infer ownership from schedule appearance.</x:v>
      </x:c>
      <x:c r="I18" s="102" t="str">
        <x:v>2026-09-07</x:v>
      </x:c>
      <x:c r="J18" s="102" t="str">
        <x:v>High</x:v>
      </x:c>
      <x:c r="K18" s="102" t="str">
        <x:v>SRC_0192</x:v>
      </x:c>
    </x:row>
    <x:row r="19">
      <x:c r="A19" s="102" t="str">
        <x:v>COV_0018</x:v>
      </x:c>
      <x:c r="B19" s="102" t="str">
        <x:v>COMP_MAERSK</x:v>
      </x:c>
      <x:c r="C19" s="102" t="str">
        <x:v>Current / recent carrier schedule seed</x:v>
      </x:c>
      <x:c r="D19" s="102"/>
      <x:c r="E19" s="102" t="n">
        <x:v>5</x:v>
      </x:c>
      <x:c r="F19" s="102"/>
      <x:c r="G19" s="102" t="str">
        <x:v>Deployment sample — not fleet total</x:v>
      </x:c>
      <x:c r="H19" s="102" t="str">
        <x:v>Observed scheduled vessels only. Do not use this sample as the carrier's fleet-size denominator or infer ownership from schedule appearance.</x:v>
      </x:c>
      <x:c r="I19" s="102" t="str">
        <x:v>2026-09-07</x:v>
      </x:c>
      <x:c r="J19" s="102" t="str">
        <x:v>High</x:v>
      </x:c>
      <x:c r="K19" s="102" t="str">
        <x:v>SRC_0193</x:v>
      </x:c>
    </x:row>
    <x:row r="20">
      <x:c r="A20" s="102" t="str">
        <x:v>COV_0019</x:v>
      </x:c>
      <x:c r="B20" s="102" t="str">
        <x:v>COMP_COSCO_LINES</x:v>
      </x:c>
      <x:c r="C20" s="102" t="str">
        <x:v>Current / recent carrier schedule seed</x:v>
      </x:c>
      <x:c r="D20" s="102"/>
      <x:c r="E20" s="102" t="n">
        <x:v>5</x:v>
      </x:c>
      <x:c r="F20" s="102"/>
      <x:c r="G20" s="102" t="str">
        <x:v>Deployment sample — not fleet total</x:v>
      </x:c>
      <x:c r="H20" s="102" t="str">
        <x:v>Observed scheduled vessels only. Do not use this sample as the carrier's fleet-size denominator or infer ownership from schedule appearance.</x:v>
      </x:c>
      <x:c r="I20" s="102" t="str">
        <x:v>2026-09-07</x:v>
      </x:c>
      <x:c r="J20" s="102" t="str">
        <x:v>High</x:v>
      </x:c>
      <x:c r="K20" s="102" t="str">
        <x:v>SRC_0194</x:v>
      </x:c>
    </x:row>
    <x:row r="21">
      <x:c r="A21" s="102" t="str">
        <x:v>COV_0020</x:v>
      </x:c>
      <x:c r="B21" s="102" t="str">
        <x:v>COMP_EVERGREEN</x:v>
      </x:c>
      <x:c r="C21" s="102" t="str">
        <x:v>Current / recent carrier schedule seed</x:v>
      </x:c>
      <x:c r="D21" s="102"/>
      <x:c r="E21" s="102" t="n">
        <x:v>5</x:v>
      </x:c>
      <x:c r="F21" s="102"/>
      <x:c r="G21" s="102" t="str">
        <x:v>Deployment sample — not fleet total</x:v>
      </x:c>
      <x:c r="H21" s="102" t="str">
        <x:v>Observed scheduled vessels only. Do not use this sample as the carrier's fleet-size denominator or infer ownership from schedule appearance.</x:v>
      </x:c>
      <x:c r="I21" s="102" t="str">
        <x:v>2026-09-07</x:v>
      </x:c>
      <x:c r="J21" s="102" t="str">
        <x:v>High</x:v>
      </x:c>
      <x:c r="K21" s="102" t="str">
        <x:v>SRC_0195</x:v>
      </x:c>
    </x:row>
    <x:row r="22">
      <x:c r="A22" s="102" t="str">
        <x:v>COV_0021</x:v>
      </x:c>
      <x:c r="B22" s="102" t="str">
        <x:v>COMP_HAPAG_LLOYD</x:v>
      </x:c>
      <x:c r="C22" s="102" t="str">
        <x:v>Current / recent carrier schedule seed</x:v>
      </x:c>
      <x:c r="D22" s="102"/>
      <x:c r="E22" s="102" t="n">
        <x:v>5</x:v>
      </x:c>
      <x:c r="F22" s="102"/>
      <x:c r="G22" s="102" t="str">
        <x:v>Deployment sample — not fleet total</x:v>
      </x:c>
      <x:c r="H22" s="102" t="str">
        <x:v>Observed scheduled vessels only. Do not use this sample as the carrier's fleet-size denominator or infer ownership from schedule appearance.</x:v>
      </x:c>
      <x:c r="I22" s="102" t="str">
        <x:v>2026-09-07</x:v>
      </x:c>
      <x:c r="J22" s="102" t="str">
        <x:v>High</x:v>
      </x:c>
      <x:c r="K22" s="102" t="str">
        <x:v>SRC_0196</x:v>
      </x:c>
    </x:row>
    <x:row r="23">
      <x:c r="A23" s="102" t="str">
        <x:v>COV_0022</x:v>
      </x:c>
      <x:c r="B23" s="102" t="str">
        <x:v>COMP_ONE</x:v>
      </x:c>
      <x:c r="C23" s="102" t="str">
        <x:v>Current / recent carrier schedule seed</x:v>
      </x:c>
      <x:c r="D23" s="102"/>
      <x:c r="E23" s="102" t="n">
        <x:v>5</x:v>
      </x:c>
      <x:c r="F23" s="102"/>
      <x:c r="G23" s="102" t="str">
        <x:v>Deployment sample — not fleet total</x:v>
      </x:c>
      <x:c r="H23" s="102" t="str">
        <x:v>Observed scheduled vessels only. Do not use this sample as the carrier's fleet-size denominator or infer ownership from schedule appearance.</x:v>
      </x:c>
      <x:c r="I23" s="102" t="str">
        <x:v>2026-09-07</x:v>
      </x:c>
      <x:c r="J23" s="102" t="str">
        <x:v>High</x:v>
      </x:c>
      <x:c r="K23" s="102" t="str">
        <x:v>SRC_0197</x:v>
      </x:c>
    </x:row>
    <x:row r="24">
      <x:c r="A24" s="102" t="str">
        <x:v>COV_0023</x:v>
      </x:c>
      <x:c r="B24" s="102" t="str">
        <x:v>COMP_YANG_MING</x:v>
      </x:c>
      <x:c r="C24" s="102" t="str">
        <x:v>Current / recent carrier schedule seed</x:v>
      </x:c>
      <x:c r="D24" s="102"/>
      <x:c r="E24" s="102" t="n">
        <x:v>5</x:v>
      </x:c>
      <x:c r="F24" s="102"/>
      <x:c r="G24" s="102" t="str">
        <x:v>Deployment sample — not fleet total</x:v>
      </x:c>
      <x:c r="H24" s="102" t="str">
        <x:v>Observed scheduled vessels only. Do not use this sample as the carrier's fleet-size denominator or infer ownership from schedule appearance.</x:v>
      </x:c>
      <x:c r="I24" s="102" t="str">
        <x:v>2026-09-07</x:v>
      </x:c>
      <x:c r="J24" s="102" t="str">
        <x:v>High</x:v>
      </x:c>
      <x:c r="K24" s="102" t="str">
        <x:v>SRC_0198</x:v>
      </x:c>
    </x:row>
    <x:row r="25">
      <x:c r="A25" s="102" t="str">
        <x:v>COV_0024</x:v>
      </x:c>
      <x:c r="B25" s="102" t="str">
        <x:v>COMP_HMM</x:v>
      </x:c>
      <x:c r="C25" s="102" t="str">
        <x:v>Current / recent carrier schedule seed</x:v>
      </x:c>
      <x:c r="D25" s="102"/>
      <x:c r="E25" s="102" t="n">
        <x:v>5</x:v>
      </x:c>
      <x:c r="F25" s="102"/>
      <x:c r="G25" s="102" t="str">
        <x:v>Deployment sample — not fleet total</x:v>
      </x:c>
      <x:c r="H25" s="102" t="str">
        <x:v>Observed scheduled vessels only. Do not use this sample as the carrier's fleet-size denominator or infer ownership from schedule appearance.</x:v>
      </x:c>
      <x:c r="I25" s="102" t="str">
        <x:v>2026-09-07</x:v>
      </x:c>
      <x:c r="J25" s="102" t="str">
        <x:v>High</x:v>
      </x:c>
      <x:c r="K25" s="102" t="str">
        <x:v>SRC_0199</x:v>
      </x:c>
    </x:row>
    <x:row r="26">
      <x:c r="A26" s="102" t="str">
        <x:v>COV_0025</x:v>
      </x:c>
      <x:c r="B26" s="102" t="str">
        <x:v>COMP_PIL</x:v>
      </x:c>
      <x:c r="C26" s="102" t="str">
        <x:v>Current / recent carrier schedule seed</x:v>
      </x:c>
      <x:c r="D26" s="102"/>
      <x:c r="E26" s="102" t="n">
        <x:v>5</x:v>
      </x:c>
      <x:c r="F26" s="102"/>
      <x:c r="G26" s="102" t="str">
        <x:v>Deployment sample — not fleet total</x:v>
      </x:c>
      <x:c r="H26" s="102" t="str">
        <x:v>Observed scheduled vessels only. Do not use this sample as the carrier's fleet-size denominator or infer ownership from schedule appearance.</x:v>
      </x:c>
      <x:c r="I26" s="102" t="str">
        <x:v>2026-09-07</x:v>
      </x:c>
      <x:c r="J26" s="102" t="str">
        <x:v>High</x:v>
      </x:c>
      <x:c r="K26" s="102" t="str">
        <x:v>SRC_0200</x:v>
      </x:c>
    </x:row>
    <x:row r="27">
      <x:c r="A27" s="102" t="str">
        <x:v>COV_0026</x:v>
      </x:c>
      <x:c r="B27" s="102" t="str">
        <x:v>COMP_WAN_HAI</x:v>
      </x:c>
      <x:c r="C27" s="102" t="str">
        <x:v>Current / recent carrier schedule seed</x:v>
      </x:c>
      <x:c r="D27" s="102"/>
      <x:c r="E27" s="102" t="n">
        <x:v>5</x:v>
      </x:c>
      <x:c r="F27" s="102"/>
      <x:c r="G27" s="102" t="str">
        <x:v>Deployment sample — not fleet total</x:v>
      </x:c>
      <x:c r="H27" s="102" t="str">
        <x:v>Observed scheduled vessels only. Do not use this sample as the carrier's fleet-size denominator or infer ownership from schedule appearance.</x:v>
      </x:c>
      <x:c r="I27" s="102" t="str">
        <x:v>2026-09-07</x:v>
      </x:c>
      <x:c r="J27" s="102" t="str">
        <x:v>High</x:v>
      </x:c>
      <x:c r="K27" s="102" t="str">
        <x:v>SRC_0201</x:v>
      </x:c>
    </x:row>
    <x:row r="28">
      <x:c r="A28" s="102" t="str">
        <x:v>COV_0027</x:v>
      </x:c>
      <x:c r="B28" s="102" t="str">
        <x:v>COMP_ZIM</x:v>
      </x:c>
      <x:c r="C28" s="102" t="str">
        <x:v>Current / recent carrier schedule seed</x:v>
      </x:c>
      <x:c r="D28" s="102"/>
      <x:c r="E28" s="102" t="n">
        <x:v>5</x:v>
      </x:c>
      <x:c r="F28" s="102"/>
      <x:c r="G28" s="102" t="str">
        <x:v>Deployment sample — not fleet total</x:v>
      </x:c>
      <x:c r="H28" s="102" t="str">
        <x:v>Observed scheduled vessels only. Do not use this sample as the carrier's fleet-size denominator or infer ownership from schedule appearance.</x:v>
      </x:c>
      <x:c r="I28" s="102" t="str">
        <x:v>2026-09-07</x:v>
      </x:c>
      <x:c r="J28" s="102" t="str">
        <x:v>High</x:v>
      </x:c>
      <x:c r="K28" s="102" t="str">
        <x:v>SRC_0202</x:v>
      </x:c>
    </x:row>
    <x:row r="29">
      <x:c r="A29" s="102" t="str">
        <x:v>COV_0028</x:v>
      </x:c>
      <x:c r="B29" s="102" t="str">
        <x:v>COMP_UNIFEEDER</x:v>
      </x:c>
      <x:c r="C29" s="102" t="str">
        <x:v>Current / recent carrier schedule seed</x:v>
      </x:c>
      <x:c r="D29" s="102"/>
      <x:c r="E29" s="102" t="n">
        <x:v>4</x:v>
      </x:c>
      <x:c r="F29" s="102"/>
      <x:c r="G29" s="102" t="str">
        <x:v>Deployment sample — not fleet total</x:v>
      </x:c>
      <x:c r="H29" s="102" t="str">
        <x:v>Observed scheduled vessels only. Do not use this sample as the carrier's fleet-size denominator or infer ownership from schedule appearance.</x:v>
      </x:c>
      <x:c r="I29" s="102" t="str">
        <x:v>2026-09-07</x:v>
      </x:c>
      <x:c r="J29" s="102" t="str">
        <x:v>High</x:v>
      </x:c>
      <x:c r="K29" s="102" t="str">
        <x:v>SRC_0203</x:v>
      </x:c>
    </x:row>
    <x:row r="30">
      <x:c r="A30" s="102" t="str">
        <x:v>COV_0029</x:v>
      </x:c>
      <x:c r="B30" s="102" t="str">
        <x:v>COMP_SEALEAD</x:v>
      </x:c>
      <x:c r="C30" s="102" t="str">
        <x:v>Current / recent carrier schedule seed</x:v>
      </x:c>
      <x:c r="D30" s="102"/>
      <x:c r="E30" s="102" t="n">
        <x:v>4</x:v>
      </x:c>
      <x:c r="F30" s="102"/>
      <x:c r="G30" s="102" t="str">
        <x:v>Deployment sample — not fleet total</x:v>
      </x:c>
      <x:c r="H30" s="102" t="str">
        <x:v>Observed scheduled vessels only. Do not use this sample as the carrier's fleet-size denominator or infer ownership from schedule appearance.</x:v>
      </x:c>
      <x:c r="I30" s="102" t="str">
        <x:v>2026-09-07</x:v>
      </x:c>
      <x:c r="J30" s="102" t="str">
        <x:v>High</x:v>
      </x:c>
      <x:c r="K30" s="102" t="str">
        <x:v>SRC_0204</x:v>
      </x:c>
    </x:row>
    <x:row r="31">
      <x:c r="A31" s="102" t="str">
        <x:v>COV_0030</x:v>
      </x:c>
      <x:c r="B31" s="102" t="str">
        <x:v>COMP_ESL</x:v>
      </x:c>
      <x:c r="C31" s="102" t="str">
        <x:v>Current / recent carrier schedule seed</x:v>
      </x:c>
      <x:c r="D31" s="102"/>
      <x:c r="E31" s="102" t="n">
        <x:v>4</x:v>
      </x:c>
      <x:c r="F31" s="102"/>
      <x:c r="G31" s="102" t="str">
        <x:v>Deployment sample — not fleet total</x:v>
      </x:c>
      <x:c r="H31" s="102" t="str">
        <x:v>Observed scheduled vessels only. Do not use this sample as the carrier's fleet-size denominator or infer ownership from schedule appearance.</x:v>
      </x:c>
      <x:c r="I31" s="102" t="str">
        <x:v>2026-09-07</x:v>
      </x:c>
      <x:c r="J31" s="102" t="str">
        <x:v>High</x:v>
      </x:c>
      <x:c r="K31" s="102" t="str">
        <x:v>SRC_0205</x:v>
      </x:c>
    </x:row>
    <x:row r="32">
      <x:c r="A32" s="102" t="str">
        <x:v>COV_0031</x:v>
      </x:c>
      <x:c r="B32" s="102" t="str">
        <x:v>COMP_XPRESS</x:v>
      </x:c>
      <x:c r="C32" s="102" t="str">
        <x:v>Current / recent carrier schedule seed</x:v>
      </x:c>
      <x:c r="D32" s="102"/>
      <x:c r="E32" s="102" t="n">
        <x:v>4</x:v>
      </x:c>
      <x:c r="F32" s="102"/>
      <x:c r="G32" s="102" t="str">
        <x:v>Deployment sample — not fleet total</x:v>
      </x:c>
      <x:c r="H32" s="102" t="str">
        <x:v>Observed scheduled vessels only. Do not use this sample as the carrier's fleet-size denominator or infer ownership from schedule appearance.</x:v>
      </x:c>
      <x:c r="I32" s="102" t="str">
        <x:v>2026-09-07</x:v>
      </x:c>
      <x:c r="J32" s="102" t="str">
        <x:v>High</x:v>
      </x:c>
      <x:c r="K32" s="102" t="str">
        <x:v>SRC_0206</x:v>
      </x:c>
    </x:row>
    <x:row r="33">
      <x:c r="A33" s="102" t="str">
        <x:v>COV_0032</x:v>
      </x:c>
      <x:c r="B33" s="102" t="str">
        <x:v>COMP_GFS</x:v>
      </x:c>
      <x:c r="C33" s="102" t="str">
        <x:v>Current / recent carrier schedule seed</x:v>
      </x:c>
      <x:c r="D33" s="102"/>
      <x:c r="E33" s="102" t="n">
        <x:v>5</x:v>
      </x:c>
      <x:c r="F33" s="102"/>
      <x:c r="G33" s="102" t="str">
        <x:v>Deployment sample — not fleet total</x:v>
      </x:c>
      <x:c r="H33" s="102" t="str">
        <x:v>Observed scheduled vessels only. Do not use this sample as the carrier's fleet-size denominator or infer ownership from schedule appearance.</x:v>
      </x:c>
      <x:c r="I33" s="102" t="str">
        <x:v>2026-09-07</x:v>
      </x:c>
      <x:c r="J33" s="102" t="str">
        <x:v>High</x:v>
      </x:c>
      <x:c r="K33" s="102" t="str">
        <x:v>SRC_0207</x:v>
      </x:c>
    </x:row>
    <x:row r="34">
      <x:c r="A34" s="102" t="str">
        <x:v>COV_0033</x:v>
      </x:c>
      <x:c r="B34" s="102" t="str">
        <x:v>COMP_SAFEEN_FEEDERS</x:v>
      </x:c>
      <x:c r="C34" s="102" t="str">
        <x:v>Current / recent carrier schedule seed</x:v>
      </x:c>
      <x:c r="D34" s="102"/>
      <x:c r="E34" s="102" t="n">
        <x:v>4</x:v>
      </x:c>
      <x:c r="F34" s="102"/>
      <x:c r="G34" s="102" t="str">
        <x:v>Deployment sample — not fleet total</x:v>
      </x:c>
      <x:c r="H34" s="102" t="str">
        <x:v>Observed scheduled vessels only. Do not use this sample as the carrier's fleet-size denominator or infer ownership from schedule appearance.</x:v>
      </x:c>
      <x:c r="I34" s="102" t="str">
        <x:v>2026-09-07</x:v>
      </x:c>
      <x:c r="J34" s="102" t="str">
        <x:v>High</x:v>
      </x:c>
      <x:c r="K34" s="102" t="str">
        <x:v>SRC_0208</x:v>
      </x:c>
    </x:row>
    <x:row r="35">
      <x:c r="A35" s="102" t="str">
        <x:v>COV_0034</x:v>
      </x:c>
      <x:c r="B35" s="102" t="str">
        <x:v>COMP_CSL_CANADA</x:v>
      </x:c>
      <x:c r="C35" s="102" t="str">
        <x:v>Great Lakes / St. Lawrence current regional fleet</x:v>
      </x:c>
      <x:c r="D35" s="102" t="str">
        <x:v>17</x:v>
      </x:c>
      <x:c r="E35" s="102" t="str">
        <x:v>17</x:v>
      </x:c>
      <x:c r="F35" s="102" t="str">
        <x:v>1</x:v>
      </x:c>
      <x:c r="G35" s="102" t="str">
        <x:v>Complete current regional fleet seed</x:v>
      </x:c>
      <x:c r="H35" s="102" t="str">
        <x:v>All 17 current CSL Canada regional vessels captured with IMO. Ferbec belongs to the regional division but cannot transit the Great Lakes locks.</x:v>
      </x:c>
      <x:c r="I35" s="102" t="str">
        <x:v>2026-09-07</x:v>
      </x:c>
      <x:c r="J35" s="102" t="str">
        <x:v>High</x:v>
      </x:c>
      <x:c r="K35" s="102" t="str">
        <x:v>SRC_0153</x:v>
      </x:c>
    </x:row>
    <x:row r="36">
      <x:c r="A36" s="102" t="str">
        <x:v>COV_0035</x:v>
      </x:c>
      <x:c r="B36" s="102" t="str">
        <x:v>COMP_CSL_AUSTRALIA</x:v>
      </x:c>
      <x:c r="C36" s="102" t="str">
        <x:v>Australia / Asia current regional fleet</x:v>
      </x:c>
      <x:c r="D36" s="102" t="str">
        <x:v>15</x:v>
      </x:c>
      <x:c r="E36" s="102" t="str">
        <x:v>0</x:v>
      </x:c>
      <x:c r="F36" s="102" t="str">
        <x:v>0</x:v>
      </x:c>
      <x:c r="G36" s="102" t="str">
        <x:v>Fully named in staging</x:v>
      </x:c>
      <x:c r="H36" s="102" t="str">
        <x:v>All 15 current regional names captured in Global Vessel Staging; IMO/MMSI enrichment pending.</x:v>
      </x:c>
      <x:c r="I36" s="102" t="str">
        <x:v>2026-09-07</x:v>
      </x:c>
      <x:c r="J36" s="102" t="str">
        <x:v>High</x:v>
      </x:c>
      <x:c r="K36" s="102" t="str">
        <x:v>SRC_0153</x:v>
      </x:c>
    </x:row>
    <x:row r="37">
      <x:c r="A37" s="102" t="str">
        <x:v>COV_0036</x:v>
      </x:c>
      <x:c r="B37" s="102" t="str">
        <x:v>COMP_INTERLAKE</x:v>
      </x:c>
      <x:c r="C37" s="102" t="str">
        <x:v>Current operating fleet</x:v>
      </x:c>
      <x:c r="D37" s="102" t="str">
        <x:v>10</x:v>
      </x:c>
      <x:c r="E37" s="102" t="str">
        <x:v>10</x:v>
      </x:c>
      <x:c r="F37" s="102" t="str">
        <x:v>1</x:v>
      </x:c>
      <x:c r="G37" s="102" t="str">
        <x:v>Complete current operating fleet seed</x:v>
      </x:c>
      <x:c r="H37" s="102" t="str">
        <x:v>Ten current operating entries captured; SS John Sherwin is listed separately by Interlake and should be treated as a separate status/research question.</x:v>
      </x:c>
      <x:c r="I37" s="102" t="str">
        <x:v>2026-09-07</x:v>
      </x:c>
      <x:c r="J37" s="102" t="str">
        <x:v>High</x:v>
      </x:c>
      <x:c r="K37" s="102" t="str">
        <x:v>SRC_0156</x:v>
      </x:c>
    </x:row>
    <x:row r="38">
      <x:c r="A38" s="102" t="str">
        <x:v>COV_0037</x:v>
      </x:c>
      <x:c r="B38" s="102" t="str">
        <x:v>COMP_ALGOMA</x:v>
      </x:c>
      <x:c r="C38" s="102" t="str">
        <x:v>Great Lakes / tanker identity seed</x:v>
      </x:c>
      <x:c r="D38" s="102"/>
      <x:c r="E38" s="102" t="str">
        <x:v>23</x:v>
      </x:c>
      <x:c r="F38" s="102"/>
      <x:c r="G38" s="102" t="str">
        <x:v>Partial / mixed freshness</x:v>
      </x:c>
      <x:c r="H38" s="102" t="str">
        <x:v>Current corporate segment structure plus 2023 regulator identities and 2024-25 deliveries. Reconcile individual current status before declaring a complete active fleet.</x:v>
      </x:c>
      <x:c r="I38" s="102" t="str">
        <x:v>2026-09-07</x:v>
      </x:c>
      <x:c r="J38" s="102" t="str">
        <x:v>High</x:v>
      </x:c>
      <x:c r="K38" s="102" t="str">
        <x:v>SRC_0155</x:v>
      </x:c>
    </x:row>
    <x:row r="39">
      <x:c r="A39" s="102" t="str">
        <x:v>COV_0038</x:v>
      </x:c>
      <x:c r="B39" s="102" t="str">
        <x:v>COMP_MCKEIL</x:v>
      </x:c>
      <x:c r="C39" s="102" t="str">
        <x:v>Current public fleet names</x:v>
      </x:c>
      <x:c r="D39" s="102"/>
      <x:c r="E39" s="102" t="str">
        <x:v>1</x:v>
      </x:c>
      <x:c r="F39" s="102"/>
      <x:c r="G39" s="102" t="str">
        <x:v>Staging-rich / identity-poor</x:v>
      </x:c>
      <x:c r="H39" s="102" t="str">
        <x:v>Current fleet names staged; Florence Spirit promoted with IMO and Canadian Official Number.</x:v>
      </x:c>
      <x:c r="I39" s="102" t="str">
        <x:v>2026-09-07</x:v>
      </x:c>
      <x:c r="J39" s="102" t="str">
        <x:v>High</x:v>
      </x:c>
      <x:c r="K39" s="102" t="str">
        <x:v>SRC_0176</x:v>
      </x:c>
    </x:row>
    <x:row r="40">
      <x:c r="A40" s="102" t="str">
        <x:v>COV_0039</x:v>
      </x:c>
      <x:c r="B40" s="102" t="str">
        <x:v>COMP_ASC</x:v>
      </x:c>
      <x:c r="C40" s="102" t="str">
        <x:v>Great Lakes vessel identity seed</x:v>
      </x:c>
      <x:c r="D40" s="102"/>
      <x:c r="E40" s="102" t="str">
        <x:v>11</x:v>
      </x:c>
      <x:c r="F40" s="102"/>
      <x:c r="G40" s="102" t="str">
        <x:v>Historical identity seed</x:v>
      </x:c>
      <x:c r="H40" s="102" t="str">
        <x:v>2023 regulator identities captured; current Mainstay/ASC operating status requires refresh.</x:v>
      </x:c>
      <x:c r="I40" s="102" t="str">
        <x:v>2026-09-07</x:v>
      </x:c>
      <x:c r="J40" s="102" t="str">
        <x:v>Medium</x:v>
      </x:c>
      <x:c r="K40" s="102" t="str">
        <x:v>SRC_0167</x:v>
      </x:c>
    </x:row>
    <x:row r="41">
      <x:c r="A41" s="102" t="str">
        <x:v>COV_0040</x:v>
      </x:c>
      <x:c r="B41" s="102" t="str">
        <x:v>COMP_GRN</x:v>
      </x:c>
      <x:c r="C41" s="102" t="str">
        <x:v>Great Lakes vessel identity seed</x:v>
      </x:c>
      <x:c r="D41" s="102"/>
      <x:c r="E41" s="102" t="str">
        <x:v>7</x:v>
      </x:c>
      <x:c r="F41" s="102"/>
      <x:c r="G41" s="102" t="str">
        <x:v>Historical identity seed</x:v>
      </x:c>
      <x:c r="H41" s="102" t="str">
        <x:v>Five valid IMO records plus two regulator numeric identifiers retained outside the IMO field pending reconciliation.</x:v>
      </x:c>
      <x:c r="I41" s="102" t="str">
        <x:v>2026-09-07</x:v>
      </x:c>
      <x:c r="J41" s="102" t="str">
        <x:v>Medium</x:v>
      </x:c>
      <x:c r="K41" s="102" t="str">
        <x:v>SRC_0167</x:v>
      </x:c>
    </x:row>
    <x:row r="42">
      <x:c r="A42" s="102" t="str">
        <x:v>COV_0041</x:v>
      </x:c>
      <x:c r="B42" s="102" t="str">
        <x:v>COMP_LOWER_LAKES</x:v>
      </x:c>
      <x:c r="C42" s="102" t="str">
        <x:v>Great Lakes vessel identity seed</x:v>
      </x:c>
      <x:c r="D42" s="102"/>
      <x:c r="E42" s="102" t="str">
        <x:v>6</x:v>
      </x:c>
      <x:c r="F42" s="102"/>
      <x:c r="G42" s="102" t="str">
        <x:v>Historical identity seed</x:v>
      </x:c>
      <x:c r="H42" s="102" t="str">
        <x:v>2023 regulator identities captured; current operating status requires refresh.</x:v>
      </x:c>
      <x:c r="I42" s="102" t="str">
        <x:v>2026-09-07</x:v>
      </x:c>
      <x:c r="J42" s="102" t="str">
        <x:v>Medium</x:v>
      </x:c>
      <x:c r="K42" s="102" t="str">
        <x:v>SRC_0167</x:v>
      </x:c>
    </x:row>
    <x:row r="43">
      <x:c r="A43" s="102" t="str">
        <x:v>COV_0042</x:v>
      </x:c>
      <x:c r="B43" s="102" t="str">
        <x:v>COMP_GREAT_LAKES_FLEET</x:v>
      </x:c>
      <x:c r="C43" s="102" t="str">
        <x:v>Great Lakes Fleet / Key Lakes identity seed</x:v>
      </x:c>
      <x:c r="D43" s="102"/>
      <x:c r="E43" s="102" t="str">
        <x:v>9</x:v>
      </x:c>
      <x:c r="F43" s="102"/>
      <x:c r="G43" s="102" t="str">
        <x:v>Historical identities + current system role</x:v>
      </x:c>
      <x:c r="H43" s="102" t="str">
        <x:v>CN confirms current integrated Great Lakes Fleet iron-ore role; individual vessel activity is pending refresh.</x:v>
      </x:c>
      <x:c r="I43" s="102" t="str">
        <x:v>2026-09-07</x:v>
      </x:c>
      <x:c r="J43" s="102" t="str">
        <x:v>High</x:v>
      </x:c>
      <x:c r="K43" s="102" t="str">
        <x:v>SRC_0178</x:v>
      </x:c>
    </x:row>
    <x:row r="44">
      <x:c r="A44" s="42" t="str">
        <x:v>COV_0043</x:v>
      </x:c>
      <x:c r="B44" s="42" t="str">
        <x:v>COMP_DHL_EXPRESS</x:v>
      </x:c>
      <x:c r="C44" s="42" t="str">
        <x:v>Air network portfolio</x:v>
      </x:c>
      <x:c r="D44" s="42" t="str">
        <x:v>&gt;275</x:v>
      </x:c>
      <x:c r="E44" s="42" t="str">
        <x:v>0</x:v>
      </x:c>
      <x:c r="F44" s="42" t="str"/>
      <x:c r="G44" s="42" t="str">
        <x:v>Aggregate network captured; tail-level fleet pending</x:v>
      </x:c>
      <x:c r="H44" s="42" t="str">
        <x:v>Dedicated-aircraft total and network structure are current, but aircraft identities/operators/registrations are not yet resolved.</x:v>
      </x:c>
      <x:c r="I44" s="42" t="str">
        <x:v>2026-09-07</x:v>
      </x:c>
      <x:c r="J44" s="42" t="str">
        <x:v>High</x:v>
      </x:c>
      <x:c r="K44" s="42" t="str">
        <x:v>SRC_0290</x:v>
      </x:c>
    </x:row>
    <x:row r="45">
      <x:c r="A45" s="42" t="str">
        <x:v>COV_0044</x:v>
      </x:c>
      <x:c r="B45" s="42" t="str">
        <x:v>COMP_FEDERAL_EXPRESS</x:v>
      </x:c>
      <x:c r="C45" s="42" t="str">
        <x:v>Aircraft type portfolio</x:v>
      </x:c>
      <x:c r="D45" s="42" t="str">
        <x:v>700</x:v>
      </x:c>
      <x:c r="E45" s="42" t="str">
        <x:v>0</x:v>
      </x:c>
      <x:c r="F45" s="42" t="str"/>
      <x:c r="G45" s="42" t="str">
        <x:v>Type-level complete / tail-level pending</x:v>
      </x:c>
      <x:c r="H45" s="42" t="str">
        <x:v>All 700 aircraft captured by aircraft type; tail registrations and individual operator/ownership evidence are not yet modeled.</x:v>
      </x:c>
      <x:c r="I45" s="42" t="str">
        <x:v>2026-09-07</x:v>
      </x:c>
      <x:c r="J45" s="42" t="str">
        <x:v>High</x:v>
      </x:c>
      <x:c r="K45" s="42" t="str">
        <x:v>SRC_0297</x:v>
      </x:c>
    </x:row>
    <x:row r="46">
      <x:c r="A46" s="42" t="str">
        <x:v>COV_0045</x:v>
      </x:c>
      <x:c r="B46" s="42" t="str">
        <x:v>COMP_AMAZON_AIR</x:v>
      </x:c>
      <x:c r="C46" s="42" t="str">
        <x:v>Air network portfolio</x:v>
      </x:c>
      <x:c r="D46" s="42" t="str">
        <x:v>100+</x:v>
      </x:c>
      <x:c r="E46" s="42" t="str">
        <x:v>22</x:v>
      </x:c>
      <x:c r="F46" s="42" t="str"/>
      <x:c r="G46" s="42" t="str">
        <x:v>Operator relationship seed</x:v>
      </x:c>
      <x:c r="H46" s="42" t="str">
        <x:v>Amazon reports 100+ network aircraft; 22 B737-800 cargo aircraft operated by Sun Country are explicitly identified as a current operator block, not as complete fleet capture.</x:v>
      </x:c>
      <x:c r="I46" s="42" t="str">
        <x:v>2026-09-07</x:v>
      </x:c>
      <x:c r="J46" s="42" t="str">
        <x:v>High</x:v>
      </x:c>
      <x:c r="K46" s="42" t="str">
        <x:v>SRC_0307</x:v>
      </x:c>
    </x:row>
    <x:row r="47">
      <x:c r="A47" s="42" t="str">
        <x:v>COV_0046</x:v>
      </x:c>
      <x:c r="B47" s="42" t="str">
        <x:v>COMP_FEDEX_FREIGHT</x:v>
      </x:c>
      <x:c r="C47" s="42" t="str">
        <x:v>LTL terminal / road network</x:v>
      </x:c>
      <x:c r="D47" s="42" t="str">
        <x:v>~355 terminals</x:v>
      </x:c>
      <x:c r="E47" s="42" t="str">
        <x:v>0</x:v>
      </x:c>
      <x:c r="F47" s="42" t="str"/>
      <x:c r="G47" s="42" t="str">
        <x:v>Network-summary seed</x:v>
      </x:c>
      <x:c r="H47" s="42" t="str">
        <x:v>Terminal and vehicle totals captured; individual terminal and tractor identities are out of scope for this first pass.</x:v>
      </x:c>
      <x:c r="I47" s="42" t="str">
        <x:v>2026-09-07</x:v>
      </x:c>
      <x:c r="J47" s="42" t="str">
        <x:v>Medium</x:v>
      </x:c>
      <x:c r="K47" s="42" t="str">
        <x:v>SRC_0299</x:v>
      </x:c>
    </x:row>
    <x:row r="48">
      <x:c r="A48" s="42" t="str">
        <x:v>COV_0047</x:v>
      </x:c>
      <x:c r="B48" s="42" t="str">
        <x:v>COMP_ARAMEX</x:v>
      </x:c>
      <x:c r="C48" s="42" t="str">
        <x:v>Warehouse / logistics network</x:v>
      </x:c>
      <x:c r="D48" s="42" t="str">
        <x:v>60+ facilities</x:v>
      </x:c>
      <x:c r="E48" s="42" t="str">
        <x:v>1</x:v>
      </x:c>
      <x:c r="F48" s="42" t="str"/>
      <x:c r="G48" s="42" t="str">
        <x:v>Network-summary + facility seed</x:v>
      </x:c>
      <x:c r="H48" s="42" t="str">
        <x:v>Global warehouse scale is captured; one current Dubai healthcare facility is promoted as a canonical asset.</x:v>
      </x:c>
      <x:c r="I48" s="42" t="str">
        <x:v>2026-09-07</x:v>
      </x:c>
      <x:c r="J48" s="42" t="str">
        <x:v>High</x:v>
      </x:c>
      <x:c r="K48" s="42" t="str">
        <x:v>SRC_0310</x:v>
      </x:c>
    </x:row>
  </x:sheetData>
  <x:conditionalFormatting sqref="F2:F13">
    <x:cfRule type="dataBar" priority="1">
      <x:dataBar>
        <x:cfvo type="min"/>
        <x:cfvo type="max"/>
        <x:color rgb="FFA02B93"/>
      </x:dataBar>
      <x:extLst>
        <x:ext xmlns:x14="http://schemas.microsoft.com/office/spreadsheetml/2009/9/main" uri="{B025F937-C7B1-47D3-B67F-A62EFF666E3E}">
          <x14:id>{F1E0B065-9B55-2EDD-BDF4-EA0274258FB1}</x14:id>
        </x:ext>
      </x:extLst>
    </x:cfRule>
  </x:conditionalFormatting>
  <x:pageMargins left="0.7" right="0.7" top="0.75" bottom="0.75" header="0.3" footer="0.3"/>
  <x:tableParts count="1">
    <x:tablePart xmlns:r="http://schemas.openxmlformats.org/officeDocument/2006/relationships" r:id="Rbbb414833ec447f8"/>
  </x:tableParts>
  <x:extLst>
    <x:ext xmlns:x14="http://schemas.microsoft.com/office/spreadsheetml/2009/9/main" xmlns:xm="http://schemas.microsoft.com/office/excel/2006/main" uri="{78C0D931-6437-407d-A8EE-F0AAD7539E65}">
      <x14:conditionalFormattings>
        <x14:conditionalFormatting>
          <x14:cfRule type="dataBar" priority="1" id="{F1E0B065-9B55-2EDD-BDF4-EA0274258FB1}">
            <x14:dataBar gradient="1">
              <x14:cfvo type="min"/>
              <x14:cfvo type="max"/>
              <x14:fillColor rgb="FFA02B93"/>
            </x14:dataBar>
          </x14:cfRule>
          <xm:sqref>F2:F13</xm:sqref>
        </x14:conditionalFormatting>
      </x14:conditionalFormattings>
    </x:ext>
  </x:extLst>
</x:worksheet>
</file>

<file path=xl/worksheets/sheet3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24" hidden="0" customWidth="1"/>
    <x:col min="5" max="5" width="24" hidden="0" customWidth="1"/>
    <x:col min="6" max="6" width="18" hidden="0" customWidth="1"/>
    <x:col min="7" max="7" width="30" hidden="0" customWidth="1"/>
    <x:col min="8" max="8" width="18" hidden="0" customWidth="1"/>
    <x:col min="9" max="9" width="20" hidden="0" customWidth="1"/>
    <x:col min="10" max="10" width="30" hidden="0" customWidth="1"/>
  </x:cols>
  <x:sheetData>
    <x:row r="1">
      <x:c r="A1" s="36" t="str">
        <x:v>Event Link ID</x:v>
      </x:c>
      <x:c r="B1" s="36" t="str">
        <x:v>Observation ID</x:v>
      </x:c>
      <x:c r="C1" s="36" t="str">
        <x:v>Canonical Event ID</x:v>
      </x:c>
      <x:c r="D1" s="36" t="str">
        <x:v>Entity ID</x:v>
      </x:c>
      <x:c r="E1" s="36" t="str">
        <x:v>Entity Type</x:v>
      </x:c>
      <x:c r="F1" s="36" t="str">
        <x:v>Link Type</x:v>
      </x:c>
      <x:c r="G1" s="36" t="str">
        <x:v>Match Basis</x:v>
      </x:c>
      <x:c r="H1" s="36" t="str">
        <x:v>Confidence</x:v>
      </x:c>
      <x:c r="I1" s="36" t="str">
        <x:v>Source Dataset</x:v>
      </x:c>
      <x:c r="J1" s="36" t="str">
        <x:v>Notes</x:v>
      </x:c>
    </x:row>
    <x:row r="2">
      <x:c r="A2" s="42" t="str">
        <x:v>ELINK_000001</x:v>
      </x:c>
      <x:c r="B2" s="42" t="str">
        <x:v>OBS_000029</x:v>
      </x:c>
      <x:c r="C2" s="42"/>
      <x:c r="D2" s="42" t="str">
        <x:v>VESSEL_00088</x:v>
      </x:c>
      <x:c r="E2" s="42" t="str">
        <x:v>Vessel</x:v>
      </x:c>
      <x:c r="F2" s="42" t="str">
        <x:v>AFFECTS / SUBJECT</x:v>
      </x:c>
      <x:c r="G2" s="42" t="str">
        <x:v>Vessel name exact-normalized</x:v>
      </x:c>
      <x:c r="H2" s="42" t="str">
        <x:v>High</x:v>
      </x:c>
      <x:c r="I2" s="42" t="str">
        <x:v>maritime_attacks_2026</x:v>
      </x:c>
      <x:c r="J2" s="42" t="str">
        <x:v>Observation subject: BARAKAH</x:v>
      </x:c>
    </x:row>
    <x:row r="3">
      <x:c r="A3" s="42" t="str">
        <x:v>ELINK_000002</x:v>
      </x:c>
      <x:c r="B3" s="42" t="str">
        <x:v>OBS_000044</x:v>
      </x:c>
      <x:c r="C3" s="42"/>
      <x:c r="D3" s="42" t="str">
        <x:v>VESSEL_00092</x:v>
      </x:c>
      <x:c r="E3" s="42" t="str">
        <x:v>Vessel</x:v>
      </x:c>
      <x:c r="F3" s="42" t="str">
        <x:v>AFFECTS / SUBJECT</x:v>
      </x:c>
      <x:c r="G3" s="42" t="str">
        <x:v>Vessel name exact-normalized</x:v>
      </x:c>
      <x:c r="H3" s="42" t="str">
        <x:v>High</x:v>
      </x:c>
      <x:c r="I3" s="42" t="str">
        <x:v>maritime_attacks_2026</x:v>
      </x:c>
      <x:c r="J3" s="42" t="str">
        <x:v>Observation subject: AL BAHYAH</x:v>
      </x:c>
    </x:row>
    <x:row r="4">
      <x:c r="A4" s="42" t="str">
        <x:v>ELINK_000003</x:v>
      </x:c>
      <x:c r="B4" s="42" t="str">
        <x:v>OBS_000052</x:v>
      </x:c>
      <x:c r="C4" s="42"/>
      <x:c r="D4" s="42" t="str">
        <x:v>VESSEL_00055</x:v>
      </x:c>
      <x:c r="E4" s="42" t="str">
        <x:v>Vessel</x:v>
      </x:c>
      <x:c r="F4" s="42" t="str">
        <x:v>AFFECTS / SUBJECT</x:v>
      </x:c>
      <x:c r="G4" s="42" t="str">
        <x:v>Vessel name exact-normalized</x:v>
      </x:c>
      <x:c r="H4" s="42" t="str">
        <x:v>High</x:v>
      </x:c>
      <x:c r="I4" s="42" t="str">
        <x:v>maritime_attacks_2026</x:v>
      </x:c>
      <x:c r="J4" s="42" t="str">
        <x:v>Observation subject: NAVIG8MESSI</x:v>
      </x:c>
    </x:row>
    <x:row r="5">
      <x:c r="A5" s="42" t="str">
        <x:v>ELINK_000004</x:v>
      </x:c>
      <x:c r="B5" s="42" t="str">
        <x:v>OBS_000053</x:v>
      </x:c>
      <x:c r="C5" s="42"/>
      <x:c r="D5" s="42" t="str">
        <x:v>VESSEL_00075</x:v>
      </x:c>
      <x:c r="E5" s="42" t="str">
        <x:v>Vessel</x:v>
      </x:c>
      <x:c r="F5" s="42" t="str">
        <x:v>AFFECTS / SUBJECT</x:v>
      </x:c>
      <x:c r="G5" s="42" t="str">
        <x:v>Vessel name exact-normalized</x:v>
      </x:c>
      <x:c r="H5" s="42" t="str">
        <x:v>High</x:v>
      </x:c>
      <x:c r="I5" s="42" t="str">
        <x:v>maritime_attacks_2026</x:v>
      </x:c>
      <x:c r="J5" s="42" t="str">
        <x:v>Observation subject: TARIF</x:v>
      </x:c>
    </x:row>
    <x:row r="6">
      <x:c r="A6" s="42" t="str">
        <x:v>ELINK_000005</x:v>
      </x:c>
      <x:c r="B6" s="42" t="str">
        <x:v>OBS_000213</x:v>
      </x:c>
      <x:c r="C6" s="42"/>
      <x:c r="D6" s="42" t="str">
        <x:v>VESSEL_00055</x:v>
      </x:c>
      <x:c r="E6" s="42" t="str">
        <x:v>Vessel</x:v>
      </x:c>
      <x:c r="F6" s="42" t="str">
        <x:v>AFFECTS / SUBJECT</x:v>
      </x:c>
      <x:c r="G6" s="42" t="str">
        <x:v>Vessel name exact-normalized</x:v>
      </x:c>
      <x:c r="H6" s="42" t="str">
        <x:v>High</x:v>
      </x:c>
      <x:c r="I6" s="42" t="str">
        <x:v>imo_gulf_confirmed_2026</x:v>
      </x:c>
      <x:c r="J6" s="42" t="str">
        <x:v>Observation subject: NAVIG8 MESSI</x:v>
      </x:c>
    </x:row>
    <x:row r="7">
      <x:c r="A7" s="42" t="str">
        <x:v>ELINK_000006</x:v>
      </x:c>
      <x:c r="B7" s="42" t="str">
        <x:v>OBS_000223</x:v>
      </x:c>
      <x:c r="C7" s="42"/>
      <x:c r="D7" s="42" t="str">
        <x:v>VESSEL_00092</x:v>
      </x:c>
      <x:c r="E7" s="42" t="str">
        <x:v>Vessel</x:v>
      </x:c>
      <x:c r="F7" s="42" t="str">
        <x:v>AFFECTS / SUBJECT</x:v>
      </x:c>
      <x:c r="G7" s="42" t="str">
        <x:v>Vessel name exact-normalized</x:v>
      </x:c>
      <x:c r="H7" s="42" t="str">
        <x:v>High</x:v>
      </x:c>
      <x:c r="I7" s="42" t="str">
        <x:v>imo_gulf_confirmed_2026</x:v>
      </x:c>
      <x:c r="J7" s="42" t="str">
        <x:v>Observation subject: AL BAHYAH</x:v>
      </x:c>
    </x:row>
    <x:row r="8">
      <x:c r="A8" s="102" t="str">
        <x:v>ELINK_000007</x:v>
      </x:c>
      <x:c r="B8" s="102" t="str">
        <x:v>OBS_000041</x:v>
      </x:c>
      <x:c r="C8" s="102" t="str">
        <x:v>EVENT_0005</x:v>
      </x:c>
      <x:c r="D8" s="102" t="str">
        <x:v>VESSEL_00171</x:v>
      </x:c>
      <x:c r="E8" s="102" t="str">
        <x:v>Vessel</x:v>
      </x:c>
      <x:c r="F8" s="102" t="str">
        <x:v>AFFECTS / SUBJECT</x:v>
      </x:c>
      <x:c r="G8" s="102" t="str">
        <x:v>IMO 9401271 exact match</x:v>
      </x:c>
      <x:c r="H8" s="102" t="str">
        <x:v>High</x:v>
      </x:c>
      <x:c r="I8" s="102" t="str">
        <x:v>maritime_attacks_2026</x:v>
      </x:c>
      <x:c r="J8" s="102" t="str">
        <x:v>Existing observation resolved to newly added canonical GFS Galaxy vessel.</x:v>
      </x:c>
    </x:row>
    <x:row r="9">
      <x:c r="A9" s="102" t="str">
        <x:v>ELINK_000008</x:v>
      </x:c>
      <x:c r="B9" s="102" t="str">
        <x:v>OBS_000226</x:v>
      </x:c>
      <x:c r="C9" s="102" t="str">
        <x:v>EVENT_0005</x:v>
      </x:c>
      <x:c r="D9" s="102" t="str">
        <x:v>VESSEL_00171</x:v>
      </x:c>
      <x:c r="E9" s="102" t="str">
        <x:v>Vessel</x:v>
      </x:c>
      <x:c r="F9" s="102" t="str">
        <x:v>AFFECTS / SUBJECT</x:v>
      </x:c>
      <x:c r="G9" s="102" t="str">
        <x:v>IMO 9401271 exact match</x:v>
      </x:c>
      <x:c r="H9" s="102" t="str">
        <x:v>High</x:v>
      </x:c>
      <x:c r="I9" s="102" t="str">
        <x:v>imo_gulf_confirmed_2026</x:v>
      </x:c>
      <x:c r="J9" s="102" t="str">
        <x:v>IMO-confirmed observation resolved to newly added canonical GFS Galaxy vessel.</x:v>
      </x:c>
    </x:row>
  </x:sheetData>
  <x:pageMargins left="0.7" right="0.7" top="0.75" bottom="0.75" header="0.3" footer="0.3"/>
  <x:tableParts count="1">
    <x:tablePart xmlns:r="http://schemas.openxmlformats.org/officeDocument/2006/relationships" r:id="Re7e4f8f342b5421d"/>
  </x:tableParts>
</x:worksheet>
</file>

<file path=xl/worksheets/sheet33.xml><?xml version="1.0" encoding="utf-8"?>
<x:worksheet xmlns:x="http://schemas.openxmlformats.org/spreadsheetml/2006/main">
  <x:sheetFormatPr defaultRowHeight="15"/>
  <x:cols>
    <x:col min="1" max="1" width="2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67" t="str">
        <x:v>P&amp;C Trade System Intelligence — Fleet &amp; Energy/Automotive Expansion v1.2</x:v>
      </x:c>
      <x:c r="B1" s="67"/>
      <x:c r="C1" s="67"/>
      <x:c r="D1" s="67"/>
      <x:c r="E1" s="67"/>
      <x:c r="F1" s="67"/>
      <x:c r="G1" s="67"/>
      <x:c r="H1" s="67"/>
    </x:row>
    <x:row r="2">
      <x:c r="A2" s="70" t="str">
        <x:v>First fleet-depth pass across Gulf energy shipping, Qatar LNG, automotive carriers, Asian liner fleets and energy-major charter exposure. Ownership, operation, chartering and cargo-principal roles are deliberately separated.</x:v>
      </x:c>
      <x:c r="B2" s="70"/>
      <x:c r="C2" s="70"/>
      <x:c r="D2" s="70"/>
      <x:c r="E2" s="70"/>
      <x:c r="F2" s="70"/>
      <x:c r="G2" s="70"/>
      <x:c r="H2" s="70"/>
    </x:row>
    <x:row r="4">
      <x:c r="A4" s="72" t="str">
        <x:v>Metric</x:v>
      </x:c>
      <x:c r="B4" s="72" t="str">
        <x:v>Added in v1.2</x:v>
      </x:c>
      <x:c r="D4" s="72" t="str">
        <x:v>Data-integrity rule</x:v>
      </x:c>
      <x:c r="E4" s="72"/>
      <x:c r="F4" s="72"/>
      <x:c r="G4" s="72"/>
      <x:c r="H4" s="72"/>
    </x:row>
    <x:row r="5">
      <x:c r="A5" s="74" t="str">
        <x:v>Companies / business entities</x:v>
      </x:c>
      <x:c r="B5" s="74" t="n">
        <x:v>24</x:v>
      </x:c>
      <x:c r="D5" s="78" t="str">
        <x:v>A vessel can have different owner, operator, charterer, technical manager and cargo-principal relationships. The model must not collapse these into a single 'owned by' field. This is particularly important for BYD/Zodiac, ExxonMobil/SeaRiver/Vitol, QatarEnergy/Nakilat and ZIM's charter-heavy fleet model.</x:v>
      </x:c>
      <x:c r="E5" s="78"/>
      <x:c r="F5" s="78"/>
      <x:c r="G5" s="78"/>
      <x:c r="H5" s="78"/>
    </x:row>
    <x:row r="6">
      <x:c r="A6" s="74" t="str">
        <x:v>Leadership roles</x:v>
      </x:c>
      <x:c r="B6" s="74" t="n">
        <x:v>18</x:v>
      </x:c>
      <x:c r="D6" s="78"/>
      <x:c r="E6" s="78"/>
      <x:c r="F6" s="78"/>
      <x:c r="G6" s="78"/>
      <x:c r="H6" s="78"/>
    </x:row>
    <x:row r="7">
      <x:c r="A7" s="74" t="str">
        <x:v>Individual vessels</x:v>
      </x:c>
      <x:c r="B7" s="74" t="n">
        <x:v>153</x:v>
      </x:c>
      <x:c r="D7" s="78"/>
      <x:c r="E7" s="78"/>
      <x:c r="F7" s="78"/>
      <x:c r="G7" s="78"/>
      <x:c r="H7" s="78"/>
    </x:row>
    <x:row r="8">
      <x:c r="A8" s="74" t="str">
        <x:v>Shipyards</x:v>
      </x:c>
      <x:c r="B8" s="74" t="n">
        <x:v>24</x:v>
      </x:c>
      <x:c r="D8" s="78"/>
      <x:c r="E8" s="78"/>
      <x:c r="F8" s="78"/>
      <x:c r="G8" s="78"/>
      <x:c r="H8" s="78"/>
    </x:row>
    <x:row r="9">
      <x:c r="A9" s="74" t="str">
        <x:v>Fleet portfolio rows</x:v>
      </x:c>
      <x:c r="B9" s="74" t="n">
        <x:v>22</x:v>
      </x:c>
      <x:c r="D9" s="78"/>
      <x:c r="E9" s="78"/>
      <x:c r="F9" s="78"/>
      <x:c r="G9" s="78"/>
      <x:c r="H9" s="78"/>
    </x:row>
    <x:row r="10">
      <x:c r="A10" s="74" t="str">
        <x:v>Fleet / newbuild order rows</x:v>
      </x:c>
      <x:c r="B10" s="74" t="n">
        <x:v>22</x:v>
      </x:c>
      <x:c r="D10" s="78"/>
      <x:c r="E10" s="78"/>
      <x:c r="F10" s="78"/>
      <x:c r="G10" s="78"/>
      <x:c r="H10" s="78"/>
    </x:row>
    <x:row r="11">
      <x:c r="A11" s="74" t="str">
        <x:v>Vessel relationship edges</x:v>
      </x:c>
      <x:c r="B11" s="74" t="n">
        <x:v>314</x:v>
      </x:c>
    </x:row>
    <x:row r="12">
      <x:c r="A12" s="74" t="str">
        <x:v>Vessel build records</x:v>
      </x:c>
      <x:c r="B12" s="74" t="n">
        <x:v>63</x:v>
      </x:c>
      <x:c r="D12" s="79" t="str">
        <x:v>Coverage principle</x:v>
      </x:c>
      <x:c r="E12" s="79"/>
      <x:c r="F12" s="79"/>
      <x:c r="G12" s="79"/>
      <x:c r="H12" s="79"/>
    </x:row>
    <x:row r="13">
      <x:c r="A13" s="74" t="str">
        <x:v>Vessel / fleet contracts</x:v>
      </x:c>
      <x:c r="B13" s="74" t="n">
        <x:v>7</x:v>
      </x:c>
      <x:c r="D13" s="82" t="str">
        <x:v>Fleet Coverage explicitly records the difference between a known company total and the number of individual vessel records captured. A summary count is not treated as a complete vessel register. Conflicting public fleet definitions are retained as research gaps rather than silently reconciled.</x:v>
      </x:c>
      <x:c r="E13" s="82"/>
      <x:c r="F13" s="82"/>
      <x:c r="G13" s="82"/>
      <x:c r="H13" s="82"/>
    </x:row>
    <x:row r="14">
      <x:c r="A14" s="74" t="str">
        <x:v>Event-to-vessel links</x:v>
      </x:c>
      <x:c r="B14" s="74" t="n">
        <x:v>6</x:v>
      </x:c>
      <x:c r="D14" s="82"/>
      <x:c r="E14" s="82"/>
      <x:c r="F14" s="82"/>
      <x:c r="G14" s="82"/>
      <x:c r="H14" s="82"/>
    </x:row>
    <x:row r="15">
      <x:c r="D15" s="82"/>
      <x:c r="E15" s="82"/>
      <x:c r="F15" s="82"/>
      <x:c r="G15" s="82"/>
      <x:c r="H15" s="82"/>
    </x:row>
    <x:row r="16">
      <x:c r="D16" s="82"/>
      <x:c r="E16" s="82"/>
      <x:c r="F16" s="82"/>
      <x:c r="G16" s="82"/>
      <x:c r="H16" s="82"/>
    </x:row>
    <x:row r="17">
      <x:c r="D17" s="82"/>
      <x:c r="E17" s="82"/>
      <x:c r="F17" s="82"/>
      <x:c r="G17" s="82"/>
      <x:c r="H17" s="82"/>
    </x:row>
    <x:row r="18">
      <x:c r="D18" s="82"/>
      <x:c r="E18" s="82"/>
      <x:c r="F18" s="82"/>
      <x:c r="G18" s="82"/>
      <x:c r="H18" s="82"/>
    </x:row>
  </x:sheetData>
  <x:mergeCells>
    <x:mergeCell ref="A1:H1"/>
    <x:mergeCell ref="A2:H2"/>
    <x:mergeCell ref="D4:H4"/>
    <x:mergeCell ref="D5:H10"/>
    <x:mergeCell ref="D12:H12"/>
    <x:mergeCell ref="D13:H18"/>
  </x:mergeCells>
  <x:pageMargins left="0.7" right="0.7" top="0.75" bottom="0.75" header="0.3" footer="0.3"/>
</x:worksheet>
</file>

<file path=xl/worksheets/sheet34.xml><?xml version="1.0" encoding="utf-8"?>
<x:worksheet xmlns:x="http://schemas.openxmlformats.org/spreadsheetml/2006/main">
  <x:sheetFormatPr defaultRowHeight="15"/>
  <x:cols>
    <x:col min="1" max="1" width="18" hidden="0" customWidth="1"/>
    <x:col min="2" max="2" width="28" hidden="0" customWidth="1"/>
    <x:col min="3" max="3" width="18" hidden="0" customWidth="1"/>
    <x:col min="4" max="4" width="28" hidden="0" customWidth="1"/>
    <x:col min="5" max="5" width="18" hidden="0" customWidth="1"/>
    <x:col min="6" max="6" width="28" hidden="0" customWidth="1"/>
    <x:col min="7" max="7" width="18" hidden="0" customWidth="1"/>
    <x:col min="8" max="8" width="18" hidden="0" customWidth="1"/>
    <x:col min="9" max="9" width="38" hidden="0" customWidth="1"/>
    <x:col min="10" max="10" width="18" hidden="0" customWidth="1"/>
    <x:col min="11" max="11" width="28" hidden="0" customWidth="1"/>
    <x:col min="12" max="12" width="28" hidden="0" customWidth="1"/>
  </x:cols>
  <x:sheetData>
    <x:row r="1">
      <x:c r="A1" s="36" t="str">
        <x:v>Vessel ID</x:v>
      </x:c>
      <x:c r="B1" s="36" t="str">
        <x:v>Vessel Name</x:v>
      </x:c>
      <x:c r="C1" s="36" t="str">
        <x:v>Owner Company ID</x:v>
      </x:c>
      <x:c r="D1" s="36" t="str">
        <x:v>Owner Name</x:v>
      </x:c>
      <x:c r="E1" s="36" t="str">
        <x:v>IMO</x:v>
      </x:c>
      <x:c r="F1" s="36" t="str">
        <x:v>Verification Status</x:v>
      </x:c>
      <x:c r="G1" s="36" t="str">
        <x:v>Confidence</x:v>
      </x:c>
      <x:c r="H1" s="36" t="str">
        <x:v>Verified As Of</x:v>
      </x:c>
      <x:c r="I1" s="36" t="str">
        <x:v>IMO Verification URL</x:v>
      </x:c>
      <x:c r="J1" s="36" t="str">
        <x:v>Fleet Source ID</x:v>
      </x:c>
      <x:c r="K1" s="36" t="str">
        <x:v>Vessel Status</x:v>
      </x:c>
      <x:c r="L1" s="36" t="str">
        <x:v>Notes</x:v>
      </x:c>
    </x:row>
    <x:row r="2">
      <x:c r="A2" s="42" t="str">
        <x:v>VESSEL_00001</x:v>
      </x:c>
      <x:c r="B2" s="42" t="str">
        <x:v>UGR Al Samha</x:v>
      </x:c>
      <x:c r="C2" s="42" t="str">
        <x:v>COMP_UGR</x:v>
      </x:c>
      <x:c r="D2" s="42" t="str">
        <x:v>United Global Ro-Ro</x:v>
      </x:c>
      <x:c r="E2" s="163" t="str">
        <x:v>9973444</x:v>
      </x:c>
      <x:c r="F2" s="42" t="str">
        <x:v>IMO populated — checksum valid</x:v>
      </x:c>
      <x:c r="G2" s="42" t="str">
        <x:v>High</x:v>
      </x:c>
      <x:c r="H2" s="42" t="str">
        <x:v>2026-09-07</x:v>
      </x:c>
      <x:c r="I2" s="42" t="str">
        <x:v>https://www.vesselfinder.com/vessels/details/9973444</x:v>
      </x:c>
      <x:c r="J2" s="42" t="str">
        <x:v>SRC_0060</x:v>
      </x:c>
      <x:c r="K2" s="42" t="str">
        <x:v>Operating</x:v>
      </x:c>
      <x:c r="L2" s="42" t="str">
        <x:v>IMO added in v1.3 enrichment pass.</x:v>
      </x:c>
    </x:row>
    <x:row r="3">
      <x:c r="A3" s="42" t="str">
        <x:v>VESSEL_00002</x:v>
      </x:c>
      <x:c r="B3" s="42" t="str">
        <x:v>UGR Zakher</x:v>
      </x:c>
      <x:c r="C3" s="42" t="str">
        <x:v>COMP_UGR</x:v>
      </x:c>
      <x:c r="D3" s="42" t="str">
        <x:v>United Global Ro-Ro</x:v>
      </x:c>
      <x:c r="E3" s="163" t="str">
        <x:v>9980411</x:v>
      </x:c>
      <x:c r="F3" s="42" t="str">
        <x:v>IMO populated — checksum valid</x:v>
      </x:c>
      <x:c r="G3" s="42" t="str">
        <x:v>High</x:v>
      </x:c>
      <x:c r="H3" s="42" t="str">
        <x:v>2026-09-07</x:v>
      </x:c>
      <x:c r="I3" s="42" t="str">
        <x:v>https://www.vesselfinder.com/vessels/details/9980411</x:v>
      </x:c>
      <x:c r="J3" s="42" t="str">
        <x:v>SRC_0060</x:v>
      </x:c>
      <x:c r="K3" s="42" t="str">
        <x:v>Operating</x:v>
      </x:c>
      <x:c r="L3" s="42" t="str">
        <x:v>IMO added in v1.3 enrichment pass.</x:v>
      </x:c>
    </x:row>
    <x:row r="4">
      <x:c r="A4" s="42" t="str">
        <x:v>VESSEL_00003</x:v>
      </x:c>
      <x:c r="B4" s="42" t="str">
        <x:v>UGR Al Reef</x:v>
      </x:c>
      <x:c r="C4" s="42" t="str">
        <x:v>COMP_UGR</x:v>
      </x:c>
      <x:c r="D4" s="42" t="str">
        <x:v>United Global Ro-Ro</x:v>
      </x:c>
      <x:c r="E4" s="163" t="str">
        <x:v>9448138</x:v>
      </x:c>
      <x:c r="F4" s="42" t="str">
        <x:v>IMO populated — checksum valid</x:v>
      </x:c>
      <x:c r="G4" s="42" t="str">
        <x:v>High</x:v>
      </x:c>
      <x:c r="H4" s="42" t="str">
        <x:v>2026-09-07</x:v>
      </x:c>
      <x:c r="I4" s="42" t="str">
        <x:v>https://www.vesselfinder.com/vessels/details/9448138</x:v>
      </x:c>
      <x:c r="J4" s="42" t="str">
        <x:v>SRC_0060</x:v>
      </x:c>
      <x:c r="K4" s="42" t="str">
        <x:v>Operating</x:v>
      </x:c>
      <x:c r="L4" s="42" t="str">
        <x:v>IMO added in v1.3 enrichment pass.</x:v>
      </x:c>
    </x:row>
    <x:row r="5">
      <x:c r="A5" s="42" t="str">
        <x:v>VESSEL_00004</x:v>
      </x:c>
      <x:c r="B5" s="42" t="str">
        <x:v>Al Jubail</x:v>
      </x:c>
      <x:c r="C5" s="42" t="str">
        <x:v>COMP_UGR</x:v>
      </x:c>
      <x:c r="D5" s="42" t="str">
        <x:v>United Global Ro-Ro</x:v>
      </x:c>
      <x:c r="E5" s="163" t="str">
        <x:v>9547219</x:v>
      </x:c>
      <x:c r="F5" s="42" t="str">
        <x:v>IMO populated — checksum valid</x:v>
      </x:c>
      <x:c r="G5" s="42" t="str">
        <x:v>High</x:v>
      </x:c>
      <x:c r="H5" s="42" t="str">
        <x:v>2026-09-07</x:v>
      </x:c>
      <x:c r="I5" s="42" t="str">
        <x:v>https://www.vesselfinder.com/vessels/details/9547219</x:v>
      </x:c>
      <x:c r="J5" s="42" t="str">
        <x:v>SRC_0060</x:v>
      </x:c>
      <x:c r="K5" s="42" t="str">
        <x:v>Operating</x:v>
      </x:c>
      <x:c r="L5" s="42" t="str">
        <x:v>IMO added in v1.3 enrichment pass.</x:v>
      </x:c>
    </x:row>
    <x:row r="6">
      <x:c r="A6" s="42" t="str">
        <x:v>VESSEL_00005</x:v>
      </x:c>
      <x:c r="B6" s="42" t="str">
        <x:v>Ramhan</x:v>
      </x:c>
      <x:c r="C6" s="42" t="str">
        <x:v>COMP_UGR</x:v>
      </x:c>
      <x:c r="D6" s="42" t="str">
        <x:v>United Global Ro-Ro</x:v>
      </x:c>
      <x:c r="E6" s="163" t="str">
        <x:v>9668960</x:v>
      </x:c>
      <x:c r="F6" s="42" t="str">
        <x:v>IMO populated — checksum valid</x:v>
      </x:c>
      <x:c r="G6" s="42" t="str">
        <x:v>High</x:v>
      </x:c>
      <x:c r="H6" s="42" t="str">
        <x:v>2026-09-07</x:v>
      </x:c>
      <x:c r="I6" s="42" t="str">
        <x:v>https://www.vesselfinder.com/vessels/details/9668960</x:v>
      </x:c>
      <x:c r="J6" s="42" t="str">
        <x:v>SRC_0060</x:v>
      </x:c>
      <x:c r="K6" s="42" t="str">
        <x:v>Operating</x:v>
      </x:c>
      <x:c r="L6" s="42" t="str">
        <x:v>IMO added in v1.3 enrichment pass.</x:v>
      </x:c>
    </x:row>
    <x:row r="7">
      <x:c r="A7" s="42" t="str">
        <x:v>VESSEL_00006</x:v>
      </x:c>
      <x:c r="B7" s="42" t="str">
        <x:v>UGR Arabian Gulf</x:v>
      </x:c>
      <x:c r="C7" s="42" t="str">
        <x:v>COMP_UGR</x:v>
      </x:c>
      <x:c r="D7" s="42" t="str">
        <x:v>United Global Ro-Ro</x:v>
      </x:c>
      <x:c r="E7" s="163" t="str">
        <x:v>9431836</x:v>
      </x:c>
      <x:c r="F7" s="42" t="str">
        <x:v>IMO populated — checksum valid</x:v>
      </x:c>
      <x:c r="G7" s="42" t="str">
        <x:v>High</x:v>
      </x:c>
      <x:c r="H7" s="42" t="str">
        <x:v>2026-09-07</x:v>
      </x:c>
      <x:c r="I7" s="42" t="str">
        <x:v>https://www.vesselfinder.com/vessels/details/9431836</x:v>
      </x:c>
      <x:c r="J7" s="42" t="str">
        <x:v>SRC_0060</x:v>
      </x:c>
      <x:c r="K7" s="42" t="str">
        <x:v>Operating</x:v>
      </x:c>
      <x:c r="L7" s="42" t="str">
        <x:v>IMO added in v1.3 enrichment pass.</x:v>
      </x:c>
    </x:row>
    <x:row r="8">
      <x:c r="A8" s="42" t="str">
        <x:v>VESSEL_00007</x:v>
      </x:c>
      <x:c r="B8" s="42" t="str">
        <x:v>Erk İzmir</x:v>
      </x:c>
      <x:c r="C8" s="42" t="str">
        <x:v>COMP_UGR</x:v>
      </x:c>
      <x:c r="D8" s="42" t="str">
        <x:v>United Global Ro-Ro</x:v>
      </x:c>
      <x:c r="E8" s="163" t="str">
        <x:v>9179983</x:v>
      </x:c>
      <x:c r="F8" s="42" t="str">
        <x:v>IMO populated — checksum valid</x:v>
      </x:c>
      <x:c r="G8" s="42" t="str">
        <x:v>High</x:v>
      </x:c>
      <x:c r="H8" s="42" t="str">
        <x:v>2026-09-07</x:v>
      </x:c>
      <x:c r="I8" s="42" t="str">
        <x:v>https://www.vesselfinder.com/vessels/details/9179983</x:v>
      </x:c>
      <x:c r="J8" s="42" t="str">
        <x:v>SRC_0060</x:v>
      </x:c>
      <x:c r="K8" s="42" t="str">
        <x:v>Operating</x:v>
      </x:c>
      <x:c r="L8" s="42" t="str">
        <x:v>IMO added in v1.3 enrichment pass.</x:v>
      </x:c>
    </x:row>
    <x:row r="9">
      <x:c r="A9" s="42" t="str">
        <x:v>VESSEL_00008</x:v>
      </x:c>
      <x:c r="B9" s="42" t="str">
        <x:v>Abu Samrah</x:v>
      </x:c>
      <x:c r="C9" s="42" t="str">
        <x:v>COMP_UGR</x:v>
      </x:c>
      <x:c r="D9" s="42" t="str">
        <x:v>United Global Ro-Ro</x:v>
      </x:c>
      <x:c r="E9" s="163" t="str">
        <x:v>9925655</x:v>
      </x:c>
      <x:c r="F9" s="42" t="str">
        <x:v>IMO populated — checksum valid</x:v>
      </x:c>
      <x:c r="G9" s="42" t="str">
        <x:v>High</x:v>
      </x:c>
      <x:c r="H9" s="42" t="str">
        <x:v>2026-09-07</x:v>
      </x:c>
      <x:c r="I9" s="42" t="str">
        <x:v>https://www.vesselfinder.com/vessels/details/9925655</x:v>
      </x:c>
      <x:c r="J9" s="42" t="str">
        <x:v>SRC_0060</x:v>
      </x:c>
      <x:c r="K9" s="42" t="str">
        <x:v>Operating</x:v>
      </x:c>
      <x:c r="L9" s="42" t="str">
        <x:v>IMO added in v1.3 enrichment pass.</x:v>
      </x:c>
    </x:row>
    <x:row r="10">
      <x:c r="A10" s="42" t="str">
        <x:v>VESSEL_00009</x:v>
      </x:c>
      <x:c r="B10" s="42" t="str">
        <x:v>UGR İstanbul</x:v>
      </x:c>
      <x:c r="C10" s="42" t="str">
        <x:v>COMP_UGR</x:v>
      </x:c>
      <x:c r="D10" s="42" t="str">
        <x:v>United Global Ro-Ro</x:v>
      </x:c>
      <x:c r="E10" s="163" t="str">
        <x:v>9179995</x:v>
      </x:c>
      <x:c r="F10" s="42" t="str">
        <x:v>IMO populated — checksum valid</x:v>
      </x:c>
      <x:c r="G10" s="42" t="str">
        <x:v>High</x:v>
      </x:c>
      <x:c r="H10" s="42" t="str">
        <x:v>2026-09-07</x:v>
      </x:c>
      <x:c r="I10" s="42" t="str">
        <x:v>https://www.vesselfinder.com/vessels/details/9179995</x:v>
      </x:c>
      <x:c r="J10" s="42" t="str">
        <x:v>SRC_0060</x:v>
      </x:c>
      <x:c r="K10" s="42" t="str">
        <x:v>Operating</x:v>
      </x:c>
      <x:c r="L10" s="42" t="str">
        <x:v>IMO added in v1.3 enrichment pass.</x:v>
      </x:c>
    </x:row>
    <x:row r="11">
      <x:c r="A11" s="42" t="str">
        <x:v>VESSEL_00010</x:v>
      </x:c>
      <x:c r="B11" s="42" t="str">
        <x:v>Saffet Bey</x:v>
      </x:c>
      <x:c r="C11" s="42" t="str">
        <x:v>COMP_UGR</x:v>
      </x:c>
      <x:c r="D11" s="42" t="str">
        <x:v>United Global Ro-Ro</x:v>
      </x:c>
      <x:c r="E11" s="163" t="str">
        <x:v>8417118</x:v>
      </x:c>
      <x:c r="F11" s="42" t="str">
        <x:v>IMO populated — checksum valid</x:v>
      </x:c>
      <x:c r="G11" s="42" t="str">
        <x:v>High</x:v>
      </x:c>
      <x:c r="H11" s="42" t="str">
        <x:v>2026-09-07</x:v>
      </x:c>
      <x:c r="I11" s="42" t="str">
        <x:v>https://www.vesselfinder.com/vessels/details/8417118</x:v>
      </x:c>
      <x:c r="J11" s="42" t="str">
        <x:v>SRC_0060</x:v>
      </x:c>
      <x:c r="K11" s="42" t="str">
        <x:v>Operating</x:v>
      </x:c>
      <x:c r="L11" s="42" t="str">
        <x:v>IMO added in v1.3 enrichment pass.</x:v>
      </x:c>
    </x:row>
    <x:row r="12">
      <x:c r="A12" s="42" t="str">
        <x:v>VESSEL_00011</x:v>
      </x:c>
      <x:c r="B12" s="42" t="str">
        <x:v>Super Fast Baleares</x:v>
      </x:c>
      <x:c r="C12" s="42" t="str">
        <x:v>COMP_UGR</x:v>
      </x:c>
      <x:c r="D12" s="42" t="str">
        <x:v>United Global Ro-Ro</x:v>
      </x:c>
      <x:c r="E12" s="163" t="str">
        <x:v>9398527</x:v>
      </x:c>
      <x:c r="F12" s="42" t="str">
        <x:v>IMO populated — checksum valid</x:v>
      </x:c>
      <x:c r="G12" s="42" t="str">
        <x:v>High</x:v>
      </x:c>
      <x:c r="H12" s="42" t="str">
        <x:v>2026-09-07</x:v>
      </x:c>
      <x:c r="I12" s="42" t="str">
        <x:v>https://www.vesselfinder.com/vessels/details/9398527</x:v>
      </x:c>
      <x:c r="J12" s="42" t="str">
        <x:v>SRC_0060</x:v>
      </x:c>
      <x:c r="K12" s="42" t="str">
        <x:v>Operating</x:v>
      </x:c>
      <x:c r="L12" s="42" t="str">
        <x:v>IMO added in v1.3 enrichment pass.</x:v>
      </x:c>
    </x:row>
    <x:row r="13">
      <x:c r="A13" s="42" t="str">
        <x:v>VESSEL_00012</x:v>
      </x:c>
      <x:c r="B13" s="42" t="str">
        <x:v>Chang Sheng Hong</x:v>
      </x:c>
      <x:c r="C13" s="42" t="str">
        <x:v>COMP_UGR</x:v>
      </x:c>
      <x:c r="D13" s="42" t="str">
        <x:v>United Global Ro-Ro</x:v>
      </x:c>
      <x:c r="E13" s="163" t="str">
        <x:v>9177040</x:v>
      </x:c>
      <x:c r="F13" s="42" t="str">
        <x:v>IMO populated — checksum valid</x:v>
      </x:c>
      <x:c r="G13" s="42" t="str">
        <x:v>High</x:v>
      </x:c>
      <x:c r="H13" s="42" t="str">
        <x:v>2026-09-07</x:v>
      </x:c>
      <x:c r="I13" s="42" t="str">
        <x:v>https://www.vesselfinder.com/vessels/details/9177040</x:v>
      </x:c>
      <x:c r="J13" s="42" t="str">
        <x:v>SRC_0060</x:v>
      </x:c>
      <x:c r="K13" s="42" t="str">
        <x:v>Operating</x:v>
      </x:c>
      <x:c r="L13" s="42" t="str">
        <x:v>IMO added in v1.3 enrichment pass.</x:v>
      </x:c>
    </x:row>
    <x:row r="14">
      <x:c r="A14" s="42" t="str">
        <x:v>VESSEL_00013</x:v>
      </x:c>
      <x:c r="B14" s="42" t="str">
        <x:v>JINANAH</x:v>
      </x:c>
      <x:c r="C14" s="42" t="str">
        <x:v>COMP_UGR</x:v>
      </x:c>
      <x:c r="D14" s="42" t="str">
        <x:v>United Global Ro-Ro</x:v>
      </x:c>
      <x:c r="E14" s="163" t="str">
        <x:v>9395343</x:v>
      </x:c>
      <x:c r="F14" s="42" t="str">
        <x:v>IMO populated — checksum valid</x:v>
      </x:c>
      <x:c r="G14" s="42" t="str">
        <x:v>High</x:v>
      </x:c>
      <x:c r="H14" s="42" t="str">
        <x:v>2026-09-07</x:v>
      </x:c>
      <x:c r="I14" s="42" t="str">
        <x:v>https://www.vesselfinder.com/vessels/details/9395343</x:v>
      </x:c>
      <x:c r="J14" s="42" t="str">
        <x:v>SRC_0060</x:v>
      </x:c>
      <x:c r="K14" s="42" t="str">
        <x:v>Operating</x:v>
      </x:c>
      <x:c r="L14" s="42" t="str">
        <x:v>IMO added in v1.3 enrichment pass.</x:v>
      </x:c>
    </x:row>
    <x:row r="15">
      <x:c r="A15" s="42" t="str">
        <x:v>VESSEL_00014</x:v>
      </x:c>
      <x:c r="B15" s="42" t="str">
        <x:v>SDERIA</x:v>
      </x:c>
      <x:c r="C15" s="42" t="str">
        <x:v>COMP_UGR</x:v>
      </x:c>
      <x:c r="D15" s="42" t="str">
        <x:v>United Global Ro-Ro</x:v>
      </x:c>
      <x:c r="E15" s="163" t="str">
        <x:v>9395355</x:v>
      </x:c>
      <x:c r="F15" s="42" t="str">
        <x:v>IMO populated — checksum valid</x:v>
      </x:c>
      <x:c r="G15" s="42" t="str">
        <x:v>High</x:v>
      </x:c>
      <x:c r="H15" s="42" t="str">
        <x:v>2026-09-07</x:v>
      </x:c>
      <x:c r="I15" s="42" t="str">
        <x:v>https://www.vesselfinder.com/vessels/details/9395355</x:v>
      </x:c>
      <x:c r="J15" s="42" t="str">
        <x:v>SRC_0060</x:v>
      </x:c>
      <x:c r="K15" s="42" t="str">
        <x:v>Operating</x:v>
      </x:c>
      <x:c r="L15" s="42" t="str">
        <x:v>IMO added in v1.3 enrichment pass.</x:v>
      </x:c>
    </x:row>
    <x:row r="16">
      <x:c r="A16" s="42" t="str">
        <x:v>VESSEL_00015</x:v>
      </x:c>
      <x:c r="B16" s="42" t="str">
        <x:v>CMA CGM MONTE CRISTO</x:v>
      </x:c>
      <x:c r="C16" s="42" t="str">
        <x:v>COMP_CMA_CGM</x:v>
      </x:c>
      <x:c r="D16" s="42" t="str">
        <x:v>CMA CGM Group</x:v>
      </x:c>
      <x:c r="E16" s="163" t="str">
        <x:v>1021051</x:v>
      </x:c>
      <x:c r="F16" s="42" t="str">
        <x:v>IMO populated — checksum valid</x:v>
      </x:c>
      <x:c r="G16" s="42" t="str">
        <x:v>High</x:v>
      </x:c>
      <x:c r="H16" s="42" t="str">
        <x:v>2026-09-07</x:v>
      </x:c>
      <x:c r="I16" s="42" t="str">
        <x:v>https://www.linescape.com/vessels/120935/</x:v>
      </x:c>
      <x:c r="J16" s="42" t="str">
        <x:v>SRC_0045</x:v>
      </x:c>
      <x:c r="K16" s="42" t="str">
        <x:v>Operating</x:v>
      </x:c>
      <x:c r="L16" s="42" t="str">
        <x:v>IMO added in v1.3 enrichment pass.</x:v>
      </x:c>
    </x:row>
    <x:row r="17">
      <x:c r="A17" s="42" t="str">
        <x:v>VESSEL_00016</x:v>
      </x:c>
      <x:c r="B17" s="42" t="str">
        <x:v>Al Sadaf</x:v>
      </x:c>
      <x:c r="C17" s="42" t="str">
        <x:v>COMP_ADNOC_LS</x:v>
      </x:c>
      <x:c r="D17" s="42" t="str">
        <x:v>ADNOC Logistics &amp; Services</x:v>
      </x:c>
      <x:c r="E17" s="163" t="str">
        <x:v>9972957</x:v>
      </x:c>
      <x:c r="F17" s="42" t="str">
        <x:v>IMO populated — checksum valid</x:v>
      </x:c>
      <x:c r="G17" s="42" t="str">
        <x:v>High</x:v>
      </x:c>
      <x:c r="H17" s="42" t="str">
        <x:v>2026-09-07</x:v>
      </x:c>
      <x:c r="I17" s="42" t="str">
        <x:v>https://www.vesselfinder.com/vessels/details/9972957</x:v>
      </x:c>
      <x:c r="J17" s="42" t="str">
        <x:v>SRC_0066</x:v>
      </x:c>
      <x:c r="K17" s="42" t="str">
        <x:v>Operating</x:v>
      </x:c>
      <x:c r="L17" s="42" t="str">
        <x:v>IMO added in v1.3 enrichment pass.</x:v>
      </x:c>
    </x:row>
    <x:row r="18">
      <x:c r="A18" s="42" t="str">
        <x:v>VESSEL_00017</x:v>
      </x:c>
      <x:c r="B18" s="42" t="str">
        <x:v>Arada</x:v>
      </x:c>
      <x:c r="C18" s="42" t="str">
        <x:v>COMP_ADNOC_LS</x:v>
      </x:c>
      <x:c r="D18" s="42" t="str">
        <x:v>ADNOC Logistics &amp; Services</x:v>
      </x:c>
      <x:c r="E18" s="163" t="str">
        <x:v>9972969</x:v>
      </x:c>
      <x:c r="F18" s="42" t="str">
        <x:v>IMO populated — checksum valid</x:v>
      </x:c>
      <x:c r="G18" s="42" t="str">
        <x:v>High</x:v>
      </x:c>
      <x:c r="H18" s="42" t="str">
        <x:v>2026-09-07</x:v>
      </x:c>
      <x:c r="I18" s="42" t="str">
        <x:v>https://www.vesselfinder.com/vessels/details/9972969</x:v>
      </x:c>
      <x:c r="J18" s="42" t="str">
        <x:v>SRC_0066</x:v>
      </x:c>
      <x:c r="K18" s="42" t="str">
        <x:v>Operating</x:v>
      </x:c>
      <x:c r="L18" s="42" t="str">
        <x:v>IMO added in v1.3 enrichment pass.</x:v>
      </x:c>
    </x:row>
    <x:row r="19">
      <x:c r="A19" s="42" t="str">
        <x:v>VESSEL_00018</x:v>
      </x:c>
      <x:c r="B19" s="42" t="str">
        <x:v>Al Taweelah</x:v>
      </x:c>
      <x:c r="C19" s="42" t="str">
        <x:v>COMP_ADNOC_LS</x:v>
      </x:c>
      <x:c r="D19" s="42" t="str">
        <x:v>ADNOC Logistics &amp; Services</x:v>
      </x:c>
      <x:c r="E19" s="163" t="str">
        <x:v>9972971</x:v>
      </x:c>
      <x:c r="F19" s="42" t="str">
        <x:v>IMO populated — checksum valid</x:v>
      </x:c>
      <x:c r="G19" s="42" t="str">
        <x:v>High</x:v>
      </x:c>
      <x:c r="H19" s="42" t="str">
        <x:v>2026-09-07</x:v>
      </x:c>
      <x:c r="I19" s="42" t="str">
        <x:v>https://www.vesselfinder.com/vessels/details/9972971</x:v>
      </x:c>
      <x:c r="J19" s="42" t="str">
        <x:v>SRC_0066</x:v>
      </x:c>
      <x:c r="K19" s="42" t="str">
        <x:v>Operating</x:v>
      </x:c>
      <x:c r="L19" s="42" t="str">
        <x:v>IMO added in v1.3 enrichment pass.</x:v>
      </x:c>
    </x:row>
    <x:row r="20">
      <x:c r="A20" s="42" t="str">
        <x:v>VESSEL_00019</x:v>
      </x:c>
      <x:c r="B20" s="42" t="str">
        <x:v>Al Hamra</x:v>
      </x:c>
      <x:c r="C20" s="42" t="str">
        <x:v>COMP_ADNOC_LS</x:v>
      </x:c>
      <x:c r="D20" s="42" t="str">
        <x:v>ADNOC Logistics &amp; Services</x:v>
      </x:c>
      <x:c r="E20" s="163" t="str">
        <x:v>9074640</x:v>
      </x:c>
      <x:c r="F20" s="42" t="str">
        <x:v>IMO populated — checksum valid</x:v>
      </x:c>
      <x:c r="G20" s="42" t="str">
        <x:v>High</x:v>
      </x:c>
      <x:c r="H20" s="42" t="str">
        <x:v>2026-09-07</x:v>
      </x:c>
      <x:c r="I20" s="42" t="str">
        <x:v>https://www.vesselfinder.com/vessels/details/9074640</x:v>
      </x:c>
      <x:c r="J20" s="42" t="str">
        <x:v>SRC_0066</x:v>
      </x:c>
      <x:c r="K20" s="42" t="str">
        <x:v>Operating</x:v>
      </x:c>
      <x:c r="L20" s="42" t="str">
        <x:v>IMO added in v1.3 enrichment pass.</x:v>
      </x:c>
    </x:row>
    <x:row r="21">
      <x:c r="A21" s="42" t="str">
        <x:v>VESSEL_00020</x:v>
      </x:c>
      <x:c r="B21" s="42" t="str">
        <x:v>Al Rahba</x:v>
      </x:c>
      <x:c r="C21" s="42" t="str">
        <x:v>COMP_ADNOC_LS</x:v>
      </x:c>
      <x:c r="D21" s="42" t="str">
        <x:v>ADNOC Logistics &amp; Services</x:v>
      </x:c>
      <x:c r="E21" s="163" t="str">
        <x:v>9965435</x:v>
      </x:c>
      <x:c r="F21" s="42" t="str">
        <x:v>IMO populated — checksum valid</x:v>
      </x:c>
      <x:c r="G21" s="42" t="str">
        <x:v>High</x:v>
      </x:c>
      <x:c r="H21" s="42" t="str">
        <x:v>2026-09-07</x:v>
      </x:c>
      <x:c r="I21" s="42" t="str">
        <x:v>https://www.vesselfinder.com/vessels/details/9965435</x:v>
      </x:c>
      <x:c r="J21" s="42" t="str">
        <x:v>SRC_0066</x:v>
      </x:c>
      <x:c r="K21" s="42" t="str">
        <x:v>Operating</x:v>
      </x:c>
      <x:c r="L21" s="42" t="str">
        <x:v>IMO added in v1.3 enrichment pass.</x:v>
      </x:c>
    </x:row>
    <x:row r="22">
      <x:c r="A22" s="42" t="str">
        <x:v>VESSEL_00021</x:v>
      </x:c>
      <x:c r="B22" s="42" t="str">
        <x:v>Al Reef</x:v>
      </x:c>
      <x:c r="C22" s="42" t="str">
        <x:v>COMP_ADNOC_LS</x:v>
      </x:c>
      <x:c r="D22" s="42" t="str">
        <x:v>ADNOC Logistics &amp; Services</x:v>
      </x:c>
      <x:c r="E22" s="163" t="str">
        <x:v>9972945</x:v>
      </x:c>
      <x:c r="F22" s="42" t="str">
        <x:v>IMO populated — checksum valid</x:v>
      </x:c>
      <x:c r="G22" s="42" t="str">
        <x:v>High</x:v>
      </x:c>
      <x:c r="H22" s="42" t="str">
        <x:v>2026-09-07</x:v>
      </x:c>
      <x:c r="I22" s="42" t="str">
        <x:v>https://www.vesselfinder.com/vessels/details/9972945</x:v>
      </x:c>
      <x:c r="J22" s="42" t="str">
        <x:v>SRC_0066</x:v>
      </x:c>
      <x:c r="K22" s="42" t="str">
        <x:v>Operating</x:v>
      </x:c>
      <x:c r="L22" s="42" t="str">
        <x:v>IMO added in v1.3 enrichment pass.</x:v>
      </x:c>
    </x:row>
    <x:row r="23">
      <x:c r="A23" s="42" t="str">
        <x:v>VESSEL_00022</x:v>
      </x:c>
      <x:c r="B23" s="42" t="str">
        <x:v>Al Shelila</x:v>
      </x:c>
      <x:c r="C23" s="42" t="str">
        <x:v>COMP_ADNOC_LS</x:v>
      </x:c>
      <x:c r="D23" s="42" t="str">
        <x:v>ADNOC Logistics &amp; Services</x:v>
      </x:c>
      <x:c r="E23" s="163" t="str">
        <x:v>9965423</x:v>
      </x:c>
      <x:c r="F23" s="42" t="str">
        <x:v>IMO populated — checksum valid</x:v>
      </x:c>
      <x:c r="G23" s="42" t="str">
        <x:v>High</x:v>
      </x:c>
      <x:c r="H23" s="42" t="str">
        <x:v>2026-09-07</x:v>
      </x:c>
      <x:c r="I23" s="42" t="str">
        <x:v>https://www.vesselfinder.com/vessels/details/9965423</x:v>
      </x:c>
      <x:c r="J23" s="42" t="str">
        <x:v>SRC_0066</x:v>
      </x:c>
      <x:c r="K23" s="42" t="str">
        <x:v>Operating</x:v>
      </x:c>
      <x:c r="L23" s="42" t="str">
        <x:v>IMO added in v1.3 enrichment pass.</x:v>
      </x:c>
    </x:row>
    <x:row r="24">
      <x:c r="A24" s="42" t="str">
        <x:v>VESSEL_00023</x:v>
      </x:c>
      <x:c r="B24" s="42" t="str">
        <x:v>Ish (FSU)</x:v>
      </x:c>
      <x:c r="C24" s="42" t="str">
        <x:v>COMP_ADNOC_LS</x:v>
      </x:c>
      <x:c r="D24" s="42" t="str">
        <x:v>ADNOC Logistics &amp; Services</x:v>
      </x:c>
      <x:c r="E24" s="163" t="str">
        <x:v>9035864</x:v>
      </x:c>
      <x:c r="F24" s="42" t="str">
        <x:v>IMO populated — checksum valid</x:v>
      </x:c>
      <x:c r="G24" s="42" t="str">
        <x:v>High</x:v>
      </x:c>
      <x:c r="H24" s="42" t="str">
        <x:v>2026-09-07</x:v>
      </x:c>
      <x:c r="I24" s="42" t="str">
        <x:v>https://www.vesselfinder.com/vessels/details/9035864</x:v>
      </x:c>
      <x:c r="J24" s="42" t="str">
        <x:v>SRC_0066</x:v>
      </x:c>
      <x:c r="K24" s="42" t="str">
        <x:v>Operating / FSU</x:v>
      </x:c>
      <x:c r="L24" s="42" t="str">
        <x:v>IMO added in v1.3 enrichment pass.</x:v>
      </x:c>
    </x:row>
    <x:row r="25">
      <x:c r="A25" s="42" t="str">
        <x:v>VESSEL_00024</x:v>
      </x:c>
      <x:c r="B25" s="42" t="str">
        <x:v>Mraweh</x:v>
      </x:c>
      <x:c r="C25" s="42" t="str">
        <x:v>COMP_ADNOC_LS</x:v>
      </x:c>
      <x:c r="D25" s="42" t="str">
        <x:v>ADNOC Logistics &amp; Services</x:v>
      </x:c>
      <x:c r="E25" s="163" t="str">
        <x:v>9074638</x:v>
      </x:c>
      <x:c r="F25" s="42" t="str">
        <x:v>IMO populated — checksum valid</x:v>
      </x:c>
      <x:c r="G25" s="42" t="str">
        <x:v>High</x:v>
      </x:c>
      <x:c r="H25" s="42" t="str">
        <x:v>2026-09-07</x:v>
      </x:c>
      <x:c r="I25" s="42" t="str">
        <x:v>https://www.vesselfinder.com/vessels/details/9074638</x:v>
      </x:c>
      <x:c r="J25" s="42" t="str">
        <x:v>SRC_0066</x:v>
      </x:c>
      <x:c r="K25" s="42" t="str">
        <x:v>Operating</x:v>
      </x:c>
      <x:c r="L25" s="42" t="str">
        <x:v>IMO added in v1.3 enrichment pass.</x:v>
      </x:c>
    </x:row>
    <x:row r="26">
      <x:c r="A26" s="42" t="str">
        <x:v>VESSEL_00025</x:v>
      </x:c>
      <x:c r="B26" s="42" t="str">
        <x:v>Mubaraz</x:v>
      </x:c>
      <x:c r="C26" s="42" t="str">
        <x:v>COMP_ADNOC_LS</x:v>
      </x:c>
      <x:c r="D26" s="42" t="str">
        <x:v>ADNOC Logistics &amp; Services</x:v>
      </x:c>
      <x:c r="E26" s="163" t="str">
        <x:v>9074626</x:v>
      </x:c>
      <x:c r="F26" s="42" t="str">
        <x:v>IMO populated — checksum valid</x:v>
      </x:c>
      <x:c r="G26" s="42" t="str">
        <x:v>High</x:v>
      </x:c>
      <x:c r="H26" s="42" t="str">
        <x:v>2026-09-07</x:v>
      </x:c>
      <x:c r="I26" s="42" t="str">
        <x:v>https://www.vesselfinder.com/vessels/details/9074626</x:v>
      </x:c>
      <x:c r="J26" s="42" t="str">
        <x:v>SRC_0066</x:v>
      </x:c>
      <x:c r="K26" s="42" t="str">
        <x:v>Operating</x:v>
      </x:c>
      <x:c r="L26" s="42" t="str">
        <x:v>IMO added in v1.3 enrichment pass.</x:v>
      </x:c>
    </x:row>
    <x:row r="27">
      <x:c r="A27" s="42" t="str">
        <x:v>VESSEL_00026</x:v>
      </x:c>
      <x:c r="B27" s="42" t="str">
        <x:v>Shahamah</x:v>
      </x:c>
      <x:c r="C27" s="42" t="str">
        <x:v>COMP_ADNOC_LS</x:v>
      </x:c>
      <x:c r="D27" s="42" t="str">
        <x:v>ADNOC Logistics &amp; Services</x:v>
      </x:c>
      <x:c r="E27" s="163" t="str">
        <x:v>9035852</x:v>
      </x:c>
      <x:c r="F27" s="42" t="str">
        <x:v>IMO populated — checksum valid</x:v>
      </x:c>
      <x:c r="G27" s="42" t="str">
        <x:v>High</x:v>
      </x:c>
      <x:c r="H27" s="42" t="str">
        <x:v>2026-09-07</x:v>
      </x:c>
      <x:c r="I27" s="42" t="str">
        <x:v>https://www.vesselfinder.com/vessels/details/9035852</x:v>
      </x:c>
      <x:c r="J27" s="42" t="str">
        <x:v>SRC_0066</x:v>
      </x:c>
      <x:c r="K27" s="42" t="str">
        <x:v>Operating</x:v>
      </x:c>
      <x:c r="L27" s="42" t="str">
        <x:v>IMO added in v1.3 enrichment pass.</x:v>
      </x:c>
    </x:row>
    <x:row r="28">
      <x:c r="A28" s="42" t="str">
        <x:v>VESSEL_00027</x:v>
      </x:c>
      <x:c r="B28" s="42" t="str">
        <x:v>Umm Al Ashtan</x:v>
      </x:c>
      <x:c r="C28" s="42" t="str">
        <x:v>COMP_ADNOC_LS</x:v>
      </x:c>
      <x:c r="D28" s="42" t="str">
        <x:v>ADNOC Logistics &amp; Services</x:v>
      </x:c>
      <x:c r="E28" s="163" t="str">
        <x:v>9074652</x:v>
      </x:c>
      <x:c r="F28" s="42" t="str">
        <x:v>IMO populated — checksum valid</x:v>
      </x:c>
      <x:c r="G28" s="42" t="str">
        <x:v>High</x:v>
      </x:c>
      <x:c r="H28" s="42" t="str">
        <x:v>2026-09-07</x:v>
      </x:c>
      <x:c r="I28" s="42" t="str">
        <x:v>https://www.vesselfinder.com/vessels/details/9074652</x:v>
      </x:c>
      <x:c r="J28" s="42" t="str">
        <x:v>SRC_0066</x:v>
      </x:c>
      <x:c r="K28" s="42" t="str">
        <x:v>Operating</x:v>
      </x:c>
      <x:c r="L28" s="42" t="str">
        <x:v>IMO added in v1.3 enrichment pass.</x:v>
      </x:c>
    </x:row>
    <x:row r="29">
      <x:c r="A29" s="42" t="str">
        <x:v>VESSEL_00028</x:v>
      </x:c>
      <x:c r="B29" s="42" t="str">
        <x:v>Ruwais LNG H2711</x:v>
      </x:c>
      <x:c r="C29" s="42" t="str">
        <x:v>COMP_ADNOC_LS</x:v>
      </x:c>
      <x:c r="D29" s="42" t="str">
        <x:v>ADNOC Logistics &amp; Services</x:v>
      </x:c>
      <x:c r="E29" s="163"/>
      <x:c r="F29" s="42" t="str">
        <x:v>Pending — hull/newbuild</x:v>
      </x:c>
      <x:c r="G29" s="42" t="str">
        <x:v>Pending</x:v>
      </x:c>
      <x:c r="H29" s="42" t="str">
        <x:v>2026-09-07</x:v>
      </x:c>
      <x:c r="I29" s="42"/>
      <x:c r="J29" s="42" t="str">
        <x:v>SRC_0066</x:v>
      </x:c>
      <x:c r="K29" s="42" t="str">
        <x:v>On order / newbuild</x:v>
      </x:c>
      <x:c r="L29" s="42" t="str">
        <x:v>Hull/newbuild record; no public IMO was confidently resolved in this pass.</x:v>
      </x:c>
    </x:row>
    <x:row r="30">
      <x:c r="A30" s="42" t="str">
        <x:v>VESSEL_00029</x:v>
      </x:c>
      <x:c r="B30" s="42" t="str">
        <x:v>Ruwais LNG H2712</x:v>
      </x:c>
      <x:c r="C30" s="42" t="str">
        <x:v>COMP_ADNOC_LS</x:v>
      </x:c>
      <x:c r="D30" s="42" t="str">
        <x:v>ADNOC Logistics &amp; Services</x:v>
      </x:c>
      <x:c r="E30" s="163"/>
      <x:c r="F30" s="42" t="str">
        <x:v>Pending — hull/newbuild</x:v>
      </x:c>
      <x:c r="G30" s="42" t="str">
        <x:v>Pending</x:v>
      </x:c>
      <x:c r="H30" s="42" t="str">
        <x:v>2026-09-07</x:v>
      </x:c>
      <x:c r="I30" s="42"/>
      <x:c r="J30" s="42" t="str">
        <x:v>SRC_0066</x:v>
      </x:c>
      <x:c r="K30" s="42" t="str">
        <x:v>On order / newbuild</x:v>
      </x:c>
      <x:c r="L30" s="42" t="str">
        <x:v>Hull/newbuild record; no public IMO was confidently resolved in this pass.</x:v>
      </x:c>
    </x:row>
    <x:row r="31">
      <x:c r="A31" s="42" t="str">
        <x:v>VESSEL_00030</x:v>
      </x:c>
      <x:c r="B31" s="42" t="str">
        <x:v>Ruwais LNG H2713</x:v>
      </x:c>
      <x:c r="C31" s="42" t="str">
        <x:v>COMP_ADNOC_LS</x:v>
      </x:c>
      <x:c r="D31" s="42" t="str">
        <x:v>ADNOC Logistics &amp; Services</x:v>
      </x:c>
      <x:c r="E31" s="163"/>
      <x:c r="F31" s="42" t="str">
        <x:v>Pending — hull/newbuild</x:v>
      </x:c>
      <x:c r="G31" s="42" t="str">
        <x:v>Pending</x:v>
      </x:c>
      <x:c r="H31" s="42" t="str">
        <x:v>2026-09-07</x:v>
      </x:c>
      <x:c r="I31" s="42"/>
      <x:c r="J31" s="42" t="str">
        <x:v>SRC_0066</x:v>
      </x:c>
      <x:c r="K31" s="42" t="str">
        <x:v>On order / newbuild</x:v>
      </x:c>
      <x:c r="L31" s="42" t="str">
        <x:v>Hull/newbuild record; no public IMO was confidently resolved in this pass.</x:v>
      </x:c>
    </x:row>
    <x:row r="32">
      <x:c r="A32" s="42" t="str">
        <x:v>VESSEL_00031</x:v>
      </x:c>
      <x:c r="B32" s="42" t="str">
        <x:v>Ruwais LNG H2714</x:v>
      </x:c>
      <x:c r="C32" s="42" t="str">
        <x:v>COMP_ADNOC_LS</x:v>
      </x:c>
      <x:c r="D32" s="42" t="str">
        <x:v>ADNOC Logistics &amp; Services</x:v>
      </x:c>
      <x:c r="E32" s="163"/>
      <x:c r="F32" s="42" t="str">
        <x:v>Pending — hull/newbuild</x:v>
      </x:c>
      <x:c r="G32" s="42" t="str">
        <x:v>Pending</x:v>
      </x:c>
      <x:c r="H32" s="42" t="str">
        <x:v>2026-09-07</x:v>
      </x:c>
      <x:c r="I32" s="42"/>
      <x:c r="J32" s="42" t="str">
        <x:v>SRC_0066</x:v>
      </x:c>
      <x:c r="K32" s="42" t="str">
        <x:v>On order / newbuild</x:v>
      </x:c>
      <x:c r="L32" s="42" t="str">
        <x:v>Hull/newbuild record; no public IMO was confidently resolved in this pass.</x:v>
      </x:c>
    </x:row>
    <x:row r="33">
      <x:c r="A33" s="42" t="str">
        <x:v>VESSEL_00032</x:v>
      </x:c>
      <x:c r="B33" s="42" t="str">
        <x:v>Ruwais LNG H2598</x:v>
      </x:c>
      <x:c r="C33" s="42" t="str">
        <x:v>COMP_ADNOC_LS</x:v>
      </x:c>
      <x:c r="D33" s="42" t="str">
        <x:v>ADNOC Logistics &amp; Services</x:v>
      </x:c>
      <x:c r="E33" s="163"/>
      <x:c r="F33" s="42" t="str">
        <x:v>Pending — hull/newbuild</x:v>
      </x:c>
      <x:c r="G33" s="42" t="str">
        <x:v>Pending</x:v>
      </x:c>
      <x:c r="H33" s="42" t="str">
        <x:v>2026-09-07</x:v>
      </x:c>
      <x:c r="I33" s="42"/>
      <x:c r="J33" s="42" t="str">
        <x:v>SRC_0066</x:v>
      </x:c>
      <x:c r="K33" s="42" t="str">
        <x:v>On order / newbuild</x:v>
      </x:c>
      <x:c r="L33" s="42" t="str">
        <x:v>Hull/newbuild record; no public IMO was confidently resolved in this pass.</x:v>
      </x:c>
    </x:row>
    <x:row r="34">
      <x:c r="A34" s="42" t="str">
        <x:v>VESSEL_00033</x:v>
      </x:c>
      <x:c r="B34" s="42" t="str">
        <x:v>Ruwais LNG H2599</x:v>
      </x:c>
      <x:c r="C34" s="42" t="str">
        <x:v>COMP_ADNOC_LS</x:v>
      </x:c>
      <x:c r="D34" s="42" t="str">
        <x:v>ADNOC Logistics &amp; Services</x:v>
      </x:c>
      <x:c r="E34" s="163"/>
      <x:c r="F34" s="42" t="str">
        <x:v>Pending — hull/newbuild</x:v>
      </x:c>
      <x:c r="G34" s="42" t="str">
        <x:v>Pending</x:v>
      </x:c>
      <x:c r="H34" s="42" t="str">
        <x:v>2026-09-07</x:v>
      </x:c>
      <x:c r="I34" s="42"/>
      <x:c r="J34" s="42" t="str">
        <x:v>SRC_0066</x:v>
      </x:c>
      <x:c r="K34" s="42" t="str">
        <x:v>On order / newbuild</x:v>
      </x:c>
      <x:c r="L34" s="42" t="str">
        <x:v>Hull/newbuild record; no public IMO was confidently resolved in this pass.</x:v>
      </x:c>
    </x:row>
    <x:row r="35">
      <x:c r="A35" s="42" t="str">
        <x:v>VESSEL_00034</x:v>
      </x:c>
      <x:c r="B35" s="42" t="str">
        <x:v>Ruwais LNG H2600</x:v>
      </x:c>
      <x:c r="C35" s="42" t="str">
        <x:v>COMP_ADNOC_LS</x:v>
      </x:c>
      <x:c r="D35" s="42" t="str">
        <x:v>ADNOC Logistics &amp; Services</x:v>
      </x:c>
      <x:c r="E35" s="163"/>
      <x:c r="F35" s="42" t="str">
        <x:v>Pending — hull/newbuild</x:v>
      </x:c>
      <x:c r="G35" s="42" t="str">
        <x:v>Pending</x:v>
      </x:c>
      <x:c r="H35" s="42" t="str">
        <x:v>2026-09-07</x:v>
      </x:c>
      <x:c r="I35" s="42"/>
      <x:c r="J35" s="42" t="str">
        <x:v>SRC_0066</x:v>
      </x:c>
      <x:c r="K35" s="42" t="str">
        <x:v>On order / newbuild</x:v>
      </x:c>
      <x:c r="L35" s="42" t="str">
        <x:v>Hull/newbuild record; no public IMO was confidently resolved in this pass.</x:v>
      </x:c>
    </x:row>
    <x:row r="36">
      <x:c r="A36" s="42" t="str">
        <x:v>VESSEL_00035</x:v>
      </x:c>
      <x:c r="B36" s="42" t="str">
        <x:v>Ruwais LNG H2601</x:v>
      </x:c>
      <x:c r="C36" s="42" t="str">
        <x:v>COMP_ADNOC_LS</x:v>
      </x:c>
      <x:c r="D36" s="42" t="str">
        <x:v>ADNOC Logistics &amp; Services</x:v>
      </x:c>
      <x:c r="E36" s="163"/>
      <x:c r="F36" s="42" t="str">
        <x:v>Pending — hull/newbuild</x:v>
      </x:c>
      <x:c r="G36" s="42" t="str">
        <x:v>Pending</x:v>
      </x:c>
      <x:c r="H36" s="42" t="str">
        <x:v>2026-09-07</x:v>
      </x:c>
      <x:c r="I36" s="42"/>
      <x:c r="J36" s="42" t="str">
        <x:v>SRC_0066</x:v>
      </x:c>
      <x:c r="K36" s="42" t="str">
        <x:v>On order / newbuild</x:v>
      </x:c>
      <x:c r="L36" s="42" t="str">
        <x:v>Hull/newbuild record; no public IMO was confidently resolved in this pass.</x:v>
      </x:c>
    </x:row>
    <x:row r="37">
      <x:c r="A37" s="42" t="str">
        <x:v>VESSEL_00036</x:v>
      </x:c>
      <x:c r="B37" s="42" t="str">
        <x:v>Al Maryah</x:v>
      </x:c>
      <x:c r="C37" s="42" t="str">
        <x:v>COMP_ADNOC_LS</x:v>
      </x:c>
      <x:c r="D37" s="42" t="str">
        <x:v>ADNOC Logistics &amp; Services</x:v>
      </x:c>
      <x:c r="E37" s="163" t="str">
        <x:v>9393682</x:v>
      </x:c>
      <x:c r="F37" s="42" t="str">
        <x:v>IMO populated — checksum valid</x:v>
      </x:c>
      <x:c r="G37" s="42" t="str">
        <x:v>High</x:v>
      </x:c>
      <x:c r="H37" s="42" t="str">
        <x:v>2026-09-07</x:v>
      </x:c>
      <x:c r="I37" s="42" t="str">
        <x:v>https://www.vesselfinder.com/vessels/details/9393682</x:v>
      </x:c>
      <x:c r="J37" s="42" t="str">
        <x:v>SRC_0066</x:v>
      </x:c>
      <x:c r="K37" s="42" t="str">
        <x:v>Operating</x:v>
      </x:c>
      <x:c r="L37" s="42" t="str">
        <x:v>IMO added in v1.3 enrichment pass.</x:v>
      </x:c>
    </x:row>
    <x:row r="38">
      <x:c r="A38" s="42" t="str">
        <x:v>VESSEL_00037</x:v>
      </x:c>
      <x:c r="B38" s="42" t="str">
        <x:v>AWS-Delma</x:v>
      </x:c>
      <x:c r="C38" s="42" t="str">
        <x:v>COMP_AW_SHIPPING</x:v>
      </x:c>
      <x:c r="D38" s="42" t="str">
        <x:v>AW Shipping</x:v>
      </x:c>
      <x:c r="E38" s="163" t="str">
        <x:v>9719408</x:v>
      </x:c>
      <x:c r="F38" s="42" t="str">
        <x:v>IMO populated — checksum valid</x:v>
      </x:c>
      <x:c r="G38" s="42" t="str">
        <x:v>High</x:v>
      </x:c>
      <x:c r="H38" s="42" t="str">
        <x:v>2026-09-07</x:v>
      </x:c>
      <x:c r="I38" s="42" t="str">
        <x:v>https://www.vesselfinder.com/vessels/details/9719408</x:v>
      </x:c>
      <x:c r="J38" s="42" t="str">
        <x:v>SRC_0066</x:v>
      </x:c>
      <x:c r="K38" s="42" t="str">
        <x:v>Operating</x:v>
      </x:c>
      <x:c r="L38" s="42" t="str">
        <x:v>Public vessel name appears as DELMA; model retains AW Shipping fleet label. IMO added in v1.3 enrichment pass.</x:v>
      </x:c>
    </x:row>
    <x:row r="39">
      <x:c r="A39" s="42" t="str">
        <x:v>VESSEL_00038</x:v>
      </x:c>
      <x:c r="B39" s="42" t="str">
        <x:v>AWS-Al Ain</x:v>
      </x:c>
      <x:c r="C39" s="42" t="str">
        <x:v>COMP_AW_SHIPPING</x:v>
      </x:c>
      <x:c r="D39" s="42" t="str">
        <x:v>AW Shipping</x:v>
      </x:c>
      <x:c r="E39" s="163" t="str">
        <x:v>9916812</x:v>
      </x:c>
      <x:c r="F39" s="42" t="str">
        <x:v>IMO populated — checksum valid</x:v>
      </x:c>
      <x:c r="G39" s="42" t="str">
        <x:v>High</x:v>
      </x:c>
      <x:c r="H39" s="42" t="str">
        <x:v>2026-09-07</x:v>
      </x:c>
      <x:c r="I39" s="42" t="str">
        <x:v>https://www.vesselfinder.com/vessels/details/9916812</x:v>
      </x:c>
      <x:c r="J39" s="42" t="str">
        <x:v>SRC_0066</x:v>
      </x:c>
      <x:c r="K39" s="42" t="str">
        <x:v>Operating</x:v>
      </x:c>
      <x:c r="L39" s="42" t="str">
        <x:v>Public vessel name appears as AL AIN; model retains AW Shipping fleet label. IMO added in v1.3 enrichment pass.</x:v>
      </x:c>
    </x:row>
    <x:row r="40">
      <x:c r="A40" s="42" t="str">
        <x:v>VESSEL_00039</x:v>
      </x:c>
      <x:c r="B40" s="42" t="str">
        <x:v>AWS-Zakher</x:v>
      </x:c>
      <x:c r="C40" s="42" t="str">
        <x:v>COMP_AW_SHIPPING</x:v>
      </x:c>
      <x:c r="D40" s="42" t="str">
        <x:v>AW Shipping</x:v>
      </x:c>
      <x:c r="E40" s="163" t="str">
        <x:v>9916824</x:v>
      </x:c>
      <x:c r="F40" s="42" t="str">
        <x:v>IMO populated — checksum valid</x:v>
      </x:c>
      <x:c r="G40" s="42" t="str">
        <x:v>High</x:v>
      </x:c>
      <x:c r="H40" s="42" t="str">
        <x:v>2026-09-07</x:v>
      </x:c>
      <x:c r="I40" s="42" t="str">
        <x:v>https://www.vesselfinder.com/vessels/details/9916824</x:v>
      </x:c>
      <x:c r="J40" s="42" t="str">
        <x:v>SRC_0066</x:v>
      </x:c>
      <x:c r="K40" s="42" t="str">
        <x:v>Operating</x:v>
      </x:c>
      <x:c r="L40" s="42" t="str">
        <x:v>Public vessel name appears as ZAKHER; model retains AW Shipping fleet label. IMO added in v1.3 enrichment pass.</x:v>
      </x:c>
    </x:row>
    <x:row r="41">
      <x:c r="A41" s="42" t="str">
        <x:v>VESSEL_00040</x:v>
      </x:c>
      <x:c r="B41" s="42" t="str">
        <x:v>AWS-Rabdan</x:v>
      </x:c>
      <x:c r="C41" s="42" t="str">
        <x:v>COMP_AW_SHIPPING</x:v>
      </x:c>
      <x:c r="D41" s="42" t="str">
        <x:v>AW Shipping</x:v>
      </x:c>
      <x:c r="E41" s="163" t="str">
        <x:v>9916836</x:v>
      </x:c>
      <x:c r="F41" s="42" t="str">
        <x:v>IMO populated — checksum valid</x:v>
      </x:c>
      <x:c r="G41" s="42" t="str">
        <x:v>High</x:v>
      </x:c>
      <x:c r="H41" s="42" t="str">
        <x:v>2026-09-07</x:v>
      </x:c>
      <x:c r="I41" s="42" t="str">
        <x:v>https://www.vesselfinder.com/vessels/details/9916836</x:v>
      </x:c>
      <x:c r="J41" s="42" t="str">
        <x:v>SRC_0066</x:v>
      </x:c>
      <x:c r="K41" s="42" t="str">
        <x:v>Operating</x:v>
      </x:c>
      <x:c r="L41" s="42" t="str">
        <x:v>Public vessel name appears as RABDAN; model retains AW Shipping fleet label. IMO added in v1.3 enrichment pass.</x:v>
      </x:c>
    </x:row>
    <x:row r="42">
      <x:c r="A42" s="42" t="str">
        <x:v>VESSEL_00041</x:v>
      </x:c>
      <x:c r="B42" s="42" t="str">
        <x:v>AWS-Al Salam</x:v>
      </x:c>
      <x:c r="C42" s="42" t="str">
        <x:v>COMP_AW_SHIPPING</x:v>
      </x:c>
      <x:c r="D42" s="42" t="str">
        <x:v>AW Shipping</x:v>
      </x:c>
      <x:c r="E42" s="163" t="str">
        <x:v>9923085</x:v>
      </x:c>
      <x:c r="F42" s="42" t="str">
        <x:v>IMO populated — checksum valid</x:v>
      </x:c>
      <x:c r="G42" s="42" t="str">
        <x:v>High</x:v>
      </x:c>
      <x:c r="H42" s="42" t="str">
        <x:v>2026-09-07</x:v>
      </x:c>
      <x:c r="I42" s="42" t="str">
        <x:v>https://www.vesselfinder.com/vessels/details/9923085</x:v>
      </x:c>
      <x:c r="J42" s="42" t="str">
        <x:v>SRC_0066</x:v>
      </x:c>
      <x:c r="K42" s="42" t="str">
        <x:v>Operating</x:v>
      </x:c>
      <x:c r="L42" s="42" t="str">
        <x:v>Public vessel name appears as AL SALAM; model retains AW Shipping fleet label. IMO added in v1.3 enrichment pass.</x:v>
      </x:c>
    </x:row>
    <x:row r="43">
      <x:c r="A43" s="42" t="str">
        <x:v>VESSEL_00042</x:v>
      </x:c>
      <x:c r="B43" s="42" t="str">
        <x:v>AWS-Baynounah</x:v>
      </x:c>
      <x:c r="C43" s="42" t="str">
        <x:v>COMP_AW_SHIPPING</x:v>
      </x:c>
      <x:c r="D43" s="42" t="str">
        <x:v>AW Shipping</x:v>
      </x:c>
      <x:c r="E43" s="163" t="str">
        <x:v>9923097</x:v>
      </x:c>
      <x:c r="F43" s="42" t="str">
        <x:v>IMO populated — checksum valid</x:v>
      </x:c>
      <x:c r="G43" s="42" t="str">
        <x:v>High</x:v>
      </x:c>
      <x:c r="H43" s="42" t="str">
        <x:v>2026-09-07</x:v>
      </x:c>
      <x:c r="I43" s="42" t="str">
        <x:v>https://www.vesselfinder.com/vessels/details/9923097</x:v>
      </x:c>
      <x:c r="J43" s="42" t="str">
        <x:v>SRC_0066</x:v>
      </x:c>
      <x:c r="K43" s="42" t="str">
        <x:v>Operating</x:v>
      </x:c>
      <x:c r="L43" s="42" t="str">
        <x:v>Public vessel name appears as BAYNOUNAH; model retains AW Shipping fleet label. IMO added in v1.3 enrichment pass.</x:v>
      </x:c>
    </x:row>
    <x:row r="44">
      <x:c r="A44" s="42" t="str">
        <x:v>VESSEL_00043</x:v>
      </x:c>
      <x:c r="B44" s="42" t="str">
        <x:v>Meera</x:v>
      </x:c>
      <x:c r="C44" s="42" t="str">
        <x:v>COMP_AW_SHIPPING</x:v>
      </x:c>
      <x:c r="D44" s="42" t="str">
        <x:v>AW Shipping</x:v>
      </x:c>
      <x:c r="E44" s="163" t="str">
        <x:v>1066908</x:v>
      </x:c>
      <x:c r="F44" s="42" t="str">
        <x:v>IMO populated — checksum valid</x:v>
      </x:c>
      <x:c r="G44" s="42" t="str">
        <x:v>High</x:v>
      </x:c>
      <x:c r="H44" s="42" t="str">
        <x:v>2026-09-07</x:v>
      </x:c>
      <x:c r="I44" s="42" t="str">
        <x:v>https://system.new-vessels.com/Ship-23878060-.html</x:v>
      </x:c>
      <x:c r="J44" s="42" t="str">
        <x:v>SRC_0066</x:v>
      </x:c>
      <x:c r="K44" s="42" t="str">
        <x:v>Newbuild / delivery program</x:v>
      </x:c>
      <x:c r="L44" s="42" t="str">
        <x:v>IMO added in v1.3 enrichment pass.</x:v>
      </x:c>
    </x:row>
    <x:row r="45">
      <x:c r="A45" s="42" t="str">
        <x:v>VESSEL_00044</x:v>
      </x:c>
      <x:c r="B45" s="42" t="str">
        <x:v>Dana</x:v>
      </x:c>
      <x:c r="C45" s="42" t="str">
        <x:v>COMP_AW_SHIPPING</x:v>
      </x:c>
      <x:c r="D45" s="42" t="str">
        <x:v>AW Shipping</x:v>
      </x:c>
      <x:c r="E45" s="163"/>
      <x:c r="F45" s="42" t="str">
        <x:v>Pending — newbuild identity</x:v>
      </x:c>
      <x:c r="G45" s="42" t="str">
        <x:v>Pending</x:v>
      </x:c>
      <x:c r="H45" s="42" t="str">
        <x:v>2026-09-07</x:v>
      </x:c>
      <x:c r="I45" s="42"/>
      <x:c r="J45" s="42" t="str">
        <x:v>SRC_0066</x:v>
      </x:c>
      <x:c r="K45" s="42" t="str">
        <x:v>Newbuild / delivery program</x:v>
      </x:c>
      <x:c r="L45" s="42" t="str">
        <x:v>No public IMO was confidently resolved in this pass.</x:v>
      </x:c>
    </x:row>
    <x:row r="46">
      <x:c r="A46" s="42" t="str">
        <x:v>VESSEL_00045</x:v>
      </x:c>
      <x:c r="B46" s="42" t="str">
        <x:v>Al Ghadeer</x:v>
      </x:c>
      <x:c r="C46" s="42" t="str">
        <x:v>COMP_AW_SHIPPING</x:v>
      </x:c>
      <x:c r="D46" s="42" t="str">
        <x:v>AW Shipping</x:v>
      </x:c>
      <x:c r="E46" s="163"/>
      <x:c r="F46" s="42" t="str">
        <x:v>Pending — newbuild identity</x:v>
      </x:c>
      <x:c r="G46" s="42" t="str">
        <x:v>Pending</x:v>
      </x:c>
      <x:c r="H46" s="42" t="str">
        <x:v>2026-09-07</x:v>
      </x:c>
      <x:c r="I46" s="42"/>
      <x:c r="J46" s="42" t="str">
        <x:v>SRC_0066</x:v>
      </x:c>
      <x:c r="K46" s="42" t="str">
        <x:v>Newbuild / delivery program</x:v>
      </x:c>
      <x:c r="L46" s="42" t="str">
        <x:v>No public IMO was confidently resolved in this pass.</x:v>
      </x:c>
    </x:row>
    <x:row r="47">
      <x:c r="A47" s="42" t="str">
        <x:v>VESSEL_00046</x:v>
      </x:c>
      <x:c r="B47" s="42" t="str">
        <x:v>Rimah</x:v>
      </x:c>
      <x:c r="C47" s="42" t="str">
        <x:v>COMP_AW_SHIPPING</x:v>
      </x:c>
      <x:c r="D47" s="42" t="str">
        <x:v>AW Shipping</x:v>
      </x:c>
      <x:c r="E47" s="163"/>
      <x:c r="F47" s="42" t="str">
        <x:v>Pending — newbuild identity</x:v>
      </x:c>
      <x:c r="G47" s="42" t="str">
        <x:v>Pending</x:v>
      </x:c>
      <x:c r="H47" s="42" t="str">
        <x:v>2026-09-07</x:v>
      </x:c>
      <x:c r="I47" s="42"/>
      <x:c r="J47" s="42" t="str">
        <x:v>SRC_0066</x:v>
      </x:c>
      <x:c r="K47" s="42" t="str">
        <x:v>Newbuild / delivery program</x:v>
      </x:c>
      <x:c r="L47" s="42" t="str">
        <x:v>No public IMO was confidently resolved in this pass.</x:v>
      </x:c>
    </x:row>
    <x:row r="48">
      <x:c r="A48" s="42" t="str">
        <x:v>VESSEL_00047</x:v>
      </x:c>
      <x:c r="B48" s="42" t="str">
        <x:v>Umm Al Lulu I</x:v>
      </x:c>
      <x:c r="C48" s="42" t="str">
        <x:v>COMP_ADNOC_LS</x:v>
      </x:c>
      <x:c r="D48" s="42" t="str">
        <x:v>ADNOC Logistics &amp; Services</x:v>
      </x:c>
      <x:c r="E48" s="163" t="str">
        <x:v>9494204</x:v>
      </x:c>
      <x:c r="F48" s="42" t="str">
        <x:v>IMO populated — checksum valid</x:v>
      </x:c>
      <x:c r="G48" s="42" t="str">
        <x:v>High</x:v>
      </x:c>
      <x:c r="H48" s="42" t="str">
        <x:v>2026-09-07</x:v>
      </x:c>
      <x:c r="I48" s="42" t="str">
        <x:v>https://www.vesselfinder.com/vessels/details/9494204</x:v>
      </x:c>
      <x:c r="J48" s="42" t="str">
        <x:v>SRC_0066</x:v>
      </x:c>
      <x:c r="K48" s="42" t="str">
        <x:v>Operating</x:v>
      </x:c>
      <x:c r="L48" s="42" t="str">
        <x:v>IMO added in v1.3 enrichment pass.</x:v>
      </x:c>
    </x:row>
    <x:row r="49">
      <x:c r="A49" s="42" t="str">
        <x:v>VESSEL_00048</x:v>
      </x:c>
      <x:c r="B49" s="42" t="str">
        <x:v>Al Samha</x:v>
      </x:c>
      <x:c r="C49" s="42" t="str">
        <x:v>COMP_ADNOC_LS</x:v>
      </x:c>
      <x:c r="D49" s="42" t="str">
        <x:v>ADNOC Logistics &amp; Services</x:v>
      </x:c>
      <x:c r="E49" s="163" t="str">
        <x:v>9380324</x:v>
      </x:c>
      <x:c r="F49" s="42" t="str">
        <x:v>IMO populated — checksum valid</x:v>
      </x:c>
      <x:c r="G49" s="42" t="str">
        <x:v>High</x:v>
      </x:c>
      <x:c r="H49" s="42" t="str">
        <x:v>2026-09-07</x:v>
      </x:c>
      <x:c r="I49" s="42" t="str">
        <x:v>https://www.vesselfinder.com/vessels/details/9380324</x:v>
      </x:c>
      <x:c r="J49" s="42" t="str">
        <x:v>SRC_0066</x:v>
      </x:c>
      <x:c r="K49" s="42" t="str">
        <x:v>Operating</x:v>
      </x:c>
      <x:c r="L49" s="42" t="str">
        <x:v>IMO added in v1.3 enrichment pass.</x:v>
      </x:c>
    </x:row>
    <x:row r="50">
      <x:c r="A50" s="42" t="str">
        <x:v>VESSEL_00049</x:v>
      </x:c>
      <x:c r="B50" s="42" t="str">
        <x:v>Bani Yas</x:v>
      </x:c>
      <x:c r="C50" s="42" t="str">
        <x:v>COMP_ADNOC_LS</x:v>
      </x:c>
      <x:c r="D50" s="42" t="str">
        <x:v>ADNOC Logistics &amp; Services</x:v>
      </x:c>
      <x:c r="E50" s="163" t="str">
        <x:v>9487249</x:v>
      </x:c>
      <x:c r="F50" s="42" t="str">
        <x:v>IMO populated — checksum valid</x:v>
      </x:c>
      <x:c r="G50" s="42" t="str">
        <x:v>High</x:v>
      </x:c>
      <x:c r="H50" s="42" t="str">
        <x:v>2026-09-07</x:v>
      </x:c>
      <x:c r="I50" s="42" t="str">
        <x:v>https://www.vesselfinder.com/vessels/details/9487249</x:v>
      </x:c>
      <x:c r="J50" s="42" t="str">
        <x:v>SRC_0066</x:v>
      </x:c>
      <x:c r="K50" s="42" t="str">
        <x:v>Operating</x:v>
      </x:c>
      <x:c r="L50" s="42" t="str">
        <x:v>IMO added in v1.3 enrichment pass.</x:v>
      </x:c>
    </x:row>
    <x:row r="51">
      <x:c r="A51" s="42" t="str">
        <x:v>VESSEL_00050</x:v>
      </x:c>
      <x:c r="B51" s="42" t="str">
        <x:v>Diyyinah I</x:v>
      </x:c>
      <x:c r="C51" s="42" t="str">
        <x:v>COMP_ADNOC_LS</x:v>
      </x:c>
      <x:c r="D51" s="42" t="str">
        <x:v>ADNOC Logistics &amp; Services</x:v>
      </x:c>
      <x:c r="E51" s="163" t="str">
        <x:v>9487251</x:v>
      </x:c>
      <x:c r="F51" s="42" t="str">
        <x:v>IMO populated — checksum valid</x:v>
      </x:c>
      <x:c r="G51" s="42" t="str">
        <x:v>High</x:v>
      </x:c>
      <x:c r="H51" s="42" t="str">
        <x:v>2026-09-07</x:v>
      </x:c>
      <x:c r="I51" s="42" t="str">
        <x:v>https://www.vesselfinder.com/vessels/details/9487251</x:v>
      </x:c>
      <x:c r="J51" s="42" t="str">
        <x:v>SRC_0066</x:v>
      </x:c>
      <x:c r="K51" s="42" t="str">
        <x:v>Operating</x:v>
      </x:c>
      <x:c r="L51" s="42" t="str">
        <x:v>IMO added in v1.3 enrichment pass.</x:v>
      </x:c>
    </x:row>
    <x:row r="52">
      <x:c r="A52" s="42" t="str">
        <x:v>VESSEL_00051</x:v>
      </x:c>
      <x:c r="B52" s="42" t="str">
        <x:v>Mezaira'a</x:v>
      </x:c>
      <x:c r="C52" s="42" t="str">
        <x:v>COMP_ADNOC_LS</x:v>
      </x:c>
      <x:c r="D52" s="42" t="str">
        <x:v>ADNOC Logistics &amp; Services</x:v>
      </x:c>
      <x:c r="E52" s="163" t="str">
        <x:v>9487275</x:v>
      </x:c>
      <x:c r="F52" s="42" t="str">
        <x:v>IMO populated — checksum valid</x:v>
      </x:c>
      <x:c r="G52" s="42" t="str">
        <x:v>High</x:v>
      </x:c>
      <x:c r="H52" s="42" t="str">
        <x:v>2026-09-07</x:v>
      </x:c>
      <x:c r="I52" s="42" t="str">
        <x:v>https://www.vesselfinder.com/vessels/details/9487275</x:v>
      </x:c>
      <x:c r="J52" s="42" t="str">
        <x:v>SRC_0066</x:v>
      </x:c>
      <x:c r="K52" s="42" t="str">
        <x:v>Operating</x:v>
      </x:c>
      <x:c r="L52" s="42" t="str">
        <x:v>IMO added in v1.3 enrichment pass.</x:v>
      </x:c>
    </x:row>
    <x:row r="53">
      <x:c r="A53" s="42" t="str">
        <x:v>VESSEL_00052</x:v>
      </x:c>
      <x:c r="B53" s="42" t="str">
        <x:v>Yamilah-III</x:v>
      </x:c>
      <x:c r="C53" s="42" t="str">
        <x:v>COMP_ADNOC_LS</x:v>
      </x:c>
      <x:c r="D53" s="42" t="str">
        <x:v>ADNOC Logistics &amp; Services</x:v>
      </x:c>
      <x:c r="E53" s="163" t="str">
        <x:v>9487263</x:v>
      </x:c>
      <x:c r="F53" s="42" t="str">
        <x:v>IMO populated — checksum valid</x:v>
      </x:c>
      <x:c r="G53" s="42" t="str">
        <x:v>High</x:v>
      </x:c>
      <x:c r="H53" s="42" t="str">
        <x:v>2026-09-07</x:v>
      </x:c>
      <x:c r="I53" s="42" t="str">
        <x:v>https://www.vesselfinder.com/vessels/details/9487263</x:v>
      </x:c>
      <x:c r="J53" s="42" t="str">
        <x:v>SRC_0066</x:v>
      </x:c>
      <x:c r="K53" s="42" t="str">
        <x:v>Operating</x:v>
      </x:c>
      <x:c r="L53" s="42" t="str">
        <x:v>IMO added in v1.3 enrichment pass.</x:v>
      </x:c>
    </x:row>
    <x:row r="54">
      <x:c r="A54" s="42" t="str">
        <x:v>VESSEL_00053</x:v>
      </x:c>
      <x:c r="B54" s="42" t="str">
        <x:v>Navig8 Honor</x:v>
      </x:c>
      <x:c r="C54" s="42" t="str">
        <x:v>COMP_NAVIG8</x:v>
      </x:c>
      <x:c r="D54" s="42" t="str">
        <x:v>Navig8</x:v>
      </x:c>
      <x:c r="E54" s="163" t="str">
        <x:v>9556181</x:v>
      </x:c>
      <x:c r="F54" s="42" t="str">
        <x:v>IMO populated — checksum valid</x:v>
      </x:c>
      <x:c r="G54" s="42" t="str">
        <x:v>High</x:v>
      </x:c>
      <x:c r="H54" s="42" t="str">
        <x:v>2026-09-07</x:v>
      </x:c>
      <x:c r="I54" s="42" t="str">
        <x:v>https://www.vesselfinder.com/vessels/details/9556181</x:v>
      </x:c>
      <x:c r="J54" s="42" t="str">
        <x:v>SRC_0066</x:v>
      </x:c>
      <x:c r="K54" s="42" t="str">
        <x:v>Operating</x:v>
      </x:c>
      <x:c r="L54" s="42" t="str">
        <x:v>IMO added in v1.3 enrichment pass.</x:v>
      </x:c>
    </x:row>
    <x:row r="55">
      <x:c r="A55" s="42" t="str">
        <x:v>VESSEL_00054</x:v>
      </x:c>
      <x:c r="B55" s="42" t="str">
        <x:v>Navig8 Martinez</x:v>
      </x:c>
      <x:c r="C55" s="42" t="str">
        <x:v>COMP_NAVIG8</x:v>
      </x:c>
      <x:c r="D55" s="42" t="str">
        <x:v>Navig8</x:v>
      </x:c>
      <x:c r="E55" s="163" t="str">
        <x:v>9482847</x:v>
      </x:c>
      <x:c r="F55" s="42" t="str">
        <x:v>IMO populated — checksum valid</x:v>
      </x:c>
      <x:c r="G55" s="42" t="str">
        <x:v>High</x:v>
      </x:c>
      <x:c r="H55" s="42" t="str">
        <x:v>2026-09-07</x:v>
      </x:c>
      <x:c r="I55" s="42" t="str">
        <x:v>https://www.vesselfinder.com/vessels/details/9482847</x:v>
      </x:c>
      <x:c r="J55" s="42" t="str">
        <x:v>SRC_0066</x:v>
      </x:c>
      <x:c r="K55" s="42" t="str">
        <x:v>Operating</x:v>
      </x:c>
      <x:c r="L55" s="42" t="str">
        <x:v>IMO added in v1.3 enrichment pass.</x:v>
      </x:c>
    </x:row>
    <x:row r="56">
      <x:c r="A56" s="42" t="str">
        <x:v>VESSEL_00055</x:v>
      </x:c>
      <x:c r="B56" s="42" t="str">
        <x:v>Navig8 Messi</x:v>
      </x:c>
      <x:c r="C56" s="42" t="str">
        <x:v>COMP_NAVIG8</x:v>
      </x:c>
      <x:c r="D56" s="42" t="str">
        <x:v>Navig8</x:v>
      </x:c>
      <x:c r="E56" s="163" t="str">
        <x:v>9482859</x:v>
      </x:c>
      <x:c r="F56" s="42" t="str">
        <x:v>IMO populated — checksum valid</x:v>
      </x:c>
      <x:c r="G56" s="42" t="str">
        <x:v>High</x:v>
      </x:c>
      <x:c r="H56" s="42" t="str">
        <x:v>2026-09-07</x:v>
      </x:c>
      <x:c r="I56" s="42" t="str">
        <x:v>https://www.vesselfinder.com/vessels/details/9482859</x:v>
      </x:c>
      <x:c r="J56" s="42" t="str">
        <x:v>SRC_0066</x:v>
      </x:c>
      <x:c r="K56" s="42" t="str">
        <x:v>Operating</x:v>
      </x:c>
      <x:c r="L56" s="42" t="str">
        <x:v>IMO added in v1.3 enrichment pass.</x:v>
      </x:c>
    </x:row>
    <x:row r="57">
      <x:c r="A57" s="42" t="str">
        <x:v>VESSEL_00056</x:v>
      </x:c>
      <x:c r="B57" s="42" t="str">
        <x:v>Navig8 Montiel</x:v>
      </x:c>
      <x:c r="C57" s="42" t="str">
        <x:v>COMP_NAVIG8</x:v>
      </x:c>
      <x:c r="D57" s="42" t="str">
        <x:v>Navig8</x:v>
      </x:c>
      <x:c r="E57" s="163" t="str">
        <x:v>9482861</x:v>
      </x:c>
      <x:c r="F57" s="42" t="str">
        <x:v>IMO populated — checksum valid</x:v>
      </x:c>
      <x:c r="G57" s="42" t="str">
        <x:v>High</x:v>
      </x:c>
      <x:c r="H57" s="42" t="str">
        <x:v>2026-09-07</x:v>
      </x:c>
      <x:c r="I57" s="42" t="str">
        <x:v>https://www.vesselfinder.com/vessels/details/9482861</x:v>
      </x:c>
      <x:c r="J57" s="42" t="str">
        <x:v>SRC_0066</x:v>
      </x:c>
      <x:c r="K57" s="42" t="str">
        <x:v>Operating</x:v>
      </x:c>
      <x:c r="L57" s="42" t="str">
        <x:v>IMO added in v1.3 enrichment pass.</x:v>
      </x:c>
    </x:row>
    <x:row r="58">
      <x:c r="A58" s="42" t="str">
        <x:v>VESSEL_00057</x:v>
      </x:c>
      <x:c r="B58" s="42" t="str">
        <x:v>Abu Dhabi-III</x:v>
      </x:c>
      <x:c r="C58" s="42" t="str">
        <x:v>COMP_ADNOC_LS</x:v>
      </x:c>
      <x:c r="D58" s="42" t="str">
        <x:v>ADNOC Logistics &amp; Services</x:v>
      </x:c>
      <x:c r="E58" s="163" t="str">
        <x:v>9489027</x:v>
      </x:c>
      <x:c r="F58" s="42" t="str">
        <x:v>IMO populated — checksum valid</x:v>
      </x:c>
      <x:c r="G58" s="42" t="str">
        <x:v>High</x:v>
      </x:c>
      <x:c r="H58" s="42" t="str">
        <x:v>2026-09-07</x:v>
      </x:c>
      <x:c r="I58" s="42" t="str">
        <x:v>https://www.vesselfinder.com/vessels/details/9489027</x:v>
      </x:c>
      <x:c r="J58" s="42" t="str">
        <x:v>SRC_0066</x:v>
      </x:c>
      <x:c r="K58" s="42" t="str">
        <x:v>Operating</x:v>
      </x:c>
      <x:c r="L58" s="42" t="str">
        <x:v>IMO added in v1.3 enrichment pass.</x:v>
      </x:c>
    </x:row>
    <x:row r="59">
      <x:c r="A59" s="42" t="str">
        <x:v>VESSEL_00058</x:v>
      </x:c>
      <x:c r="B59" s="42" t="str">
        <x:v>Liwa V</x:v>
      </x:c>
      <x:c r="C59" s="42" t="str">
        <x:v>COMP_ADNOC_LS</x:v>
      </x:c>
      <x:c r="D59" s="42" t="str">
        <x:v>ADNOC Logistics &amp; Services</x:v>
      </x:c>
      <x:c r="E59" s="163" t="str">
        <x:v>9489039</x:v>
      </x:c>
      <x:c r="F59" s="42" t="str">
        <x:v>IMO populated — checksum valid</x:v>
      </x:c>
      <x:c r="G59" s="42" t="str">
        <x:v>High</x:v>
      </x:c>
      <x:c r="H59" s="42" t="str">
        <x:v>2026-09-07</x:v>
      </x:c>
      <x:c r="I59" s="42" t="str">
        <x:v>https://www.vesselfinder.com/vessels/details/9489039</x:v>
      </x:c>
      <x:c r="J59" s="42" t="str">
        <x:v>SRC_0066</x:v>
      </x:c>
      <x:c r="K59" s="42" t="str">
        <x:v>Operating</x:v>
      </x:c>
      <x:c r="L59" s="42" t="str">
        <x:v>IMO added in v1.3 enrichment pass.</x:v>
      </x:c>
    </x:row>
    <x:row r="60">
      <x:c r="A60" s="42" t="str">
        <x:v>VESSEL_00059</x:v>
      </x:c>
      <x:c r="B60" s="42" t="str">
        <x:v>Al Bateen</x:v>
      </x:c>
      <x:c r="C60" s="42" t="str">
        <x:v>COMP_ADNOC_LS</x:v>
      </x:c>
      <x:c r="D60" s="42" t="str">
        <x:v>ADNOC Logistics &amp; Services</x:v>
      </x:c>
      <x:c r="E60" s="163" t="str">
        <x:v>9828376</x:v>
      </x:c>
      <x:c r="F60" s="42" t="str">
        <x:v>IMO populated — checksum valid</x:v>
      </x:c>
      <x:c r="G60" s="42" t="str">
        <x:v>High</x:v>
      </x:c>
      <x:c r="H60" s="42" t="str">
        <x:v>2026-09-07</x:v>
      </x:c>
      <x:c r="I60" s="42" t="str">
        <x:v>https://www.vesselfinder.com/vessels/details/9828376</x:v>
      </x:c>
      <x:c r="J60" s="42" t="str">
        <x:v>SRC_0066</x:v>
      </x:c>
      <x:c r="K60" s="42" t="str">
        <x:v>Operating</x:v>
      </x:c>
      <x:c r="L60" s="42" t="str">
        <x:v>IMO added in v1.3 enrichment pass.</x:v>
      </x:c>
    </x:row>
    <x:row r="61">
      <x:c r="A61" s="42" t="str">
        <x:v>VESSEL_00060</x:v>
      </x:c>
      <x:c r="B61" s="42" t="str">
        <x:v>Al Falah</x:v>
      </x:c>
      <x:c r="C61" s="42" t="str">
        <x:v>COMP_ADNOC_LS</x:v>
      </x:c>
      <x:c r="D61" s="42" t="str">
        <x:v>ADNOC Logistics &amp; Services</x:v>
      </x:c>
      <x:c r="E61" s="163" t="str">
        <x:v>9828388</x:v>
      </x:c>
      <x:c r="F61" s="42" t="str">
        <x:v>IMO populated — checksum valid</x:v>
      </x:c>
      <x:c r="G61" s="42" t="str">
        <x:v>High</x:v>
      </x:c>
      <x:c r="H61" s="42" t="str">
        <x:v>2026-09-07</x:v>
      </x:c>
      <x:c r="I61" s="42" t="str">
        <x:v>https://www.vesselfinder.com/vessels/details/9828388</x:v>
      </x:c>
      <x:c r="J61" s="42" t="str">
        <x:v>SRC_0066</x:v>
      </x:c>
      <x:c r="K61" s="42" t="str">
        <x:v>Operating</x:v>
      </x:c>
      <x:c r="L61" s="42" t="str">
        <x:v>IMO added in v1.3 enrichment pass.</x:v>
      </x:c>
    </x:row>
    <x:row r="62">
      <x:c r="A62" s="42" t="str">
        <x:v>VESSEL_00061</x:v>
      </x:c>
      <x:c r="B62" s="42" t="str">
        <x:v>Al Ruwais</x:v>
      </x:c>
      <x:c r="C62" s="42" t="str">
        <x:v>COMP_ADNOC_LS</x:v>
      </x:c>
      <x:c r="D62" s="42" t="str">
        <x:v>ADNOC Logistics &amp; Services</x:v>
      </x:c>
      <x:c r="E62" s="163" t="str">
        <x:v>9828405</x:v>
      </x:c>
      <x:c r="F62" s="42" t="str">
        <x:v>IMO populated — checksum valid</x:v>
      </x:c>
      <x:c r="G62" s="42" t="str">
        <x:v>High</x:v>
      </x:c>
      <x:c r="H62" s="42" t="str">
        <x:v>2026-09-07</x:v>
      </x:c>
      <x:c r="I62" s="42" t="str">
        <x:v>https://www.vesselfinder.com/vessels/details/9828405</x:v>
      </x:c>
      <x:c r="J62" s="42" t="str">
        <x:v>SRC_0066</x:v>
      </x:c>
      <x:c r="K62" s="42" t="str">
        <x:v>Operating</x:v>
      </x:c>
      <x:c r="L62" s="42" t="str">
        <x:v>IMO added in v1.3 enrichment pass.</x:v>
      </x:c>
    </x:row>
    <x:row r="63">
      <x:c r="A63" s="42" t="str">
        <x:v>VESSEL_00062</x:v>
      </x:c>
      <x:c r="B63" s="42" t="str">
        <x:v>Al Khtam</x:v>
      </x:c>
      <x:c r="C63" s="42" t="str">
        <x:v>COMP_ADNOC_LS</x:v>
      </x:c>
      <x:c r="D63" s="42" t="str">
        <x:v>ADNOC Logistics &amp; Services</x:v>
      </x:c>
      <x:c r="E63" s="163" t="str">
        <x:v>9823534</x:v>
      </x:c>
      <x:c r="F63" s="42" t="str">
        <x:v>IMO populated — checksum valid</x:v>
      </x:c>
      <x:c r="G63" s="42" t="str">
        <x:v>High</x:v>
      </x:c>
      <x:c r="H63" s="42" t="str">
        <x:v>2026-09-07</x:v>
      </x:c>
      <x:c r="I63" s="42" t="str">
        <x:v>https://www.vesselfinder.com/vessels/details/9823534</x:v>
      </x:c>
      <x:c r="J63" s="42" t="str">
        <x:v>SRC_0066</x:v>
      </x:c>
      <x:c r="K63" s="42" t="str">
        <x:v>Operating</x:v>
      </x:c>
      <x:c r="L63" s="42" t="str">
        <x:v>IMO added in v1.3 enrichment pass.</x:v>
      </x:c>
    </x:row>
    <x:row r="64">
      <x:c r="A64" s="42" t="str">
        <x:v>VESSEL_00063</x:v>
      </x:c>
      <x:c r="B64" s="42" t="str">
        <x:v>Yong Jiang (Gas Yongjiang)</x:v>
      </x:c>
      <x:c r="C64" s="42" t="str">
        <x:v>COMP_AW_SHIPPING</x:v>
      </x:c>
      <x:c r="D64" s="42" t="str">
        <x:v>AW Shipping</x:v>
      </x:c>
      <x:c r="E64" s="163" t="str">
        <x:v>1013834</x:v>
      </x:c>
      <x:c r="F64" s="42" t="str">
        <x:v>IMO populated — checksum valid</x:v>
      </x:c>
      <x:c r="G64" s="42" t="str">
        <x:v>High</x:v>
      </x:c>
      <x:c r="H64" s="42" t="str">
        <x:v>2026-09-07</x:v>
      </x:c>
      <x:c r="I64" s="42" t="str">
        <x:v>https://www.vesselfinder.com/vessels/details/1013834</x:v>
      </x:c>
      <x:c r="J64" s="42" t="str">
        <x:v>SRC_0066</x:v>
      </x:c>
      <x:c r="K64" s="42" t="str">
        <x:v>Delivered / operating</x:v>
      </x:c>
      <x:c r="L64" s="42" t="str">
        <x:v>IMO added in v1.3 enrichment pass.</x:v>
      </x:c>
    </x:row>
    <x:row r="65">
      <x:c r="A65" s="42" t="str">
        <x:v>VESSEL_00064</x:v>
      </x:c>
      <x:c r="B65" s="42" t="str">
        <x:v>Min Jiang</x:v>
      </x:c>
      <x:c r="C65" s="42" t="str">
        <x:v>COMP_AW_SHIPPING</x:v>
      </x:c>
      <x:c r="D65" s="42" t="str">
        <x:v>AW Shipping</x:v>
      </x:c>
      <x:c r="E65" s="163" t="str">
        <x:v>1013846</x:v>
      </x:c>
      <x:c r="F65" s="42" t="str">
        <x:v>IMO populated — checksum valid</x:v>
      </x:c>
      <x:c r="G65" s="42" t="str">
        <x:v>High</x:v>
      </x:c>
      <x:c r="H65" s="42" t="str">
        <x:v>2026-09-07</x:v>
      </x:c>
      <x:c r="I65" s="42" t="str">
        <x:v>https://www.vesselfinder.com/vessels/details/1013846</x:v>
      </x:c>
      <x:c r="J65" s="42" t="str">
        <x:v>SRC_0066</x:v>
      </x:c>
      <x:c r="K65" s="42" t="str">
        <x:v>Newbuild / delivery program</x:v>
      </x:c>
      <x:c r="L65" s="42" t="str">
        <x:v>IMO added in v1.3 enrichment pass.</x:v>
      </x:c>
    </x:row>
    <x:row r="66">
      <x:c r="A66" s="42" t="str">
        <x:v>VESSEL_00065</x:v>
      </x:c>
      <x:c r="B66" s="42" t="str">
        <x:v>Al Bayraq</x:v>
      </x:c>
      <x:c r="C66" s="42" t="str">
        <x:v>COMP_AW_SHIPPING</x:v>
      </x:c>
      <x:c r="D66" s="42" t="str">
        <x:v>AW Shipping</x:v>
      </x:c>
      <x:c r="E66" s="163"/>
      <x:c r="F66" s="42" t="str">
        <x:v>Pending — newbuild identity</x:v>
      </x:c>
      <x:c r="G66" s="42" t="str">
        <x:v>Pending</x:v>
      </x:c>
      <x:c r="H66" s="42" t="str">
        <x:v>2026-09-07</x:v>
      </x:c>
      <x:c r="I66" s="42"/>
      <x:c r="J66" s="42" t="str">
        <x:v>SRC_0066</x:v>
      </x:c>
      <x:c r="K66" s="42" t="str">
        <x:v>Newbuild / delivery program</x:v>
      </x:c>
      <x:c r="L66" s="42" t="str">
        <x:v>No public IMO was confidently resolved in this pass.</x:v>
      </x:c>
    </x:row>
    <x:row r="67">
      <x:c r="A67" s="42" t="str">
        <x:v>VESSEL_00066</x:v>
      </x:c>
      <x:c r="B67" s="42" t="str">
        <x:v>Alhosn</x:v>
      </x:c>
      <x:c r="C67" s="42" t="str">
        <x:v>COMP_AW_SHIPPING</x:v>
      </x:c>
      <x:c r="D67" s="42" t="str">
        <x:v>AW Shipping</x:v>
      </x:c>
      <x:c r="E67" s="163"/>
      <x:c r="F67" s="42" t="str">
        <x:v>Pending — newbuild identity</x:v>
      </x:c>
      <x:c r="G67" s="42" t="str">
        <x:v>Pending</x:v>
      </x:c>
      <x:c r="H67" s="42" t="str">
        <x:v>2026-09-07</x:v>
      </x:c>
      <x:c r="I67" s="42"/>
      <x:c r="J67" s="42" t="str">
        <x:v>SRC_0066</x:v>
      </x:c>
      <x:c r="K67" s="42" t="str">
        <x:v>Newbuild / delivery program</x:v>
      </x:c>
      <x:c r="L67" s="42" t="str">
        <x:v>No public IMO was confidently resolved in this pass.</x:v>
      </x:c>
    </x:row>
    <x:row r="68">
      <x:c r="A68" s="42" t="str">
        <x:v>VESSEL_00067</x:v>
      </x:c>
      <x:c r="B68" s="42" t="str">
        <x:v>Al Aryam</x:v>
      </x:c>
      <x:c r="C68" s="42" t="str">
        <x:v>COMP_AW_SHIPPING</x:v>
      </x:c>
      <x:c r="D68" s="42" t="str">
        <x:v>AW Shipping</x:v>
      </x:c>
      <x:c r="E68" s="163"/>
      <x:c r="F68" s="42" t="str">
        <x:v>Pending — newbuild identity</x:v>
      </x:c>
      <x:c r="G68" s="42" t="str">
        <x:v>Pending</x:v>
      </x:c>
      <x:c r="H68" s="42" t="str">
        <x:v>2026-09-07</x:v>
      </x:c>
      <x:c r="I68" s="42"/>
      <x:c r="J68" s="42" t="str">
        <x:v>SRC_0066</x:v>
      </x:c>
      <x:c r="K68" s="42" t="str">
        <x:v>Newbuild / delivery program</x:v>
      </x:c>
      <x:c r="L68" s="42" t="str">
        <x:v>No public IMO was confidently resolved in this pass.</x:v>
      </x:c>
    </x:row>
    <x:row r="69">
      <x:c r="A69" s="42" t="str">
        <x:v>VESSEL_00068</x:v>
      </x:c>
      <x:c r="B69" s="42" t="str">
        <x:v>Al Saad</x:v>
      </x:c>
      <x:c r="C69" s="42" t="str">
        <x:v>COMP_AW_SHIPPING</x:v>
      </x:c>
      <x:c r="D69" s="42" t="str">
        <x:v>AW Shipping</x:v>
      </x:c>
      <x:c r="E69" s="163"/>
      <x:c r="F69" s="42" t="str">
        <x:v>Pending — newbuild identity</x:v>
      </x:c>
      <x:c r="G69" s="42" t="str">
        <x:v>Pending</x:v>
      </x:c>
      <x:c r="H69" s="42" t="str">
        <x:v>2026-09-07</x:v>
      </x:c>
      <x:c r="I69" s="42"/>
      <x:c r="J69" s="42" t="str">
        <x:v>SRC_0066</x:v>
      </x:c>
      <x:c r="K69" s="42" t="str">
        <x:v>Newbuild / delivery program</x:v>
      </x:c>
      <x:c r="L69" s="42" t="str">
        <x:v>No public IMO was confidently resolved in this pass.</x:v>
      </x:c>
    </x:row>
    <x:row r="70">
      <x:c r="A70" s="42" t="str">
        <x:v>VESSEL_00069</x:v>
      </x:c>
      <x:c r="B70" s="42" t="str">
        <x:v>Al Muzn</x:v>
      </x:c>
      <x:c r="C70" s="42" t="str">
        <x:v>COMP_AW_SHIPPING</x:v>
      </x:c>
      <x:c r="D70" s="42" t="str">
        <x:v>AW Shipping</x:v>
      </x:c>
      <x:c r="E70" s="163"/>
      <x:c r="F70" s="42" t="str">
        <x:v>Pending — newbuild identity</x:v>
      </x:c>
      <x:c r="G70" s="42" t="str">
        <x:v>Pending</x:v>
      </x:c>
      <x:c r="H70" s="42" t="str">
        <x:v>2026-09-07</x:v>
      </x:c>
      <x:c r="I70" s="42"/>
      <x:c r="J70" s="42" t="str">
        <x:v>SRC_0066</x:v>
      </x:c>
      <x:c r="K70" s="42" t="str">
        <x:v>Newbuild / delivery program</x:v>
      </x:c>
      <x:c r="L70" s="42" t="str">
        <x:v>No public IMO was confidently resolved in this pass.</x:v>
      </x:c>
    </x:row>
    <x:row r="71">
      <x:c r="A71" s="42" t="str">
        <x:v>VESSEL_00070</x:v>
      </x:c>
      <x:c r="B71" s="42" t="str">
        <x:v>Al Taair</x:v>
      </x:c>
      <x:c r="C71" s="42" t="str">
        <x:v>COMP_AW_SHIPPING</x:v>
      </x:c>
      <x:c r="D71" s="42" t="str">
        <x:v>AW Shipping</x:v>
      </x:c>
      <x:c r="E71" s="163"/>
      <x:c r="F71" s="42" t="str">
        <x:v>Pending — newbuild identity</x:v>
      </x:c>
      <x:c r="G71" s="42" t="str">
        <x:v>Pending</x:v>
      </x:c>
      <x:c r="H71" s="42" t="str">
        <x:v>2026-09-07</x:v>
      </x:c>
      <x:c r="I71" s="42"/>
      <x:c r="J71" s="42" t="str">
        <x:v>SRC_0066</x:v>
      </x:c>
      <x:c r="K71" s="42" t="str">
        <x:v>Newbuild / delivery program</x:v>
      </x:c>
      <x:c r="L71" s="42" t="str">
        <x:v>ADNOC L&amp;S fleet sheet currently spells this newbuild Al Tair. No public IMO was confidently resolved in this pass.</x:v>
      </x:c>
    </x:row>
    <x:row r="72">
      <x:c r="A72" s="42" t="str">
        <x:v>VESSEL_00071</x:v>
      </x:c>
      <x:c r="B72" s="42" t="str">
        <x:v>Al Sila</x:v>
      </x:c>
      <x:c r="C72" s="42" t="str">
        <x:v>COMP_AW_SHIPPING</x:v>
      </x:c>
      <x:c r="D72" s="42" t="str">
        <x:v>AW Shipping</x:v>
      </x:c>
      <x:c r="E72" s="163"/>
      <x:c r="F72" s="42" t="str">
        <x:v>Pending — newbuild identity</x:v>
      </x:c>
      <x:c r="G72" s="42" t="str">
        <x:v>Pending</x:v>
      </x:c>
      <x:c r="H72" s="42" t="str">
        <x:v>2026-09-07</x:v>
      </x:c>
      <x:c r="I72" s="42"/>
      <x:c r="J72" s="42" t="str">
        <x:v>SRC_0066</x:v>
      </x:c>
      <x:c r="K72" s="42" t="str">
        <x:v>Newbuild / delivery program</x:v>
      </x:c>
      <x:c r="L72" s="42" t="str">
        <x:v>No public IMO was confidently resolved in this pass.</x:v>
      </x:c>
    </x:row>
    <x:row r="73">
      <x:c r="A73" s="42" t="str">
        <x:v>VESSEL_00072</x:v>
      </x:c>
      <x:c r="B73" s="42" t="str">
        <x:v>Janana</x:v>
      </x:c>
      <x:c r="C73" s="42" t="str">
        <x:v>COMP_ADNOC_LS</x:v>
      </x:c>
      <x:c r="D73" s="42" t="str">
        <x:v>ADNOC Logistics &amp; Services</x:v>
      </x:c>
      <x:c r="E73" s="163" t="str">
        <x:v>9034236</x:v>
      </x:c>
      <x:c r="F73" s="42" t="str">
        <x:v>IMO populated — checksum valid</x:v>
      </x:c>
      <x:c r="G73" s="42" t="str">
        <x:v>High</x:v>
      </x:c>
      <x:c r="H73" s="42" t="str">
        <x:v>2026-09-07</x:v>
      </x:c>
      <x:c r="I73" s="42" t="str">
        <x:v>https://www.vesselfinder.com/vessels/details/9034236</x:v>
      </x:c>
      <x:c r="J73" s="42" t="str">
        <x:v>SRC_0066</x:v>
      </x:c>
      <x:c r="K73" s="42" t="str">
        <x:v>Operating</x:v>
      </x:c>
      <x:c r="L73" s="42" t="str">
        <x:v>IMO added in v1.3 enrichment pass.</x:v>
      </x:c>
    </x:row>
    <x:row r="74">
      <x:c r="A74" s="42" t="str">
        <x:v>VESSEL_00073</x:v>
      </x:c>
      <x:c r="B74" s="42" t="str">
        <x:v>ADNOC L&amp;S molten sulphur newbuild</x:v>
      </x:c>
      <x:c r="C74" s="42" t="str">
        <x:v>COMP_ADNOC_LS</x:v>
      </x:c>
      <x:c r="D74" s="42" t="str">
        <x:v>ADNOC Logistics &amp; Services</x:v>
      </x:c>
      <x:c r="E74" s="163"/>
      <x:c r="F74" s="42" t="str">
        <x:v>No IMO assigned in model — unnamed newbuild</x:v>
      </x:c>
      <x:c r="G74" s="42" t="str">
        <x:v>Pending</x:v>
      </x:c>
      <x:c r="H74" s="42" t="str">
        <x:v>2026-09-07</x:v>
      </x:c>
      <x:c r="I74" s="42"/>
      <x:c r="J74" s="42" t="str">
        <x:v>SRC_0066</x:v>
      </x:c>
      <x:c r="K74" s="42" t="str">
        <x:v>On order / newbuild</x:v>
      </x:c>
      <x:c r="L74" s="42" t="str">
        <x:v>Unnamed newbuild placeholder; an IMO cannot be reliably assigned until the vessel identity is published.</x:v>
      </x:c>
    </x:row>
    <x:row r="75">
      <x:c r="A75" s="42" t="str">
        <x:v>VESSEL_00074</x:v>
      </x:c>
      <x:c r="B75" s="42" t="str">
        <x:v>Jarnain</x:v>
      </x:c>
      <x:c r="C75" s="42" t="str">
        <x:v>COMP_ADNOC_LS</x:v>
      </x:c>
      <x:c r="D75" s="42" t="str">
        <x:v>ADNOC Logistics &amp; Services</x:v>
      </x:c>
      <x:c r="E75" s="163" t="str">
        <x:v>9823546</x:v>
      </x:c>
      <x:c r="F75" s="42" t="str">
        <x:v>IMO populated — checksum valid</x:v>
      </x:c>
      <x:c r="G75" s="42" t="str">
        <x:v>High</x:v>
      </x:c>
      <x:c r="H75" s="42" t="str">
        <x:v>2026-09-07</x:v>
      </x:c>
      <x:c r="I75" s="42" t="str">
        <x:v>https://www.vesselfinder.com/vessels/details/9823546</x:v>
      </x:c>
      <x:c r="J75" s="42" t="str">
        <x:v>SRC_0066</x:v>
      </x:c>
      <x:c r="K75" s="42" t="str">
        <x:v>Operating</x:v>
      </x:c>
      <x:c r="L75" s="42" t="str">
        <x:v>IMO added in v1.3 enrichment pass.</x:v>
      </x:c>
    </x:row>
    <x:row r="76">
      <x:c r="A76" s="42" t="str">
        <x:v>VESSEL_00075</x:v>
      </x:c>
      <x:c r="B76" s="42" t="str">
        <x:v>Tarif</x:v>
      </x:c>
      <x:c r="C76" s="42" t="str">
        <x:v>COMP_ADNOC_LS</x:v>
      </x:c>
      <x:c r="D76" s="42" t="str">
        <x:v>ADNOC Logistics &amp; Services</x:v>
      </x:c>
      <x:c r="E76" s="163" t="str">
        <x:v>9828390</x:v>
      </x:c>
      <x:c r="F76" s="42" t="str">
        <x:v>IMO populated — checksum valid</x:v>
      </x:c>
      <x:c r="G76" s="42" t="str">
        <x:v>High</x:v>
      </x:c>
      <x:c r="H76" s="42" t="str">
        <x:v>2026-09-07</x:v>
      </x:c>
      <x:c r="I76" s="42" t="str">
        <x:v>https://www.vesselfinder.com/vessels/details/9828390</x:v>
      </x:c>
      <x:c r="J76" s="42" t="str">
        <x:v>SRC_0066</x:v>
      </x:c>
      <x:c r="K76" s="42" t="str">
        <x:v>Operating</x:v>
      </x:c>
      <x:c r="L76" s="42" t="str">
        <x:v>IMO added in v1.3 enrichment pass.</x:v>
      </x:c>
    </x:row>
    <x:row r="77">
      <x:c r="A77" s="42" t="str">
        <x:v>VESSEL_00076</x:v>
      </x:c>
      <x:c r="B77" s="42" t="str">
        <x:v>Navig8 Precision</x:v>
      </x:c>
      <x:c r="C77" s="42" t="str">
        <x:v>COMP_NAVIG8</x:v>
      </x:c>
      <x:c r="D77" s="42" t="str">
        <x:v>Navig8</x:v>
      </x:c>
      <x:c r="E77" s="163" t="str">
        <x:v>9831294</x:v>
      </x:c>
      <x:c r="F77" s="42" t="str">
        <x:v>IMO populated — checksum valid</x:v>
      </x:c>
      <x:c r="G77" s="42" t="str">
        <x:v>High</x:v>
      </x:c>
      <x:c r="H77" s="42" t="str">
        <x:v>2026-09-07</x:v>
      </x:c>
      <x:c r="I77" s="42" t="str">
        <x:v>https://www.vesselfinder.com/vessels/details/9831294</x:v>
      </x:c>
      <x:c r="J77" s="42" t="str">
        <x:v>SRC_0066</x:v>
      </x:c>
      <x:c r="K77" s="42" t="str">
        <x:v>Operating</x:v>
      </x:c>
      <x:c r="L77" s="42" t="str">
        <x:v>IMO added in v1.3 enrichment pass.</x:v>
      </x:c>
    </x:row>
    <x:row r="78">
      <x:c r="A78" s="42" t="str">
        <x:v>VESSEL_00077</x:v>
      </x:c>
      <x:c r="B78" s="42" t="str">
        <x:v>Navig8 Prestige</x:v>
      </x:c>
      <x:c r="C78" s="42" t="str">
        <x:v>COMP_NAVIG8</x:v>
      </x:c>
      <x:c r="D78" s="42" t="str">
        <x:v>Navig8</x:v>
      </x:c>
      <x:c r="E78" s="163" t="str">
        <x:v>9831309</x:v>
      </x:c>
      <x:c r="F78" s="42" t="str">
        <x:v>IMO populated — checksum valid</x:v>
      </x:c>
      <x:c r="G78" s="42" t="str">
        <x:v>High</x:v>
      </x:c>
      <x:c r="H78" s="42" t="str">
        <x:v>2026-09-07</x:v>
      </x:c>
      <x:c r="I78" s="42" t="str">
        <x:v>https://www.vesselfinder.com/vessels/details/9831309</x:v>
      </x:c>
      <x:c r="J78" s="42" t="str">
        <x:v>SRC_0066</x:v>
      </x:c>
      <x:c r="K78" s="42" t="str">
        <x:v>Operating</x:v>
      </x:c>
      <x:c r="L78" s="42" t="str">
        <x:v>Public vessel databases / USCG use NAVIG8 PRESTIGE JKB. IMO added in v1.3 enrichment pass.</x:v>
      </x:c>
    </x:row>
    <x:row r="79">
      <x:c r="A79" s="42" t="str">
        <x:v>VESSEL_00078</x:v>
      </x:c>
      <x:c r="B79" s="42" t="str">
        <x:v>Navig8 Perseverance</x:v>
      </x:c>
      <x:c r="C79" s="42" t="str">
        <x:v>COMP_NAVIG8</x:v>
      </x:c>
      <x:c r="D79" s="42" t="str">
        <x:v>Navig8</x:v>
      </x:c>
      <x:c r="E79" s="163" t="str">
        <x:v>9853266</x:v>
      </x:c>
      <x:c r="F79" s="42" t="str">
        <x:v>IMO populated — checksum valid</x:v>
      </x:c>
      <x:c r="G79" s="42" t="str">
        <x:v>High</x:v>
      </x:c>
      <x:c r="H79" s="42" t="str">
        <x:v>2026-09-07</x:v>
      </x:c>
      <x:c r="I79" s="42" t="str">
        <x:v>https://www.vesselfinder.com/vessels/details/9853266</x:v>
      </x:c>
      <x:c r="J79" s="42" t="str">
        <x:v>SRC_0066</x:v>
      </x:c>
      <x:c r="K79" s="42" t="str">
        <x:v>Operating</x:v>
      </x:c>
      <x:c r="L79" s="42" t="str">
        <x:v>IMO added in v1.3 enrichment pass.</x:v>
      </x:c>
    </x:row>
    <x:row r="80">
      <x:c r="A80" s="42" t="str">
        <x:v>VESSEL_00079</x:v>
      </x:c>
      <x:c r="B80" s="42" t="str">
        <x:v>Navig8 Passion</x:v>
      </x:c>
      <x:c r="C80" s="42" t="str">
        <x:v>COMP_NAVIG8</x:v>
      </x:c>
      <x:c r="D80" s="42" t="str">
        <x:v>Navig8</x:v>
      </x:c>
      <x:c r="E80" s="163" t="str">
        <x:v>9853278</x:v>
      </x:c>
      <x:c r="F80" s="42" t="str">
        <x:v>IMO populated — checksum valid</x:v>
      </x:c>
      <x:c r="G80" s="42" t="str">
        <x:v>High</x:v>
      </x:c>
      <x:c r="H80" s="42" t="str">
        <x:v>2026-09-07</x:v>
      </x:c>
      <x:c r="I80" s="42" t="str">
        <x:v>https://www.vesselfinder.com/vessels/details/9853278</x:v>
      </x:c>
      <x:c r="J80" s="42" t="str">
        <x:v>SRC_0066</x:v>
      </x:c>
      <x:c r="K80" s="42" t="str">
        <x:v>Operating</x:v>
      </x:c>
      <x:c r="L80" s="42" t="str">
        <x:v>IMO added in v1.3 enrichment pass.</x:v>
      </x:c>
    </x:row>
    <x:row r="81">
      <x:c r="A81" s="42" t="str">
        <x:v>VESSEL_00080</x:v>
      </x:c>
      <x:c r="B81" s="42" t="str">
        <x:v>Navig8 Promise</x:v>
      </x:c>
      <x:c r="C81" s="42" t="str">
        <x:v>COMP_NAVIG8</x:v>
      </x:c>
      <x:c r="D81" s="42" t="str">
        <x:v>Navig8</x:v>
      </x:c>
      <x:c r="E81" s="163" t="str">
        <x:v>9791298</x:v>
      </x:c>
      <x:c r="F81" s="42" t="str">
        <x:v>IMO populated — checksum valid</x:v>
      </x:c>
      <x:c r="G81" s="42" t="str">
        <x:v>High</x:v>
      </x:c>
      <x:c r="H81" s="42" t="str">
        <x:v>2026-09-07</x:v>
      </x:c>
      <x:c r="I81" s="42" t="str">
        <x:v>https://www.vesselfinder.com/vessels/details/9791298</x:v>
      </x:c>
      <x:c r="J81" s="42" t="str">
        <x:v>SRC_0066</x:v>
      </x:c>
      <x:c r="K81" s="42" t="str">
        <x:v>Operating</x:v>
      </x:c>
      <x:c r="L81" s="42" t="str">
        <x:v>IMO added in v1.3 enrichment pass.</x:v>
      </x:c>
    </x:row>
    <x:row r="82">
      <x:c r="A82" s="42" t="str">
        <x:v>VESSEL_00081</x:v>
      </x:c>
      <x:c r="B82" s="42" t="str">
        <x:v>Navig8 Prosperity</x:v>
      </x:c>
      <x:c r="C82" s="42" t="str">
        <x:v>COMP_NAVIG8</x:v>
      </x:c>
      <x:c r="D82" s="42" t="str">
        <x:v>Navig8</x:v>
      </x:c>
      <x:c r="E82" s="163" t="str">
        <x:v>9855496</x:v>
      </x:c>
      <x:c r="F82" s="42" t="str">
        <x:v>IMO populated — checksum valid</x:v>
      </x:c>
      <x:c r="G82" s="42" t="str">
        <x:v>High</x:v>
      </x:c>
      <x:c r="H82" s="42" t="str">
        <x:v>2026-09-07</x:v>
      </x:c>
      <x:c r="I82" s="42" t="str">
        <x:v>https://www.vesselfinder.com/vessels/details/9855496</x:v>
      </x:c>
      <x:c r="J82" s="42" t="str">
        <x:v>SRC_0066</x:v>
      </x:c>
      <x:c r="K82" s="42" t="str">
        <x:v>Operating</x:v>
      </x:c>
      <x:c r="L82" s="42" t="str">
        <x:v>IMO added in v1.3 enrichment pass.</x:v>
      </x:c>
    </x:row>
    <x:row r="83">
      <x:c r="A83" s="42" t="str">
        <x:v>VESSEL_00082</x:v>
      </x:c>
      <x:c r="B83" s="42" t="str">
        <x:v>Navig8 Pride LHJ</x:v>
      </x:c>
      <x:c r="C83" s="42" t="str">
        <x:v>COMP_NAVIG8</x:v>
      </x:c>
      <x:c r="D83" s="42" t="str">
        <x:v>Navig8</x:v>
      </x:c>
      <x:c r="E83" s="163" t="str">
        <x:v>9947366</x:v>
      </x:c>
      <x:c r="F83" s="42" t="str">
        <x:v>IMO populated — checksum valid</x:v>
      </x:c>
      <x:c r="G83" s="42" t="str">
        <x:v>High</x:v>
      </x:c>
      <x:c r="H83" s="42" t="str">
        <x:v>2026-09-07</x:v>
      </x:c>
      <x:c r="I83" s="42" t="str">
        <x:v>https://www.vesselfinder.com/vessels/details/9947366</x:v>
      </x:c>
      <x:c r="J83" s="42" t="str">
        <x:v>SRC_0066</x:v>
      </x:c>
      <x:c r="K83" s="42" t="str">
        <x:v>Operating</x:v>
      </x:c>
      <x:c r="L83" s="42" t="str">
        <x:v>IMO added in v1.3 enrichment pass.</x:v>
      </x:c>
    </x:row>
    <x:row r="84">
      <x:c r="A84" s="42" t="str">
        <x:v>VESSEL_00083</x:v>
      </x:c>
      <x:c r="B84" s="42" t="str">
        <x:v>Navig8 Wolf</x:v>
      </x:c>
      <x:c r="C84" s="42" t="str">
        <x:v>COMP_NAVIG8</x:v>
      </x:c>
      <x:c r="D84" s="42" t="str">
        <x:v>Navig8</x:v>
      </x:c>
      <x:c r="E84" s="163" t="str">
        <x:v>9935301</x:v>
      </x:c>
      <x:c r="F84" s="42" t="str">
        <x:v>IMO populated — checksum valid</x:v>
      </x:c>
      <x:c r="G84" s="42" t="str">
        <x:v>High</x:v>
      </x:c>
      <x:c r="H84" s="42" t="str">
        <x:v>2026-09-07</x:v>
      </x:c>
      <x:c r="I84" s="42" t="str">
        <x:v>https://www.vesselfinder.com/vessels/details/9935301</x:v>
      </x:c>
      <x:c r="J84" s="42" t="str">
        <x:v>SRC_0066</x:v>
      </x:c>
      <x:c r="K84" s="42" t="str">
        <x:v>Operating</x:v>
      </x:c>
      <x:c r="L84" s="42" t="str">
        <x:v>IMO added in v1.3 enrichment pass.</x:v>
      </x:c>
    </x:row>
    <x:row r="85">
      <x:c r="A85" s="42" t="str">
        <x:v>VESSEL_00084</x:v>
      </x:c>
      <x:c r="B85" s="42" t="str">
        <x:v>Navig8 Providence</x:v>
      </x:c>
      <x:c r="C85" s="42" t="str">
        <x:v>COMP_NAVIG8</x:v>
      </x:c>
      <x:c r="D85" s="42" t="str">
        <x:v>Navig8</x:v>
      </x:c>
      <x:c r="E85" s="163" t="str">
        <x:v>9947378</x:v>
      </x:c>
      <x:c r="F85" s="42" t="str">
        <x:v>IMO populated — checksum valid</x:v>
      </x:c>
      <x:c r="G85" s="42" t="str">
        <x:v>High</x:v>
      </x:c>
      <x:c r="H85" s="42" t="str">
        <x:v>2026-09-07</x:v>
      </x:c>
      <x:c r="I85" s="42" t="str">
        <x:v>https://www.vesselfinder.com/vessels/details/9947378</x:v>
      </x:c>
      <x:c r="J85" s="42" t="str">
        <x:v>SRC_0066</x:v>
      </x:c>
      <x:c r="K85" s="42" t="str">
        <x:v>Operating</x:v>
      </x:c>
      <x:c r="L85" s="42" t="str">
        <x:v>IMO added in v1.3 enrichment pass.</x:v>
      </x:c>
    </x:row>
    <x:row r="86">
      <x:c r="A86" s="42" t="str">
        <x:v>VESSEL_00085</x:v>
      </x:c>
      <x:c r="B86" s="42" t="str">
        <x:v>Leicester</x:v>
      </x:c>
      <x:c r="C86" s="42" t="str">
        <x:v>COMP_ADNOC_LS</x:v>
      </x:c>
      <x:c r="D86" s="42" t="str">
        <x:v>ADNOC Logistics &amp; Services</x:v>
      </x:c>
      <x:c r="E86" s="163" t="str">
        <x:v>9792266</x:v>
      </x:c>
      <x:c r="F86" s="42" t="str">
        <x:v>IMO populated — checksum valid</x:v>
      </x:c>
      <x:c r="G86" s="42" t="str">
        <x:v>High</x:v>
      </x:c>
      <x:c r="H86" s="42" t="str">
        <x:v>2026-09-07</x:v>
      </x:c>
      <x:c r="I86" s="42" t="str">
        <x:v>https://www.vesselfinder.com/vessels/details/9792266</x:v>
      </x:c>
      <x:c r="J86" s="42" t="str">
        <x:v>SRC_0066</x:v>
      </x:c>
      <x:c r="K86" s="42" t="str">
        <x:v>Operating</x:v>
      </x:c>
      <x:c r="L86" s="42" t="str">
        <x:v>IMO added in v1.3 enrichment pass.</x:v>
      </x:c>
    </x:row>
    <x:row r="87">
      <x:c r="A87" s="42" t="str">
        <x:v>VESSEL_00086</x:v>
      </x:c>
      <x:c r="B87" s="42" t="str">
        <x:v>Hili</x:v>
      </x:c>
      <x:c r="C87" s="42" t="str">
        <x:v>COMP_ADNOC_LS</x:v>
      </x:c>
      <x:c r="D87" s="42" t="str">
        <x:v>ADNOC Logistics &amp; Services</x:v>
      </x:c>
      <x:c r="E87" s="163" t="str">
        <x:v>9851830</x:v>
      </x:c>
      <x:c r="F87" s="42" t="str">
        <x:v>IMO populated — checksum valid</x:v>
      </x:c>
      <x:c r="G87" s="42" t="str">
        <x:v>High</x:v>
      </x:c>
      <x:c r="H87" s="42" t="str">
        <x:v>2026-09-07</x:v>
      </x:c>
      <x:c r="I87" s="42" t="str">
        <x:v>https://www.vesselfinder.com/vessels/details/9851830</x:v>
      </x:c>
      <x:c r="J87" s="42" t="str">
        <x:v>SRC_0066</x:v>
      </x:c>
      <x:c r="K87" s="42" t="str">
        <x:v>Operating</x:v>
      </x:c>
      <x:c r="L87" s="42" t="str">
        <x:v>IMO added in v1.3 enrichment pass.</x:v>
      </x:c>
    </x:row>
    <x:row r="88">
      <x:c r="A88" s="42" t="str">
        <x:v>VESSEL_00087</x:v>
      </x:c>
      <x:c r="B88" s="42" t="str">
        <x:v>Zakum</x:v>
      </x:c>
      <x:c r="C88" s="42" t="str">
        <x:v>COMP_ADNOC_LS</x:v>
      </x:c>
      <x:c r="D88" s="42" t="str">
        <x:v>ADNOC Logistics &amp; Services</x:v>
      </x:c>
      <x:c r="E88" s="163" t="str">
        <x:v>9851842</x:v>
      </x:c>
      <x:c r="F88" s="42" t="str">
        <x:v>IMO populated — checksum valid</x:v>
      </x:c>
      <x:c r="G88" s="42" t="str">
        <x:v>High</x:v>
      </x:c>
      <x:c r="H88" s="42" t="str">
        <x:v>2026-09-07</x:v>
      </x:c>
      <x:c r="I88" s="42" t="str">
        <x:v>https://www.vesselfinder.com/vessels/details/9851842</x:v>
      </x:c>
      <x:c r="J88" s="42" t="str">
        <x:v>SRC_0066</x:v>
      </x:c>
      <x:c r="K88" s="42" t="str">
        <x:v>Operating</x:v>
      </x:c>
      <x:c r="L88" s="42" t="str">
        <x:v>IMO added in v1.3 enrichment pass.</x:v>
      </x:c>
    </x:row>
    <x:row r="89">
      <x:c r="A89" s="42" t="str">
        <x:v>VESSEL_00088</x:v>
      </x:c>
      <x:c r="B89" s="42" t="str">
        <x:v>Barakah</x:v>
      </x:c>
      <x:c r="C89" s="42" t="str">
        <x:v>COMP_ADNOC_LS</x:v>
      </x:c>
      <x:c r="D89" s="42" t="str">
        <x:v>ADNOC Logistics &amp; Services</x:v>
      </x:c>
      <x:c r="E89" s="163" t="str">
        <x:v>9902615</x:v>
      </x:c>
      <x:c r="F89" s="42" t="str">
        <x:v>IMO populated — checksum valid</x:v>
      </x:c>
      <x:c r="G89" s="42" t="str">
        <x:v>High</x:v>
      </x:c>
      <x:c r="H89" s="42" t="str">
        <x:v>2026-09-07</x:v>
      </x:c>
      <x:c r="I89" s="42" t="str">
        <x:v>https://www.vesselfinder.com/vessels/details/9902615</x:v>
      </x:c>
      <x:c r="J89" s="42" t="str">
        <x:v>SRC_0066</x:v>
      </x:c>
      <x:c r="K89" s="42" t="str">
        <x:v>Operating</x:v>
      </x:c>
      <x:c r="L89" s="42" t="str">
        <x:v>IMO added in v1.3 enrichment pass.</x:v>
      </x:c>
    </x:row>
    <x:row r="90">
      <x:c r="A90" s="42" t="str">
        <x:v>VESSEL_00089</x:v>
      </x:c>
      <x:c r="B90" s="42" t="str">
        <x:v>Hafeet</x:v>
      </x:c>
      <x:c r="C90" s="42" t="str">
        <x:v>COMP_ADNOC_LS</x:v>
      </x:c>
      <x:c r="D90" s="42" t="str">
        <x:v>ADNOC Logistics &amp; Services</x:v>
      </x:c>
      <x:c r="E90" s="163" t="str">
        <x:v>9928009</x:v>
      </x:c>
      <x:c r="F90" s="42" t="str">
        <x:v>IMO populated — checksum valid</x:v>
      </x:c>
      <x:c r="G90" s="42" t="str">
        <x:v>High</x:v>
      </x:c>
      <x:c r="H90" s="42" t="str">
        <x:v>2026-09-07</x:v>
      </x:c>
      <x:c r="I90" s="42" t="str">
        <x:v>https://www.vesselfinder.com/vessels/details/9928009</x:v>
      </x:c>
      <x:c r="J90" s="42" t="str">
        <x:v>SRC_0066</x:v>
      </x:c>
      <x:c r="K90" s="42" t="str">
        <x:v>Operating</x:v>
      </x:c>
      <x:c r="L90" s="42" t="str">
        <x:v>IMO added in v1.3 enrichment pass.</x:v>
      </x:c>
    </x:row>
    <x:row r="91">
      <x:c r="A91" s="42" t="str">
        <x:v>VESSEL_00090</x:v>
      </x:c>
      <x:c r="B91" s="42" t="str">
        <x:v>Habshan</x:v>
      </x:c>
      <x:c r="C91" s="42" t="str">
        <x:v>COMP_ADNOC_LS</x:v>
      </x:c>
      <x:c r="D91" s="42" t="str">
        <x:v>ADNOC Logistics &amp; Services</x:v>
      </x:c>
      <x:c r="E91" s="163" t="str">
        <x:v>9928011</x:v>
      </x:c>
      <x:c r="F91" s="42" t="str">
        <x:v>IMO populated — checksum valid</x:v>
      </x:c>
      <x:c r="G91" s="42" t="str">
        <x:v>High</x:v>
      </x:c>
      <x:c r="H91" s="42" t="str">
        <x:v>2026-09-07</x:v>
      </x:c>
      <x:c r="I91" s="42" t="str">
        <x:v>https://www.vesselfinder.com/vessels/details/9928011</x:v>
      </x:c>
      <x:c r="J91" s="42" t="str">
        <x:v>SRC_0066</x:v>
      </x:c>
      <x:c r="K91" s="42" t="str">
        <x:v>Operating</x:v>
      </x:c>
      <x:c r="L91" s="42" t="str">
        <x:v>IMO added in v1.3 enrichment pass.</x:v>
      </x:c>
    </x:row>
    <x:row r="92">
      <x:c r="A92" s="42" t="str">
        <x:v>VESSEL_00091</x:v>
      </x:c>
      <x:c r="B92" s="42" t="str">
        <x:v>Arzanah</x:v>
      </x:c>
      <x:c r="C92" s="42" t="str">
        <x:v>COMP_ADNOC_LS</x:v>
      </x:c>
      <x:c r="D92" s="42" t="str">
        <x:v>ADNOC Logistics &amp; Services</x:v>
      </x:c>
      <x:c r="E92" s="163" t="str">
        <x:v>9928023</x:v>
      </x:c>
      <x:c r="F92" s="42" t="str">
        <x:v>IMO populated — checksum valid</x:v>
      </x:c>
      <x:c r="G92" s="42" t="str">
        <x:v>High</x:v>
      </x:c>
      <x:c r="H92" s="42" t="str">
        <x:v>2026-09-07</x:v>
      </x:c>
      <x:c r="I92" s="42" t="str">
        <x:v>https://www.vesselfinder.com/vessels/details/9928023</x:v>
      </x:c>
      <x:c r="J92" s="42" t="str">
        <x:v>SRC_0066</x:v>
      </x:c>
      <x:c r="K92" s="42" t="str">
        <x:v>Operating</x:v>
      </x:c>
      <x:c r="L92" s="42" t="str">
        <x:v>IMO added in v1.3 enrichment pass.</x:v>
      </x:c>
    </x:row>
    <x:row r="93">
      <x:c r="A93" s="42" t="str">
        <x:v>VESSEL_00092</x:v>
      </x:c>
      <x:c r="B93" s="42" t="str">
        <x:v>Al Bahyah</x:v>
      </x:c>
      <x:c r="C93" s="42" t="str">
        <x:v>COMP_ADNOC_LS</x:v>
      </x:c>
      <x:c r="D93" s="42" t="str">
        <x:v>ADNOC Logistics &amp; Services</x:v>
      </x:c>
      <x:c r="E93" s="163" t="str">
        <x:v>9937799</x:v>
      </x:c>
      <x:c r="F93" s="42" t="str">
        <x:v>IMO populated — checksum valid</x:v>
      </x:c>
      <x:c r="G93" s="42" t="str">
        <x:v>High</x:v>
      </x:c>
      <x:c r="H93" s="42" t="str">
        <x:v>2026-09-07</x:v>
      </x:c>
      <x:c r="I93" s="42" t="str">
        <x:v>https://www.vesselfinder.com/vessels/details/9937799</x:v>
      </x:c>
      <x:c r="J93" s="42" t="str">
        <x:v>SRC_0066</x:v>
      </x:c>
      <x:c r="K93" s="42" t="str">
        <x:v>Operating</x:v>
      </x:c>
      <x:c r="L93" s="42" t="str">
        <x:v>IMO added in v1.3 enrichment pass.</x:v>
      </x:c>
    </x:row>
    <x:row r="94">
      <x:c r="A94" s="42" t="str">
        <x:v>VESSEL_00093</x:v>
      </x:c>
      <x:c r="B94" s="42" t="str">
        <x:v>Navig8 Universe</x:v>
      </x:c>
      <x:c r="C94" s="42" t="str">
        <x:v>COMP_NAVIG8</x:v>
      </x:c>
      <x:c r="D94" s="42" t="str">
        <x:v>Navig8</x:v>
      </x:c>
      <x:c r="E94" s="163" t="str">
        <x:v>9489106</x:v>
      </x:c>
      <x:c r="F94" s="42" t="str">
        <x:v>IMO populated — checksum valid</x:v>
      </x:c>
      <x:c r="G94" s="42" t="str">
        <x:v>High</x:v>
      </x:c>
      <x:c r="H94" s="42" t="str">
        <x:v>2026-09-07</x:v>
      </x:c>
      <x:c r="I94" s="42" t="str">
        <x:v>https://www.vesselfinder.com/vessels/details/9489106</x:v>
      </x:c>
      <x:c r="J94" s="42" t="str">
        <x:v>SRC_0066</x:v>
      </x:c>
      <x:c r="K94" s="42" t="str">
        <x:v>Operating</x:v>
      </x:c>
      <x:c r="L94" s="42" t="str">
        <x:v>IMO added in v1.3 enrichment pass.</x:v>
      </x:c>
    </x:row>
    <x:row r="95">
      <x:c r="A95" s="42" t="str">
        <x:v>VESSEL_00094</x:v>
      </x:c>
      <x:c r="B95" s="42" t="str">
        <x:v>Navig8 Constellation</x:v>
      </x:c>
      <x:c r="C95" s="42" t="str">
        <x:v>COMP_NAVIG8</x:v>
      </x:c>
      <x:c r="D95" s="42" t="str">
        <x:v>Navig8</x:v>
      </x:c>
      <x:c r="E95" s="163" t="str">
        <x:v>9489118</x:v>
      </x:c>
      <x:c r="F95" s="42" t="str">
        <x:v>IMO populated — checksum valid</x:v>
      </x:c>
      <x:c r="G95" s="42" t="str">
        <x:v>High</x:v>
      </x:c>
      <x:c r="H95" s="42" t="str">
        <x:v>2026-09-07</x:v>
      </x:c>
      <x:c r="I95" s="42" t="str">
        <x:v>https://www.vesselfinder.com/vessels/details/9489118</x:v>
      </x:c>
      <x:c r="J95" s="42" t="str">
        <x:v>SRC_0066</x:v>
      </x:c>
      <x:c r="K95" s="42" t="str">
        <x:v>Operating</x:v>
      </x:c>
      <x:c r="L95" s="42" t="str">
        <x:v>IMO added in v1.3 enrichment pass.</x:v>
      </x:c>
    </x:row>
    <x:row r="96">
      <x:c r="A96" s="42" t="str">
        <x:v>VESSEL_00095</x:v>
      </x:c>
      <x:c r="B96" s="42" t="str">
        <x:v>Navig8 Grace</x:v>
      </x:c>
      <x:c r="C96" s="42" t="str">
        <x:v>COMP_NAVIG8</x:v>
      </x:c>
      <x:c r="D96" s="42" t="str">
        <x:v>Navig8</x:v>
      </x:c>
      <x:c r="E96" s="163" t="str">
        <x:v>9833656</x:v>
      </x:c>
      <x:c r="F96" s="42" t="str">
        <x:v>IMO populated — checksum valid</x:v>
      </x:c>
      <x:c r="G96" s="42" t="str">
        <x:v>High</x:v>
      </x:c>
      <x:c r="H96" s="42" t="str">
        <x:v>2026-09-07</x:v>
      </x:c>
      <x:c r="I96" s="42" t="str">
        <x:v>https://www.vesselfinder.com/vessels/details/9833656</x:v>
      </x:c>
      <x:c r="J96" s="42" t="str">
        <x:v>SRC_0066</x:v>
      </x:c>
      <x:c r="K96" s="42" t="str">
        <x:v>Operating</x:v>
      </x:c>
      <x:c r="L96" s="42" t="str">
        <x:v>IMO added in v1.3 enrichment pass.</x:v>
      </x:c>
    </x:row>
    <x:row r="97">
      <x:c r="A97" s="42" t="str">
        <x:v>VESSEL_00096</x:v>
      </x:c>
      <x:c r="B97" s="42" t="str">
        <x:v>Navig8 Gallantry</x:v>
      </x:c>
      <x:c r="C97" s="42" t="str">
        <x:v>COMP_NAVIG8</x:v>
      </x:c>
      <x:c r="D97" s="42" t="str">
        <x:v>Navig8</x:v>
      </x:c>
      <x:c r="E97" s="163" t="str">
        <x:v>9833668</x:v>
      </x:c>
      <x:c r="F97" s="42" t="str">
        <x:v>IMO populated — checksum valid</x:v>
      </x:c>
      <x:c r="G97" s="42" t="str">
        <x:v>High</x:v>
      </x:c>
      <x:c r="H97" s="42" t="str">
        <x:v>2026-09-07</x:v>
      </x:c>
      <x:c r="I97" s="42" t="str">
        <x:v>https://www.vesselfinder.com/vessels/details/9833668</x:v>
      </x:c>
      <x:c r="J97" s="42" t="str">
        <x:v>SRC_0066</x:v>
      </x:c>
      <x:c r="K97" s="42" t="str">
        <x:v>Operating</x:v>
      </x:c>
      <x:c r="L97" s="42" t="str">
        <x:v>IMO added in v1.3 enrichment pass.</x:v>
      </x:c>
    </x:row>
    <x:row r="98">
      <x:c r="A98" s="42" t="str">
        <x:v>VESSEL_00097</x:v>
      </x:c>
      <x:c r="B98" s="42" t="str">
        <x:v>Navig8 Guard</x:v>
      </x:c>
      <x:c r="C98" s="42" t="str">
        <x:v>COMP_NAVIG8</x:v>
      </x:c>
      <x:c r="D98" s="42" t="str">
        <x:v>Navig8</x:v>
      </x:c>
      <x:c r="E98" s="163" t="str">
        <x:v>9833670</x:v>
      </x:c>
      <x:c r="F98" s="42" t="str">
        <x:v>IMO populated — checksum valid</x:v>
      </x:c>
      <x:c r="G98" s="42" t="str">
        <x:v>High</x:v>
      </x:c>
      <x:c r="H98" s="42" t="str">
        <x:v>2026-09-07</x:v>
      </x:c>
      <x:c r="I98" s="42" t="str">
        <x:v>https://www.vesselfinder.com/vessels/details/9833670</x:v>
      </x:c>
      <x:c r="J98" s="42" t="str">
        <x:v>SRC_0066</x:v>
      </x:c>
      <x:c r="K98" s="42" t="str">
        <x:v>Operating</x:v>
      </x:c>
      <x:c r="L98" s="42" t="str">
        <x:v>IMO added in v1.3 enrichment pass.</x:v>
      </x:c>
    </x:row>
    <x:row r="99">
      <x:c r="A99" s="42" t="str">
        <x:v>VESSEL_00098</x:v>
      </x:c>
      <x:c r="B99" s="42" t="str">
        <x:v>Navig8 Guide</x:v>
      </x:c>
      <x:c r="C99" s="42" t="str">
        <x:v>COMP_NAVIG8</x:v>
      </x:c>
      <x:c r="D99" s="42" t="str">
        <x:v>Navig8</x:v>
      </x:c>
      <x:c r="E99" s="163" t="str">
        <x:v>9833682</x:v>
      </x:c>
      <x:c r="F99" s="42" t="str">
        <x:v>IMO populated — checksum valid</x:v>
      </x:c>
      <x:c r="G99" s="42" t="str">
        <x:v>High</x:v>
      </x:c>
      <x:c r="H99" s="42" t="str">
        <x:v>2026-09-07</x:v>
      </x:c>
      <x:c r="I99" s="42" t="str">
        <x:v>https://www.vesselfinder.com/vessels/details/9833682</x:v>
      </x:c>
      <x:c r="J99" s="42" t="str">
        <x:v>SRC_0066</x:v>
      </x:c>
      <x:c r="K99" s="42" t="str">
        <x:v>Operating</x:v>
      </x:c>
      <x:c r="L99" s="42" t="str">
        <x:v>IMO added in v1.3 enrichment pass.</x:v>
      </x:c>
    </x:row>
    <x:row r="100">
      <x:c r="A100" s="42" t="str">
        <x:v>VESSEL_00099</x:v>
      </x:c>
      <x:c r="B100" s="42" t="str">
        <x:v>Navig8 Goal</x:v>
      </x:c>
      <x:c r="C100" s="42" t="str">
        <x:v>COMP_NAVIG8</x:v>
      </x:c>
      <x:c r="D100" s="42" t="str">
        <x:v>Navig8</x:v>
      </x:c>
      <x:c r="E100" s="163" t="str">
        <x:v>9853216</x:v>
      </x:c>
      <x:c r="F100" s="42" t="str">
        <x:v>IMO populated — checksum valid</x:v>
      </x:c>
      <x:c r="G100" s="42" t="str">
        <x:v>High</x:v>
      </x:c>
      <x:c r="H100" s="42" t="str">
        <x:v>2026-09-07</x:v>
      </x:c>
      <x:c r="I100" s="42" t="str">
        <x:v>https://www.vesselfinder.com/vessels/details/9853216</x:v>
      </x:c>
      <x:c r="J100" s="42" t="str">
        <x:v>SRC_0066</x:v>
      </x:c>
      <x:c r="K100" s="42" t="str">
        <x:v>Operating</x:v>
      </x:c>
      <x:c r="L100" s="42" t="str">
        <x:v>IMO added in v1.3 enrichment pass.</x:v>
      </x:c>
    </x:row>
    <x:row r="101">
      <x:c r="A101" s="42" t="str">
        <x:v>VESSEL_00100</x:v>
      </x:c>
      <x:c r="B101" s="42" t="str">
        <x:v>Navig8 Gauntlet</x:v>
      </x:c>
      <x:c r="C101" s="42" t="str">
        <x:v>COMP_NAVIG8</x:v>
      </x:c>
      <x:c r="D101" s="42" t="str">
        <x:v>Navig8</x:v>
      </x:c>
      <x:c r="E101" s="163" t="str">
        <x:v>9853228</x:v>
      </x:c>
      <x:c r="F101" s="42" t="str">
        <x:v>IMO populated — checksum valid</x:v>
      </x:c>
      <x:c r="G101" s="42" t="str">
        <x:v>High</x:v>
      </x:c>
      <x:c r="H101" s="42" t="str">
        <x:v>2026-09-07</x:v>
      </x:c>
      <x:c r="I101" s="42" t="str">
        <x:v>https://www.vesselfinder.com/vessels/details/9853228</x:v>
      </x:c>
      <x:c r="J101" s="42" t="str">
        <x:v>SRC_0066</x:v>
      </x:c>
      <x:c r="K101" s="42" t="str">
        <x:v>Operating</x:v>
      </x:c>
      <x:c r="L101" s="42" t="str">
        <x:v>IMO added in v1.3 enrichment pass.</x:v>
      </x:c>
    </x:row>
    <x:row r="102">
      <x:c r="A102" s="42" t="str">
        <x:v>VESSEL_00101</x:v>
      </x:c>
      <x:c r="B102" s="42" t="str">
        <x:v>Navig8 Gladiator</x:v>
      </x:c>
      <x:c r="C102" s="42" t="str">
        <x:v>COMP_NAVIG8</x:v>
      </x:c>
      <x:c r="D102" s="42" t="str">
        <x:v>Navig8</x:v>
      </x:c>
      <x:c r="E102" s="163" t="str">
        <x:v>9853230</x:v>
      </x:c>
      <x:c r="F102" s="42" t="str">
        <x:v>IMO populated — checksum valid</x:v>
      </x:c>
      <x:c r="G102" s="42" t="str">
        <x:v>High</x:v>
      </x:c>
      <x:c r="H102" s="42" t="str">
        <x:v>2026-09-07</x:v>
      </x:c>
      <x:c r="I102" s="42" t="str">
        <x:v>https://www.vesselfinder.com/vessels/details/9853230</x:v>
      </x:c>
      <x:c r="J102" s="42" t="str">
        <x:v>SRC_0066</x:v>
      </x:c>
      <x:c r="K102" s="42" t="str">
        <x:v>Operating</x:v>
      </x:c>
      <x:c r="L102" s="42" t="str">
        <x:v>IMO added in v1.3 enrichment pass.</x:v>
      </x:c>
    </x:row>
    <x:row r="103">
      <x:c r="A103" s="42" t="str">
        <x:v>VESSEL_00102</x:v>
      </x:c>
      <x:c r="B103" s="42" t="str">
        <x:v>Navig8 Gratitude</x:v>
      </x:c>
      <x:c r="C103" s="42" t="str">
        <x:v>COMP_NAVIG8</x:v>
      </x:c>
      <x:c r="D103" s="42" t="str">
        <x:v>Navig8</x:v>
      </x:c>
      <x:c r="E103" s="163" t="str">
        <x:v>9853242</x:v>
      </x:c>
      <x:c r="F103" s="42" t="str">
        <x:v>IMO populated — checksum valid</x:v>
      </x:c>
      <x:c r="G103" s="42" t="str">
        <x:v>High</x:v>
      </x:c>
      <x:c r="H103" s="42" t="str">
        <x:v>2026-09-07</x:v>
      </x:c>
      <x:c r="I103" s="42" t="str">
        <x:v>https://www.vesselfinder.com/vessels/details/9853242</x:v>
      </x:c>
      <x:c r="J103" s="42" t="str">
        <x:v>SRC_0066</x:v>
      </x:c>
      <x:c r="K103" s="42" t="str">
        <x:v>Operating</x:v>
      </x:c>
      <x:c r="L103" s="42" t="str">
        <x:v>IMO added in v1.3 enrichment pass.</x:v>
      </x:c>
    </x:row>
    <x:row r="104">
      <x:c r="A104" s="42" t="str">
        <x:v>VESSEL_00103</x:v>
      </x:c>
      <x:c r="B104" s="42" t="str">
        <x:v>Navig8 Excel</x:v>
      </x:c>
      <x:c r="C104" s="42" t="str">
        <x:v>COMP_NAVIG8</x:v>
      </x:c>
      <x:c r="D104" s="42" t="str">
        <x:v>Navig8</x:v>
      </x:c>
      <x:c r="E104" s="163" t="str">
        <x:v>9973901</x:v>
      </x:c>
      <x:c r="F104" s="42" t="str">
        <x:v>IMO populated — checksum valid</x:v>
      </x:c>
      <x:c r="G104" s="42" t="str">
        <x:v>High</x:v>
      </x:c>
      <x:c r="H104" s="42" t="str">
        <x:v>2026-09-07</x:v>
      </x:c>
      <x:c r="I104" s="42" t="str">
        <x:v>https://www.vesselfinder.com/vessels/details/9973901</x:v>
      </x:c>
      <x:c r="J104" s="42" t="str">
        <x:v>SRC_0066</x:v>
      </x:c>
      <x:c r="K104" s="42" t="str">
        <x:v>Operating</x:v>
      </x:c>
      <x:c r="L104" s="42" t="str">
        <x:v>IMO added in v1.3 enrichment pass.</x:v>
      </x:c>
    </x:row>
    <x:row r="105">
      <x:c r="A105" s="42" t="str">
        <x:v>VESSEL_00104</x:v>
      </x:c>
      <x:c r="B105" s="42" t="str">
        <x:v>Navig8 Exceed</x:v>
      </x:c>
      <x:c r="C105" s="42" t="str">
        <x:v>COMP_NAVIG8</x:v>
      </x:c>
      <x:c r="D105" s="42" t="str">
        <x:v>Navig8</x:v>
      </x:c>
      <x:c r="E105" s="163" t="str">
        <x:v>9973913</x:v>
      </x:c>
      <x:c r="F105" s="42" t="str">
        <x:v>IMO populated — checksum valid</x:v>
      </x:c>
      <x:c r="G105" s="42" t="str">
        <x:v>High</x:v>
      </x:c>
      <x:c r="H105" s="42" t="str">
        <x:v>2026-09-07</x:v>
      </x:c>
      <x:c r="I105" s="42" t="str">
        <x:v>https://www.vesselfinder.com/vessels/details/9973913</x:v>
      </x:c>
      <x:c r="J105" s="42" t="str">
        <x:v>SRC_0066</x:v>
      </x:c>
      <x:c r="K105" s="42" t="str">
        <x:v>Operating</x:v>
      </x:c>
      <x:c r="L105" s="42" t="str">
        <x:v>IMO added in v1.3 enrichment pass.</x:v>
      </x:c>
    </x:row>
    <x:row r="106">
      <x:c r="A106" s="42" t="str">
        <x:v>VESSEL_00105</x:v>
      </x:c>
      <x:c r="B106" s="42" t="str">
        <x:v>Navig8 Express</x:v>
      </x:c>
      <x:c r="C106" s="42" t="str">
        <x:v>COMP_NAVIG8</x:v>
      </x:c>
      <x:c r="D106" s="42" t="str">
        <x:v>Navig8</x:v>
      </x:c>
      <x:c r="E106" s="163" t="str">
        <x:v>9976874</x:v>
      </x:c>
      <x:c r="F106" s="42" t="str">
        <x:v>IMO populated — checksum valid</x:v>
      </x:c>
      <x:c r="G106" s="42" t="str">
        <x:v>High</x:v>
      </x:c>
      <x:c r="H106" s="42" t="str">
        <x:v>2026-09-07</x:v>
      </x:c>
      <x:c r="I106" s="42" t="str">
        <x:v>https://www.vesselfinder.com/vessels/details/9976874</x:v>
      </x:c>
      <x:c r="J106" s="42" t="str">
        <x:v>SRC_0066</x:v>
      </x:c>
      <x:c r="K106" s="42" t="str">
        <x:v>Operating</x:v>
      </x:c>
      <x:c r="L106" s="42" t="str">
        <x:v>IMO added in v1.3 enrichment pass.</x:v>
      </x:c>
    </x:row>
    <x:row r="107">
      <x:c r="A107" s="42" t="str">
        <x:v>VESSEL_00106</x:v>
      </x:c>
      <x:c r="B107" s="42" t="str">
        <x:v>Navig8 Excellence</x:v>
      </x:c>
      <x:c r="C107" s="42" t="str">
        <x:v>COMP_NAVIG8</x:v>
      </x:c>
      <x:c r="D107" s="42" t="str">
        <x:v>Navig8</x:v>
      </x:c>
      <x:c r="E107" s="163" t="str">
        <x:v>9976886</x:v>
      </x:c>
      <x:c r="F107" s="42" t="str">
        <x:v>IMO populated — checksum valid</x:v>
      </x:c>
      <x:c r="G107" s="42" t="str">
        <x:v>High</x:v>
      </x:c>
      <x:c r="H107" s="42" t="str">
        <x:v>2026-09-07</x:v>
      </x:c>
      <x:c r="I107" s="42" t="str">
        <x:v>https://www.vesselfinder.com/vessels/details/9976886</x:v>
      </x:c>
      <x:c r="J107" s="42" t="str">
        <x:v>SRC_0066</x:v>
      </x:c>
      <x:c r="K107" s="42" t="str">
        <x:v>Operating</x:v>
      </x:c>
      <x:c r="L107" s="42" t="str">
        <x:v>IMO added in v1.3 enrichment pass.</x:v>
      </x:c>
    </x:row>
    <x:row r="108">
      <x:c r="A108" s="42" t="str">
        <x:v>VESSEL_00107</x:v>
      </x:c>
      <x:c r="B108" s="42" t="str">
        <x:v>Navig8 Estelle</x:v>
      </x:c>
      <x:c r="C108" s="42" t="str">
        <x:v>COMP_NAVIG8</x:v>
      </x:c>
      <x:c r="D108" s="42" t="str">
        <x:v>Navig8</x:v>
      </x:c>
      <x:c r="E108" s="163" t="str">
        <x:v>9973925</x:v>
      </x:c>
      <x:c r="F108" s="42" t="str">
        <x:v>IMO populated — checksum valid</x:v>
      </x:c>
      <x:c r="G108" s="42" t="str">
        <x:v>High</x:v>
      </x:c>
      <x:c r="H108" s="42" t="str">
        <x:v>2026-09-07</x:v>
      </x:c>
      <x:c r="I108" s="42" t="str">
        <x:v>https://www.vesselfinder.com/vessels/details/9973925</x:v>
      </x:c>
      <x:c r="J108" s="42" t="str">
        <x:v>SRC_0066</x:v>
      </x:c>
      <x:c r="K108" s="42" t="str">
        <x:v>Operating</x:v>
      </x:c>
      <x:c r="L108" s="42" t="str">
        <x:v>IMO added in v1.3 enrichment pass.</x:v>
      </x:c>
    </x:row>
    <x:row r="109">
      <x:c r="A109" s="42" t="str">
        <x:v>VESSEL_00108</x:v>
      </x:c>
      <x:c r="B109" s="42" t="str">
        <x:v>Navig8 Executive</x:v>
      </x:c>
      <x:c r="C109" s="42" t="str">
        <x:v>COMP_NAVIG8</x:v>
      </x:c>
      <x:c r="D109" s="42" t="str">
        <x:v>Navig8</x:v>
      </x:c>
      <x:c r="E109" s="163" t="str">
        <x:v>9973937</x:v>
      </x:c>
      <x:c r="F109" s="42" t="str">
        <x:v>IMO populated — checksum valid</x:v>
      </x:c>
      <x:c r="G109" s="42" t="str">
        <x:v>High</x:v>
      </x:c>
      <x:c r="H109" s="42" t="str">
        <x:v>2026-09-07</x:v>
      </x:c>
      <x:c r="I109" s="42" t="str">
        <x:v>https://www.vesselfinder.com/vessels/details/9973937</x:v>
      </x:c>
      <x:c r="J109" s="42" t="str">
        <x:v>SRC_0066</x:v>
      </x:c>
      <x:c r="K109" s="42" t="str">
        <x:v>Operating</x:v>
      </x:c>
      <x:c r="L109" s="42" t="str">
        <x:v>IMO added in v1.3 enrichment pass.</x:v>
      </x:c>
    </x:row>
    <x:row r="110">
      <x:c r="A110" s="42" t="str">
        <x:v>VESSEL_00109</x:v>
      </x:c>
      <x:c r="B110" s="42" t="str">
        <x:v>BYD Explorer No.1</x:v>
      </x:c>
      <x:c r="C110" s="42" t="str">
        <x:v>COMP_ZODIAC</x:v>
      </x:c>
      <x:c r="D110" s="42" t="str">
        <x:v>Zodiac Maritime</x:v>
      </x:c>
      <x:c r="E110" s="163" t="str">
        <x:v>9955181</x:v>
      </x:c>
      <x:c r="F110" s="42" t="str">
        <x:v>IMO populated — checksum valid</x:v>
      </x:c>
      <x:c r="G110" s="42" t="str">
        <x:v>High</x:v>
      </x:c>
      <x:c r="H110" s="42" t="str">
        <x:v>2026-09-07</x:v>
      </x:c>
      <x:c r="I110" s="42" t="str">
        <x:v>https://www.vesselfinder.com/vessels/details/9955181</x:v>
      </x:c>
      <x:c r="J110" s="42" t="str">
        <x:v>SRC_0091</x:v>
      </x:c>
      <x:c r="K110" s="42" t="str">
        <x:v>Operating</x:v>
      </x:c>
      <x:c r="L110" s="42" t="str">
        <x:v>IMO was already present in v1.2 and revalidated.</x:v>
      </x:c>
    </x:row>
    <x:row r="111">
      <x:c r="A111" s="42" t="str">
        <x:v>VESSEL_00110</x:v>
      </x:c>
      <x:c r="B111" s="42" t="str">
        <x:v>BYD Changzhou</x:v>
      </x:c>
      <x:c r="C111" s="42" t="str">
        <x:v>COMP_ZODIAC</x:v>
      </x:c>
      <x:c r="D111" s="42" t="str">
        <x:v>Zodiac Maritime</x:v>
      </x:c>
      <x:c r="E111" s="163" t="str">
        <x:v>9955076</x:v>
      </x:c>
      <x:c r="F111" s="42" t="str">
        <x:v>IMO populated — checksum valid</x:v>
      </x:c>
      <x:c r="G111" s="42" t="str">
        <x:v>High</x:v>
      </x:c>
      <x:c r="H111" s="42" t="str">
        <x:v>2026-09-07</x:v>
      </x:c>
      <x:c r="I111" s="42" t="str">
        <x:v>https://www.vesselfinder.com/vessels/details/9955076</x:v>
      </x:c>
      <x:c r="J111" s="42" t="str">
        <x:v>SRC_0091</x:v>
      </x:c>
      <x:c r="K111" s="42" t="str">
        <x:v>Operating</x:v>
      </x:c>
      <x:c r="L111" s="42" t="str">
        <x:v>IMO was already present in v1.2 and revalidated.</x:v>
      </x:c>
    </x:row>
    <x:row r="112">
      <x:c r="A112" s="42" t="str">
        <x:v>VESSEL_00111</x:v>
      </x:c>
      <x:c r="B112" s="42" t="str">
        <x:v>BYD Hefei</x:v>
      </x:c>
      <x:c r="C112" s="42" t="str">
        <x:v>COMP_BYD</x:v>
      </x:c>
      <x:c r="D112" s="42" t="str">
        <x:v>BYD Company / BYD Auto</x:v>
      </x:c>
      <x:c r="E112" s="163" t="str">
        <x:v>9999565</x:v>
      </x:c>
      <x:c r="F112" s="42" t="str">
        <x:v>IMO populated — checksum valid</x:v>
      </x:c>
      <x:c r="G112" s="42" t="str">
        <x:v>High</x:v>
      </x:c>
      <x:c r="H112" s="42" t="str">
        <x:v>2026-09-07</x:v>
      </x:c>
      <x:c r="I112" s="42" t="str">
        <x:v>https://www.vesselfinder.com/vessels/details/9999565</x:v>
      </x:c>
      <x:c r="J112" s="42" t="str">
        <x:v>SRC_0091</x:v>
      </x:c>
      <x:c r="K112" s="42" t="str">
        <x:v>Operating</x:v>
      </x:c>
      <x:c r="L112" s="42" t="str">
        <x:v>IMO was already present in v1.2 and revalidated.</x:v>
      </x:c>
    </x:row>
    <x:row r="113">
      <x:c r="A113" s="42" t="str">
        <x:v>VESSEL_00112</x:v>
      </x:c>
      <x:c r="B113" s="42" t="str">
        <x:v>BYD Zhengzhou</x:v>
      </x:c>
      <x:c r="C113" s="42" t="str">
        <x:v>COMP_BYD</x:v>
      </x:c>
      <x:c r="D113" s="42" t="str">
        <x:v>BYD Company / BYD Auto</x:v>
      </x:c>
      <x:c r="E113" s="163" t="str">
        <x:v>9999577</x:v>
      </x:c>
      <x:c r="F113" s="42" t="str">
        <x:v>IMO populated — checksum valid</x:v>
      </x:c>
      <x:c r="G113" s="42" t="str">
        <x:v>High</x:v>
      </x:c>
      <x:c r="H113" s="42" t="str">
        <x:v>2026-09-07</x:v>
      </x:c>
      <x:c r="I113" s="42" t="str">
        <x:v>https://www.vesselfinder.com/vessels/details/9999577</x:v>
      </x:c>
      <x:c r="J113" s="42" t="str">
        <x:v>SRC_0091</x:v>
      </x:c>
      <x:c r="K113" s="42" t="str">
        <x:v>Operating</x:v>
      </x:c>
      <x:c r="L113" s="42" t="str">
        <x:v>IMO was already present in v1.2 and revalidated.</x:v>
      </x:c>
    </x:row>
    <x:row r="114">
      <x:c r="A114" s="42" t="str">
        <x:v>VESSEL_00113</x:v>
      </x:c>
      <x:c r="B114" s="42" t="str">
        <x:v>BYD Shenzhen</x:v>
      </x:c>
      <x:c r="C114" s="42" t="str">
        <x:v>COMP_BYD</x:v>
      </x:c>
      <x:c r="D114" s="42" t="str">
        <x:v>BYD Company / BYD Auto</x:v>
      </x:c>
      <x:c r="E114" s="163" t="str">
        <x:v>9993963</x:v>
      </x:c>
      <x:c r="F114" s="42" t="str">
        <x:v>IMO populated — checksum valid</x:v>
      </x:c>
      <x:c r="G114" s="42" t="str">
        <x:v>High</x:v>
      </x:c>
      <x:c r="H114" s="42" t="str">
        <x:v>2026-09-07</x:v>
      </x:c>
      <x:c r="I114" s="42" t="str">
        <x:v>https://www.vesselfinder.com/vessels/details/9993963</x:v>
      </x:c>
      <x:c r="J114" s="42" t="str">
        <x:v>SRC_0092</x:v>
      </x:c>
      <x:c r="K114" s="42" t="str">
        <x:v>Operating</x:v>
      </x:c>
      <x:c r="L114" s="42" t="str">
        <x:v>IMO was already present in v1.2 and revalidated.</x:v>
      </x:c>
    </x:row>
    <x:row r="115">
      <x:c r="A115" s="42" t="str">
        <x:v>VESSEL_00114</x:v>
      </x:c>
      <x:c r="B115" s="42" t="str">
        <x:v>BYD Xi'an</x:v>
      </x:c>
      <x:c r="C115" s="42" t="str">
        <x:v>COMP_BYD</x:v>
      </x:c>
      <x:c r="D115" s="42" t="str">
        <x:v>BYD Company / BYD Auto</x:v>
      </x:c>
      <x:c r="E115" s="163" t="str">
        <x:v>9993975</x:v>
      </x:c>
      <x:c r="F115" s="42" t="str">
        <x:v>IMO populated — checksum valid</x:v>
      </x:c>
      <x:c r="G115" s="42" t="str">
        <x:v>High</x:v>
      </x:c>
      <x:c r="H115" s="42" t="str">
        <x:v>2026-09-07</x:v>
      </x:c>
      <x:c r="I115" s="42" t="str">
        <x:v>https://www.vesselfinder.com/vessels/details/9993975</x:v>
      </x:c>
      <x:c r="J115" s="42" t="str">
        <x:v>SRC_0095</x:v>
      </x:c>
      <x:c r="K115" s="42" t="str">
        <x:v>Operating</x:v>
      </x:c>
      <x:c r="L115" s="42" t="str">
        <x:v>IMO was already present in v1.2 and revalidated.</x:v>
      </x:c>
    </x:row>
    <x:row r="116">
      <x:c r="A116" s="42" t="str">
        <x:v>VESSEL_00115</x:v>
      </x:c>
      <x:c r="B116" s="42" t="str">
        <x:v>BYD Changsha</x:v>
      </x:c>
      <x:c r="C116" s="42" t="str">
        <x:v>COMP_BYD</x:v>
      </x:c>
      <x:c r="D116" s="42" t="str">
        <x:v>BYD Company / BYD Auto</x:v>
      </x:c>
      <x:c r="E116" s="163" t="str">
        <x:v>9993949</x:v>
      </x:c>
      <x:c r="F116" s="42" t="str">
        <x:v>IMO populated — checksum valid</x:v>
      </x:c>
      <x:c r="G116" s="42" t="str">
        <x:v>High</x:v>
      </x:c>
      <x:c r="H116" s="42" t="str">
        <x:v>2026-09-07</x:v>
      </x:c>
      <x:c r="I116" s="42" t="str">
        <x:v>https://www.vesselfinder.com/vessels/details/9993949</x:v>
      </x:c>
      <x:c r="J116" s="42" t="str">
        <x:v>SRC_0093</x:v>
      </x:c>
      <x:c r="K116" s="42" t="str">
        <x:v>Operating</x:v>
      </x:c>
      <x:c r="L116" s="42" t="str">
        <x:v>IMO was already present in v1.2 and revalidated.</x:v>
      </x:c>
    </x:row>
    <x:row r="117">
      <x:c r="A117" s="42" t="str">
        <x:v>VESSEL_00116</x:v>
      </x:c>
      <x:c r="B117" s="42" t="str">
        <x:v>BYD Jinan</x:v>
      </x:c>
      <x:c r="C117" s="42" t="str">
        <x:v>COMP_BYD</x:v>
      </x:c>
      <x:c r="D117" s="42" t="str">
        <x:v>BYD Company / BYD Auto</x:v>
      </x:c>
      <x:c r="E117" s="163" t="str">
        <x:v>9993951</x:v>
      </x:c>
      <x:c r="F117" s="42" t="str">
        <x:v>IMO populated — checksum valid</x:v>
      </x:c>
      <x:c r="G117" s="42" t="str">
        <x:v>High</x:v>
      </x:c>
      <x:c r="H117" s="42" t="str">
        <x:v>2026-09-07</x:v>
      </x:c>
      <x:c r="I117" s="42" t="str">
        <x:v>https://www.vesselfinder.com/vessels/details/9993951</x:v>
      </x:c>
      <x:c r="J117" s="42" t="str">
        <x:v>SRC_0094</x:v>
      </x:c>
      <x:c r="K117" s="42" t="str">
        <x:v>Operating</x:v>
      </x:c>
      <x:c r="L117" s="42" t="str">
        <x:v>IMO was already present in v1.2 and revalidated.</x:v>
      </x:c>
    </x:row>
    <x:row r="118">
      <x:c r="A118" s="42" t="str">
        <x:v>VESSEL_00117</x:v>
      </x:c>
      <x:c r="B118" s="42" t="str">
        <x:v>SINOKOR NIIGATA</x:v>
      </x:c>
      <x:c r="C118" s="42" t="str">
        <x:v>COMP_SINOKOR</x:v>
      </x:c>
      <x:c r="D118" s="42" t="str">
        <x:v>SINOKOR Merchant Marine</x:v>
      </x:c>
      <x:c r="E118" s="163" t="str">
        <x:v>9209908</x:v>
      </x:c>
      <x:c r="F118" s="42" t="str">
        <x:v>IMO populated — checksum valid</x:v>
      </x:c>
      <x:c r="G118" s="42" t="str">
        <x:v>High</x:v>
      </x:c>
      <x:c r="H118" s="42" t="str">
        <x:v>2026-09-07</x:v>
      </x:c>
      <x:c r="I118" s="42" t="str">
        <x:v>https://www.vesselfinder.com/vessels/details/9209908</x:v>
      </x:c>
      <x:c r="J118" s="42" t="str">
        <x:v>SRC_0102</x:v>
      </x:c>
      <x:c r="K118" s="42" t="str">
        <x:v>Operating</x:v>
      </x:c>
      <x:c r="L118" s="42" t="str">
        <x:v>IMO added in v1.3 enrichment pass.</x:v>
      </x:c>
    </x:row>
    <x:row r="119">
      <x:c r="A119" s="42" t="str">
        <x:v>VESSEL_00118</x:v>
      </x:c>
      <x:c r="B119" s="42" t="str">
        <x:v>MEREDITH VICTORY</x:v>
      </x:c>
      <x:c r="C119" s="42" t="str">
        <x:v>COMP_SINOKOR</x:v>
      </x:c>
      <x:c r="D119" s="42" t="str">
        <x:v>SINOKOR Merchant Marine</x:v>
      </x:c>
      <x:c r="E119" s="163" t="str">
        <x:v>9455959</x:v>
      </x:c>
      <x:c r="F119" s="42" t="str">
        <x:v>IMO populated — checksum valid</x:v>
      </x:c>
      <x:c r="G119" s="42" t="str">
        <x:v>High</x:v>
      </x:c>
      <x:c r="H119" s="42" t="str">
        <x:v>2026-09-07</x:v>
      </x:c>
      <x:c r="I119" s="42" t="str">
        <x:v>https://www.vesselfinder.com/vessels/details/9455959</x:v>
      </x:c>
      <x:c r="J119" s="42" t="str">
        <x:v>SRC_0102</x:v>
      </x:c>
      <x:c r="K119" s="42" t="str">
        <x:v>Operating</x:v>
      </x:c>
      <x:c r="L119" s="42" t="str">
        <x:v>IMO added in v1.3 enrichment pass.</x:v>
      </x:c>
    </x:row>
    <x:row r="120">
      <x:c r="A120" s="42" t="str">
        <x:v>VESSEL_00119</x:v>
      </x:c>
      <x:c r="B120" s="42" t="str">
        <x:v>KOOKYANG SINGAPORE</x:v>
      </x:c>
      <x:c r="C120" s="42" t="str">
        <x:v>COMP_SINOKOR</x:v>
      </x:c>
      <x:c r="D120" s="42" t="str">
        <x:v>SINOKOR Merchant Marine</x:v>
      </x:c>
      <x:c r="E120" s="163" t="str">
        <x:v>9354234</x:v>
      </x:c>
      <x:c r="F120" s="42" t="str">
        <x:v>IMO populated — checksum valid</x:v>
      </x:c>
      <x:c r="G120" s="42" t="str">
        <x:v>High</x:v>
      </x:c>
      <x:c r="H120" s="42" t="str">
        <x:v>2026-09-07</x:v>
      </x:c>
      <x:c r="I120" s="42" t="str">
        <x:v>https://www.vesselfinder.com/vessels/details/9354234</x:v>
      </x:c>
      <x:c r="J120" s="42" t="str">
        <x:v>SRC_0102</x:v>
      </x:c>
      <x:c r="K120" s="42" t="str">
        <x:v>Operating</x:v>
      </x:c>
      <x:c r="L120" s="42" t="str">
        <x:v>IMO added in v1.3 enrichment pass.</x:v>
      </x:c>
    </x:row>
    <x:row r="121">
      <x:c r="A121" s="42" t="str">
        <x:v>VESSEL_00120</x:v>
      </x:c>
      <x:c r="B121" s="42" t="str">
        <x:v>GENEVA QUEEN</x:v>
      </x:c>
      <x:c r="C121" s="42" t="str">
        <x:v>COMP_SINOKOR</x:v>
      </x:c>
      <x:c r="D121" s="42" t="str">
        <x:v>SINOKOR Merchant Marine</x:v>
      </x:c>
      <x:c r="E121" s="163" t="str">
        <x:v>9638642</x:v>
      </x:c>
      <x:c r="F121" s="42" t="str">
        <x:v>IMO populated — checksum valid</x:v>
      </x:c>
      <x:c r="G121" s="42" t="str">
        <x:v>High</x:v>
      </x:c>
      <x:c r="H121" s="42" t="str">
        <x:v>2026-09-07</x:v>
      </x:c>
      <x:c r="I121" s="42" t="str">
        <x:v>https://www.vesselfinder.com/vessels/details/9638642</x:v>
      </x:c>
      <x:c r="J121" s="42" t="str">
        <x:v>SRC_0102</x:v>
      </x:c>
      <x:c r="K121" s="42" t="str">
        <x:v>Operating</x:v>
      </x:c>
      <x:c r="L121" s="42" t="str">
        <x:v>IMO added in v1.3 enrichment pass.</x:v>
      </x:c>
    </x:row>
    <x:row r="122">
      <x:c r="A122" s="42" t="str">
        <x:v>VESSEL_00121</x:v>
      </x:c>
      <x:c r="B122" s="42" t="str">
        <x:v>Hakata Voyager</x:v>
      </x:c>
      <x:c r="C122" s="42" t="str">
        <x:v>COMP_SINOKOR</x:v>
      </x:c>
      <x:c r="D122" s="42" t="str">
        <x:v>SINOKOR Merchant Marine</x:v>
      </x:c>
      <x:c r="E122" s="163" t="str">
        <x:v>9329588</x:v>
      </x:c>
      <x:c r="F122" s="42" t="str">
        <x:v>IMO populated — checksum valid</x:v>
      </x:c>
      <x:c r="G122" s="42" t="str">
        <x:v>High</x:v>
      </x:c>
      <x:c r="H122" s="42" t="str">
        <x:v>2026-09-07</x:v>
      </x:c>
      <x:c r="I122" s="42" t="str">
        <x:v>https://www.vesselfinder.com/vessels/details/9329588</x:v>
      </x:c>
      <x:c r="J122" s="42" t="str">
        <x:v>SRC_0102</x:v>
      </x:c>
      <x:c r="K122" s="42" t="str">
        <x:v>Operating</x:v>
      </x:c>
      <x:c r="L122" s="42" t="str">
        <x:v>IMO added in v1.3 enrichment pass.</x:v>
      </x:c>
    </x:row>
    <x:row r="123">
      <x:c r="A123" s="42" t="str">
        <x:v>VESSEL_00122</x:v>
      </x:c>
      <x:c r="B123" s="42" t="str">
        <x:v>Vostochny Voyager</x:v>
      </x:c>
      <x:c r="C123" s="42" t="str">
        <x:v>COMP_SINOKOR</x:v>
      </x:c>
      <x:c r="D123" s="42" t="str">
        <x:v>SINOKOR Merchant Marine</x:v>
      </x:c>
      <x:c r="E123" s="163" t="str">
        <x:v>9329590</x:v>
      </x:c>
      <x:c r="F123" s="42" t="str">
        <x:v>IMO populated — checksum valid</x:v>
      </x:c>
      <x:c r="G123" s="42" t="str">
        <x:v>High</x:v>
      </x:c>
      <x:c r="H123" s="42" t="str">
        <x:v>2026-09-07</x:v>
      </x:c>
      <x:c r="I123" s="42" t="str">
        <x:v>https://www.vesselfinder.com/vessels/details/9329590</x:v>
      </x:c>
      <x:c r="J123" s="42" t="str">
        <x:v>SRC_0102</x:v>
      </x:c>
      <x:c r="K123" s="42" t="str">
        <x:v>Operating</x:v>
      </x:c>
      <x:c r="L123" s="42" t="str">
        <x:v>IMO added in v1.3 enrichment pass.</x:v>
      </x:c>
    </x:row>
    <x:row r="124">
      <x:c r="A124" s="42" t="str">
        <x:v>VESSEL_00123</x:v>
      </x:c>
      <x:c r="B124" s="42" t="str">
        <x:v>HongKong Voyager</x:v>
      </x:c>
      <x:c r="C124" s="42" t="str">
        <x:v>COMP_SINOKOR</x:v>
      </x:c>
      <x:c r="D124" s="42" t="str">
        <x:v>SINOKOR Merchant Marine</x:v>
      </x:c>
      <x:c r="E124" s="163" t="str">
        <x:v>9402500</x:v>
      </x:c>
      <x:c r="F124" s="42" t="str">
        <x:v>IMO populated — checksum valid</x:v>
      </x:c>
      <x:c r="G124" s="42" t="str">
        <x:v>High</x:v>
      </x:c>
      <x:c r="H124" s="42" t="str">
        <x:v>2026-09-07</x:v>
      </x:c>
      <x:c r="I124" s="42" t="str">
        <x:v>https://www.vesselfinder.com/vessels/details/9402500</x:v>
      </x:c>
      <x:c r="J124" s="42" t="str">
        <x:v>SRC_0102</x:v>
      </x:c>
      <x:c r="K124" s="42" t="str">
        <x:v>Operating</x:v>
      </x:c>
      <x:c r="L124" s="42" t="str">
        <x:v>IMO added in v1.3 enrichment pass.</x:v>
      </x:c>
    </x:row>
    <x:row r="125">
      <x:c r="A125" s="42" t="str">
        <x:v>VESSEL_00124</x:v>
      </x:c>
      <x:c r="B125" s="42" t="str">
        <x:v>Osaka Voyager</x:v>
      </x:c>
      <x:c r="C125" s="42" t="str">
        <x:v>COMP_SINOKOR</x:v>
      </x:c>
      <x:c r="D125" s="42" t="str">
        <x:v>SINOKOR Merchant Marine</x:v>
      </x:c>
      <x:c r="E125" s="163" t="str">
        <x:v>9329576</x:v>
      </x:c>
      <x:c r="F125" s="42" t="str">
        <x:v>IMO populated — checksum valid</x:v>
      </x:c>
      <x:c r="G125" s="42" t="str">
        <x:v>High</x:v>
      </x:c>
      <x:c r="H125" s="42" t="str">
        <x:v>2026-09-07</x:v>
      </x:c>
      <x:c r="I125" s="42" t="str">
        <x:v>https://www.vesselfinder.com/vessels/details/9329576</x:v>
      </x:c>
      <x:c r="J125" s="42" t="str">
        <x:v>SRC_0102</x:v>
      </x:c>
      <x:c r="K125" s="42" t="str">
        <x:v>Operating</x:v>
      </x:c>
      <x:c r="L125" s="42" t="str">
        <x:v>IMO added in v1.3 enrichment pass.</x:v>
      </x:c>
    </x:row>
    <x:row r="126">
      <x:c r="A126" s="42" t="str">
        <x:v>VESSEL_00125</x:v>
      </x:c>
      <x:c r="B126" s="42" t="str">
        <x:v>NAGOYA TRADER</x:v>
      </x:c>
      <x:c r="C126" s="42" t="str">
        <x:v>COMP_SINOKOR</x:v>
      </x:c>
      <x:c r="D126" s="42" t="str">
        <x:v>SINOKOR Merchant Marine</x:v>
      </x:c>
      <x:c r="E126" s="163" t="str">
        <x:v>9517628</x:v>
      </x:c>
      <x:c r="F126" s="42" t="str">
        <x:v>IMO populated — checksum valid</x:v>
      </x:c>
      <x:c r="G126" s="42" t="str">
        <x:v>High</x:v>
      </x:c>
      <x:c r="H126" s="42" t="str">
        <x:v>2026-09-07</x:v>
      </x:c>
      <x:c r="I126" s="42" t="str">
        <x:v>https://www.vesselfinder.com/vessels/details/9517628</x:v>
      </x:c>
      <x:c r="J126" s="42" t="str">
        <x:v>SRC_0102</x:v>
      </x:c>
      <x:c r="K126" s="42" t="str">
        <x:v>Operating</x:v>
      </x:c>
      <x:c r="L126" s="42" t="str">
        <x:v>IMO added in v1.3 enrichment pass.</x:v>
      </x:c>
    </x:row>
    <x:row r="127">
      <x:c r="A127" s="42" t="str">
        <x:v>VESSEL_00126</x:v>
      </x:c>
      <x:c r="B127" s="42" t="str">
        <x:v>SAWASDEE PACIFIC</x:v>
      </x:c>
      <x:c r="C127" s="42" t="str">
        <x:v>COMP_SINOKOR</x:v>
      </x:c>
      <x:c r="D127" s="42" t="str">
        <x:v>SINOKOR Merchant Marine</x:v>
      </x:c>
      <x:c r="E127" s="163" t="str">
        <x:v>9879363</x:v>
      </x:c>
      <x:c r="F127" s="42" t="str">
        <x:v>IMO populated — checksum valid</x:v>
      </x:c>
      <x:c r="G127" s="42" t="str">
        <x:v>High</x:v>
      </x:c>
      <x:c r="H127" s="42" t="str">
        <x:v>2026-09-07</x:v>
      </x:c>
      <x:c r="I127" s="42" t="str">
        <x:v>https://www.vesselfinder.com/vessels/details/9879363</x:v>
      </x:c>
      <x:c r="J127" s="42" t="str">
        <x:v>SRC_0102</x:v>
      </x:c>
      <x:c r="K127" s="42" t="str">
        <x:v>Operating</x:v>
      </x:c>
      <x:c r="L127" s="42" t="str">
        <x:v>IMO added in v1.3 enrichment pass.</x:v>
      </x:c>
    </x:row>
    <x:row r="128">
      <x:c r="A128" s="42" t="str">
        <x:v>VESSEL_00127</x:v>
      </x:c>
      <x:c r="B128" s="42" t="str">
        <x:v>SAWASDEE ATLANTIC</x:v>
      </x:c>
      <x:c r="C128" s="42" t="str">
        <x:v>COMP_SINOKOR</x:v>
      </x:c>
      <x:c r="D128" s="42" t="str">
        <x:v>SINOKOR Merchant Marine</x:v>
      </x:c>
      <x:c r="E128" s="163" t="str">
        <x:v>9879375</x:v>
      </x:c>
      <x:c r="F128" s="42" t="str">
        <x:v>IMO populated — checksum valid</x:v>
      </x:c>
      <x:c r="G128" s="42" t="str">
        <x:v>High</x:v>
      </x:c>
      <x:c r="H128" s="42" t="str">
        <x:v>2026-09-07</x:v>
      </x:c>
      <x:c r="I128" s="42" t="str">
        <x:v>https://www.vesselfinder.com/vessels/details/9879375</x:v>
      </x:c>
      <x:c r="J128" s="42" t="str">
        <x:v>SRC_0102</x:v>
      </x:c>
      <x:c r="K128" s="42" t="str">
        <x:v>Operating</x:v>
      </x:c>
      <x:c r="L128" s="42" t="str">
        <x:v>IMO added in v1.3 enrichment pass.</x:v>
      </x:c>
    </x:row>
    <x:row r="129">
      <x:c r="A129" s="42" t="str">
        <x:v>VESSEL_00128</x:v>
      </x:c>
      <x:c r="B129" s="42" t="str">
        <x:v>SAWASDEE BALTIC</x:v>
      </x:c>
      <x:c r="C129" s="42" t="str">
        <x:v>COMP_SINOKOR</x:v>
      </x:c>
      <x:c r="D129" s="42" t="str">
        <x:v>SINOKOR Merchant Marine</x:v>
      </x:c>
      <x:c r="E129" s="163" t="str">
        <x:v>9886067</x:v>
      </x:c>
      <x:c r="F129" s="42" t="str">
        <x:v>IMO populated — checksum valid</x:v>
      </x:c>
      <x:c r="G129" s="42" t="str">
        <x:v>High</x:v>
      </x:c>
      <x:c r="H129" s="42" t="str">
        <x:v>2026-09-07</x:v>
      </x:c>
      <x:c r="I129" s="42" t="str">
        <x:v>https://www.vesselfinder.com/vessels/details/9886067</x:v>
      </x:c>
      <x:c r="J129" s="42" t="str">
        <x:v>SRC_0102</x:v>
      </x:c>
      <x:c r="K129" s="42" t="str">
        <x:v>Operating</x:v>
      </x:c>
      <x:c r="L129" s="42" t="str">
        <x:v>IMO added in v1.3 enrichment pass.</x:v>
      </x:c>
    </x:row>
    <x:row r="130">
      <x:c r="A130" s="42" t="str">
        <x:v>VESSEL_00129</x:v>
      </x:c>
      <x:c r="B130" s="42" t="str">
        <x:v>SAWASDEE SUNRISE</x:v>
      </x:c>
      <x:c r="C130" s="42" t="str">
        <x:v>COMP_SINOKOR</x:v>
      </x:c>
      <x:c r="D130" s="42" t="str">
        <x:v>SINOKOR Merchant Marine</x:v>
      </x:c>
      <x:c r="E130" s="163" t="str">
        <x:v>9886079</x:v>
      </x:c>
      <x:c r="F130" s="42" t="str">
        <x:v>IMO populated — checksum valid</x:v>
      </x:c>
      <x:c r="G130" s="42" t="str">
        <x:v>High</x:v>
      </x:c>
      <x:c r="H130" s="42" t="str">
        <x:v>2026-09-07</x:v>
      </x:c>
      <x:c r="I130" s="42" t="str">
        <x:v>https://www.vesselfinder.com/vessels/details/9886079</x:v>
      </x:c>
      <x:c r="J130" s="42" t="str">
        <x:v>SRC_0102</x:v>
      </x:c>
      <x:c r="K130" s="42" t="str">
        <x:v>Operating</x:v>
      </x:c>
      <x:c r="L130" s="42" t="str">
        <x:v>IMO added in v1.3 enrichment pass.</x:v>
      </x:c>
    </x:row>
    <x:row r="131">
      <x:c r="A131" s="42" t="str">
        <x:v>VESSEL_00130</x:v>
      </x:c>
      <x:c r="B131" s="42" t="str">
        <x:v>HOCHIMINH VOYAGER</x:v>
      </x:c>
      <x:c r="C131" s="42" t="str">
        <x:v>COMP_SINOKOR</x:v>
      </x:c>
      <x:c r="D131" s="42" t="str">
        <x:v>SINOKOR Merchant Marine</x:v>
      </x:c>
      <x:c r="E131" s="163" t="str">
        <x:v>9532276</x:v>
      </x:c>
      <x:c r="F131" s="42" t="str">
        <x:v>IMO populated — checksum valid</x:v>
      </x:c>
      <x:c r="G131" s="42" t="str">
        <x:v>High</x:v>
      </x:c>
      <x:c r="H131" s="42" t="str">
        <x:v>2026-09-07</x:v>
      </x:c>
      <x:c r="I131" s="42" t="str">
        <x:v>https://www.vesselfinder.com/vessels/details/9532276</x:v>
      </x:c>
      <x:c r="J131" s="42" t="str">
        <x:v>SRC_0102</x:v>
      </x:c>
      <x:c r="K131" s="42" t="str">
        <x:v>Operating</x:v>
      </x:c>
      <x:c r="L131" s="42" t="str">
        <x:v>IMO added in v1.3 enrichment pass.</x:v>
      </x:c>
    </x:row>
    <x:row r="132">
      <x:c r="A132" s="42" t="str">
        <x:v>VESSEL_00131</x:v>
      </x:c>
      <x:c r="B132" s="42" t="str">
        <x:v>JAKARTA VOYAGER</x:v>
      </x:c>
      <x:c r="C132" s="42" t="str">
        <x:v>COMP_SINOKOR</x:v>
      </x:c>
      <x:c r="D132" s="42" t="str">
        <x:v>SINOKOR Merchant Marine</x:v>
      </x:c>
      <x:c r="E132" s="163" t="str">
        <x:v>9532288</x:v>
      </x:c>
      <x:c r="F132" s="42" t="str">
        <x:v>IMO populated — checksum valid</x:v>
      </x:c>
      <x:c r="G132" s="42" t="str">
        <x:v>High</x:v>
      </x:c>
      <x:c r="H132" s="42" t="str">
        <x:v>2026-09-07</x:v>
      </x:c>
      <x:c r="I132" s="42" t="str">
        <x:v>https://www.vesselfinder.com/vessels/details/9532288</x:v>
      </x:c>
      <x:c r="J132" s="42" t="str">
        <x:v>SRC_0102</x:v>
      </x:c>
      <x:c r="K132" s="42" t="str">
        <x:v>Operating</x:v>
      </x:c>
      <x:c r="L132" s="42" t="str">
        <x:v>IMO added in v1.3 enrichment pass.</x:v>
      </x:c>
    </x:row>
    <x:row r="133">
      <x:c r="A133" s="42" t="str">
        <x:v>VESSEL_00132</x:v>
      </x:c>
      <x:c r="B133" s="42" t="str">
        <x:v>SHANGHAI VOYAGER</x:v>
      </x:c>
      <x:c r="C133" s="42" t="str">
        <x:v>COMP_SINOKOR</x:v>
      </x:c>
      <x:c r="D133" s="42" t="str">
        <x:v>SINOKOR Merchant Marine</x:v>
      </x:c>
      <x:c r="E133" s="163" t="str">
        <x:v>9536973</x:v>
      </x:c>
      <x:c r="F133" s="42" t="str">
        <x:v>IMO populated — checksum valid</x:v>
      </x:c>
      <x:c r="G133" s="42" t="str">
        <x:v>High</x:v>
      </x:c>
      <x:c r="H133" s="42" t="str">
        <x:v>2026-09-07</x:v>
      </x:c>
      <x:c r="I133" s="42" t="str">
        <x:v>https://www.vesselfinder.com/vessels/details/9536973</x:v>
      </x:c>
      <x:c r="J133" s="42" t="str">
        <x:v>SRC_0102</x:v>
      </x:c>
      <x:c r="K133" s="42" t="str">
        <x:v>Operating</x:v>
      </x:c>
      <x:c r="L133" s="42" t="str">
        <x:v>IMO added in v1.3 enrichment pass.</x:v>
      </x:c>
    </x:row>
    <x:row r="134">
      <x:c r="A134" s="42" t="str">
        <x:v>VESSEL_00133</x:v>
      </x:c>
      <x:c r="B134" s="42" t="str">
        <x:v>NINGBO TRADER</x:v>
      </x:c>
      <x:c r="C134" s="42" t="str">
        <x:v>COMP_SINOKOR</x:v>
      </x:c>
      <x:c r="D134" s="42" t="str">
        <x:v>SINOKOR Merchant Marine</x:v>
      </x:c>
      <x:c r="E134" s="163" t="str">
        <x:v>9347968</x:v>
      </x:c>
      <x:c r="F134" s="42" t="str">
        <x:v>IMO populated — checksum valid</x:v>
      </x:c>
      <x:c r="G134" s="42" t="str">
        <x:v>High</x:v>
      </x:c>
      <x:c r="H134" s="42" t="str">
        <x:v>2026-09-07</x:v>
      </x:c>
      <x:c r="I134" s="42" t="str">
        <x:v>https://www.vesselfinder.com/vessels/details/9347968</x:v>
      </x:c>
      <x:c r="J134" s="42" t="str">
        <x:v>SRC_0102</x:v>
      </x:c>
      <x:c r="K134" s="42" t="str">
        <x:v>Operating</x:v>
      </x:c>
      <x:c r="L134" s="42" t="str">
        <x:v>IMO added in v1.3 enrichment pass.</x:v>
      </x:c>
    </x:row>
    <x:row r="135">
      <x:c r="A135" s="42" t="str">
        <x:v>VESSEL_00134</x:v>
      </x:c>
      <x:c r="B135" s="42" t="str">
        <x:v>YOKOHAMA TRADER</x:v>
      </x:c>
      <x:c r="C135" s="42" t="str">
        <x:v>COMP_SINOKOR</x:v>
      </x:c>
      <x:c r="D135" s="42" t="str">
        <x:v>SINOKOR Merchant Marine</x:v>
      </x:c>
      <x:c r="E135" s="163" t="str">
        <x:v>9915961</x:v>
      </x:c>
      <x:c r="F135" s="42" t="str">
        <x:v>IMO populated — checksum valid</x:v>
      </x:c>
      <x:c r="G135" s="42" t="str">
        <x:v>High</x:v>
      </x:c>
      <x:c r="H135" s="42" t="str">
        <x:v>2026-09-07</x:v>
      </x:c>
      <x:c r="I135" s="42" t="str">
        <x:v>https://www.vesselfinder.com/vessels/details/9915961</x:v>
      </x:c>
      <x:c r="J135" s="42" t="str">
        <x:v>SRC_0102</x:v>
      </x:c>
      <x:c r="K135" s="42" t="str">
        <x:v>Operating</x:v>
      </x:c>
      <x:c r="L135" s="42" t="str">
        <x:v>IMO added in v1.3 enrichment pass.</x:v>
      </x:c>
    </x:row>
    <x:row r="136">
      <x:c r="A136" s="42" t="str">
        <x:v>VESSEL_00135</x:v>
      </x:c>
      <x:c r="B136" s="42" t="str">
        <x:v>SURABAYA VOYAGER</x:v>
      </x:c>
      <x:c r="C136" s="42" t="str">
        <x:v>COMP_SINOKOR</x:v>
      </x:c>
      <x:c r="D136" s="42" t="str">
        <x:v>SINOKOR Merchant Marine</x:v>
      </x:c>
      <x:c r="E136" s="163" t="str">
        <x:v>9137703</x:v>
      </x:c>
      <x:c r="F136" s="42" t="str">
        <x:v>IMO populated — checksum valid</x:v>
      </x:c>
      <x:c r="G136" s="42" t="str">
        <x:v>High</x:v>
      </x:c>
      <x:c r="H136" s="42" t="str">
        <x:v>2026-09-07</x:v>
      </x:c>
      <x:c r="I136" s="42" t="str">
        <x:v>https://www.vesselfinder.com/vessels/details/9137703</x:v>
      </x:c>
      <x:c r="J136" s="42" t="str">
        <x:v>SRC_0102</x:v>
      </x:c>
      <x:c r="K136" s="42" t="str">
        <x:v>Operating</x:v>
      </x:c>
      <x:c r="L136" s="42" t="str">
        <x:v>IMO added in v1.3 enrichment pass.</x:v>
      </x:c>
    </x:row>
    <x:row r="137">
      <x:c r="A137" s="42" t="str">
        <x:v>VESSEL_00136</x:v>
      </x:c>
      <x:c r="B137" s="42" t="str">
        <x:v>KOBE TRADER</x:v>
      </x:c>
      <x:c r="C137" s="42" t="str">
        <x:v>COMP_SINOKOR</x:v>
      </x:c>
      <x:c r="D137" s="42" t="str">
        <x:v>SINOKOR Merchant Marine</x:v>
      </x:c>
      <x:c r="E137" s="163" t="str">
        <x:v>9915973</x:v>
      </x:c>
      <x:c r="F137" s="42" t="str">
        <x:v>IMO populated — checksum valid</x:v>
      </x:c>
      <x:c r="G137" s="42" t="str">
        <x:v>High</x:v>
      </x:c>
      <x:c r="H137" s="42" t="str">
        <x:v>2026-09-07</x:v>
      </x:c>
      <x:c r="I137" s="42" t="str">
        <x:v>https://www.vesselfinder.com/vessels/details/9915973</x:v>
      </x:c>
      <x:c r="J137" s="42" t="str">
        <x:v>SRC_0102</x:v>
      </x:c>
      <x:c r="K137" s="42" t="str">
        <x:v>Operating</x:v>
      </x:c>
      <x:c r="L137" s="42" t="str">
        <x:v>IMO added in v1.3 enrichment pass.</x:v>
      </x:c>
    </x:row>
    <x:row r="138">
      <x:c r="A138" s="42" t="str">
        <x:v>VESSEL_00137</x:v>
      </x:c>
      <x:c r="B138" s="42" t="str">
        <x:v>CHENNAI VOYAGER</x:v>
      </x:c>
      <x:c r="C138" s="42" t="str">
        <x:v>COMP_SINOKOR</x:v>
      </x:c>
      <x:c r="D138" s="42" t="str">
        <x:v>SINOKOR Merchant Marine</x:v>
      </x:c>
      <x:c r="E138" s="163" t="str">
        <x:v>9153410</x:v>
      </x:c>
      <x:c r="F138" s="42" t="str">
        <x:v>IMO populated — checksum valid</x:v>
      </x:c>
      <x:c r="G138" s="42" t="str">
        <x:v>High</x:v>
      </x:c>
      <x:c r="H138" s="42" t="str">
        <x:v>2026-09-07</x:v>
      </x:c>
      <x:c r="I138" s="42" t="str">
        <x:v>https://www.vesselfinder.com/vessels/details/9153410</x:v>
      </x:c>
      <x:c r="J138" s="42" t="str">
        <x:v>SRC_0102</x:v>
      </x:c>
      <x:c r="K138" s="42" t="str">
        <x:v>Operating</x:v>
      </x:c>
      <x:c r="L138" s="42" t="str">
        <x:v>IMO added in v1.3 enrichment pass.</x:v>
      </x:c>
    </x:row>
    <x:row r="139">
      <x:c r="A139" s="42" t="str">
        <x:v>VESSEL_00138</x:v>
      </x:c>
      <x:c r="B139" s="42" t="str">
        <x:v>SENDAI TRADER</x:v>
      </x:c>
      <x:c r="C139" s="42" t="str">
        <x:v>COMP_SINOKOR</x:v>
      </x:c>
      <x:c r="D139" s="42" t="str">
        <x:v>SINOKOR Merchant Marine</x:v>
      </x:c>
      <x:c r="E139" s="163" t="str">
        <x:v>9397107</x:v>
      </x:c>
      <x:c r="F139" s="42" t="str">
        <x:v>IMO populated — checksum valid</x:v>
      </x:c>
      <x:c r="G139" s="42" t="str">
        <x:v>High</x:v>
      </x:c>
      <x:c r="H139" s="42" t="str">
        <x:v>2026-09-07</x:v>
      </x:c>
      <x:c r="I139" s="42" t="str">
        <x:v>https://www.vesselfinder.com/vessels/details/9397107</x:v>
      </x:c>
      <x:c r="J139" s="42" t="str">
        <x:v>SRC_0102</x:v>
      </x:c>
      <x:c r="K139" s="42" t="str">
        <x:v>Operating</x:v>
      </x:c>
      <x:c r="L139" s="42" t="str">
        <x:v>IMO added in v1.3 enrichment pass.</x:v>
      </x:c>
    </x:row>
    <x:row r="140">
      <x:c r="A140" s="42" t="str">
        <x:v>VESSEL_00139</x:v>
      </x:c>
      <x:c r="B140" s="42" t="str">
        <x:v>QINGDAO TRADER</x:v>
      </x:c>
      <x:c r="C140" s="42" t="str">
        <x:v>COMP_SINOKOR</x:v>
      </x:c>
      <x:c r="D140" s="42" t="str">
        <x:v>SINOKOR Merchant Marine</x:v>
      </x:c>
      <x:c r="E140" s="163" t="str">
        <x:v>9915985</x:v>
      </x:c>
      <x:c r="F140" s="42" t="str">
        <x:v>IMO populated — checksum valid</x:v>
      </x:c>
      <x:c r="G140" s="42" t="str">
        <x:v>High</x:v>
      </x:c>
      <x:c r="H140" s="42" t="str">
        <x:v>2026-09-07</x:v>
      </x:c>
      <x:c r="I140" s="42" t="str">
        <x:v>https://www.vesselfinder.com/vessels/details/9915985</x:v>
      </x:c>
      <x:c r="J140" s="42" t="str">
        <x:v>SRC_0102</x:v>
      </x:c>
      <x:c r="K140" s="42" t="str">
        <x:v>Operating</x:v>
      </x:c>
      <x:c r="L140" s="42" t="str">
        <x:v>IMO added in v1.3 enrichment pass.</x:v>
      </x:c>
    </x:row>
    <x:row r="141">
      <x:c r="A141" s="42" t="str">
        <x:v>VESSEL_00140</x:v>
      </x:c>
      <x:c r="B141" s="42" t="str">
        <x:v>YANGTZE TRADER</x:v>
      </x:c>
      <x:c r="C141" s="42" t="str">
        <x:v>COMP_SINOKOR</x:v>
      </x:c>
      <x:c r="D141" s="42" t="str">
        <x:v>SINOKOR Merchant Marine</x:v>
      </x:c>
      <x:c r="E141" s="163" t="str">
        <x:v>9915997</x:v>
      </x:c>
      <x:c r="F141" s="42" t="str">
        <x:v>IMO populated — checksum valid</x:v>
      </x:c>
      <x:c r="G141" s="42" t="str">
        <x:v>High</x:v>
      </x:c>
      <x:c r="H141" s="42" t="str">
        <x:v>2026-09-07</x:v>
      </x:c>
      <x:c r="I141" s="42" t="str">
        <x:v>https://www.vesselfinder.com/vessels/details/9915997</x:v>
      </x:c>
      <x:c r="J141" s="42" t="str">
        <x:v>SRC_0102</x:v>
      </x:c>
      <x:c r="K141" s="42" t="str">
        <x:v>Operating</x:v>
      </x:c>
      <x:c r="L141" s="42" t="str">
        <x:v>IMO added in v1.3 enrichment pass.</x:v>
      </x:c>
    </x:row>
    <x:row r="142">
      <x:c r="A142" s="42" t="str">
        <x:v>VESSEL_00141</x:v>
      </x:c>
      <x:c r="B142" s="42" t="str">
        <x:v>NO.2 OCEAN PIONEER</x:v>
      </x:c>
      <x:c r="C142" s="42" t="str">
        <x:v>COMP_SINOKOR</x:v>
      </x:c>
      <x:c r="D142" s="42" t="str">
        <x:v>SINOKOR Merchant Marine</x:v>
      </x:c>
      <x:c r="E142" s="163" t="str">
        <x:v>9340439</x:v>
      </x:c>
      <x:c r="F142" s="42" t="str">
        <x:v>IMO populated — checksum valid</x:v>
      </x:c>
      <x:c r="G142" s="42" t="str">
        <x:v>High</x:v>
      </x:c>
      <x:c r="H142" s="42" t="str">
        <x:v>2026-09-07</x:v>
      </x:c>
      <x:c r="I142" s="42" t="str">
        <x:v>https://www.vesselfinder.com/vessels/details/9340439</x:v>
      </x:c>
      <x:c r="J142" s="42" t="str">
        <x:v>SRC_0102</x:v>
      </x:c>
      <x:c r="K142" s="42" t="str">
        <x:v>Operating</x:v>
      </x:c>
      <x:c r="L142" s="42" t="str">
        <x:v>IMO added in v1.3 enrichment pass.</x:v>
      </x:c>
    </x:row>
    <x:row r="143">
      <x:c r="A143" s="42" t="str">
        <x:v>VESSEL_00142</x:v>
      </x:c>
      <x:c r="B143" s="42" t="str">
        <x:v>OCEAN PIONEER</x:v>
      </x:c>
      <x:c r="C143" s="42" t="str">
        <x:v>COMP_SINOKOR</x:v>
      </x:c>
      <x:c r="D143" s="42" t="str">
        <x:v>SINOKOR Merchant Marine</x:v>
      </x:c>
      <x:c r="E143" s="163" t="str">
        <x:v>9347152</x:v>
      </x:c>
      <x:c r="F143" s="42" t="str">
        <x:v>IMO populated — checksum valid</x:v>
      </x:c>
      <x:c r="G143" s="42" t="str">
        <x:v>High</x:v>
      </x:c>
      <x:c r="H143" s="42" t="str">
        <x:v>2026-09-07</x:v>
      </x:c>
      <x:c r="I143" s="42" t="str">
        <x:v>https://www.vesselfinder.com/vessels/details/9347152</x:v>
      </x:c>
      <x:c r="J143" s="42" t="str">
        <x:v>SRC_0102</x:v>
      </x:c>
      <x:c r="K143" s="42" t="str">
        <x:v>Operating</x:v>
      </x:c>
      <x:c r="L143" s="42" t="str">
        <x:v>IMO added in v1.3 enrichment pass.</x:v>
      </x:c>
    </x:row>
    <x:row r="144">
      <x:c r="A144" s="42" t="str">
        <x:v>VESSEL_00143</x:v>
      </x:c>
      <x:c r="B144" s="42" t="str">
        <x:v>SAWASDEE CHITTAGONG</x:v>
      </x:c>
      <x:c r="C144" s="42" t="str">
        <x:v>COMP_SINOKOR</x:v>
      </x:c>
      <x:c r="D144" s="42" t="str">
        <x:v>SINOKOR Merchant Marine</x:v>
      </x:c>
      <x:c r="E144" s="163" t="str">
        <x:v>9940758</x:v>
      </x:c>
      <x:c r="F144" s="42" t="str">
        <x:v>IMO populated — checksum valid</x:v>
      </x:c>
      <x:c r="G144" s="42" t="str">
        <x:v>High</x:v>
      </x:c>
      <x:c r="H144" s="42" t="str">
        <x:v>2026-09-07</x:v>
      </x:c>
      <x:c r="I144" s="42" t="str">
        <x:v>https://www.vesselfinder.com/vessels/details/9940758</x:v>
      </x:c>
      <x:c r="J144" s="42" t="str">
        <x:v>SRC_0102</x:v>
      </x:c>
      <x:c r="K144" s="42" t="str">
        <x:v>Operating</x:v>
      </x:c>
      <x:c r="L144" s="42" t="str">
        <x:v>IMO added in v1.3 enrichment pass.</x:v>
      </x:c>
    </x:row>
    <x:row r="145">
      <x:c r="A145" s="42" t="str">
        <x:v>VESSEL_00144</x:v>
      </x:c>
      <x:c r="B145" s="42" t="str">
        <x:v>SAWASDEE SHANGHAI</x:v>
      </x:c>
      <x:c r="C145" s="42" t="str">
        <x:v>COMP_SINOKOR</x:v>
      </x:c>
      <x:c r="D145" s="42" t="str">
        <x:v>SINOKOR Merchant Marine</x:v>
      </x:c>
      <x:c r="E145" s="163" t="str">
        <x:v>9940760</x:v>
      </x:c>
      <x:c r="F145" s="42" t="str">
        <x:v>IMO populated — checksum valid</x:v>
      </x:c>
      <x:c r="G145" s="42" t="str">
        <x:v>High</x:v>
      </x:c>
      <x:c r="H145" s="42" t="str">
        <x:v>2026-09-07</x:v>
      </x:c>
      <x:c r="I145" s="42" t="str">
        <x:v>https://www.vesselfinder.com/vessels/details/9940760</x:v>
      </x:c>
      <x:c r="J145" s="42" t="str">
        <x:v>SRC_0102</x:v>
      </x:c>
      <x:c r="K145" s="42" t="str">
        <x:v>Operating</x:v>
      </x:c>
      <x:c r="L145" s="42" t="str">
        <x:v>IMO added in v1.3 enrichment pass.</x:v>
      </x:c>
    </x:row>
    <x:row r="146">
      <x:c r="A146" s="42" t="str">
        <x:v>VESSEL_00145</x:v>
      </x:c>
      <x:c r="B146" s="42" t="str">
        <x:v>SAWASDEE XIAMEN</x:v>
      </x:c>
      <x:c r="C146" s="42" t="str">
        <x:v>COMP_SINOKOR</x:v>
      </x:c>
      <x:c r="D146" s="42" t="str">
        <x:v>SINOKOR Merchant Marine</x:v>
      </x:c>
      <x:c r="E146" s="163" t="str">
        <x:v>9940772</x:v>
      </x:c>
      <x:c r="F146" s="42" t="str">
        <x:v>IMO populated — checksum valid</x:v>
      </x:c>
      <x:c r="G146" s="42" t="str">
        <x:v>High</x:v>
      </x:c>
      <x:c r="H146" s="42" t="str">
        <x:v>2026-09-07</x:v>
      </x:c>
      <x:c r="I146" s="42" t="str">
        <x:v>https://www.vesselfinder.com/vessels/details/9940772</x:v>
      </x:c>
      <x:c r="J146" s="42" t="str">
        <x:v>SRC_0102</x:v>
      </x:c>
      <x:c r="K146" s="42" t="str">
        <x:v>Operating</x:v>
      </x:c>
      <x:c r="L146" s="42" t="str">
        <x:v>IMO added in v1.3 enrichment pass.</x:v>
      </x:c>
    </x:row>
    <x:row r="147">
      <x:c r="A147" s="42" t="str">
        <x:v>VESSEL_00146</x:v>
      </x:c>
      <x:c r="B147" s="42" t="str">
        <x:v>SAWASDEE INCHEON</x:v>
      </x:c>
      <x:c r="C147" s="42" t="str">
        <x:v>COMP_SINOKOR</x:v>
      </x:c>
      <x:c r="D147" s="42" t="str">
        <x:v>SINOKOR Merchant Marine</x:v>
      </x:c>
      <x:c r="E147" s="163" t="str">
        <x:v>9940784</x:v>
      </x:c>
      <x:c r="F147" s="42" t="str">
        <x:v>IMO populated — checksum valid</x:v>
      </x:c>
      <x:c r="G147" s="42" t="str">
        <x:v>High</x:v>
      </x:c>
      <x:c r="H147" s="42" t="str">
        <x:v>2026-09-07</x:v>
      </x:c>
      <x:c r="I147" s="42" t="str">
        <x:v>https://www.vesselfinder.com/vessels/details/9940784</x:v>
      </x:c>
      <x:c r="J147" s="42" t="str">
        <x:v>SRC_0102</x:v>
      </x:c>
      <x:c r="K147" s="42" t="str">
        <x:v>Operating</x:v>
      </x:c>
      <x:c r="L147" s="42" t="str">
        <x:v>IMO added in v1.3 enrichment pass.</x:v>
      </x:c>
    </x:row>
    <x:row r="148">
      <x:c r="A148" s="42" t="str">
        <x:v>VESSEL_00147</x:v>
      </x:c>
      <x:c r="B148" s="42" t="str">
        <x:v>SAWASDEE SIRIUS</x:v>
      </x:c>
      <x:c r="C148" s="42" t="str">
        <x:v>COMP_SINOKOR</x:v>
      </x:c>
      <x:c r="D148" s="42" t="str">
        <x:v>SINOKOR Merchant Marine</x:v>
      </x:c>
      <x:c r="E148" s="163" t="str">
        <x:v>9943774</x:v>
      </x:c>
      <x:c r="F148" s="42" t="str">
        <x:v>IMO populated — checksum valid</x:v>
      </x:c>
      <x:c r="G148" s="42" t="str">
        <x:v>High</x:v>
      </x:c>
      <x:c r="H148" s="42" t="str">
        <x:v>2026-09-07</x:v>
      </x:c>
      <x:c r="I148" s="42" t="str">
        <x:v>https://www.vesselfinder.com/vessels/details/9943774</x:v>
      </x:c>
      <x:c r="J148" s="42" t="str">
        <x:v>SRC_0102</x:v>
      </x:c>
      <x:c r="K148" s="42" t="str">
        <x:v>Operating</x:v>
      </x:c>
      <x:c r="L148" s="42" t="str">
        <x:v>IMO added in v1.3 enrichment pass.</x:v>
      </x:c>
    </x:row>
    <x:row r="149">
      <x:c r="A149" s="42" t="str">
        <x:v>VESSEL_00148</x:v>
      </x:c>
      <x:c r="B149" s="42" t="str">
        <x:v>SAWASDEE VEGA</x:v>
      </x:c>
      <x:c r="C149" s="42" t="str">
        <x:v>COMP_SINOKOR</x:v>
      </x:c>
      <x:c r="D149" s="42" t="str">
        <x:v>SINOKOR Merchant Marine</x:v>
      </x:c>
      <x:c r="E149" s="163" t="str">
        <x:v>9943786</x:v>
      </x:c>
      <x:c r="F149" s="42" t="str">
        <x:v>IMO populated — checksum valid</x:v>
      </x:c>
      <x:c r="G149" s="42" t="str">
        <x:v>High</x:v>
      </x:c>
      <x:c r="H149" s="42" t="str">
        <x:v>2026-09-07</x:v>
      </x:c>
      <x:c r="I149" s="42" t="str">
        <x:v>https://www.vesselfinder.com/vessels/details/9943786</x:v>
      </x:c>
      <x:c r="J149" s="42" t="str">
        <x:v>SRC_0102</x:v>
      </x:c>
      <x:c r="K149" s="42" t="str">
        <x:v>Operating</x:v>
      </x:c>
      <x:c r="L149" s="42" t="str">
        <x:v>IMO added in v1.3 enrichment pass.</x:v>
      </x:c>
    </x:row>
    <x:row r="150">
      <x:c r="A150" s="42" t="str">
        <x:v>VESSEL_00149</x:v>
      </x:c>
      <x:c r="B150" s="42" t="str">
        <x:v>SAWASDEE CAPELLA</x:v>
      </x:c>
      <x:c r="C150" s="42" t="str">
        <x:v>COMP_SINOKOR</x:v>
      </x:c>
      <x:c r="D150" s="42" t="str">
        <x:v>SINOKOR Merchant Marine</x:v>
      </x:c>
      <x:c r="E150" s="163" t="str">
        <x:v>9943798</x:v>
      </x:c>
      <x:c r="F150" s="42" t="str">
        <x:v>IMO populated — checksum valid</x:v>
      </x:c>
      <x:c r="G150" s="42" t="str">
        <x:v>High</x:v>
      </x:c>
      <x:c r="H150" s="42" t="str">
        <x:v>2026-09-07</x:v>
      </x:c>
      <x:c r="I150" s="42" t="str">
        <x:v>https://www.vesselfinder.com/vessels/details/9943798</x:v>
      </x:c>
      <x:c r="J150" s="42" t="str">
        <x:v>SRC_0102</x:v>
      </x:c>
      <x:c r="K150" s="42" t="str">
        <x:v>Operating</x:v>
      </x:c>
      <x:c r="L150" s="42" t="str">
        <x:v>IMO added in v1.3 enrichment pass.</x:v>
      </x:c>
    </x:row>
    <x:row r="151">
      <x:c r="A151" s="42" t="str">
        <x:v>VESSEL_00150</x:v>
      </x:c>
      <x:c r="B151" s="42" t="str">
        <x:v>SAWASDEE RIGEL</x:v>
      </x:c>
      <x:c r="C151" s="42" t="str">
        <x:v>COMP_SINOKOR</x:v>
      </x:c>
      <x:c r="D151" s="42" t="str">
        <x:v>SINOKOR Merchant Marine</x:v>
      </x:c>
      <x:c r="E151" s="163" t="str">
        <x:v>9943803</x:v>
      </x:c>
      <x:c r="F151" s="42" t="str">
        <x:v>IMO populated — checksum valid</x:v>
      </x:c>
      <x:c r="G151" s="42" t="str">
        <x:v>High</x:v>
      </x:c>
      <x:c r="H151" s="42" t="str">
        <x:v>2026-09-07</x:v>
      </x:c>
      <x:c r="I151" s="42" t="str">
        <x:v>https://www.vesselfinder.com/vessels/details/9943803</x:v>
      </x:c>
      <x:c r="J151" s="42" t="str">
        <x:v>SRC_0102</x:v>
      </x:c>
      <x:c r="K151" s="42" t="str">
        <x:v>Operating</x:v>
      </x:c>
      <x:c r="L151" s="42" t="str">
        <x:v>IMO added in v1.3 enrichment pass.</x:v>
      </x:c>
    </x:row>
    <x:row r="152">
      <x:c r="A152" s="42" t="str">
        <x:v>VESSEL_00151</x:v>
      </x:c>
      <x:c r="B152" s="42" t="str">
        <x:v>SAWASDEE ALTAIR</x:v>
      </x:c>
      <x:c r="C152" s="42" t="str">
        <x:v>COMP_SINOKOR</x:v>
      </x:c>
      <x:c r="D152" s="42" t="str">
        <x:v>SINOKOR Merchant Marine</x:v>
      </x:c>
      <x:c r="E152" s="163" t="str">
        <x:v>9946635</x:v>
      </x:c>
      <x:c r="F152" s="42" t="str">
        <x:v>IMO populated — checksum valid</x:v>
      </x:c>
      <x:c r="G152" s="42" t="str">
        <x:v>High</x:v>
      </x:c>
      <x:c r="H152" s="42" t="str">
        <x:v>2026-09-07</x:v>
      </x:c>
      <x:c r="I152" s="42" t="str">
        <x:v>https://www.vesselfinder.com/vessels/details/9946635</x:v>
      </x:c>
      <x:c r="J152" s="42" t="str">
        <x:v>SRC_0102</x:v>
      </x:c>
      <x:c r="K152" s="42" t="str">
        <x:v>Operating</x:v>
      </x:c>
      <x:c r="L152" s="42" t="str">
        <x:v>IMO added in v1.3 enrichment pass.</x:v>
      </x:c>
    </x:row>
    <x:row r="153">
      <x:c r="A153" s="42" t="str">
        <x:v>VESSEL_00152</x:v>
      </x:c>
      <x:c r="B153" s="42" t="str">
        <x:v>SAWASDEE SPICA</x:v>
      </x:c>
      <x:c r="C153" s="42" t="str">
        <x:v>COMP_SINOKOR</x:v>
      </x:c>
      <x:c r="D153" s="42" t="str">
        <x:v>SINOKOR Merchant Marine</x:v>
      </x:c>
      <x:c r="E153" s="163" t="str">
        <x:v>9946647</x:v>
      </x:c>
      <x:c r="F153" s="42" t="str">
        <x:v>IMO populated — checksum valid</x:v>
      </x:c>
      <x:c r="G153" s="42" t="str">
        <x:v>High</x:v>
      </x:c>
      <x:c r="H153" s="42" t="str">
        <x:v>2026-09-07</x:v>
      </x:c>
      <x:c r="I153" s="42" t="str">
        <x:v>https://www.vesselfinder.com/vessels/details/9946647</x:v>
      </x:c>
      <x:c r="J153" s="42" t="str">
        <x:v>SRC_0102</x:v>
      </x:c>
      <x:c r="K153" s="42" t="str">
        <x:v>Operating</x:v>
      </x:c>
      <x:c r="L153" s="42" t="str">
        <x:v>IMO added in v1.3 enrichment pass.</x:v>
      </x:c>
    </x:row>
    <x:row r="154">
      <x:c r="A154" s="42" t="str">
        <x:v>VESSEL_00153</x:v>
      </x:c>
      <x:c r="B154" s="42" t="str">
        <x:v>SAWASDEE DENEB</x:v>
      </x:c>
      <x:c r="C154" s="42" t="str">
        <x:v>COMP_SINOKOR</x:v>
      </x:c>
      <x:c r="D154" s="42" t="str">
        <x:v>SINOKOR Merchant Marine</x:v>
      </x:c>
      <x:c r="E154" s="163" t="str">
        <x:v>9946659</x:v>
      </x:c>
      <x:c r="F154" s="42" t="str">
        <x:v>IMO populated — checksum valid</x:v>
      </x:c>
      <x:c r="G154" s="42" t="str">
        <x:v>High</x:v>
      </x:c>
      <x:c r="H154" s="42" t="str">
        <x:v>2026-09-07</x:v>
      </x:c>
      <x:c r="I154" s="42" t="str">
        <x:v>https://www.vesselfinder.com/vessels/details/9946659</x:v>
      </x:c>
      <x:c r="J154" s="42" t="str">
        <x:v>SRC_0102</x:v>
      </x:c>
      <x:c r="K154" s="42" t="str">
        <x:v>Operating</x:v>
      </x:c>
      <x:c r="L154" s="42" t="str">
        <x:v>IMO added in v1.3 enrichment pass.</x:v>
      </x:c>
    </x:row>
    <x:row r="155">
      <x:c r="A155" s="42" t="str">
        <x:v>VESSEL_00154</x:v>
      </x:c>
      <x:c r="B155" s="42" t="str">
        <x:v>YEOSU VOYAGER</x:v>
      </x:c>
      <x:c r="C155" s="42" t="str">
        <x:v>COMP_SINOKOR</x:v>
      </x:c>
      <x:c r="D155" s="42" t="str">
        <x:v>SINOKOR Merchant Marine</x:v>
      </x:c>
      <x:c r="E155" s="163" t="str">
        <x:v>9963138</x:v>
      </x:c>
      <x:c r="F155" s="42" t="str">
        <x:v>IMO populated — checksum valid</x:v>
      </x:c>
      <x:c r="G155" s="42" t="str">
        <x:v>High</x:v>
      </x:c>
      <x:c r="H155" s="42" t="str">
        <x:v>2026-09-07</x:v>
      </x:c>
      <x:c r="I155" s="42" t="str">
        <x:v>https://www.vesselfinder.com/vessels/details/9963138</x:v>
      </x:c>
      <x:c r="J155" s="42" t="str">
        <x:v>SRC_0102</x:v>
      </x:c>
      <x:c r="K155" s="42" t="str">
        <x:v>Operating</x:v>
      </x:c>
      <x:c r="L155" s="42" t="str">
        <x:v>IMO added in v1.3 enrichment pass.</x:v>
      </x:c>
    </x:row>
    <x:row r="156">
      <x:c r="A156" s="42" t="str">
        <x:v>VESSEL_00155</x:v>
      </x:c>
      <x:c r="B156" s="42" t="str">
        <x:v>INCHEON VOYAGER</x:v>
      </x:c>
      <x:c r="C156" s="42" t="str">
        <x:v>COMP_SINOKOR</x:v>
      </x:c>
      <x:c r="D156" s="42" t="str">
        <x:v>SINOKOR Merchant Marine</x:v>
      </x:c>
      <x:c r="E156" s="163" t="str">
        <x:v>9963140</x:v>
      </x:c>
      <x:c r="F156" s="42" t="str">
        <x:v>IMO populated — checksum valid</x:v>
      </x:c>
      <x:c r="G156" s="42" t="str">
        <x:v>High</x:v>
      </x:c>
      <x:c r="H156" s="42" t="str">
        <x:v>2026-09-07</x:v>
      </x:c>
      <x:c r="I156" s="42" t="str">
        <x:v>https://www.vesselfinder.com/vessels/details/9963140</x:v>
      </x:c>
      <x:c r="J156" s="42" t="str">
        <x:v>SRC_0102</x:v>
      </x:c>
      <x:c r="K156" s="42" t="str">
        <x:v>Operating</x:v>
      </x:c>
      <x:c r="L156" s="42" t="str">
        <x:v>IMO added in v1.3 enrichment pass.</x:v>
      </x:c>
    </x:row>
    <x:row r="157">
      <x:c r="A157" s="42" t="str">
        <x:v>VESSEL_00156</x:v>
      </x:c>
      <x:c r="B157" s="42" t="str">
        <x:v>ULSAN VOYAGER</x:v>
      </x:c>
      <x:c r="C157" s="42" t="str">
        <x:v>COMP_SINOKOR</x:v>
      </x:c>
      <x:c r="D157" s="42" t="str">
        <x:v>SINOKOR Merchant Marine</x:v>
      </x:c>
      <x:c r="E157" s="163" t="str">
        <x:v>9963152</x:v>
      </x:c>
      <x:c r="F157" s="42" t="str">
        <x:v>IMO populated — checksum valid</x:v>
      </x:c>
      <x:c r="G157" s="42" t="str">
        <x:v>High</x:v>
      </x:c>
      <x:c r="H157" s="42" t="str">
        <x:v>2026-09-07</x:v>
      </x:c>
      <x:c r="I157" s="42" t="str">
        <x:v>https://www.vesselfinder.com/vessels/details/9963152</x:v>
      </x:c>
      <x:c r="J157" s="42" t="str">
        <x:v>SRC_0102</x:v>
      </x:c>
      <x:c r="K157" s="42" t="str">
        <x:v>Operating</x:v>
      </x:c>
      <x:c r="L157" s="42" t="str">
        <x:v>IMO added in v1.3 enrichment pass.</x:v>
      </x:c>
    </x:row>
    <x:row r="158">
      <x:c r="A158" s="42" t="str">
        <x:v>VESSEL_00157</x:v>
      </x:c>
      <x:c r="B158" s="42" t="str">
        <x:v>SAWASDEE MIMOSA</x:v>
      </x:c>
      <x:c r="C158" s="42" t="str">
        <x:v>COMP_SINOKOR</x:v>
      </x:c>
      <x:c r="D158" s="42" t="str">
        <x:v>SINOKOR Merchant Marine</x:v>
      </x:c>
      <x:c r="E158" s="163" t="str">
        <x:v>9946661</x:v>
      </x:c>
      <x:c r="F158" s="42" t="str">
        <x:v>IMO populated — checksum valid</x:v>
      </x:c>
      <x:c r="G158" s="42" t="str">
        <x:v>High</x:v>
      </x:c>
      <x:c r="H158" s="42" t="str">
        <x:v>2026-09-07</x:v>
      </x:c>
      <x:c r="I158" s="42" t="str">
        <x:v>https://www.vesselfinder.com/vessels/details/9946661</x:v>
      </x:c>
      <x:c r="J158" s="42" t="str">
        <x:v>SRC_0102</x:v>
      </x:c>
      <x:c r="K158" s="42" t="str">
        <x:v>Operating</x:v>
      </x:c>
      <x:c r="L158" s="42" t="str">
        <x:v>IMO added in v1.3 enrichment pass.</x:v>
      </x:c>
    </x:row>
    <x:row r="159">
      <x:c r="A159" s="42" t="str">
        <x:v>VESSEL_00158</x:v>
      </x:c>
      <x:c r="B159" s="42" t="str">
        <x:v>TOYAMA TRADER</x:v>
      </x:c>
      <x:c r="C159" s="42" t="str">
        <x:v>COMP_SINOKOR</x:v>
      </x:c>
      <x:c r="D159" s="42" t="str">
        <x:v>SINOKOR Merchant Marine</x:v>
      </x:c>
      <x:c r="E159" s="163" t="str">
        <x:v>9968114</x:v>
      </x:c>
      <x:c r="F159" s="42" t="str">
        <x:v>IMO populated — checksum valid</x:v>
      </x:c>
      <x:c r="G159" s="42" t="str">
        <x:v>High</x:v>
      </x:c>
      <x:c r="H159" s="42" t="str">
        <x:v>2026-09-07</x:v>
      </x:c>
      <x:c r="I159" s="42" t="str">
        <x:v>https://www.vesselfinder.com/vessels/details/9968114</x:v>
      </x:c>
      <x:c r="J159" s="42" t="str">
        <x:v>SRC_0102</x:v>
      </x:c>
      <x:c r="K159" s="42" t="str">
        <x:v>Operating</x:v>
      </x:c>
      <x:c r="L159" s="42" t="str">
        <x:v>IMO added in v1.3 enrichment pass.</x:v>
      </x:c>
    </x:row>
    <x:row r="160">
      <x:c r="A160" s="42" t="str">
        <x:v>VESSEL_00159</x:v>
      </x:c>
      <x:c r="B160" s="42" t="str">
        <x:v>KWANGYANG VOYAGER</x:v>
      </x:c>
      <x:c r="C160" s="42" t="str">
        <x:v>COMP_SINOKOR</x:v>
      </x:c>
      <x:c r="D160" s="42" t="str">
        <x:v>SINOKOR Merchant Marine</x:v>
      </x:c>
      <x:c r="E160" s="163" t="str">
        <x:v>9963164</x:v>
      </x:c>
      <x:c r="F160" s="42" t="str">
        <x:v>IMO populated — checksum valid</x:v>
      </x:c>
      <x:c r="G160" s="42" t="str">
        <x:v>High</x:v>
      </x:c>
      <x:c r="H160" s="42" t="str">
        <x:v>2026-09-07</x:v>
      </x:c>
      <x:c r="I160" s="42" t="str">
        <x:v>https://www.vesselfinder.com/vessels/details/9963164</x:v>
      </x:c>
      <x:c r="J160" s="42" t="str">
        <x:v>SRC_0102</x:v>
      </x:c>
      <x:c r="K160" s="42" t="str">
        <x:v>Operating</x:v>
      </x:c>
      <x:c r="L160" s="42" t="str">
        <x:v>IMO added in v1.3 enrichment pass.</x:v>
      </x:c>
    </x:row>
    <x:row r="161">
      <x:c r="A161" s="42" t="str">
        <x:v>VESSEL_00160</x:v>
      </x:c>
      <x:c r="B161" s="42" t="str">
        <x:v>AKITA TRADER</x:v>
      </x:c>
      <x:c r="C161" s="42" t="str">
        <x:v>COMP_SINOKOR</x:v>
      </x:c>
      <x:c r="D161" s="42" t="str">
        <x:v>SINOKOR Merchant Marine</x:v>
      </x:c>
      <x:c r="E161" s="163" t="str">
        <x:v>9968126</x:v>
      </x:c>
      <x:c r="F161" s="42" t="str">
        <x:v>IMO populated — checksum valid</x:v>
      </x:c>
      <x:c r="G161" s="42" t="str">
        <x:v>High</x:v>
      </x:c>
      <x:c r="H161" s="42" t="str">
        <x:v>2026-09-07</x:v>
      </x:c>
      <x:c r="I161" s="42" t="str">
        <x:v>https://www.vesselfinder.com/vessels/details/9968126</x:v>
      </x:c>
      <x:c r="J161" s="42" t="str">
        <x:v>SRC_0102</x:v>
      </x:c>
      <x:c r="K161" s="42" t="str">
        <x:v>Operating</x:v>
      </x:c>
      <x:c r="L161" s="42" t="str">
        <x:v>IMO added in v1.3 enrichment pass.</x:v>
      </x:c>
    </x:row>
    <x:row r="162">
      <x:c r="A162" s="42" t="str">
        <x:v>VESSEL_00161</x:v>
      </x:c>
      <x:c r="B162" s="42" t="str">
        <x:v>MELBOURNE BRIDGE</x:v>
      </x:c>
      <x:c r="C162" s="42" t="str">
        <x:v>COMP_SINOKOR</x:v>
      </x:c>
      <x:c r="D162" s="42" t="str">
        <x:v>SINOKOR Merchant Marine</x:v>
      </x:c>
      <x:c r="E162" s="163" t="str">
        <x:v>9967287</x:v>
      </x:c>
      <x:c r="F162" s="42" t="str">
        <x:v>IMO populated — checksum valid</x:v>
      </x:c>
      <x:c r="G162" s="42" t="str">
        <x:v>High</x:v>
      </x:c>
      <x:c r="H162" s="42" t="str">
        <x:v>2026-09-07</x:v>
      </x:c>
      <x:c r="I162" s="42" t="str">
        <x:v>https://www.vesselfinder.com/vessels/details/9967287</x:v>
      </x:c>
      <x:c r="J162" s="42" t="str">
        <x:v>SRC_0102</x:v>
      </x:c>
      <x:c r="K162" s="42" t="str">
        <x:v>Operating</x:v>
      </x:c>
      <x:c r="L162" s="42" t="str">
        <x:v>IMO added in v1.3 enrichment pass.</x:v>
      </x:c>
    </x:row>
    <x:row r="163">
      <x:c r="A163" s="42" t="str">
        <x:v>VESSEL_00162</x:v>
      </x:c>
      <x:c r="B163" s="42" t="str">
        <x:v>SYDNEY BRIDGE</x:v>
      </x:c>
      <x:c r="C163" s="42" t="str">
        <x:v>COMP_SINOKOR</x:v>
      </x:c>
      <x:c r="D163" s="42" t="str">
        <x:v>SINOKOR Merchant Marine</x:v>
      </x:c>
      <x:c r="E163" s="163" t="str">
        <x:v>9967304</x:v>
      </x:c>
      <x:c r="F163" s="42" t="str">
        <x:v>IMO populated — checksum valid</x:v>
      </x:c>
      <x:c r="G163" s="42" t="str">
        <x:v>High</x:v>
      </x:c>
      <x:c r="H163" s="42" t="str">
        <x:v>2026-09-07</x:v>
      </x:c>
      <x:c r="I163" s="42" t="str">
        <x:v>https://www.vesselfinder.com/vessels/details/9967304</x:v>
      </x:c>
      <x:c r="J163" s="42" t="str">
        <x:v>SRC_0102</x:v>
      </x:c>
      <x:c r="K163" s="42" t="str">
        <x:v>Operating</x:v>
      </x:c>
      <x:c r="L163" s="42" t="str">
        <x:v>IMO added in v1.3 enrichment pass.</x:v>
      </x:c>
    </x:row>
    <x:row r="164">
      <x:c r="A164" s="42" t="str">
        <x:v>VESSEL_00163</x:v>
      </x:c>
      <x:c r="B164" s="42" t="str">
        <x:v>MOJI EXPRESS</x:v>
      </x:c>
      <x:c r="C164" s="42" t="str">
        <x:v>COMP_SINOKOR</x:v>
      </x:c>
      <x:c r="D164" s="42" t="str">
        <x:v>SINOKOR Merchant Marine</x:v>
      </x:c>
      <x:c r="E164" s="163" t="str">
        <x:v>1056032</x:v>
      </x:c>
      <x:c r="F164" s="42" t="str">
        <x:v>IMO populated — checksum valid</x:v>
      </x:c>
      <x:c r="G164" s="42" t="str">
        <x:v>High</x:v>
      </x:c>
      <x:c r="H164" s="42" t="str">
        <x:v>2026-09-07</x:v>
      </x:c>
      <x:c r="I164" s="42" t="str">
        <x:v>https://www.vesselfinder.com/vessels/details/1056032</x:v>
      </x:c>
      <x:c r="J164" s="42" t="str">
        <x:v>SRC_0102</x:v>
      </x:c>
      <x:c r="K164" s="42" t="str">
        <x:v>Operating</x:v>
      </x:c>
      <x:c r="L164" s="42" t="str">
        <x:v>IMO added in v1.3 enrichment pass.</x:v>
      </x:c>
    </x:row>
    <x:row r="165">
      <x:c r="A165" s="42" t="str">
        <x:v>VESSEL_00164</x:v>
      </x:c>
      <x:c r="B165" s="42" t="str">
        <x:v>Asia Excellence</x:v>
      </x:c>
      <x:c r="C165" s="42" t="str">
        <x:v>COMP_CHEVRON</x:v>
      </x:c>
      <x:c r="D165" s="42" t="str">
        <x:v>Chevron Corporation</x:v>
      </x:c>
      <x:c r="E165" s="163" t="str">
        <x:v>9610767</x:v>
      </x:c>
      <x:c r="F165" s="42" t="str">
        <x:v>IMO populated — checksum valid</x:v>
      </x:c>
      <x:c r="G165" s="42" t="str">
        <x:v>High</x:v>
      </x:c>
      <x:c r="H165" s="42" t="str">
        <x:v>2026-09-07</x:v>
      </x:c>
      <x:c r="I165" s="42" t="str">
        <x:v>https://www.vesselfinder.com/vessels/details/9610767</x:v>
      </x:c>
      <x:c r="J165" s="42" t="str">
        <x:v>SRC_0105</x:v>
      </x:c>
      <x:c r="K165" s="42" t="str">
        <x:v>Operating</x:v>
      </x:c>
      <x:c r="L165" s="42" t="str">
        <x:v>IMO added in v1.3 enrichment pass.</x:v>
      </x:c>
    </x:row>
    <x:row r="166">
      <x:c r="A166" s="42" t="str">
        <x:v>VESSEL_00165</x:v>
      </x:c>
      <x:c r="B166" s="42" t="str">
        <x:v>P. Long Beach</x:v>
      </x:c>
      <x:c r="C166" s="42" t="str">
        <x:v>COMP_PERFORMANCE_SHIPPING</x:v>
      </x:c>
      <x:c r="D166" s="42" t="str">
        <x:v>Performance Shipping Inc.</x:v>
      </x:c>
      <x:c r="E166" s="163" t="str">
        <x:v>9656890</x:v>
      </x:c>
      <x:c r="F166" s="42" t="str">
        <x:v>IMO populated — checksum valid</x:v>
      </x:c>
      <x:c r="G166" s="42" t="str">
        <x:v>High</x:v>
      </x:c>
      <x:c r="H166" s="42" t="str">
        <x:v>2026-09-07</x:v>
      </x:c>
      <x:c r="I166" s="42" t="str">
        <x:v>https://tankermap.com/vessel/9656890</x:v>
      </x:c>
      <x:c r="J166" s="42" t="str">
        <x:v>SRC_0109</x:v>
      </x:c>
      <x:c r="K166" s="42" t="str">
        <x:v>Operating / chartered</x:v>
      </x:c>
      <x:c r="L166" s="42" t="str">
        <x:v>IMO added in v1.3 enrichment pass.</x:v>
      </x:c>
    </x:row>
    <x:row r="167">
      <x:c r="A167" s="42" t="str">
        <x:v>VESSEL_00166</x:v>
      </x:c>
      <x:c r="B167" s="42" t="str">
        <x:v>Largo Eagle</x:v>
      </x:c>
      <x:c r="C167" s="42"/>
      <x:c r="D167" s="42" t="str">
        <x:v>Unresolved / charter exposure</x:v>
      </x:c>
      <x:c r="E167" s="163" t="str">
        <x:v>9935911</x:v>
      </x:c>
      <x:c r="F167" s="42" t="str">
        <x:v>IMO populated — checksum valid</x:v>
      </x:c>
      <x:c r="G167" s="42" t="str">
        <x:v>High</x:v>
      </x:c>
      <x:c r="H167" s="42" t="str">
        <x:v>2026-09-07</x:v>
      </x:c>
      <x:c r="I167" s="42" t="str">
        <x:v>https://www.vesselfinder.com/vessels/details/9935911</x:v>
      </x:c>
      <x:c r="J167" s="42" t="str">
        <x:v>SRC_0110</x:v>
      </x:c>
      <x:c r="K167" s="42" t="str">
        <x:v>Operating / cargo booking</x:v>
      </x:c>
      <x:c r="L167" s="42" t="str">
        <x:v>IMO added in v1.3 enrichment pass.</x:v>
      </x:c>
    </x:row>
    <x:row r="168">
      <x:c r="A168" s="42" t="str">
        <x:v>VESSEL_00167</x:v>
      </x:c>
      <x:c r="B168" s="42" t="str">
        <x:v>Nord Ventura</x:v>
      </x:c>
      <x:c r="C168" s="42"/>
      <x:c r="D168" s="42" t="str">
        <x:v>Unresolved / charter exposure</x:v>
      </x:c>
      <x:c r="E168" s="163" t="str">
        <x:v>9910337</x:v>
      </x:c>
      <x:c r="F168" s="42" t="str">
        <x:v>IMO populated — checksum valid</x:v>
      </x:c>
      <x:c r="G168" s="42" t="str">
        <x:v>High</x:v>
      </x:c>
      <x:c r="H168" s="42" t="str">
        <x:v>2026-09-07</x:v>
      </x:c>
      <x:c r="I168" s="42" t="str">
        <x:v>https://www.vesselfinder.com/vessels/details/9910337</x:v>
      </x:c>
      <x:c r="J168" s="42" t="str">
        <x:v>SRC_0110</x:v>
      </x:c>
      <x:c r="K168" s="42" t="str">
        <x:v>Operating / cargo booking</x:v>
      </x:c>
      <x:c r="L168" s="42" t="str">
        <x:v>IMO added in v1.3 enrichment pass.</x:v>
      </x:c>
    </x:row>
    <x:row r="169">
      <x:c r="A169" s="42" t="str">
        <x:v>VESSEL_00168</x:v>
      </x:c>
      <x:c r="B169" s="42" t="str">
        <x:v>Rex Tillerson</x:v>
      </x:c>
      <x:c r="C169" s="42"/>
      <x:c r="D169" s="42" t="str">
        <x:v>Unresolved / charter exposure</x:v>
      </x:c>
      <x:c r="E169" s="163" t="str">
        <x:v>9953248</x:v>
      </x:c>
      <x:c r="F169" s="42" t="str">
        <x:v>IMO populated — checksum valid</x:v>
      </x:c>
      <x:c r="G169" s="42" t="str">
        <x:v>High</x:v>
      </x:c>
      <x:c r="H169" s="42" t="str">
        <x:v>2026-09-07</x:v>
      </x:c>
      <x:c r="I169" s="42" t="str">
        <x:v>https://www.vesselfinder.com/vessels/details/9953248</x:v>
      </x:c>
      <x:c r="J169" s="42" t="str">
        <x:v>SRC_0086</x:v>
      </x:c>
      <x:c r="K169" s="42" t="str">
        <x:v>Operating / delivered 2024</x:v>
      </x:c>
      <x:c r="L169" s="42" t="str">
        <x:v>IMO added in v1.3 enrichment pass.</x:v>
      </x:c>
    </x:row>
    <x:row r="170">
      <x:c r="A170" s="102" t="str">
        <x:v>VESSEL_00169</x:v>
      </x:c>
      <x:c r="B170" s="102" t="str">
        <x:v>CAPT. KATTELMANN</x:v>
      </x:c>
      <x:c r="C170" s="102" t="str">
        <x:v>COMP_GFS_SHIP_MGMT</x:v>
      </x:c>
      <x:c r="D170" s="102" t="str">
        <x:v>GFS Ship Management FZE / role reconciliation</x:v>
      </x:c>
      <x:c r="E170" s="110" t="str">
        <x:v>9330915</x:v>
      </x:c>
      <x:c r="F170" s="102" t="str">
        <x:v>IMO populated — checksum valid</x:v>
      </x:c>
      <x:c r="G170" s="102" t="str">
        <x:v>High</x:v>
      </x:c>
      <x:c r="H170" s="102" t="str">
        <x:v>2026-09-07</x:v>
      </x:c>
      <x:c r="I170" s="102" t="str">
        <x:v>https://www.vesselfinder.com/vessels/details/9330915</x:v>
      </x:c>
      <x:c r="J170" s="102" t="str">
        <x:v>SRC_0179</x:v>
      </x:c>
      <x:c r="K170" s="102" t="str">
        <x:v>Operating</x:v>
      </x:c>
      <x:c r="L170" s="102" t="str">
        <x:v>IMO added in v1.4 GFS fleet seed; technical specs sourced from GFS Ship Management and cross-checked where public vessel registry data was available.</x:v>
      </x:c>
    </x:row>
    <x:row r="171">
      <x:c r="A171" s="102" t="str">
        <x:v>VESSEL_00170</x:v>
      </x:c>
      <x:c r="B171" s="102" t="str">
        <x:v>ATHENA</x:v>
      </x:c>
      <x:c r="C171" s="102" t="str">
        <x:v>COMP_GFS_SHIP_MGMT</x:v>
      </x:c>
      <x:c r="D171" s="102" t="str">
        <x:v>GFS Ship Management FZE / role reconciliation</x:v>
      </x:c>
      <x:c r="E171" s="110" t="str">
        <x:v>9187344</x:v>
      </x:c>
      <x:c r="F171" s="102" t="str">
        <x:v>IMO populated — checksum valid</x:v>
      </x:c>
      <x:c r="G171" s="102" t="str">
        <x:v>High</x:v>
      </x:c>
      <x:c r="H171" s="102" t="str">
        <x:v>2026-09-07</x:v>
      </x:c>
      <x:c r="I171" s="102" t="str">
        <x:v>https://www.vesselfinder.com/vessels/details/9187344</x:v>
      </x:c>
      <x:c r="J171" s="102" t="str">
        <x:v>SRC_0179</x:v>
      </x:c>
      <x:c r="K171" s="102" t="str">
        <x:v>Operating</x:v>
      </x:c>
      <x:c r="L171" s="102" t="str">
        <x:v>IMO added in v1.4 GFS fleet seed; technical specs sourced from GFS Ship Management and cross-checked where public vessel registry data was available.</x:v>
      </x:c>
    </x:row>
    <x:row r="172">
      <x:c r="A172" s="102" t="str">
        <x:v>VESSEL_00171</x:v>
      </x:c>
      <x:c r="B172" s="102" t="str">
        <x:v>GFS GALAXY</x:v>
      </x:c>
      <x:c r="C172" s="102" t="str">
        <x:v>COMP_GFS</x:v>
      </x:c>
      <x:c r="D172" s="102" t="str">
        <x:v>Global Feeder Shipping</x:v>
      </x:c>
      <x:c r="E172" s="110" t="str">
        <x:v>9401271</x:v>
      </x:c>
      <x:c r="F172" s="102" t="str">
        <x:v>IMO populated — checksum valid</x:v>
      </x:c>
      <x:c r="G172" s="102" t="str">
        <x:v>High</x:v>
      </x:c>
      <x:c r="H172" s="102" t="str">
        <x:v>2026-09-07</x:v>
      </x:c>
      <x:c r="I172" s="102" t="str">
        <x:v>https://www.vesselfinder.com/vessels/details/9401271</x:v>
      </x:c>
      <x:c r="J172" s="102" t="str">
        <x:v>SRC_0179</x:v>
      </x:c>
      <x:c r="K172" s="102" t="str">
        <x:v>Damaged / post-incident assessment</x:v>
      </x:c>
      <x:c r="L172" s="102" t="str">
        <x:v>IMO added in v1.4 GFS fleet seed; technical specs sourced from GFS Ship Management and cross-checked where public vessel registry data was available.</x:v>
      </x:c>
    </x:row>
    <x:row r="173">
      <x:c r="A173" s="102" t="str">
        <x:v>VESSEL_00172</x:v>
      </x:c>
      <x:c r="B173" s="102" t="str">
        <x:v>GFS GENESIS</x:v>
      </x:c>
      <x:c r="C173" s="102" t="str">
        <x:v>COMP_GFS_SHIP_MGMT</x:v>
      </x:c>
      <x:c r="D173" s="102" t="str">
        <x:v>GFS Ship Management FZE / role reconciliation</x:v>
      </x:c>
      <x:c r="E173" s="110" t="str">
        <x:v>9704659</x:v>
      </x:c>
      <x:c r="F173" s="102" t="str">
        <x:v>IMO populated — checksum valid</x:v>
      </x:c>
      <x:c r="G173" s="102" t="str">
        <x:v>High</x:v>
      </x:c>
      <x:c r="H173" s="102" t="str">
        <x:v>2026-09-07</x:v>
      </x:c>
      <x:c r="I173" s="102" t="str">
        <x:v>https://www.vesselfinder.com/vessels/details/9704659</x:v>
      </x:c>
      <x:c r="J173" s="102" t="str">
        <x:v>SRC_0179</x:v>
      </x:c>
      <x:c r="K173" s="102" t="str">
        <x:v>Operating</x:v>
      </x:c>
      <x:c r="L173" s="102" t="str">
        <x:v>IMO added in v1.4 GFS fleet seed; technical specs sourced from GFS Ship Management and cross-checked where public vessel registry data was available.</x:v>
      </x:c>
    </x:row>
    <x:row r="174">
      <x:c r="A174" s="102" t="str">
        <x:v>VESSEL_00173</x:v>
      </x:c>
      <x:c r="B174" s="102" t="str">
        <x:v>GFS PRECIOUS</x:v>
      </x:c>
      <x:c r="C174" s="102" t="str">
        <x:v>COMP_GFS_SHIP_MGMT</x:v>
      </x:c>
      <x:c r="D174" s="102" t="str">
        <x:v>GFS Ship Management FZE / role reconciliation</x:v>
      </x:c>
      <x:c r="E174" s="110" t="str">
        <x:v>9436434</x:v>
      </x:c>
      <x:c r="F174" s="102" t="str">
        <x:v>IMO populated — checksum valid</x:v>
      </x:c>
      <x:c r="G174" s="102" t="str">
        <x:v>High</x:v>
      </x:c>
      <x:c r="H174" s="102" t="str">
        <x:v>2026-09-07</x:v>
      </x:c>
      <x:c r="I174" s="102" t="str">
        <x:v>https://www.vesselfinder.com/vessels/details/9436434</x:v>
      </x:c>
      <x:c r="J174" s="102" t="str">
        <x:v>SRC_0179</x:v>
      </x:c>
      <x:c r="K174" s="102" t="str">
        <x:v>Operating</x:v>
      </x:c>
      <x:c r="L174" s="102" t="str">
        <x:v>IMO added in v1.4 GFS fleet seed; technical specs sourced from GFS Ship Management and cross-checked where public vessel registry data was available.</x:v>
      </x:c>
    </x:row>
    <x:row r="175">
      <x:c r="A175" s="102" t="str">
        <x:v>VESSEL_00174</x:v>
      </x:c>
      <x:c r="B175" s="102" t="str">
        <x:v>GFS GISELLE</x:v>
      </x:c>
      <x:c r="C175" s="102" t="str">
        <x:v>COMP_GFS_SHIP_MGMT</x:v>
      </x:c>
      <x:c r="D175" s="102" t="str">
        <x:v>GFS Ship Management FZE / role reconciliation</x:v>
      </x:c>
      <x:c r="E175" s="110" t="str">
        <x:v>9704661</x:v>
      </x:c>
      <x:c r="F175" s="102" t="str">
        <x:v>IMO populated — checksum valid</x:v>
      </x:c>
      <x:c r="G175" s="102" t="str">
        <x:v>High</x:v>
      </x:c>
      <x:c r="H175" s="102" t="str">
        <x:v>2026-09-07</x:v>
      </x:c>
      <x:c r="I175" s="102" t="str">
        <x:v>https://www.vesselfinder.com/vessels/details/9704661</x:v>
      </x:c>
      <x:c r="J175" s="102" t="str">
        <x:v>SRC_0179</x:v>
      </x:c>
      <x:c r="K175" s="102" t="str">
        <x:v>Operating</x:v>
      </x:c>
      <x:c r="L175" s="102" t="str">
        <x:v>IMO added in v1.4 GFS fleet seed; technical specs sourced from GFS Ship Management and cross-checked where public vessel registry data was available.</x:v>
      </x:c>
    </x:row>
    <x:row r="176">
      <x:c r="A176" s="102" t="str">
        <x:v>VESSEL_00175</x:v>
      </x:c>
      <x:c r="B176" s="102" t="str">
        <x:v>GFS RUBY</x:v>
      </x:c>
      <x:c r="C176" s="102" t="str">
        <x:v>COMP_GFS_SHIP_MGMT</x:v>
      </x:c>
      <x:c r="D176" s="102" t="str">
        <x:v>GFS Ship Management FZE / role reconciliation</x:v>
      </x:c>
      <x:c r="E176" s="110" t="str">
        <x:v>9455909</x:v>
      </x:c>
      <x:c r="F176" s="102" t="str">
        <x:v>IMO populated — checksum valid</x:v>
      </x:c>
      <x:c r="G176" s="102" t="str">
        <x:v>High</x:v>
      </x:c>
      <x:c r="H176" s="102" t="str">
        <x:v>2026-09-07</x:v>
      </x:c>
      <x:c r="I176" s="102" t="str">
        <x:v>https://www.vesselfinder.com/vessels/details/9455909</x:v>
      </x:c>
      <x:c r="J176" s="102" t="str">
        <x:v>SRC_0179</x:v>
      </x:c>
      <x:c r="K176" s="102" t="str">
        <x:v>Operating</x:v>
      </x:c>
      <x:c r="L176" s="102" t="str">
        <x:v>IMO added in v1.4 GFS fleet seed; technical specs sourced from GFS Ship Management and cross-checked where public vessel registry data was available.</x:v>
      </x:c>
    </x:row>
    <x:row r="177">
      <x:c r="A177" s="102" t="str">
        <x:v>VESSEL_00176</x:v>
      </x:c>
      <x:c r="B177" s="102" t="str">
        <x:v>GFS PRESTIGE</x:v>
      </x:c>
      <x:c r="C177" s="102" t="str">
        <x:v>COMP_GFS_SHIP_MGMT</x:v>
      </x:c>
      <x:c r="D177" s="102" t="str">
        <x:v>GFS Ship Management FZE / role reconciliation</x:v>
      </x:c>
      <x:c r="E177" s="110" t="str">
        <x:v>9303819</x:v>
      </x:c>
      <x:c r="F177" s="102" t="str">
        <x:v>IMO populated — checksum valid</x:v>
      </x:c>
      <x:c r="G177" s="102" t="str">
        <x:v>High</x:v>
      </x:c>
      <x:c r="H177" s="102" t="str">
        <x:v>2026-09-07</x:v>
      </x:c>
      <x:c r="I177" s="102" t="str">
        <x:v>https://www.vesselfinder.com/vessels/details/9303819</x:v>
      </x:c>
      <x:c r="J177" s="102" t="str">
        <x:v>SRC_0179</x:v>
      </x:c>
      <x:c r="K177" s="102" t="str">
        <x:v>Operating</x:v>
      </x:c>
      <x:c r="L177" s="102" t="str">
        <x:v>IMO added in v1.4 GFS fleet seed; technical specs sourced from GFS Ship Management and cross-checked where public vessel registry data was available.</x:v>
      </x:c>
    </x:row>
    <x:row r="178">
      <x:c r="A178" s="102" t="str">
        <x:v>VESSEL_00177</x:v>
      </x:c>
      <x:c r="B178" s="102" t="str">
        <x:v>GFS PRIDE</x:v>
      </x:c>
      <x:c r="C178" s="102" t="str">
        <x:v>COMP_GFS</x:v>
      </x:c>
      <x:c r="D178" s="102" t="str">
        <x:v>Global Feeder Shipping</x:v>
      </x:c>
      <x:c r="E178" s="110" t="str">
        <x:v>9349045</x:v>
      </x:c>
      <x:c r="F178" s="102" t="str">
        <x:v>IMO populated — checksum valid</x:v>
      </x:c>
      <x:c r="G178" s="102" t="str">
        <x:v>High</x:v>
      </x:c>
      <x:c r="H178" s="102" t="str">
        <x:v>2026-09-07</x:v>
      </x:c>
      <x:c r="I178" s="102" t="str">
        <x:v>https://www.vesselfinder.com/vessels/details/9349045</x:v>
      </x:c>
      <x:c r="J178" s="102" t="str">
        <x:v>SRC_0179</x:v>
      </x:c>
      <x:c r="K178" s="102" t="str">
        <x:v>Operating</x:v>
      </x:c>
      <x:c r="L178" s="102" t="str">
        <x:v>IMO added in v1.4 GFS fleet seed; technical specs sourced from GFS Ship Management and cross-checked where public vessel registry data was available.</x:v>
      </x:c>
    </x:row>
    <x:row r="179">
      <x:c r="A179" s="102" t="str">
        <x:v>VESSEL_00178</x:v>
      </x:c>
      <x:c r="B179" s="102" t="str">
        <x:v>GFS RANNA</x:v>
      </x:c>
      <x:c r="C179" s="102" t="str">
        <x:v>COMP_GFS_SHIP_MGMT</x:v>
      </x:c>
      <x:c r="D179" s="102" t="str">
        <x:v>GFS Ship Management FZE / role reconciliation</x:v>
      </x:c>
      <x:c r="E179" s="110" t="str">
        <x:v>9137569</x:v>
      </x:c>
      <x:c r="F179" s="102" t="str">
        <x:v>IMO populated — checksum valid</x:v>
      </x:c>
      <x:c r="G179" s="102" t="str">
        <x:v>High</x:v>
      </x:c>
      <x:c r="H179" s="102" t="str">
        <x:v>2026-09-07</x:v>
      </x:c>
      <x:c r="I179" s="102" t="str">
        <x:v>https://www.vesselfinder.com/vessels/details/9137569</x:v>
      </x:c>
      <x:c r="J179" s="102" t="str">
        <x:v>SRC_0179</x:v>
      </x:c>
      <x:c r="K179" s="102" t="str">
        <x:v>Operating</x:v>
      </x:c>
      <x:c r="L179" s="102" t="str">
        <x:v>IMO added in v1.4 GFS fleet seed; technical specs sourced from GFS Ship Management and cross-checked where public vessel registry data was available.</x:v>
      </x:c>
    </x:row>
    <x:row r="180">
      <x:c r="A180" s="102" t="str">
        <x:v>VESSEL_00179</x:v>
      </x:c>
      <x:c r="B180" s="102" t="str">
        <x:v>GFS JADE</x:v>
      </x:c>
      <x:c r="C180" s="102" t="str">
        <x:v>COMP_GFS_SHIP_MGMT</x:v>
      </x:c>
      <x:c r="D180" s="102" t="str">
        <x:v>GFS Ship Management FZE / role reconciliation</x:v>
      </x:c>
      <x:c r="E180" s="110" t="str">
        <x:v>9187863</x:v>
      </x:c>
      <x:c r="F180" s="102" t="str">
        <x:v>IMO populated — checksum valid</x:v>
      </x:c>
      <x:c r="G180" s="102" t="str">
        <x:v>High</x:v>
      </x:c>
      <x:c r="H180" s="102" t="str">
        <x:v>2026-09-07</x:v>
      </x:c>
      <x:c r="I180" s="102" t="str">
        <x:v>https://www.vesselfinder.com/vessels/details/9187863</x:v>
      </x:c>
      <x:c r="J180" s="102" t="str">
        <x:v>SRC_0179</x:v>
      </x:c>
      <x:c r="K180" s="102" t="str">
        <x:v>Operating</x:v>
      </x:c>
      <x:c r="L180" s="102" t="str">
        <x:v>IMO added in v1.4 GFS fleet seed; technical specs sourced from GFS Ship Management and cross-checked where public vessel registry data was available.</x:v>
      </x:c>
    </x:row>
    <x:row r="181">
      <x:c r="A181" s="102" t="str">
        <x:v>VESSEL_00180</x:v>
      </x:c>
      <x:c r="B181" s="102" t="str">
        <x:v>GFS PERFECT</x:v>
      </x:c>
      <x:c r="C181" s="102" t="str">
        <x:v>COMP_GFS_SHIP_MGMT</x:v>
      </x:c>
      <x:c r="D181" s="102" t="str">
        <x:v>GFS Ship Management FZE / role reconciliation</x:v>
      </x:c>
      <x:c r="E181" s="110" t="str">
        <x:v>9308039</x:v>
      </x:c>
      <x:c r="F181" s="102" t="str">
        <x:v>IMO populated — checksum valid</x:v>
      </x:c>
      <x:c r="G181" s="102" t="str">
        <x:v>High</x:v>
      </x:c>
      <x:c r="H181" s="102" t="str">
        <x:v>2026-09-07</x:v>
      </x:c>
      <x:c r="I181" s="102" t="str">
        <x:v>https://www.vesselfinder.com/vessels/details/9308039</x:v>
      </x:c>
      <x:c r="J181" s="102" t="str">
        <x:v>SRC_0179</x:v>
      </x:c>
      <x:c r="K181" s="102" t="str">
        <x:v>Operating</x:v>
      </x:c>
      <x:c r="L181" s="102" t="str">
        <x:v>IMO added in v1.4 GFS fleet seed; technical specs sourced from GFS Ship Management and cross-checked where public vessel registry data was available.</x:v>
      </x:c>
    </x:row>
    <x:row r="182">
      <x:c r="A182" s="102" t="str">
        <x:v>VESSEL_00181</x:v>
      </x:c>
      <x:c r="B182" s="102" t="str">
        <x:v>GFS PEARL</x:v>
      </x:c>
      <x:c r="C182" s="102" t="str">
        <x:v>COMP_GFS_SHIP_MGMT</x:v>
      </x:c>
      <x:c r="D182" s="102" t="str">
        <x:v>GFS Ship Management FZE / role reconciliation</x:v>
      </x:c>
      <x:c r="E182" s="110" t="str">
        <x:v>9320051</x:v>
      </x:c>
      <x:c r="F182" s="102" t="str">
        <x:v>IMO populated — checksum valid</x:v>
      </x:c>
      <x:c r="G182" s="102" t="str">
        <x:v>High</x:v>
      </x:c>
      <x:c r="H182" s="102" t="str">
        <x:v>2026-09-07</x:v>
      </x:c>
      <x:c r="I182" s="102" t="str">
        <x:v>https://www.vesselfinder.com/vessels/details/9320051</x:v>
      </x:c>
      <x:c r="J182" s="102" t="str">
        <x:v>SRC_0179</x:v>
      </x:c>
      <x:c r="K182" s="102" t="str">
        <x:v>Operating</x:v>
      </x:c>
      <x:c r="L182" s="102" t="str">
        <x:v>IMO added in v1.4 GFS fleet seed; technical specs sourced from GFS Ship Management and cross-checked where public vessel registry data was available.</x:v>
      </x:c>
    </x:row>
    <x:row r="183">
      <x:c r="A183" s="102" t="str">
        <x:v>VESSEL_00182</x:v>
      </x:c>
      <x:c r="B183" s="102" t="str">
        <x:v>GFS JUNO</x:v>
      </x:c>
      <x:c r="C183" s="102" t="str">
        <x:v>COMP_GFS_SHIP_MGMT</x:v>
      </x:c>
      <x:c r="D183" s="102" t="str">
        <x:v>GFS Ship Management FZE / role reconciliation</x:v>
      </x:c>
      <x:c r="E183" s="110" t="str">
        <x:v>9187875</x:v>
      </x:c>
      <x:c r="F183" s="102" t="str">
        <x:v>IMO populated — checksum valid</x:v>
      </x:c>
      <x:c r="G183" s="102" t="str">
        <x:v>High</x:v>
      </x:c>
      <x:c r="H183" s="102" t="str">
        <x:v>2026-09-07</x:v>
      </x:c>
      <x:c r="I183" s="102" t="str">
        <x:v>https://www.vesselfinder.com/vessels/details/9187875</x:v>
      </x:c>
      <x:c r="J183" s="102" t="str">
        <x:v>SRC_0179</x:v>
      </x:c>
      <x:c r="K183" s="102" t="str">
        <x:v>Operating</x:v>
      </x:c>
      <x:c r="L183" s="102" t="str">
        <x:v>IMO added in v1.4 GFS fleet seed; technical specs sourced from GFS Ship Management and cross-checked where public vessel registry data was available.</x:v>
      </x:c>
    </x:row>
    <x:row r="184">
      <x:c r="A184" s="102" t="str">
        <x:v>VESSEL_00183</x:v>
      </x:c>
      <x:c r="B184" s="102" t="str">
        <x:v>GFS PRIME</x:v>
      </x:c>
      <x:c r="C184" s="102" t="str">
        <x:v>COMP_GFS_SHIP_MGMT</x:v>
      </x:c>
      <x:c r="D184" s="102" t="str">
        <x:v>GFS Ship Management FZE / role reconciliation</x:v>
      </x:c>
      <x:c r="E184" s="110" t="str">
        <x:v>9311749</x:v>
      </x:c>
      <x:c r="F184" s="102" t="str">
        <x:v>IMO populated — checksum valid</x:v>
      </x:c>
      <x:c r="G184" s="102" t="str">
        <x:v>High</x:v>
      </x:c>
      <x:c r="H184" s="102" t="str">
        <x:v>2026-09-07</x:v>
      </x:c>
      <x:c r="I184" s="102" t="str">
        <x:v>https://www.vesselfinder.com/vessels/details/9311749</x:v>
      </x:c>
      <x:c r="J184" s="102" t="str">
        <x:v>SRC_0179</x:v>
      </x:c>
      <x:c r="K184" s="102" t="str">
        <x:v>Operating</x:v>
      </x:c>
      <x:c r="L184" s="102" t="str">
        <x:v>IMO added in v1.4 GFS fleet seed; technical specs sourced from GFS Ship Management and cross-checked where public vessel registry data was available.</x:v>
      </x:c>
    </x:row>
    <x:row r="185">
      <x:c r="A185" s="102" t="str">
        <x:v>VESSEL_00184</x:v>
      </x:c>
      <x:c r="B185" s="102" t="str">
        <x:v>GFS SAPPHIRE</x:v>
      </x:c>
      <x:c r="C185" s="102" t="str">
        <x:v>COMP_GFS_SHIP_MGMT</x:v>
      </x:c>
      <x:c r="D185" s="102" t="str">
        <x:v>GFS Ship Management FZE / role reconciliation</x:v>
      </x:c>
      <x:c r="E185" s="110" t="str">
        <x:v>9330927</x:v>
      </x:c>
      <x:c r="F185" s="102" t="str">
        <x:v>IMO populated — checksum valid</x:v>
      </x:c>
      <x:c r="G185" s="102" t="str">
        <x:v>High</x:v>
      </x:c>
      <x:c r="H185" s="102" t="str">
        <x:v>2026-09-07</x:v>
      </x:c>
      <x:c r="I185" s="102" t="str">
        <x:v>https://www.vesselfinder.com/vessels/details/9330927</x:v>
      </x:c>
      <x:c r="J185" s="102" t="str">
        <x:v>SRC_0179</x:v>
      </x:c>
      <x:c r="K185" s="102" t="str">
        <x:v>Operating</x:v>
      </x:c>
      <x:c r="L185" s="102" t="str">
        <x:v>IMO added in v1.4 GFS fleet seed; technical specs sourced from GFS Ship Management and cross-checked where public vessel registry data was available.</x:v>
      </x:c>
    </x:row>
    <x:row r="186">
      <x:c r="A186" s="102" t="str">
        <x:v>VESSEL_00185</x:v>
      </x:c>
      <x:c r="B186" s="102" t="str">
        <x:v>SIGYN W</x:v>
      </x:c>
      <x:c r="C186" s="102"/>
      <x:c r="D186" s="102" t="str">
        <x:v>Unresolved ownership/operator; canonical IMO seed</x:v>
      </x:c>
      <x:c r="E186" s="110" t="str">
        <x:v>9754446</x:v>
      </x:c>
      <x:c r="F186" s="102" t="str">
        <x:v>IMO populated — checksum valid</x:v>
      </x:c>
      <x:c r="G186" s="102" t="str">
        <x:v>High</x:v>
      </x:c>
      <x:c r="H186" s="102" t="str">
        <x:v>2026-09-07</x:v>
      </x:c>
      <x:c r="I186" s="102" t="str">
        <x:v>https://www.vesselfinder.com/vessels/details/9754446</x:v>
      </x:c>
      <x:c r="J186" s="102" t="str">
        <x:v>SRC_0191</x:v>
      </x:c>
      <x:c r="K186" s="102" t="str">
        <x:v>Operating / schedule-observed</x:v>
      </x:c>
      <x:c r="L186" s="102" t="str">
        <x:v>Added in v1.5 fleet-build pass. Schedule evidence is not treated as ownership evidence.</x:v>
      </x:c>
    </x:row>
    <x:row r="187">
      <x:c r="A187" s="102" t="str">
        <x:v>VESSEL_00186</x:v>
      </x:c>
      <x:c r="B187" s="102" t="str">
        <x:v>KOI</x:v>
      </x:c>
      <x:c r="C187" s="102"/>
      <x:c r="D187" s="102" t="str">
        <x:v>Unresolved ownership/operator; canonical IMO seed</x:v>
      </x:c>
      <x:c r="E187" s="110" t="str">
        <x:v>9461489</x:v>
      </x:c>
      <x:c r="F187" s="102" t="str">
        <x:v>IMO populated — checksum valid</x:v>
      </x:c>
      <x:c r="G187" s="102" t="str">
        <x:v>High</x:v>
      </x:c>
      <x:c r="H187" s="102" t="str">
        <x:v>2026-09-07</x:v>
      </x:c>
      <x:c r="I187" s="102" t="str">
        <x:v>https://www.vesselfinder.com/vessels/details/9461489</x:v>
      </x:c>
      <x:c r="J187" s="102" t="str">
        <x:v>SRC_0191</x:v>
      </x:c>
      <x:c r="K187" s="102" t="str">
        <x:v>Operating / schedule-observed</x:v>
      </x:c>
      <x:c r="L187" s="102" t="str">
        <x:v>Added in v1.5 fleet-build pass. Schedule evidence is not treated as ownership evidence.</x:v>
      </x:c>
    </x:row>
    <x:row r="188">
      <x:c r="A188" s="102" t="str">
        <x:v>VESSEL_00187</x:v>
      </x:c>
      <x:c r="B188" s="102" t="str">
        <x:v>CMA CGM AMBER</x:v>
      </x:c>
      <x:c r="C188" s="102"/>
      <x:c r="D188" s="102" t="str">
        <x:v>Unresolved ownership/operator; canonical IMO seed</x:v>
      </x:c>
      <x:c r="E188" s="110" t="str">
        <x:v>9350381</x:v>
      </x:c>
      <x:c r="F188" s="102" t="str">
        <x:v>IMO populated — checksum valid</x:v>
      </x:c>
      <x:c r="G188" s="102" t="str">
        <x:v>High</x:v>
      </x:c>
      <x:c r="H188" s="102" t="str">
        <x:v>2026-09-07</x:v>
      </x:c>
      <x:c r="I188" s="102" t="str">
        <x:v>https://www.vesselfinder.com/vessels/details/9350381</x:v>
      </x:c>
      <x:c r="J188" s="102" t="str">
        <x:v>SRC_0191</x:v>
      </x:c>
      <x:c r="K188" s="102" t="str">
        <x:v>Operating / schedule-observed</x:v>
      </x:c>
      <x:c r="L188" s="102" t="str">
        <x:v>Added in v1.5 fleet-build pass. Schedule evidence is not treated as ownership evidence.</x:v>
      </x:c>
    </x:row>
    <x:row r="189">
      <x:c r="A189" s="102" t="str">
        <x:v>VESSEL_00188</x:v>
      </x:c>
      <x:c r="B189" s="102" t="str">
        <x:v>CMA CGM SORBONNE</x:v>
      </x:c>
      <x:c r="C189" s="102"/>
      <x:c r="D189" s="102" t="str">
        <x:v>Unresolved ownership/operator; canonical IMO seed</x:v>
      </x:c>
      <x:c r="E189" s="110" t="str">
        <x:v>9839210</x:v>
      </x:c>
      <x:c r="F189" s="102" t="str">
        <x:v>IMO populated — checksum valid</x:v>
      </x:c>
      <x:c r="G189" s="102" t="str">
        <x:v>High</x:v>
      </x:c>
      <x:c r="H189" s="102" t="str">
        <x:v>2026-09-07</x:v>
      </x:c>
      <x:c r="I189" s="102" t="str">
        <x:v>https://www.vesselfinder.com/vessels/details/9839210</x:v>
      </x:c>
      <x:c r="J189" s="102" t="str">
        <x:v>SRC_0191</x:v>
      </x:c>
      <x:c r="K189" s="102" t="str">
        <x:v>Operating / schedule-observed</x:v>
      </x:c>
      <x:c r="L189" s="102" t="str">
        <x:v>Added in v1.5 fleet-build pass. Schedule evidence is not treated as ownership evidence.</x:v>
      </x:c>
    </x:row>
    <x:row r="190">
      <x:c r="A190" s="102" t="str">
        <x:v>VESSEL_00189</x:v>
      </x:c>
      <x:c r="B190" s="102" t="str">
        <x:v>CMA CGM MEKONG</x:v>
      </x:c>
      <x:c r="C190" s="102"/>
      <x:c r="D190" s="102" t="str">
        <x:v>Unresolved ownership/operator; canonical IMO seed</x:v>
      </x:c>
      <x:c r="E190" s="110" t="str">
        <x:v>9718105</x:v>
      </x:c>
      <x:c r="F190" s="102" t="str">
        <x:v>IMO populated — checksum valid</x:v>
      </x:c>
      <x:c r="G190" s="102" t="str">
        <x:v>High</x:v>
      </x:c>
      <x:c r="H190" s="102" t="str">
        <x:v>2026-09-07</x:v>
      </x:c>
      <x:c r="I190" s="102" t="str">
        <x:v>https://www.vesselfinder.com/vessels/details/9718105</x:v>
      </x:c>
      <x:c r="J190" s="102" t="str">
        <x:v>SRC_0191</x:v>
      </x:c>
      <x:c r="K190" s="102" t="str">
        <x:v>Operating / schedule-observed</x:v>
      </x:c>
      <x:c r="L190" s="102" t="str">
        <x:v>Added in v1.5 fleet-build pass. Schedule evidence is not treated as ownership evidence.</x:v>
      </x:c>
    </x:row>
    <x:row r="191">
      <x:c r="A191" s="102" t="str">
        <x:v>VESSEL_00190</x:v>
      </x:c>
      <x:c r="B191" s="102" t="str">
        <x:v>MSC UTMOST VIII</x:v>
      </x:c>
      <x:c r="C191" s="102"/>
      <x:c r="D191" s="102" t="str">
        <x:v>Unresolved ownership/operator; canonical IMO seed</x:v>
      </x:c>
      <x:c r="E191" s="110" t="str">
        <x:v>9302621</x:v>
      </x:c>
      <x:c r="F191" s="102" t="str">
        <x:v>IMO populated — checksum valid</x:v>
      </x:c>
      <x:c r="G191" s="102" t="str">
        <x:v>High</x:v>
      </x:c>
      <x:c r="H191" s="102" t="str">
        <x:v>2026-09-07</x:v>
      </x:c>
      <x:c r="I191" s="102" t="str">
        <x:v>https://www.vesselfinder.com/vessels/details/9302621</x:v>
      </x:c>
      <x:c r="J191" s="102" t="str">
        <x:v>SRC_0192</x:v>
      </x:c>
      <x:c r="K191" s="102" t="str">
        <x:v>Operating / schedule-observed</x:v>
      </x:c>
      <x:c r="L191" s="102" t="str">
        <x:v>Added in v1.5 fleet-build pass. Schedule evidence is not treated as ownership evidence.</x:v>
      </x:c>
    </x:row>
    <x:row r="192">
      <x:c r="A192" s="102" t="str">
        <x:v>VESSEL_00191</x:v>
      </x:c>
      <x:c r="B192" s="102" t="str">
        <x:v>MSC TARA III</x:v>
      </x:c>
      <x:c r="C192" s="102"/>
      <x:c r="D192" s="102" t="str">
        <x:v>Unresolved ownership/operator; canonical IMO seed</x:v>
      </x:c>
      <x:c r="E192" s="110" t="str">
        <x:v>9259381</x:v>
      </x:c>
      <x:c r="F192" s="102" t="str">
        <x:v>IMO populated — checksum valid</x:v>
      </x:c>
      <x:c r="G192" s="102" t="str">
        <x:v>High</x:v>
      </x:c>
      <x:c r="H192" s="102" t="str">
        <x:v>2026-09-07</x:v>
      </x:c>
      <x:c r="I192" s="102" t="str">
        <x:v>https://www.vesselfinder.com/vessels/details/9259381</x:v>
      </x:c>
      <x:c r="J192" s="102" t="str">
        <x:v>SRC_0192</x:v>
      </x:c>
      <x:c r="K192" s="102" t="str">
        <x:v>Operating / schedule-observed</x:v>
      </x:c>
      <x:c r="L192" s="102" t="str">
        <x:v>Added in v1.5 fleet-build pass. Schedule evidence is not treated as ownership evidence.</x:v>
      </x:c>
    </x:row>
    <x:row r="193">
      <x:c r="A193" s="102" t="str">
        <x:v>VESSEL_00192</x:v>
      </x:c>
      <x:c r="B193" s="102" t="str">
        <x:v>MSC KAYLA</x:v>
      </x:c>
      <x:c r="C193" s="102"/>
      <x:c r="D193" s="102" t="str">
        <x:v>Unresolved ownership/operator; canonical IMO seed</x:v>
      </x:c>
      <x:c r="E193" s="110" t="str">
        <x:v>9242637</x:v>
      </x:c>
      <x:c r="F193" s="102" t="str">
        <x:v>IMO populated — checksum valid</x:v>
      </x:c>
      <x:c r="G193" s="102" t="str">
        <x:v>High</x:v>
      </x:c>
      <x:c r="H193" s="102" t="str">
        <x:v>2026-09-07</x:v>
      </x:c>
      <x:c r="I193" s="102" t="str">
        <x:v>https://www.vesselfinder.com/vessels/details/9242637</x:v>
      </x:c>
      <x:c r="J193" s="102" t="str">
        <x:v>SRC_0192</x:v>
      </x:c>
      <x:c r="K193" s="102" t="str">
        <x:v>Operating / schedule-observed</x:v>
      </x:c>
      <x:c r="L193" s="102" t="str">
        <x:v>Added in v1.5 fleet-build pass. Schedule evidence is not treated as ownership evidence.</x:v>
      </x:c>
    </x:row>
    <x:row r="194">
      <x:c r="A194" s="102" t="str">
        <x:v>VESSEL_00193</x:v>
      </x:c>
      <x:c r="B194" s="102" t="str">
        <x:v>MSC JENNY II</x:v>
      </x:c>
      <x:c r="C194" s="102"/>
      <x:c r="D194" s="102" t="str">
        <x:v>Unresolved ownership/operator; canonical IMO seed</x:v>
      </x:c>
      <x:c r="E194" s="110" t="str">
        <x:v>9000742</x:v>
      </x:c>
      <x:c r="F194" s="102" t="str">
        <x:v>IMO populated — checksum valid</x:v>
      </x:c>
      <x:c r="G194" s="102" t="str">
        <x:v>High</x:v>
      </x:c>
      <x:c r="H194" s="102" t="str">
        <x:v>2026-09-07</x:v>
      </x:c>
      <x:c r="I194" s="102" t="str">
        <x:v>https://www.vesselfinder.com/vessels/details/9000742</x:v>
      </x:c>
      <x:c r="J194" s="102" t="str">
        <x:v>SRC_0192</x:v>
      </x:c>
      <x:c r="K194" s="102" t="str">
        <x:v>Operating / schedule-observed</x:v>
      </x:c>
      <x:c r="L194" s="102" t="str">
        <x:v>Added in v1.5 fleet-build pass. Schedule evidence is not treated as ownership evidence.</x:v>
      </x:c>
    </x:row>
    <x:row r="195">
      <x:c r="A195" s="102" t="str">
        <x:v>VESSEL_00194</x:v>
      </x:c>
      <x:c r="B195" s="102" t="str">
        <x:v>MSC SHANGHAI V</x:v>
      </x:c>
      <x:c r="C195" s="102"/>
      <x:c r="D195" s="102" t="str">
        <x:v>Unresolved ownership/operator; canonical IMO seed</x:v>
      </x:c>
      <x:c r="E195" s="110" t="str">
        <x:v>9231822</x:v>
      </x:c>
      <x:c r="F195" s="102" t="str">
        <x:v>IMO populated — checksum valid</x:v>
      </x:c>
      <x:c r="G195" s="102" t="str">
        <x:v>High</x:v>
      </x:c>
      <x:c r="H195" s="102" t="str">
        <x:v>2026-09-07</x:v>
      </x:c>
      <x:c r="I195" s="102" t="str">
        <x:v>https://www.vesselfinder.com/vessels/details/9231822</x:v>
      </x:c>
      <x:c r="J195" s="102" t="str">
        <x:v>SRC_0192</x:v>
      </x:c>
      <x:c r="K195" s="102" t="str">
        <x:v>Operating / schedule-observed</x:v>
      </x:c>
      <x:c r="L195" s="102" t="str">
        <x:v>Added in v1.5 fleet-build pass. Schedule evidence is not treated as ownership evidence.</x:v>
      </x:c>
    </x:row>
    <x:row r="196">
      <x:c r="A196" s="102" t="str">
        <x:v>VESSEL_00195</x:v>
      </x:c>
      <x:c r="B196" s="102" t="str">
        <x:v>MAERSK SANA</x:v>
      </x:c>
      <x:c r="C196" s="102"/>
      <x:c r="D196" s="102" t="str">
        <x:v>Unresolved ownership/operator; canonical IMO seed</x:v>
      </x:c>
      <x:c r="E196" s="110" t="str">
        <x:v>9289922</x:v>
      </x:c>
      <x:c r="F196" s="102" t="str">
        <x:v>IMO populated — checksum valid</x:v>
      </x:c>
      <x:c r="G196" s="102" t="str">
        <x:v>High</x:v>
      </x:c>
      <x:c r="H196" s="102" t="str">
        <x:v>2026-09-07</x:v>
      </x:c>
      <x:c r="I196" s="102" t="str">
        <x:v>https://www.vesselfinder.com/vessels/details/9289922</x:v>
      </x:c>
      <x:c r="J196" s="102" t="str">
        <x:v>SRC_0193</x:v>
      </x:c>
      <x:c r="K196" s="102" t="str">
        <x:v>Operating / schedule-observed</x:v>
      </x:c>
      <x:c r="L196" s="102" t="str">
        <x:v>Added in v1.5 fleet-build pass. Schedule evidence is not treated as ownership evidence.</x:v>
      </x:c>
    </x:row>
    <x:row r="197">
      <x:c r="A197" s="102" t="str">
        <x:v>VESSEL_00196</x:v>
      </x:c>
      <x:c r="B197" s="102" t="str">
        <x:v>MAERSK STOCKHOLM</x:v>
      </x:c>
      <x:c r="C197" s="102"/>
      <x:c r="D197" s="102" t="str">
        <x:v>Unresolved ownership/operator; canonical IMO seed</x:v>
      </x:c>
      <x:c r="E197" s="110" t="str">
        <x:v>9352042</x:v>
      </x:c>
      <x:c r="F197" s="102" t="str">
        <x:v>IMO populated — checksum valid</x:v>
      </x:c>
      <x:c r="G197" s="102" t="str">
        <x:v>High</x:v>
      </x:c>
      <x:c r="H197" s="102" t="str">
        <x:v>2026-09-07</x:v>
      </x:c>
      <x:c r="I197" s="102" t="str">
        <x:v>https://www.vesselfinder.com/vessels/details/9352042</x:v>
      </x:c>
      <x:c r="J197" s="102" t="str">
        <x:v>SRC_0193</x:v>
      </x:c>
      <x:c r="K197" s="102" t="str">
        <x:v>Operating / schedule-observed</x:v>
      </x:c>
      <x:c r="L197" s="102" t="str">
        <x:v>Added in v1.5 fleet-build pass. Schedule evidence is not treated as ownership evidence.</x:v>
      </x:c>
    </x:row>
    <x:row r="198">
      <x:c r="A198" s="102" t="str">
        <x:v>VESSEL_00197</x:v>
      </x:c>
      <x:c r="B198" s="102" t="str">
        <x:v>ADRIAN MAERSK</x:v>
      </x:c>
      <x:c r="C198" s="102"/>
      <x:c r="D198" s="102" t="str">
        <x:v>Unresolved ownership/operator; canonical IMO seed</x:v>
      </x:c>
      <x:c r="E198" s="110" t="str">
        <x:v>9948815</x:v>
      </x:c>
      <x:c r="F198" s="102" t="str">
        <x:v>IMO populated — checksum valid</x:v>
      </x:c>
      <x:c r="G198" s="102" t="str">
        <x:v>High</x:v>
      </x:c>
      <x:c r="H198" s="102" t="str">
        <x:v>2026-09-07</x:v>
      </x:c>
      <x:c r="I198" s="102" t="str">
        <x:v>https://www.vesselfinder.com/vessels/details/9948815</x:v>
      </x:c>
      <x:c r="J198" s="102" t="str">
        <x:v>SRC_0193</x:v>
      </x:c>
      <x:c r="K198" s="102" t="str">
        <x:v>Operating / schedule-observed</x:v>
      </x:c>
      <x:c r="L198" s="102" t="str">
        <x:v>Added in v1.5 fleet-build pass. Schedule evidence is not treated as ownership evidence.</x:v>
      </x:c>
    </x:row>
    <x:row r="199">
      <x:c r="A199" s="102" t="str">
        <x:v>VESSEL_00198</x:v>
      </x:c>
      <x:c r="B199" s="102" t="str">
        <x:v>BSG BONAIRE</x:v>
      </x:c>
      <x:c r="C199" s="102"/>
      <x:c r="D199" s="102" t="str">
        <x:v>Unresolved ownership/operator; canonical IMO seed</x:v>
      </x:c>
      <x:c r="E199" s="110" t="str">
        <x:v>9303766</x:v>
      </x:c>
      <x:c r="F199" s="102" t="str">
        <x:v>IMO populated — checksum valid</x:v>
      </x:c>
      <x:c r="G199" s="102" t="str">
        <x:v>High</x:v>
      </x:c>
      <x:c r="H199" s="102" t="str">
        <x:v>2026-09-07</x:v>
      </x:c>
      <x:c r="I199" s="102" t="str">
        <x:v>https://www.vesselfinder.com/vessels/details/9303766</x:v>
      </x:c>
      <x:c r="J199" s="102" t="str">
        <x:v>SRC_0193</x:v>
      </x:c>
      <x:c r="K199" s="102" t="str">
        <x:v>Operating / schedule-observed</x:v>
      </x:c>
      <x:c r="L199" s="102" t="str">
        <x:v>Added in v1.5 fleet-build pass. Schedule evidence is not treated as ownership evidence.</x:v>
      </x:c>
    </x:row>
    <x:row r="200">
      <x:c r="A200" s="102" t="str">
        <x:v>VESSEL_00199</x:v>
      </x:c>
      <x:c r="B200" s="102" t="str">
        <x:v>AS SIMONE</x:v>
      </x:c>
      <x:c r="C200" s="102"/>
      <x:c r="D200" s="102" t="str">
        <x:v>Unresolved ownership/operator; canonical IMO seed</x:v>
      </x:c>
      <x:c r="E200" s="110" t="str">
        <x:v>9813814</x:v>
      </x:c>
      <x:c r="F200" s="102" t="str">
        <x:v>IMO populated — checksum valid</x:v>
      </x:c>
      <x:c r="G200" s="102" t="str">
        <x:v>High</x:v>
      </x:c>
      <x:c r="H200" s="102" t="str">
        <x:v>2026-09-07</x:v>
      </x:c>
      <x:c r="I200" s="102" t="str">
        <x:v>https://www.vesselfinder.com/vessels/details/9813814</x:v>
      </x:c>
      <x:c r="J200" s="102" t="str">
        <x:v>SRC_0193</x:v>
      </x:c>
      <x:c r="K200" s="102" t="str">
        <x:v>Operating / schedule-observed</x:v>
      </x:c>
      <x:c r="L200" s="102" t="str">
        <x:v>Added in v1.5 fleet-build pass. Schedule evidence is not treated as ownership evidence.</x:v>
      </x:c>
    </x:row>
    <x:row r="201">
      <x:c r="A201" s="102" t="str">
        <x:v>VESSEL_00200</x:v>
      </x:c>
      <x:c r="B201" s="102" t="str">
        <x:v>XIN FEI ZHOU</x:v>
      </x:c>
      <x:c r="C201" s="102"/>
      <x:c r="D201" s="102" t="str">
        <x:v>Unresolved ownership/operator; canonical IMO seed</x:v>
      </x:c>
      <x:c r="E201" s="110" t="str">
        <x:v>9337937</x:v>
      </x:c>
      <x:c r="F201" s="102" t="str">
        <x:v>IMO populated — checksum valid</x:v>
      </x:c>
      <x:c r="G201" s="102" t="str">
        <x:v>High</x:v>
      </x:c>
      <x:c r="H201" s="102" t="str">
        <x:v>2026-09-07</x:v>
      </x:c>
      <x:c r="I201" s="102" t="str">
        <x:v>https://www.vesselfinder.com/vessels/details/9337937</x:v>
      </x:c>
      <x:c r="J201" s="102" t="str">
        <x:v>SRC_0194</x:v>
      </x:c>
      <x:c r="K201" s="102" t="str">
        <x:v>Operating / schedule-observed</x:v>
      </x:c>
      <x:c r="L201" s="102" t="str">
        <x:v>Added in v1.5 fleet-build pass. Schedule evidence is not treated as ownership evidence.</x:v>
      </x:c>
    </x:row>
    <x:row r="202">
      <x:c r="A202" s="102" t="str">
        <x:v>VESSEL_00201</x:v>
      </x:c>
      <x:c r="B202" s="102" t="str">
        <x:v>XIN TAI CANG</x:v>
      </x:c>
      <x:c r="C202" s="102"/>
      <x:c r="D202" s="102" t="str">
        <x:v>Unresolved ownership/operator; canonical IMO seed</x:v>
      </x:c>
      <x:c r="E202" s="110" t="str">
        <x:v>9320465</x:v>
      </x:c>
      <x:c r="F202" s="102" t="str">
        <x:v>IMO populated — checksum valid</x:v>
      </x:c>
      <x:c r="G202" s="102" t="str">
        <x:v>High</x:v>
      </x:c>
      <x:c r="H202" s="102" t="str">
        <x:v>2026-09-07</x:v>
      </x:c>
      <x:c r="I202" s="102" t="str">
        <x:v>https://www.vesselfinder.com/vessels/details/9320465</x:v>
      </x:c>
      <x:c r="J202" s="102" t="str">
        <x:v>SRC_0194</x:v>
      </x:c>
      <x:c r="K202" s="102" t="str">
        <x:v>Operating / schedule-observed</x:v>
      </x:c>
      <x:c r="L202" s="102" t="str">
        <x:v>Added in v1.5 fleet-build pass. Schedule evidence is not treated as ownership evidence.</x:v>
      </x:c>
    </x:row>
    <x:row r="203">
      <x:c r="A203" s="102" t="str">
        <x:v>VESSEL_00202</x:v>
      </x:c>
      <x:c r="B203" s="102" t="str">
        <x:v>SEASMILE</x:v>
      </x:c>
      <x:c r="C203" s="102"/>
      <x:c r="D203" s="102" t="str">
        <x:v>Unresolved ownership/operator; canonical IMO seed</x:v>
      </x:c>
      <x:c r="E203" s="110" t="str">
        <x:v>9632820</x:v>
      </x:c>
      <x:c r="F203" s="102" t="str">
        <x:v>IMO populated — checksum valid</x:v>
      </x:c>
      <x:c r="G203" s="102" t="str">
        <x:v>High</x:v>
      </x:c>
      <x:c r="H203" s="102" t="str">
        <x:v>2026-09-07</x:v>
      </x:c>
      <x:c r="I203" s="102" t="str">
        <x:v>https://www.vesselfinder.com/vessels/details/9632820</x:v>
      </x:c>
      <x:c r="J203" s="102" t="str">
        <x:v>SRC_0194</x:v>
      </x:c>
      <x:c r="K203" s="102" t="str">
        <x:v>Operating / schedule-observed</x:v>
      </x:c>
      <x:c r="L203" s="102" t="str">
        <x:v>Added in v1.5 fleet-build pass. Schedule evidence is not treated as ownership evidence.</x:v>
      </x:c>
    </x:row>
    <x:row r="204">
      <x:c r="A204" s="102" t="str">
        <x:v>VESSEL_00203</x:v>
      </x:c>
      <x:c r="B204" s="102" t="str">
        <x:v>HANSA BREITENBURG</x:v>
      </x:c>
      <x:c r="C204" s="102"/>
      <x:c r="D204" s="102" t="str">
        <x:v>Unresolved ownership/operator; canonical IMO seed</x:v>
      </x:c>
      <x:c r="E204" s="110" t="str">
        <x:v>9155391</x:v>
      </x:c>
      <x:c r="F204" s="102" t="str">
        <x:v>IMO populated — checksum valid</x:v>
      </x:c>
      <x:c r="G204" s="102" t="str">
        <x:v>High</x:v>
      </x:c>
      <x:c r="H204" s="102" t="str">
        <x:v>2026-09-07</x:v>
      </x:c>
      <x:c r="I204" s="102" t="str">
        <x:v>https://www.vesselfinder.com/vessels/details/9155391</x:v>
      </x:c>
      <x:c r="J204" s="102" t="str">
        <x:v>SRC_0194</x:v>
      </x:c>
      <x:c r="K204" s="102" t="str">
        <x:v>Operating / schedule-observed</x:v>
      </x:c>
      <x:c r="L204" s="102" t="str">
        <x:v>Added in v1.5 fleet-build pass. Schedule evidence is not treated as ownership evidence.</x:v>
      </x:c>
    </x:row>
    <x:row r="205">
      <x:c r="A205" s="102" t="str">
        <x:v>VESSEL_00204</x:v>
      </x:c>
      <x:c r="B205" s="102" t="str">
        <x:v>SMC COLUMBUS</x:v>
      </x:c>
      <x:c r="C205" s="102"/>
      <x:c r="D205" s="102" t="str">
        <x:v>Unresolved ownership/operator; canonical IMO seed</x:v>
      </x:c>
      <x:c r="E205" s="110" t="str">
        <x:v>9961556</x:v>
      </x:c>
      <x:c r="F205" s="102" t="str">
        <x:v>IMO populated — checksum valid</x:v>
      </x:c>
      <x:c r="G205" s="102" t="str">
        <x:v>High</x:v>
      </x:c>
      <x:c r="H205" s="102" t="str">
        <x:v>2026-09-07</x:v>
      </x:c>
      <x:c r="I205" s="102" t="str">
        <x:v>https://www.vesselfinder.com/vessels/details/9961556</x:v>
      </x:c>
      <x:c r="J205" s="102" t="str">
        <x:v>SRC_0194</x:v>
      </x:c>
      <x:c r="K205" s="102" t="str">
        <x:v>Operating / schedule-observed</x:v>
      </x:c>
      <x:c r="L205" s="102" t="str">
        <x:v>Added in v1.5 fleet-build pass. Schedule evidence is not treated as ownership evidence.</x:v>
      </x:c>
    </x:row>
    <x:row r="206">
      <x:c r="A206" s="102" t="str">
        <x:v>VESSEL_00205</x:v>
      </x:c>
      <x:c r="B206" s="102" t="str">
        <x:v>EVER FAR</x:v>
      </x:c>
      <x:c r="C206" s="102"/>
      <x:c r="D206" s="102" t="str">
        <x:v>Unresolved ownership/operator; canonical IMO seed</x:v>
      </x:c>
      <x:c r="E206" s="110" t="str">
        <x:v>9850862</x:v>
      </x:c>
      <x:c r="F206" s="102" t="str">
        <x:v>IMO populated — checksum valid</x:v>
      </x:c>
      <x:c r="G206" s="102" t="str">
        <x:v>High</x:v>
      </x:c>
      <x:c r="H206" s="102" t="str">
        <x:v>2026-09-07</x:v>
      </x:c>
      <x:c r="I206" s="102" t="str">
        <x:v>https://www.vesselfinder.com/vessels/details/9850862</x:v>
      </x:c>
      <x:c r="J206" s="102" t="str">
        <x:v>SRC_0195</x:v>
      </x:c>
      <x:c r="K206" s="102" t="str">
        <x:v>Operating / schedule-observed</x:v>
      </x:c>
      <x:c r="L206" s="102" t="str">
        <x:v>Added in v1.5 fleet-build pass. Schedule evidence is not treated as ownership evidence.</x:v>
      </x:c>
    </x:row>
    <x:row r="207">
      <x:c r="A207" s="102" t="str">
        <x:v>VESSEL_00206</x:v>
      </x:c>
      <x:c r="B207" s="102" t="str">
        <x:v>EVER BEFIT</x:v>
      </x:c>
      <x:c r="C207" s="102"/>
      <x:c r="D207" s="102" t="str">
        <x:v>Unresolved ownership/operator; canonical IMO seed</x:v>
      </x:c>
      <x:c r="E207" s="110" t="str">
        <x:v>9784128</x:v>
      </x:c>
      <x:c r="F207" s="102" t="str">
        <x:v>IMO populated — checksum valid</x:v>
      </x:c>
      <x:c r="G207" s="102" t="str">
        <x:v>High</x:v>
      </x:c>
      <x:c r="H207" s="102" t="str">
        <x:v>2026-09-07</x:v>
      </x:c>
      <x:c r="I207" s="102" t="str">
        <x:v>https://www.vesselfinder.com/vessels/details/9784128</x:v>
      </x:c>
      <x:c r="J207" s="102" t="str">
        <x:v>SRC_0195</x:v>
      </x:c>
      <x:c r="K207" s="102" t="str">
        <x:v>Operating / schedule-observed</x:v>
      </x:c>
      <x:c r="L207" s="102" t="str">
        <x:v>Added in v1.5 fleet-build pass. Schedule evidence is not treated as ownership evidence.</x:v>
      </x:c>
    </x:row>
    <x:row r="208">
      <x:c r="A208" s="102" t="str">
        <x:v>VESSEL_00207</x:v>
      </x:c>
      <x:c r="B208" s="102" t="str">
        <x:v>EVER LINKING</x:v>
      </x:c>
      <x:c r="C208" s="102"/>
      <x:c r="D208" s="102" t="str">
        <x:v>Unresolved ownership/operator; canonical IMO seed</x:v>
      </x:c>
      <x:c r="E208" s="110" t="str">
        <x:v>9629043</x:v>
      </x:c>
      <x:c r="F208" s="102" t="str">
        <x:v>IMO populated — checksum valid</x:v>
      </x:c>
      <x:c r="G208" s="102" t="str">
        <x:v>High</x:v>
      </x:c>
      <x:c r="H208" s="102" t="str">
        <x:v>2026-09-07</x:v>
      </x:c>
      <x:c r="I208" s="102" t="str">
        <x:v>https://www.vesselfinder.com/vessels/details/9629043</x:v>
      </x:c>
      <x:c r="J208" s="102" t="str">
        <x:v>SRC_0195</x:v>
      </x:c>
      <x:c r="K208" s="102" t="str">
        <x:v>Operating / schedule-observed</x:v>
      </x:c>
      <x:c r="L208" s="102" t="str">
        <x:v>Added in v1.5 fleet-build pass. Schedule evidence is not treated as ownership evidence.</x:v>
      </x:c>
    </x:row>
    <x:row r="209">
      <x:c r="A209" s="102" t="str">
        <x:v>VESSEL_00208</x:v>
      </x:c>
      <x:c r="B209" s="102" t="str">
        <x:v>EVER MEMO</x:v>
      </x:c>
      <x:c r="C209" s="102"/>
      <x:c r="D209" s="102" t="str">
        <x:v>Unresolved ownership/operator; canonical IMO seed</x:v>
      </x:c>
      <x:c r="E209" s="110" t="str">
        <x:v>9935272</x:v>
      </x:c>
      <x:c r="F209" s="102" t="str">
        <x:v>IMO populated — checksum valid</x:v>
      </x:c>
      <x:c r="G209" s="102" t="str">
        <x:v>High</x:v>
      </x:c>
      <x:c r="H209" s="102" t="str">
        <x:v>2026-09-07</x:v>
      </x:c>
      <x:c r="I209" s="102" t="str">
        <x:v>https://www.vesselfinder.com/vessels/details/9935272</x:v>
      </x:c>
      <x:c r="J209" s="102" t="str">
        <x:v>SRC_0195</x:v>
      </x:c>
      <x:c r="K209" s="102" t="str">
        <x:v>Operating / schedule-observed</x:v>
      </x:c>
      <x:c r="L209" s="102" t="str">
        <x:v>Added in v1.5 fleet-build pass. Schedule evidence is not treated as ownership evidence.</x:v>
      </x:c>
    </x:row>
    <x:row r="210">
      <x:c r="A210" s="102" t="str">
        <x:v>VESSEL_00209</x:v>
      </x:c>
      <x:c r="B210" s="102" t="str">
        <x:v>NORTHERN PRACTISE</x:v>
      </x:c>
      <x:c r="C210" s="102"/>
      <x:c r="D210" s="102" t="str">
        <x:v>Unresolved ownership/operator; canonical IMO seed</x:v>
      </x:c>
      <x:c r="E210" s="110" t="str">
        <x:v>9450301</x:v>
      </x:c>
      <x:c r="F210" s="102" t="str">
        <x:v>IMO populated — checksum valid</x:v>
      </x:c>
      <x:c r="G210" s="102" t="str">
        <x:v>High</x:v>
      </x:c>
      <x:c r="H210" s="102" t="str">
        <x:v>2026-09-07</x:v>
      </x:c>
      <x:c r="I210" s="102" t="str">
        <x:v>https://www.vesselfinder.com/vessels/details/9450301</x:v>
      </x:c>
      <x:c r="J210" s="102" t="str">
        <x:v>SRC_0195</x:v>
      </x:c>
      <x:c r="K210" s="102" t="str">
        <x:v>Operating / schedule-observed</x:v>
      </x:c>
      <x:c r="L210" s="102" t="str">
        <x:v>Added in v1.5 fleet-build pass. Schedule evidence is not treated as ownership evidence.</x:v>
      </x:c>
    </x:row>
    <x:row r="211">
      <x:c r="A211" s="102" t="str">
        <x:v>VESSEL_00210</x:v>
      </x:c>
      <x:c r="B211" s="102" t="str">
        <x:v>VALPARAISO EXPRESS</x:v>
      </x:c>
      <x:c r="C211" s="102"/>
      <x:c r="D211" s="102" t="str">
        <x:v>Unresolved ownership/operator; canonical IMO seed</x:v>
      </x:c>
      <x:c r="E211" s="110" t="str">
        <x:v>9777589</x:v>
      </x:c>
      <x:c r="F211" s="102" t="str">
        <x:v>IMO populated — checksum valid</x:v>
      </x:c>
      <x:c r="G211" s="102" t="str">
        <x:v>High</x:v>
      </x:c>
      <x:c r="H211" s="102" t="str">
        <x:v>2026-09-07</x:v>
      </x:c>
      <x:c r="I211" s="102" t="str">
        <x:v>https://www.vesselfinder.com/vessels/details/9777589</x:v>
      </x:c>
      <x:c r="J211" s="102" t="str">
        <x:v>SRC_0196</x:v>
      </x:c>
      <x:c r="K211" s="102" t="str">
        <x:v>Operating / schedule-observed</x:v>
      </x:c>
      <x:c r="L211" s="102" t="str">
        <x:v>Added in v1.5 fleet-build pass. Schedule evidence is not treated as ownership evidence.</x:v>
      </x:c>
    </x:row>
    <x:row r="212">
      <x:c r="A212" s="102" t="str">
        <x:v>VESSEL_00211</x:v>
      </x:c>
      <x:c r="B212" s="102" t="str">
        <x:v>SALERNO EXPRESS</x:v>
      </x:c>
      <x:c r="C212" s="102"/>
      <x:c r="D212" s="102" t="str">
        <x:v>Unresolved ownership/operator; canonical IMO seed</x:v>
      </x:c>
      <x:c r="E212" s="110" t="str">
        <x:v>9439761</x:v>
      </x:c>
      <x:c r="F212" s="102" t="str">
        <x:v>IMO populated — checksum valid</x:v>
      </x:c>
      <x:c r="G212" s="102" t="str">
        <x:v>High</x:v>
      </x:c>
      <x:c r="H212" s="102" t="str">
        <x:v>2026-09-07</x:v>
      </x:c>
      <x:c r="I212" s="102" t="str">
        <x:v>https://www.vesselfinder.com/vessels/details/9439761</x:v>
      </x:c>
      <x:c r="J212" s="102" t="str">
        <x:v>SRC_0196</x:v>
      </x:c>
      <x:c r="K212" s="102" t="str">
        <x:v>Operating / schedule-observed</x:v>
      </x:c>
      <x:c r="L212" s="102" t="str">
        <x:v>Added in v1.5 fleet-build pass. Schedule evidence is not treated as ownership evidence.</x:v>
      </x:c>
    </x:row>
    <x:row r="213">
      <x:c r="A213" s="102" t="str">
        <x:v>VESSEL_00212</x:v>
      </x:c>
      <x:c r="B213" s="102" t="str">
        <x:v>CARTAGENA EXPRESS</x:v>
      </x:c>
      <x:c r="C213" s="102"/>
      <x:c r="D213" s="102" t="str">
        <x:v>Unresolved ownership/operator; canonical IMO seed</x:v>
      </x:c>
      <x:c r="E213" s="110" t="str">
        <x:v>9777618</x:v>
      </x:c>
      <x:c r="F213" s="102" t="str">
        <x:v>IMO populated — checksum valid</x:v>
      </x:c>
      <x:c r="G213" s="102" t="str">
        <x:v>High</x:v>
      </x:c>
      <x:c r="H213" s="102" t="str">
        <x:v>2026-09-07</x:v>
      </x:c>
      <x:c r="I213" s="102" t="str">
        <x:v>https://www.vesselfinder.com/vessels/details/9777618</x:v>
      </x:c>
      <x:c r="J213" s="102" t="str">
        <x:v>SRC_0196</x:v>
      </x:c>
      <x:c r="K213" s="102" t="str">
        <x:v>Operating / schedule-observed</x:v>
      </x:c>
      <x:c r="L213" s="102" t="str">
        <x:v>Added in v1.5 fleet-build pass. Schedule evidence is not treated as ownership evidence.</x:v>
      </x:c>
    </x:row>
    <x:row r="214">
      <x:c r="A214" s="102" t="str">
        <x:v>VESSEL_00213</x:v>
      </x:c>
      <x:c r="B214" s="102" t="str">
        <x:v>DAMIETTA EXPRESS</x:v>
      </x:c>
      <x:c r="C214" s="102"/>
      <x:c r="D214" s="102" t="str">
        <x:v>Unresolved ownership/operator; canonical IMO seed</x:v>
      </x:c>
      <x:c r="E214" s="110" t="str">
        <x:v>9543108</x:v>
      </x:c>
      <x:c r="F214" s="102" t="str">
        <x:v>IMO populated — checksum valid</x:v>
      </x:c>
      <x:c r="G214" s="102" t="str">
        <x:v>High</x:v>
      </x:c>
      <x:c r="H214" s="102" t="str">
        <x:v>2026-09-07</x:v>
      </x:c>
      <x:c r="I214" s="102" t="str">
        <x:v>https://www.vesselfinder.com/vessels/details/9543108</x:v>
      </x:c>
      <x:c r="J214" s="102" t="str">
        <x:v>SRC_0196</x:v>
      </x:c>
      <x:c r="K214" s="102" t="str">
        <x:v>Operating / schedule-observed</x:v>
      </x:c>
      <x:c r="L214" s="102" t="str">
        <x:v>Added in v1.5 fleet-build pass. Schedule evidence is not treated as ownership evidence.</x:v>
      </x:c>
    </x:row>
    <x:row r="215">
      <x:c r="A215" s="102" t="str">
        <x:v>VESSEL_00214</x:v>
      </x:c>
      <x:c r="B215" s="102" t="str">
        <x:v>AL NASRIYAH</x:v>
      </x:c>
      <x:c r="C215" s="102"/>
      <x:c r="D215" s="102" t="str">
        <x:v>Unresolved ownership/operator; canonical IMO seed</x:v>
      </x:c>
      <x:c r="E215" s="110" t="str">
        <x:v>9708849</x:v>
      </x:c>
      <x:c r="F215" s="102" t="str">
        <x:v>IMO populated — checksum valid</x:v>
      </x:c>
      <x:c r="G215" s="102" t="str">
        <x:v>High</x:v>
      </x:c>
      <x:c r="H215" s="102" t="str">
        <x:v>2026-09-07</x:v>
      </x:c>
      <x:c r="I215" s="102" t="str">
        <x:v>https://www.vesselfinder.com/vessels/details/9708849</x:v>
      </x:c>
      <x:c r="J215" s="102" t="str">
        <x:v>SRC_0196</x:v>
      </x:c>
      <x:c r="K215" s="102" t="str">
        <x:v>Operating / schedule-observed</x:v>
      </x:c>
      <x:c r="L215" s="102" t="str">
        <x:v>Added in v1.5 fleet-build pass. Schedule evidence is not treated as ownership evidence.</x:v>
      </x:c>
    </x:row>
    <x:row r="216">
      <x:c r="A216" s="102" t="str">
        <x:v>VESSEL_00215</x:v>
      </x:c>
      <x:c r="B216" s="102" t="str">
        <x:v>NYK FUJI</x:v>
      </x:c>
      <x:c r="C216" s="102"/>
      <x:c r="D216" s="102" t="str">
        <x:v>Unresolved ownership/operator; canonical IMO seed</x:v>
      </x:c>
      <x:c r="E216" s="110" t="str">
        <x:v>9482938</x:v>
      </x:c>
      <x:c r="F216" s="102" t="str">
        <x:v>IMO populated — checksum valid</x:v>
      </x:c>
      <x:c r="G216" s="102" t="str">
        <x:v>High</x:v>
      </x:c>
      <x:c r="H216" s="102" t="str">
        <x:v>2026-09-07</x:v>
      </x:c>
      <x:c r="I216" s="102" t="str">
        <x:v>https://www.vesselfinder.com/vessels/details/9482938</x:v>
      </x:c>
      <x:c r="J216" s="102" t="str">
        <x:v>SRC_0197</x:v>
      </x:c>
      <x:c r="K216" s="102" t="str">
        <x:v>Operating / schedule-observed</x:v>
      </x:c>
      <x:c r="L216" s="102" t="str">
        <x:v>Added in v1.5 fleet-build pass. Schedule evidence is not treated as ownership evidence.</x:v>
      </x:c>
    </x:row>
    <x:row r="217">
      <x:c r="A217" s="102" t="str">
        <x:v>VESSEL_00216</x:v>
      </x:c>
      <x:c r="B217" s="102" t="str">
        <x:v>ONE SPHERE</x:v>
      </x:c>
      <x:c r="C217" s="102"/>
      <x:c r="D217" s="102" t="str">
        <x:v>Unresolved ownership/operator; canonical IMO seed</x:v>
      </x:c>
      <x:c r="E217" s="110" t="str">
        <x:v>9975624</x:v>
      </x:c>
      <x:c r="F217" s="102" t="str">
        <x:v>IMO populated — checksum valid</x:v>
      </x:c>
      <x:c r="G217" s="102" t="str">
        <x:v>High</x:v>
      </x:c>
      <x:c r="H217" s="102" t="str">
        <x:v>2026-09-07</x:v>
      </x:c>
      <x:c r="I217" s="102" t="str">
        <x:v>https://www.vesselfinder.com/vessels/details/9975624</x:v>
      </x:c>
      <x:c r="J217" s="102" t="str">
        <x:v>SRC_0197</x:v>
      </x:c>
      <x:c r="K217" s="102" t="str">
        <x:v>Operating / schedule-observed</x:v>
      </x:c>
      <x:c r="L217" s="102" t="str">
        <x:v>Added in v1.5 fleet-build pass. Schedule evidence is not treated as ownership evidence.</x:v>
      </x:c>
    </x:row>
    <x:row r="218">
      <x:c r="A218" s="102" t="str">
        <x:v>VESSEL_00217</x:v>
      </x:c>
      <x:c r="B218" s="102" t="str">
        <x:v>NYK VENUS</x:v>
      </x:c>
      <x:c r="C218" s="102"/>
      <x:c r="D218" s="102" t="str">
        <x:v>Unresolved ownership/operator; canonical IMO seed</x:v>
      </x:c>
      <x:c r="E218" s="110" t="str">
        <x:v>9312793</x:v>
      </x:c>
      <x:c r="F218" s="102" t="str">
        <x:v>IMO populated — checksum valid</x:v>
      </x:c>
      <x:c r="G218" s="102" t="str">
        <x:v>High</x:v>
      </x:c>
      <x:c r="H218" s="102" t="str">
        <x:v>2026-09-07</x:v>
      </x:c>
      <x:c r="I218" s="102" t="str">
        <x:v>https://www.vesselfinder.com/vessels/details/9312793</x:v>
      </x:c>
      <x:c r="J218" s="102" t="str">
        <x:v>SRC_0197</x:v>
      </x:c>
      <x:c r="K218" s="102" t="str">
        <x:v>Operating / schedule-observed</x:v>
      </x:c>
      <x:c r="L218" s="102" t="str">
        <x:v>Added in v1.5 fleet-build pass. Schedule evidence is not treated as ownership evidence.</x:v>
      </x:c>
    </x:row>
    <x:row r="219">
      <x:c r="A219" s="102" t="str">
        <x:v>VESSEL_00218</x:v>
      </x:c>
      <x:c r="B219" s="102" t="str">
        <x:v>ONE MODERN</x:v>
      </x:c>
      <x:c r="C219" s="102"/>
      <x:c r="D219" s="102" t="str">
        <x:v>Unresolved ownership/operator; canonical IMO seed</x:v>
      </x:c>
      <x:c r="E219" s="110" t="str">
        <x:v>9475636</x:v>
      </x:c>
      <x:c r="F219" s="102" t="str">
        <x:v>IMO populated — checksum valid</x:v>
      </x:c>
      <x:c r="G219" s="102" t="str">
        <x:v>High</x:v>
      </x:c>
      <x:c r="H219" s="102" t="str">
        <x:v>2026-09-07</x:v>
      </x:c>
      <x:c r="I219" s="102" t="str">
        <x:v>https://www.vesselfinder.com/vessels/details/9475636</x:v>
      </x:c>
      <x:c r="J219" s="102" t="str">
        <x:v>SRC_0197</x:v>
      </x:c>
      <x:c r="K219" s="102" t="str">
        <x:v>Operating / schedule-observed</x:v>
      </x:c>
      <x:c r="L219" s="102" t="str">
        <x:v>Added in v1.5 fleet-build pass. Schedule evidence is not treated as ownership evidence.</x:v>
      </x:c>
    </x:row>
    <x:row r="220">
      <x:c r="A220" s="102" t="str">
        <x:v>VESSEL_00219</x:v>
      </x:c>
      <x:c r="B220" s="102" t="str">
        <x:v>ONE MILLAU</x:v>
      </x:c>
      <x:c r="C220" s="102"/>
      <x:c r="D220" s="102" t="str">
        <x:v>Unresolved ownership/operator; canonical IMO seed</x:v>
      </x:c>
      <x:c r="E220" s="110" t="str">
        <x:v>9706736</x:v>
      </x:c>
      <x:c r="F220" s="102" t="str">
        <x:v>IMO populated — checksum valid</x:v>
      </x:c>
      <x:c r="G220" s="102" t="str">
        <x:v>High</x:v>
      </x:c>
      <x:c r="H220" s="102" t="str">
        <x:v>2026-09-07</x:v>
      </x:c>
      <x:c r="I220" s="102" t="str">
        <x:v>https://www.vesselfinder.com/vessels/details/9706736</x:v>
      </x:c>
      <x:c r="J220" s="102" t="str">
        <x:v>SRC_0197</x:v>
      </x:c>
      <x:c r="K220" s="102" t="str">
        <x:v>Operating / schedule-observed</x:v>
      </x:c>
      <x:c r="L220" s="102" t="str">
        <x:v>Added in v1.5 fleet-build pass. Schedule evidence is not treated as ownership evidence.</x:v>
      </x:c>
    </x:row>
    <x:row r="221">
      <x:c r="A221" s="102" t="str">
        <x:v>VESSEL_00220</x:v>
      </x:c>
      <x:c r="B221" s="102" t="str">
        <x:v>IBN AL ABBAR</x:v>
      </x:c>
      <x:c r="C221" s="102"/>
      <x:c r="D221" s="102" t="str">
        <x:v>Unresolved ownership/operator; canonical IMO seed</x:v>
      </x:c>
      <x:c r="E221" s="110" t="str">
        <x:v>9194490</x:v>
      </x:c>
      <x:c r="F221" s="102" t="str">
        <x:v>IMO populated — checksum valid</x:v>
      </x:c>
      <x:c r="G221" s="102" t="str">
        <x:v>High</x:v>
      </x:c>
      <x:c r="H221" s="102" t="str">
        <x:v>2026-09-07</x:v>
      </x:c>
      <x:c r="I221" s="102" t="str">
        <x:v>https://www.vesselfinder.com/vessels/details/9194490</x:v>
      </x:c>
      <x:c r="J221" s="102" t="str">
        <x:v>SRC_0198</x:v>
      </x:c>
      <x:c r="K221" s="102" t="str">
        <x:v>Operating / schedule-observed</x:v>
      </x:c>
      <x:c r="L221" s="102" t="str">
        <x:v>Added in v1.5 fleet-build pass. Schedule evidence is not treated as ownership evidence.</x:v>
      </x:c>
    </x:row>
    <x:row r="222">
      <x:c r="A222" s="102" t="str">
        <x:v>VESSEL_00221</x:v>
      </x:c>
      <x:c r="B222" s="102" t="str">
        <x:v>YM CAPACITY</x:v>
      </x:c>
      <x:c r="C222" s="102"/>
      <x:c r="D222" s="102" t="str">
        <x:v>Unresolved ownership/operator; canonical IMO seed</x:v>
      </x:c>
      <x:c r="E222" s="110" t="str">
        <x:v>9864540</x:v>
      </x:c>
      <x:c r="F222" s="102" t="str">
        <x:v>IMO populated — checksum valid</x:v>
      </x:c>
      <x:c r="G222" s="102" t="str">
        <x:v>High</x:v>
      </x:c>
      <x:c r="H222" s="102" t="str">
        <x:v>2026-09-07</x:v>
      </x:c>
      <x:c r="I222" s="102" t="str">
        <x:v>https://www.vesselfinder.com/vessels/details/9864540</x:v>
      </x:c>
      <x:c r="J222" s="102" t="str">
        <x:v>SRC_0198</x:v>
      </x:c>
      <x:c r="K222" s="102" t="str">
        <x:v>Operating / schedule-observed</x:v>
      </x:c>
      <x:c r="L222" s="102" t="str">
        <x:v>Added in v1.5 fleet-build pass. Schedule evidence is not treated as ownership evidence.</x:v>
      </x:c>
    </x:row>
    <x:row r="223">
      <x:c r="A223" s="102" t="str">
        <x:v>VESSEL_00222</x:v>
      </x:c>
      <x:c r="B223" s="102" t="str">
        <x:v>YM INCEPTION</x:v>
      </x:c>
      <x:c r="C223" s="102"/>
      <x:c r="D223" s="102" t="str">
        <x:v>Unresolved ownership/operator; canonical IMO seed</x:v>
      </x:c>
      <x:c r="E223" s="110" t="str">
        <x:v>9319155</x:v>
      </x:c>
      <x:c r="F223" s="102" t="str">
        <x:v>IMO populated — checksum valid</x:v>
      </x:c>
      <x:c r="G223" s="102" t="str">
        <x:v>High</x:v>
      </x:c>
      <x:c r="H223" s="102" t="str">
        <x:v>2026-09-07</x:v>
      </x:c>
      <x:c r="I223" s="102" t="str">
        <x:v>https://www.vesselfinder.com/vessels/details/9319155</x:v>
      </x:c>
      <x:c r="J223" s="102" t="str">
        <x:v>SRC_0198</x:v>
      </x:c>
      <x:c r="K223" s="102" t="str">
        <x:v>Operating / schedule-observed</x:v>
      </x:c>
      <x:c r="L223" s="102" t="str">
        <x:v>Added in v1.5 fleet-build pass. Schedule evidence is not treated as ownership evidence.</x:v>
      </x:c>
    </x:row>
    <x:row r="224">
      <x:c r="A224" s="102" t="str">
        <x:v>VESSEL_00223</x:v>
      </x:c>
      <x:c r="B224" s="102" t="str">
        <x:v>YM EXCELLENCE</x:v>
      </x:c>
      <x:c r="C224" s="102"/>
      <x:c r="D224" s="102" t="str">
        <x:v>Unresolved ownership/operator; canonical IMO seed</x:v>
      </x:c>
      <x:c r="E224" s="110" t="str">
        <x:v>9496616</x:v>
      </x:c>
      <x:c r="F224" s="102" t="str">
        <x:v>IMO populated — checksum valid</x:v>
      </x:c>
      <x:c r="G224" s="102" t="str">
        <x:v>High</x:v>
      </x:c>
      <x:c r="H224" s="102" t="str">
        <x:v>2026-09-07</x:v>
      </x:c>
      <x:c r="I224" s="102" t="str">
        <x:v>https://www.vesselfinder.com/vessels/details/9496616</x:v>
      </x:c>
      <x:c r="J224" s="102" t="str">
        <x:v>SRC_0198</x:v>
      </x:c>
      <x:c r="K224" s="102" t="str">
        <x:v>Operating / schedule-observed</x:v>
      </x:c>
      <x:c r="L224" s="102" t="str">
        <x:v>Added in v1.5 fleet-build pass. Schedule evidence is not treated as ownership evidence.</x:v>
      </x:c>
    </x:row>
    <x:row r="225">
      <x:c r="A225" s="102" t="str">
        <x:v>VESSEL_00224</x:v>
      </x:c>
      <x:c r="B225" s="102" t="str">
        <x:v>YM IMMENSE</x:v>
      </x:c>
      <x:c r="C225" s="102"/>
      <x:c r="D225" s="102" t="str">
        <x:v>Unresolved ownership/operator; canonical IMO seed</x:v>
      </x:c>
      <x:c r="E225" s="110" t="str">
        <x:v>9319131</x:v>
      </x:c>
      <x:c r="F225" s="102" t="str">
        <x:v>IMO populated — checksum valid</x:v>
      </x:c>
      <x:c r="G225" s="102" t="str">
        <x:v>High</x:v>
      </x:c>
      <x:c r="H225" s="102" t="str">
        <x:v>2026-09-07</x:v>
      </x:c>
      <x:c r="I225" s="102" t="str">
        <x:v>https://www.vesselfinder.com/vessels/details/9319131</x:v>
      </x:c>
      <x:c r="J225" s="102" t="str">
        <x:v>SRC_0198</x:v>
      </x:c>
      <x:c r="K225" s="102" t="str">
        <x:v>Operating / schedule-observed</x:v>
      </x:c>
      <x:c r="L225" s="102" t="str">
        <x:v>Added in v1.5 fleet-build pass. Schedule evidence is not treated as ownership evidence.</x:v>
      </x:c>
    </x:row>
    <x:row r="226">
      <x:c r="A226" s="102" t="str">
        <x:v>VESSEL_00225</x:v>
      </x:c>
      <x:c r="B226" s="102" t="str">
        <x:v>HMM VANCOUVER</x:v>
      </x:c>
      <x:c r="C226" s="102"/>
      <x:c r="D226" s="102" t="str">
        <x:v>Unresolved ownership/operator; canonical IMO seed</x:v>
      </x:c>
      <x:c r="E226" s="110" t="str">
        <x:v>9463085</x:v>
      </x:c>
      <x:c r="F226" s="102" t="str">
        <x:v>IMO populated — checksum valid</x:v>
      </x:c>
      <x:c r="G226" s="102" t="str">
        <x:v>High</x:v>
      </x:c>
      <x:c r="H226" s="102" t="str">
        <x:v>2026-09-07</x:v>
      </x:c>
      <x:c r="I226" s="102" t="str">
        <x:v>https://www.vesselfinder.com/vessels/details/9463085</x:v>
      </x:c>
      <x:c r="J226" s="102" t="str">
        <x:v>SRC_0199</x:v>
      </x:c>
      <x:c r="K226" s="102" t="str">
        <x:v>Operating / schedule-observed</x:v>
      </x:c>
      <x:c r="L226" s="102" t="str">
        <x:v>Added in v1.5 fleet-build pass. Schedule evidence is not treated as ownership evidence.</x:v>
      </x:c>
    </x:row>
    <x:row r="227">
      <x:c r="A227" s="102" t="str">
        <x:v>VESSEL_00226</x:v>
      </x:c>
      <x:c r="B227" s="102" t="str">
        <x:v>HMM EMERALD</x:v>
      </x:c>
      <x:c r="C227" s="102"/>
      <x:c r="D227" s="102" t="str">
        <x:v>Unresolved ownership/operator; canonical IMO seed</x:v>
      </x:c>
      <x:c r="E227" s="110" t="str">
        <x:v>9944493</x:v>
      </x:c>
      <x:c r="F227" s="102" t="str">
        <x:v>IMO populated — checksum valid</x:v>
      </x:c>
      <x:c r="G227" s="102" t="str">
        <x:v>High</x:v>
      </x:c>
      <x:c r="H227" s="102" t="str">
        <x:v>2026-09-07</x:v>
      </x:c>
      <x:c r="I227" s="102" t="str">
        <x:v>https://www.vesselfinder.com/vessels/details/9944493</x:v>
      </x:c>
      <x:c r="J227" s="102" t="str">
        <x:v>SRC_0199</x:v>
      </x:c>
      <x:c r="K227" s="102" t="str">
        <x:v>Operating / schedule-observed</x:v>
      </x:c>
      <x:c r="L227" s="102" t="str">
        <x:v>Added in v1.5 fleet-build pass. Schedule evidence is not treated as ownership evidence.</x:v>
      </x:c>
    </x:row>
    <x:row r="228">
      <x:c r="A228" s="102" t="str">
        <x:v>VESSEL_00227</x:v>
      </x:c>
      <x:c r="B228" s="102" t="str">
        <x:v>HMM HARMONY</x:v>
      </x:c>
      <x:c r="C228" s="102"/>
      <x:c r="D228" s="102" t="str">
        <x:v>Unresolved ownership/operator; canonical IMO seed</x:v>
      </x:c>
      <x:c r="E228" s="110" t="str">
        <x:v>9981142</x:v>
      </x:c>
      <x:c r="F228" s="102" t="str">
        <x:v>IMO populated — checksum valid</x:v>
      </x:c>
      <x:c r="G228" s="102" t="str">
        <x:v>High</x:v>
      </x:c>
      <x:c r="H228" s="102" t="str">
        <x:v>2026-09-07</x:v>
      </x:c>
      <x:c r="I228" s="102" t="str">
        <x:v>https://www.vesselfinder.com/vessels/details/9981142</x:v>
      </x:c>
      <x:c r="J228" s="102" t="str">
        <x:v>SRC_0199</x:v>
      </x:c>
      <x:c r="K228" s="102" t="str">
        <x:v>Operating / schedule-observed</x:v>
      </x:c>
      <x:c r="L228" s="102" t="str">
        <x:v>Added in v1.5 fleet-build pass. Schedule evidence is not treated as ownership evidence.</x:v>
      </x:c>
    </x:row>
    <x:row r="229">
      <x:c r="A229" s="102" t="str">
        <x:v>VESSEL_00228</x:v>
      </x:c>
      <x:c r="B229" s="102" t="str">
        <x:v>SKY RAINBOW</x:v>
      </x:c>
      <x:c r="C229" s="102"/>
      <x:c r="D229" s="102" t="str">
        <x:v>Unresolved ownership/operator; canonical IMO seed</x:v>
      </x:c>
      <x:c r="E229" s="110" t="str">
        <x:v>9925722</x:v>
      </x:c>
      <x:c r="F229" s="102" t="str">
        <x:v>IMO populated — checksum valid</x:v>
      </x:c>
      <x:c r="G229" s="102" t="str">
        <x:v>High</x:v>
      </x:c>
      <x:c r="H229" s="102" t="str">
        <x:v>2026-09-07</x:v>
      </x:c>
      <x:c r="I229" s="102" t="str">
        <x:v>https://www.vesselfinder.com/vessels/details/9925722</x:v>
      </x:c>
      <x:c r="J229" s="102" t="str">
        <x:v>SRC_0199</x:v>
      </x:c>
      <x:c r="K229" s="102" t="str">
        <x:v>Operating / schedule-observed</x:v>
      </x:c>
      <x:c r="L229" s="102" t="str">
        <x:v>Added in v1.5 fleet-build pass. Schedule evidence is not treated as ownership evidence.</x:v>
      </x:c>
    </x:row>
    <x:row r="230">
      <x:c r="A230" s="102" t="str">
        <x:v>VESSEL_00229</x:v>
      </x:c>
      <x:c r="B230" s="102" t="str">
        <x:v>HMM SKY</x:v>
      </x:c>
      <x:c r="C230" s="102"/>
      <x:c r="D230" s="102" t="str">
        <x:v>Unresolved ownership/operator; canonical IMO seed</x:v>
      </x:c>
      <x:c r="E230" s="110" t="str">
        <x:v>9976599</x:v>
      </x:c>
      <x:c r="F230" s="102" t="str">
        <x:v>IMO populated — checksum valid</x:v>
      </x:c>
      <x:c r="G230" s="102" t="str">
        <x:v>High</x:v>
      </x:c>
      <x:c r="H230" s="102" t="str">
        <x:v>2026-09-07</x:v>
      </x:c>
      <x:c r="I230" s="102" t="str">
        <x:v>https://www.vesselfinder.com/vessels/details/9976599</x:v>
      </x:c>
      <x:c r="J230" s="102" t="str">
        <x:v>SRC_0199</x:v>
      </x:c>
      <x:c r="K230" s="102" t="str">
        <x:v>Operating / schedule-observed</x:v>
      </x:c>
      <x:c r="L230" s="102" t="str">
        <x:v>Added in v1.5 fleet-build pass. Schedule evidence is not treated as ownership evidence.</x:v>
      </x:c>
    </x:row>
    <x:row r="231">
      <x:c r="A231" s="102" t="str">
        <x:v>VESSEL_00230</x:v>
      </x:c>
      <x:c r="B231" s="102" t="str">
        <x:v>KOTA SANTOS</x:v>
      </x:c>
      <x:c r="C231" s="102"/>
      <x:c r="D231" s="102" t="str">
        <x:v>Unresolved ownership/operator; canonical IMO seed</x:v>
      </x:c>
      <x:c r="E231" s="110" t="str">
        <x:v>9293765</x:v>
      </x:c>
      <x:c r="F231" s="102" t="str">
        <x:v>IMO populated — checksum valid</x:v>
      </x:c>
      <x:c r="G231" s="102" t="str">
        <x:v>High</x:v>
      </x:c>
      <x:c r="H231" s="102" t="str">
        <x:v>2026-09-07</x:v>
      </x:c>
      <x:c r="I231" s="102" t="str">
        <x:v>https://www.vesselfinder.com/vessels/details/9293765</x:v>
      </x:c>
      <x:c r="J231" s="102" t="str">
        <x:v>SRC_0200</x:v>
      </x:c>
      <x:c r="K231" s="102" t="str">
        <x:v>Operating / schedule-observed</x:v>
      </x:c>
      <x:c r="L231" s="102" t="str">
        <x:v>Added in v1.5 fleet-build pass. Schedule evidence is not treated as ownership evidence.</x:v>
      </x:c>
    </x:row>
    <x:row r="232">
      <x:c r="A232" s="102" t="str">
        <x:v>VESSEL_00231</x:v>
      </x:c>
      <x:c r="B232" s="102" t="str">
        <x:v>KOTA SABAS</x:v>
      </x:c>
      <x:c r="C232" s="102"/>
      <x:c r="D232" s="102" t="str">
        <x:v>Unresolved ownership/operator; canonical IMO seed</x:v>
      </x:c>
      <x:c r="E232" s="110" t="str">
        <x:v>9645451</x:v>
      </x:c>
      <x:c r="F232" s="102" t="str">
        <x:v>IMO populated — checksum valid</x:v>
      </x:c>
      <x:c r="G232" s="102" t="str">
        <x:v>High</x:v>
      </x:c>
      <x:c r="H232" s="102" t="str">
        <x:v>2026-09-07</x:v>
      </x:c>
      <x:c r="I232" s="102" t="str">
        <x:v>https://www.vesselfinder.com/vessels/details/9645451</x:v>
      </x:c>
      <x:c r="J232" s="102" t="str">
        <x:v>SRC_0200</x:v>
      </x:c>
      <x:c r="K232" s="102" t="str">
        <x:v>Operating / schedule-observed</x:v>
      </x:c>
      <x:c r="L232" s="102" t="str">
        <x:v>Added in v1.5 fleet-build pass. Schedule evidence is not treated as ownership evidence.</x:v>
      </x:c>
    </x:row>
    <x:row r="233">
      <x:c r="A233" s="102" t="str">
        <x:v>VESSEL_00232</x:v>
      </x:c>
      <x:c r="B233" s="102" t="str">
        <x:v>KOTA GAYA</x:v>
      </x:c>
      <x:c r="C233" s="102"/>
      <x:c r="D233" s="102" t="str">
        <x:v>Unresolved ownership/operator; canonical IMO seed</x:v>
      </x:c>
      <x:c r="E233" s="110" t="str">
        <x:v>9616802</x:v>
      </x:c>
      <x:c r="F233" s="102" t="str">
        <x:v>IMO populated — checksum valid</x:v>
      </x:c>
      <x:c r="G233" s="102" t="str">
        <x:v>High</x:v>
      </x:c>
      <x:c r="H233" s="102" t="str">
        <x:v>2026-09-07</x:v>
      </x:c>
      <x:c r="I233" s="102" t="str">
        <x:v>https://www.vesselfinder.com/vessels/details/9616802</x:v>
      </x:c>
      <x:c r="J233" s="102" t="str">
        <x:v>SRC_0200</x:v>
      </x:c>
      <x:c r="K233" s="102" t="str">
        <x:v>Operating / schedule-observed</x:v>
      </x:c>
      <x:c r="L233" s="102" t="str">
        <x:v>Added in v1.5 fleet-build pass. Schedule evidence is not treated as ownership evidence.</x:v>
      </x:c>
    </x:row>
    <x:row r="234">
      <x:c r="A234" s="102" t="str">
        <x:v>VESSEL_00233</x:v>
      </x:c>
      <x:c r="B234" s="102" t="str">
        <x:v>SINAR PANGANDARAN</x:v>
      </x:c>
      <x:c r="C234" s="102"/>
      <x:c r="D234" s="102" t="str">
        <x:v>Unresolved ownership/operator; canonical IMO seed</x:v>
      </x:c>
      <x:c r="E234" s="110" t="str">
        <x:v>1033779</x:v>
      </x:c>
      <x:c r="F234" s="102" t="str">
        <x:v>IMO populated — checksum valid</x:v>
      </x:c>
      <x:c r="G234" s="102" t="str">
        <x:v>High</x:v>
      </x:c>
      <x:c r="H234" s="102" t="str">
        <x:v>2026-09-07</x:v>
      </x:c>
      <x:c r="I234" s="102" t="str">
        <x:v>https://www.vesselfinder.com/vessels/details/1033779</x:v>
      </x:c>
      <x:c r="J234" s="102" t="str">
        <x:v>SRC_0200</x:v>
      </x:c>
      <x:c r="K234" s="102" t="str">
        <x:v>Operating / schedule-observed</x:v>
      </x:c>
      <x:c r="L234" s="102" t="str">
        <x:v>Added in v1.5 fleet-build pass. Schedule evidence is not treated as ownership evidence.</x:v>
      </x:c>
    </x:row>
    <x:row r="235">
      <x:c r="A235" s="102" t="str">
        <x:v>VESSEL_00234</x:v>
      </x:c>
      <x:c r="B235" s="102" t="str">
        <x:v>KOTA SEMPENA</x:v>
      </x:c>
      <x:c r="C235" s="102"/>
      <x:c r="D235" s="102" t="str">
        <x:v>Unresolved ownership/operator; canonical IMO seed</x:v>
      </x:c>
      <x:c r="E235" s="110" t="str">
        <x:v>9681273</x:v>
      </x:c>
      <x:c r="F235" s="102" t="str">
        <x:v>IMO populated — checksum valid</x:v>
      </x:c>
      <x:c r="G235" s="102" t="str">
        <x:v>High</x:v>
      </x:c>
      <x:c r="H235" s="102" t="str">
        <x:v>2026-09-07</x:v>
      </x:c>
      <x:c r="I235" s="102" t="str">
        <x:v>https://www.vesselfinder.com/vessels/details/9681273</x:v>
      </x:c>
      <x:c r="J235" s="102" t="str">
        <x:v>SRC_0200</x:v>
      </x:c>
      <x:c r="K235" s="102" t="str">
        <x:v>Operating / schedule-observed</x:v>
      </x:c>
      <x:c r="L235" s="102" t="str">
        <x:v>Added in v1.5 fleet-build pass. Schedule evidence is not treated as ownership evidence.</x:v>
      </x:c>
    </x:row>
    <x:row r="236">
      <x:c r="A236" s="102" t="str">
        <x:v>VESSEL_00235</x:v>
      </x:c>
      <x:c r="B236" s="102" t="str">
        <x:v>WAN HAI 283</x:v>
      </x:c>
      <x:c r="C236" s="102"/>
      <x:c r="D236" s="102" t="str">
        <x:v>Unresolved ownership/operator; canonical IMO seed</x:v>
      </x:c>
      <x:c r="E236" s="110" t="str">
        <x:v>9871311</x:v>
      </x:c>
      <x:c r="F236" s="102" t="str">
        <x:v>IMO populated — checksum valid</x:v>
      </x:c>
      <x:c r="G236" s="102" t="str">
        <x:v>High</x:v>
      </x:c>
      <x:c r="H236" s="102" t="str">
        <x:v>2026-09-07</x:v>
      </x:c>
      <x:c r="I236" s="102" t="str">
        <x:v>https://www.vesselfinder.com/vessels/details/9871311</x:v>
      </x:c>
      <x:c r="J236" s="102" t="str">
        <x:v>SRC_0201</x:v>
      </x:c>
      <x:c r="K236" s="102" t="str">
        <x:v>Operating / schedule-observed</x:v>
      </x:c>
      <x:c r="L236" s="102" t="str">
        <x:v>Added in v1.5 fleet-build pass. Schedule evidence is not treated as ownership evidence.</x:v>
      </x:c>
    </x:row>
    <x:row r="237">
      <x:c r="A237" s="102" t="str">
        <x:v>VESSEL_00236</x:v>
      </x:c>
      <x:c r="B237" s="102" t="str">
        <x:v>WAN HAI 358</x:v>
      </x:c>
      <x:c r="C237" s="102"/>
      <x:c r="D237" s="102" t="str">
        <x:v>Unresolved ownership/operator; canonical IMO seed</x:v>
      </x:c>
      <x:c r="E237" s="110" t="str">
        <x:v>9554080</x:v>
      </x:c>
      <x:c r="F237" s="102" t="str">
        <x:v>IMO populated — checksum valid</x:v>
      </x:c>
      <x:c r="G237" s="102" t="str">
        <x:v>High</x:v>
      </x:c>
      <x:c r="H237" s="102" t="str">
        <x:v>2026-09-07</x:v>
      </x:c>
      <x:c r="I237" s="102" t="str">
        <x:v>https://www.vesselfinder.com/vessels/details/9554080</x:v>
      </x:c>
      <x:c r="J237" s="102" t="str">
        <x:v>SRC_0201</x:v>
      </x:c>
      <x:c r="K237" s="102" t="str">
        <x:v>Operating / schedule-observed</x:v>
      </x:c>
      <x:c r="L237" s="102" t="str">
        <x:v>Added in v1.5 fleet-build pass. Schedule evidence is not treated as ownership evidence.</x:v>
      </x:c>
    </x:row>
    <x:row r="238">
      <x:c r="A238" s="102" t="str">
        <x:v>VESSEL_00237</x:v>
      </x:c>
      <x:c r="B238" s="102" t="str">
        <x:v>WAN HAI 177</x:v>
      </x:c>
      <x:c r="C238" s="102"/>
      <x:c r="D238" s="102" t="str">
        <x:v>Unresolved ownership/operator; canonical IMO seed</x:v>
      </x:c>
      <x:c r="E238" s="110" t="str">
        <x:v>9555137</x:v>
      </x:c>
      <x:c r="F238" s="102" t="str">
        <x:v>IMO populated — checksum valid</x:v>
      </x:c>
      <x:c r="G238" s="102" t="str">
        <x:v>High</x:v>
      </x:c>
      <x:c r="H238" s="102" t="str">
        <x:v>2026-09-07</x:v>
      </x:c>
      <x:c r="I238" s="102" t="str">
        <x:v>https://www.vesselfinder.com/vessels/details/9555137</x:v>
      </x:c>
      <x:c r="J238" s="102" t="str">
        <x:v>SRC_0201</x:v>
      </x:c>
      <x:c r="K238" s="102" t="str">
        <x:v>Operating / schedule-observed</x:v>
      </x:c>
      <x:c r="L238" s="102" t="str">
        <x:v>Added in v1.5 fleet-build pass. Schedule evidence is not treated as ownership evidence.</x:v>
      </x:c>
    </x:row>
    <x:row r="239">
      <x:c r="A239" s="102" t="str">
        <x:v>VESSEL_00238</x:v>
      </x:c>
      <x:c r="B239" s="102" t="str">
        <x:v>WAN HAI 333</x:v>
      </x:c>
      <x:c r="C239" s="102"/>
      <x:c r="D239" s="102" t="str">
        <x:v>Unresolved ownership/operator; canonical IMO seed</x:v>
      </x:c>
      <x:c r="E239" s="110" t="str">
        <x:v>9951379</x:v>
      </x:c>
      <x:c r="F239" s="102" t="str">
        <x:v>IMO populated — checksum valid</x:v>
      </x:c>
      <x:c r="G239" s="102" t="str">
        <x:v>High</x:v>
      </x:c>
      <x:c r="H239" s="102" t="str">
        <x:v>2026-09-07</x:v>
      </x:c>
      <x:c r="I239" s="102" t="str">
        <x:v>https://www.vesselfinder.com/vessels/details/9951379</x:v>
      </x:c>
      <x:c r="J239" s="102" t="str">
        <x:v>SRC_0201</x:v>
      </x:c>
      <x:c r="K239" s="102" t="str">
        <x:v>Operating / schedule-observed</x:v>
      </x:c>
      <x:c r="L239" s="102" t="str">
        <x:v>Added in v1.5 fleet-build pass. Schedule evidence is not treated as ownership evidence.</x:v>
      </x:c>
    </x:row>
    <x:row r="240">
      <x:c r="A240" s="102" t="str">
        <x:v>VESSEL_00239</x:v>
      </x:c>
      <x:c r="B240" s="102" t="str">
        <x:v>WAN HAI 101</x:v>
      </x:c>
      <x:c r="C240" s="102"/>
      <x:c r="D240" s="102" t="str">
        <x:v>Unresolved ownership/operator; canonical IMO seed</x:v>
      </x:c>
      <x:c r="E240" s="110" t="str">
        <x:v>9493298</x:v>
      </x:c>
      <x:c r="F240" s="102" t="str">
        <x:v>IMO populated — checksum valid</x:v>
      </x:c>
      <x:c r="G240" s="102" t="str">
        <x:v>High</x:v>
      </x:c>
      <x:c r="H240" s="102" t="str">
        <x:v>2026-09-07</x:v>
      </x:c>
      <x:c r="I240" s="102" t="str">
        <x:v>https://www.vesselfinder.com/vessels/details/9493298</x:v>
      </x:c>
      <x:c r="J240" s="102" t="str">
        <x:v>SRC_0201</x:v>
      </x:c>
      <x:c r="K240" s="102" t="str">
        <x:v>Operating / schedule-observed</x:v>
      </x:c>
      <x:c r="L240" s="102" t="str">
        <x:v>Added in v1.5 fleet-build pass. Schedule evidence is not treated as ownership evidence.</x:v>
      </x:c>
    </x:row>
    <x:row r="241">
      <x:c r="A241" s="102" t="str">
        <x:v>VESSEL_00240</x:v>
      </x:c>
      <x:c r="B241" s="102" t="str">
        <x:v>ZIM EMERALD</x:v>
      </x:c>
      <x:c r="C241" s="102"/>
      <x:c r="D241" s="102" t="str">
        <x:v>Unresolved ownership/operator; canonical IMO seed</x:v>
      </x:c>
      <x:c r="E241" s="110" t="str">
        <x:v>9967976</x:v>
      </x:c>
      <x:c r="F241" s="102" t="str">
        <x:v>IMO populated — checksum valid</x:v>
      </x:c>
      <x:c r="G241" s="102" t="str">
        <x:v>High</x:v>
      </x:c>
      <x:c r="H241" s="102" t="str">
        <x:v>2026-09-07</x:v>
      </x:c>
      <x:c r="I241" s="102" t="str">
        <x:v>https://www.vesselfinder.com/vessels/details/9967976</x:v>
      </x:c>
      <x:c r="J241" s="102" t="str">
        <x:v>SRC_0202</x:v>
      </x:c>
      <x:c r="K241" s="102" t="str">
        <x:v>Operating / schedule-observed</x:v>
      </x:c>
      <x:c r="L241" s="102" t="str">
        <x:v>Added in v1.5 fleet-build pass. Schedule evidence is not treated as ownership evidence.</x:v>
      </x:c>
    </x:row>
    <x:row r="242">
      <x:c r="A242" s="102" t="str">
        <x:v>VESSEL_00241</x:v>
      </x:c>
      <x:c r="B242" s="102" t="str">
        <x:v>CARMEL I</x:v>
      </x:c>
      <x:c r="C242" s="102"/>
      <x:c r="D242" s="102" t="str">
        <x:v>Unresolved ownership/operator; canonical IMO seed</x:v>
      </x:c>
      <x:c r="E242" s="110" t="str">
        <x:v>9395927</x:v>
      </x:c>
      <x:c r="F242" s="102" t="str">
        <x:v>IMO populated — checksum valid</x:v>
      </x:c>
      <x:c r="G242" s="102" t="str">
        <x:v>High</x:v>
      </x:c>
      <x:c r="H242" s="102" t="str">
        <x:v>2026-09-07</x:v>
      </x:c>
      <x:c r="I242" s="102" t="str">
        <x:v>https://www.vesselfinder.com/vessels/details/9395927</x:v>
      </x:c>
      <x:c r="J242" s="102" t="str">
        <x:v>SRC_0202</x:v>
      </x:c>
      <x:c r="K242" s="102" t="str">
        <x:v>Operating / schedule-observed</x:v>
      </x:c>
      <x:c r="L242" s="102" t="str">
        <x:v>Added in v1.5 fleet-build pass. Schedule evidence is not treated as ownership evidence.</x:v>
      </x:c>
    </x:row>
    <x:row r="243">
      <x:c r="A243" s="102" t="str">
        <x:v>VESSEL_00242</x:v>
      </x:c>
      <x:c r="B243" s="102" t="str">
        <x:v>MARLA BULL</x:v>
      </x:c>
      <x:c r="C243" s="102"/>
      <x:c r="D243" s="102" t="str">
        <x:v>Unresolved ownership/operator; canonical IMO seed</x:v>
      </x:c>
      <x:c r="E243" s="110" t="str">
        <x:v>9932945</x:v>
      </x:c>
      <x:c r="F243" s="102" t="str">
        <x:v>IMO populated — checksum valid</x:v>
      </x:c>
      <x:c r="G243" s="102" t="str">
        <x:v>High</x:v>
      </x:c>
      <x:c r="H243" s="102" t="str">
        <x:v>2026-09-07</x:v>
      </x:c>
      <x:c r="I243" s="102" t="str">
        <x:v>https://www.vesselfinder.com/vessels/details/9932945</x:v>
      </x:c>
      <x:c r="J243" s="102" t="str">
        <x:v>SRC_0202</x:v>
      </x:c>
      <x:c r="K243" s="102" t="str">
        <x:v>Operating / schedule-observed</x:v>
      </x:c>
      <x:c r="L243" s="102" t="str">
        <x:v>Added in v1.5 fleet-build pass. Schedule evidence is not treated as ownership evidence.</x:v>
      </x:c>
    </x:row>
    <x:row r="244">
      <x:c r="A244" s="102" t="str">
        <x:v>VESSEL_00243</x:v>
      </x:c>
      <x:c r="B244" s="102" t="str">
        <x:v>ZIM CHINA</x:v>
      </x:c>
      <x:c r="C244" s="102"/>
      <x:c r="D244" s="102" t="str">
        <x:v>Unresolved ownership/operator; canonical IMO seed</x:v>
      </x:c>
      <x:c r="E244" s="110" t="str">
        <x:v>9389382</x:v>
      </x:c>
      <x:c r="F244" s="102" t="str">
        <x:v>IMO populated — checksum valid</x:v>
      </x:c>
      <x:c r="G244" s="102" t="str">
        <x:v>High</x:v>
      </x:c>
      <x:c r="H244" s="102" t="str">
        <x:v>2026-09-07</x:v>
      </x:c>
      <x:c r="I244" s="102" t="str">
        <x:v>https://www.vesselfinder.com/vessels/details/9389382</x:v>
      </x:c>
      <x:c r="J244" s="102" t="str">
        <x:v>SRC_0202</x:v>
      </x:c>
      <x:c r="K244" s="102" t="str">
        <x:v>Operating / schedule-observed</x:v>
      </x:c>
      <x:c r="L244" s="102" t="str">
        <x:v>Added in v1.5 fleet-build pass. Schedule evidence is not treated as ownership evidence.</x:v>
      </x:c>
    </x:row>
    <x:row r="245">
      <x:c r="A245" s="102" t="str">
        <x:v>VESSEL_00244</x:v>
      </x:c>
      <x:c r="B245" s="102" t="str">
        <x:v>MTT SANDAKAN</x:v>
      </x:c>
      <x:c r="C245" s="102"/>
      <x:c r="D245" s="102" t="str">
        <x:v>Unresolved ownership/operator; canonical IMO seed</x:v>
      </x:c>
      <x:c r="E245" s="110" t="str">
        <x:v>9872248</x:v>
      </x:c>
      <x:c r="F245" s="102" t="str">
        <x:v>IMO populated — checksum valid</x:v>
      </x:c>
      <x:c r="G245" s="102" t="str">
        <x:v>High</x:v>
      </x:c>
      <x:c r="H245" s="102" t="str">
        <x:v>2026-09-07</x:v>
      </x:c>
      <x:c r="I245" s="102" t="str">
        <x:v>https://www.vesselfinder.com/vessels/details/9872248</x:v>
      </x:c>
      <x:c r="J245" s="102" t="str">
        <x:v>SRC_0202</x:v>
      </x:c>
      <x:c r="K245" s="102" t="str">
        <x:v>Operating / schedule-observed</x:v>
      </x:c>
      <x:c r="L245" s="102" t="str">
        <x:v>Added in v1.5 fleet-build pass. Schedule evidence is not treated as ownership evidence.</x:v>
      </x:c>
    </x:row>
    <x:row r="246">
      <x:c r="A246" s="102" t="str">
        <x:v>VESSEL_00245</x:v>
      </x:c>
      <x:c r="B246" s="102" t="str">
        <x:v>MARBURG</x:v>
      </x:c>
      <x:c r="C246" s="102"/>
      <x:c r="D246" s="102" t="str">
        <x:v>Unresolved ownership/operator; canonical IMO seed</x:v>
      </x:c>
      <x:c r="E246" s="110" t="str">
        <x:v>9387592</x:v>
      </x:c>
      <x:c r="F246" s="102" t="str">
        <x:v>IMO populated — checksum valid</x:v>
      </x:c>
      <x:c r="G246" s="102" t="str">
        <x:v>High</x:v>
      </x:c>
      <x:c r="H246" s="102" t="str">
        <x:v>2026-09-07</x:v>
      </x:c>
      <x:c r="I246" s="102" t="str">
        <x:v>https://www.vesselfinder.com/vessels/details/9387592</x:v>
      </x:c>
      <x:c r="J246" s="102" t="str">
        <x:v>SRC_0203</x:v>
      </x:c>
      <x:c r="K246" s="102" t="str">
        <x:v>Operating / schedule-observed</x:v>
      </x:c>
      <x:c r="L246" s="102" t="str">
        <x:v>Added in v1.5 fleet-build pass. Schedule evidence is not treated as ownership evidence.</x:v>
      </x:c>
    </x:row>
    <x:row r="247">
      <x:c r="A247" s="102" t="str">
        <x:v>VESSEL_00246</x:v>
      </x:c>
      <x:c r="B247" s="102" t="str">
        <x:v>ELBSKY</x:v>
      </x:c>
      <x:c r="C247" s="102"/>
      <x:c r="D247" s="102" t="str">
        <x:v>Unresolved ownership/operator; canonical IMO seed</x:v>
      </x:c>
      <x:c r="E247" s="110" t="str">
        <x:v>9412531</x:v>
      </x:c>
      <x:c r="F247" s="102" t="str">
        <x:v>IMO populated — checksum valid</x:v>
      </x:c>
      <x:c r="G247" s="102" t="str">
        <x:v>High</x:v>
      </x:c>
      <x:c r="H247" s="102" t="str">
        <x:v>2026-09-07</x:v>
      </x:c>
      <x:c r="I247" s="102" t="str">
        <x:v>https://www.vesselfinder.com/vessels/details/9412531</x:v>
      </x:c>
      <x:c r="J247" s="102" t="str">
        <x:v>SRC_0203</x:v>
      </x:c>
      <x:c r="K247" s="102" t="str">
        <x:v>Operating / schedule-observed</x:v>
      </x:c>
      <x:c r="L247" s="102" t="str">
        <x:v>Added in v1.5 fleet-build pass. Schedule evidence is not treated as ownership evidence.</x:v>
      </x:c>
    </x:row>
    <x:row r="248">
      <x:c r="A248" s="102" t="str">
        <x:v>VESSEL_00247</x:v>
      </x:c>
      <x:c r="B248" s="102" t="str">
        <x:v>JUDITH</x:v>
      </x:c>
      <x:c r="C248" s="102"/>
      <x:c r="D248" s="102" t="str">
        <x:v>Unresolved ownership/operator; canonical IMO seed</x:v>
      </x:c>
      <x:c r="E248" s="110" t="str">
        <x:v>9359260</x:v>
      </x:c>
      <x:c r="F248" s="102" t="str">
        <x:v>IMO populated — checksum valid</x:v>
      </x:c>
      <x:c r="G248" s="102" t="str">
        <x:v>High</x:v>
      </x:c>
      <x:c r="H248" s="102" t="str">
        <x:v>2026-09-07</x:v>
      </x:c>
      <x:c r="I248" s="102" t="str">
        <x:v>https://www.vesselfinder.com/vessels/details/9359260</x:v>
      </x:c>
      <x:c r="J248" s="102" t="str">
        <x:v>SRC_0203</x:v>
      </x:c>
      <x:c r="K248" s="102" t="str">
        <x:v>Operating / schedule-observed</x:v>
      </x:c>
      <x:c r="L248" s="102" t="str">
        <x:v>Added in v1.5 fleet-build pass. Schedule evidence is not treated as ownership evidence.</x:v>
      </x:c>
    </x:row>
    <x:row r="249">
      <x:c r="A249" s="102" t="str">
        <x:v>VESSEL_00248</x:v>
      </x:c>
      <x:c r="B249" s="102" t="str">
        <x:v>ELBSUMMER</x:v>
      </x:c>
      <x:c r="C249" s="102"/>
      <x:c r="D249" s="102" t="str">
        <x:v>Unresolved ownership/operator; canonical IMO seed</x:v>
      </x:c>
      <x:c r="E249" s="110" t="str">
        <x:v>9386718</x:v>
      </x:c>
      <x:c r="F249" s="102" t="str">
        <x:v>IMO populated — checksum valid</x:v>
      </x:c>
      <x:c r="G249" s="102" t="str">
        <x:v>High</x:v>
      </x:c>
      <x:c r="H249" s="102" t="str">
        <x:v>2026-09-07</x:v>
      </x:c>
      <x:c r="I249" s="102" t="str">
        <x:v>https://www.vesselfinder.com/vessels/details/9386718</x:v>
      </x:c>
      <x:c r="J249" s="102" t="str">
        <x:v>SRC_0203</x:v>
      </x:c>
      <x:c r="K249" s="102" t="str">
        <x:v>Operating / schedule-observed</x:v>
      </x:c>
      <x:c r="L249" s="102" t="str">
        <x:v>Added in v1.5 fleet-build pass. Schedule evidence is not treated as ownership evidence.</x:v>
      </x:c>
    </x:row>
    <x:row r="250">
      <x:c r="A250" s="102" t="str">
        <x:v>VESSEL_00249</x:v>
      </x:c>
      <x:c r="B250" s="102" t="str">
        <x:v>SAN PEDRO</x:v>
      </x:c>
      <x:c r="C250" s="102"/>
      <x:c r="D250" s="102" t="str">
        <x:v>Unresolved ownership/operator; canonical IMO seed</x:v>
      </x:c>
      <x:c r="E250" s="110" t="str">
        <x:v>9625281</x:v>
      </x:c>
      <x:c r="F250" s="102" t="str">
        <x:v>IMO populated — checksum valid</x:v>
      </x:c>
      <x:c r="G250" s="102" t="str">
        <x:v>High</x:v>
      </x:c>
      <x:c r="H250" s="102" t="str">
        <x:v>2026-09-07</x:v>
      </x:c>
      <x:c r="I250" s="102" t="str">
        <x:v>https://www.vesselfinder.com/vessels/details/9625281</x:v>
      </x:c>
      <x:c r="J250" s="102" t="str">
        <x:v>SRC_0204</x:v>
      </x:c>
      <x:c r="K250" s="102" t="str">
        <x:v>Operating / schedule-observed</x:v>
      </x:c>
      <x:c r="L250" s="102" t="str">
        <x:v>Added in v1.5 fleet-build pass. Schedule evidence is not treated as ownership evidence.</x:v>
      </x:c>
    </x:row>
    <x:row r="251">
      <x:c r="A251" s="102" t="str">
        <x:v>VESSEL_00250</x:v>
      </x:c>
      <x:c r="B251" s="102" t="str">
        <x:v>REN JIAN 8</x:v>
      </x:c>
      <x:c r="C251" s="102"/>
      <x:c r="D251" s="102" t="str">
        <x:v>Unresolved ownership/operator; canonical IMO seed</x:v>
      </x:c>
      <x:c r="E251" s="110" t="str">
        <x:v>9326756</x:v>
      </x:c>
      <x:c r="F251" s="102" t="str">
        <x:v>IMO populated — checksum valid</x:v>
      </x:c>
      <x:c r="G251" s="102" t="str">
        <x:v>High</x:v>
      </x:c>
      <x:c r="H251" s="102" t="str">
        <x:v>2026-09-07</x:v>
      </x:c>
      <x:c r="I251" s="102" t="str">
        <x:v>https://www.vesselfinder.com/vessels/details/9326756</x:v>
      </x:c>
      <x:c r="J251" s="102" t="str">
        <x:v>SRC_0204</x:v>
      </x:c>
      <x:c r="K251" s="102" t="str">
        <x:v>Operating / schedule-observed</x:v>
      </x:c>
      <x:c r="L251" s="102" t="str">
        <x:v>Added in v1.5 fleet-build pass. Schedule evidence is not treated as ownership evidence.</x:v>
      </x:c>
    </x:row>
    <x:row r="252">
      <x:c r="A252" s="102" t="str">
        <x:v>VESSEL_00251</x:v>
      </x:c>
      <x:c r="B252" s="102" t="str">
        <x:v>ZHONG GU YIN CHUAN</x:v>
      </x:c>
      <x:c r="C252" s="102"/>
      <x:c r="D252" s="102" t="str">
        <x:v>Unresolved ownership/operator; canonical IMO seed</x:v>
      </x:c>
      <x:c r="E252" s="110" t="str">
        <x:v>9938913</x:v>
      </x:c>
      <x:c r="F252" s="102" t="str">
        <x:v>IMO populated — checksum valid</x:v>
      </x:c>
      <x:c r="G252" s="102" t="str">
        <x:v>High</x:v>
      </x:c>
      <x:c r="H252" s="102" t="str">
        <x:v>2026-09-07</x:v>
      </x:c>
      <x:c r="I252" s="102" t="str">
        <x:v>https://www.vesselfinder.com/vessels/details/9938913</x:v>
      </x:c>
      <x:c r="J252" s="102" t="str">
        <x:v>SRC_0204</x:v>
      </x:c>
      <x:c r="K252" s="102" t="str">
        <x:v>Operating / schedule-observed</x:v>
      </x:c>
      <x:c r="L252" s="102" t="str">
        <x:v>Added in v1.5 fleet-build pass. Schedule evidence is not treated as ownership evidence.</x:v>
      </x:c>
    </x:row>
    <x:row r="253">
      <x:c r="A253" s="102" t="str">
        <x:v>VESSEL_00252</x:v>
      </x:c>
      <x:c r="B253" s="102" t="str">
        <x:v>MARINA VOYAGER</x:v>
      </x:c>
      <x:c r="C253" s="102"/>
      <x:c r="D253" s="102" t="str">
        <x:v>Unresolved ownership/operator; canonical IMO seed</x:v>
      </x:c>
      <x:c r="E253" s="110" t="str">
        <x:v>9400813</x:v>
      </x:c>
      <x:c r="F253" s="102" t="str">
        <x:v>IMO populated — checksum valid</x:v>
      </x:c>
      <x:c r="G253" s="102" t="str">
        <x:v>High</x:v>
      </x:c>
      <x:c r="H253" s="102" t="str">
        <x:v>2026-09-07</x:v>
      </x:c>
      <x:c r="I253" s="102" t="str">
        <x:v>https://www.vesselfinder.com/vessels/details/9400813</x:v>
      </x:c>
      <x:c r="J253" s="102" t="str">
        <x:v>SRC_0204</x:v>
      </x:c>
      <x:c r="K253" s="102" t="str">
        <x:v>Operating / schedule-observed</x:v>
      </x:c>
      <x:c r="L253" s="102" t="str">
        <x:v>Added in v1.5 fleet-build pass. Schedule evidence is not treated as ownership evidence.</x:v>
      </x:c>
    </x:row>
    <x:row r="254">
      <x:c r="A254" s="102" t="str">
        <x:v>VESSEL_00253</x:v>
      </x:c>
      <x:c r="B254" s="102" t="str">
        <x:v>ESL SHEKOU</x:v>
      </x:c>
      <x:c r="C254" s="102"/>
      <x:c r="D254" s="102" t="str">
        <x:v>Unresolved ownership/operator; canonical IMO seed</x:v>
      </x:c>
      <x:c r="E254" s="110" t="str">
        <x:v>9290945</x:v>
      </x:c>
      <x:c r="F254" s="102" t="str">
        <x:v>IMO populated — checksum valid</x:v>
      </x:c>
      <x:c r="G254" s="102" t="str">
        <x:v>High</x:v>
      </x:c>
      <x:c r="H254" s="102" t="str">
        <x:v>2026-09-07</x:v>
      </x:c>
      <x:c r="I254" s="102" t="str">
        <x:v>https://www.vesselfinder.com/vessels/details/9290945</x:v>
      </x:c>
      <x:c r="J254" s="102" t="str">
        <x:v>SRC_0205</x:v>
      </x:c>
      <x:c r="K254" s="102" t="str">
        <x:v>Operating / schedule-observed</x:v>
      </x:c>
      <x:c r="L254" s="102" t="str">
        <x:v>Added in v1.5 fleet-build pass. Schedule evidence is not treated as ownership evidence.</x:v>
      </x:c>
    </x:row>
    <x:row r="255">
      <x:c r="A255" s="102" t="str">
        <x:v>VESSEL_00254</x:v>
      </x:c>
      <x:c r="B255" s="102" t="str">
        <x:v>ESL WASL</x:v>
      </x:c>
      <x:c r="C255" s="102"/>
      <x:c r="D255" s="102" t="str">
        <x:v>Unresolved ownership/operator; canonical IMO seed</x:v>
      </x:c>
      <x:c r="E255" s="110" t="str">
        <x:v>9400071</x:v>
      </x:c>
      <x:c r="F255" s="102" t="str">
        <x:v>IMO populated — checksum valid</x:v>
      </x:c>
      <x:c r="G255" s="102" t="str">
        <x:v>High</x:v>
      </x:c>
      <x:c r="H255" s="102" t="str">
        <x:v>2026-09-07</x:v>
      </x:c>
      <x:c r="I255" s="102" t="str">
        <x:v>https://www.vesselfinder.com/vessels/details/9400071</x:v>
      </x:c>
      <x:c r="J255" s="102" t="str">
        <x:v>SRC_0205</x:v>
      </x:c>
      <x:c r="K255" s="102" t="str">
        <x:v>Operating / schedule-observed</x:v>
      </x:c>
      <x:c r="L255" s="102" t="str">
        <x:v>Added in v1.5 fleet-build pass. Schedule evidence is not treated as ownership evidence.</x:v>
      </x:c>
    </x:row>
    <x:row r="256">
      <x:c r="A256" s="102" t="str">
        <x:v>VESSEL_00255</x:v>
      </x:c>
      <x:c r="B256" s="102" t="str">
        <x:v>ZHONG GU KUN MING</x:v>
      </x:c>
      <x:c r="C256" s="102"/>
      <x:c r="D256" s="102" t="str">
        <x:v>Unresolved ownership/operator; canonical IMO seed</x:v>
      </x:c>
      <x:c r="E256" s="110" t="str">
        <x:v>9933858</x:v>
      </x:c>
      <x:c r="F256" s="102" t="str">
        <x:v>IMO populated — checksum valid</x:v>
      </x:c>
      <x:c r="G256" s="102" t="str">
        <x:v>High</x:v>
      </x:c>
      <x:c r="H256" s="102" t="str">
        <x:v>2026-09-07</x:v>
      </x:c>
      <x:c r="I256" s="102" t="str">
        <x:v>https://www.vesselfinder.com/vessels/details/9933858</x:v>
      </x:c>
      <x:c r="J256" s="102" t="str">
        <x:v>SRC_0205</x:v>
      </x:c>
      <x:c r="K256" s="102" t="str">
        <x:v>Operating / schedule-observed</x:v>
      </x:c>
      <x:c r="L256" s="102" t="str">
        <x:v>Added in v1.5 fleet-build pass. Schedule evidence is not treated as ownership evidence.</x:v>
      </x:c>
    </x:row>
    <x:row r="257">
      <x:c r="A257" s="102" t="str">
        <x:v>VESSEL_00256</x:v>
      </x:c>
      <x:c r="B257" s="102" t="str">
        <x:v>BRIGHT</x:v>
      </x:c>
      <x:c r="C257" s="102"/>
      <x:c r="D257" s="102" t="str">
        <x:v>Unresolved ownership/operator; canonical IMO seed</x:v>
      </x:c>
      <x:c r="E257" s="110" t="str">
        <x:v>9778399</x:v>
      </x:c>
      <x:c r="F257" s="102" t="str">
        <x:v>IMO populated — checksum valid</x:v>
      </x:c>
      <x:c r="G257" s="102" t="str">
        <x:v>High</x:v>
      </x:c>
      <x:c r="H257" s="102" t="str">
        <x:v>2026-09-07</x:v>
      </x:c>
      <x:c r="I257" s="102" t="str">
        <x:v>https://www.vesselfinder.com/vessels/details/9778399</x:v>
      </x:c>
      <x:c r="J257" s="102" t="str">
        <x:v>SRC_0205</x:v>
      </x:c>
      <x:c r="K257" s="102" t="str">
        <x:v>Operating / schedule-observed</x:v>
      </x:c>
      <x:c r="L257" s="102" t="str">
        <x:v>Added in v1.5 fleet-build pass. Schedule evidence is not treated as ownership evidence.</x:v>
      </x:c>
    </x:row>
    <x:row r="258">
      <x:c r="A258" s="102" t="str">
        <x:v>VESSEL_00257</x:v>
      </x:c>
      <x:c r="B258" s="102" t="str">
        <x:v>TROUPER</x:v>
      </x:c>
      <x:c r="C258" s="102"/>
      <x:c r="D258" s="102" t="str">
        <x:v>Unresolved ownership/operator; canonical IMO seed</x:v>
      </x:c>
      <x:c r="E258" s="110" t="str">
        <x:v>9326952</x:v>
      </x:c>
      <x:c r="F258" s="102" t="str">
        <x:v>IMO populated — checksum valid</x:v>
      </x:c>
      <x:c r="G258" s="102" t="str">
        <x:v>High</x:v>
      </x:c>
      <x:c r="H258" s="102" t="str">
        <x:v>2026-09-07</x:v>
      </x:c>
      <x:c r="I258" s="102" t="str">
        <x:v>https://www.vesselfinder.com/vessels/details/9326952</x:v>
      </x:c>
      <x:c r="J258" s="102" t="str">
        <x:v>SRC_0206</x:v>
      </x:c>
      <x:c r="K258" s="102" t="str">
        <x:v>Operating / schedule-observed</x:v>
      </x:c>
      <x:c r="L258" s="102" t="str">
        <x:v>Added in v1.5 fleet-build pass. Schedule evidence is not treated as ownership evidence.</x:v>
      </x:c>
    </x:row>
    <x:row r="259">
      <x:c r="A259" s="102" t="str">
        <x:v>VESSEL_00258</x:v>
      </x:c>
      <x:c r="B259" s="102" t="str">
        <x:v>X PRESS ANGLESEY</x:v>
      </x:c>
      <x:c r="C259" s="102"/>
      <x:c r="D259" s="102" t="str">
        <x:v>Unresolved ownership/operator; canonical IMO seed</x:v>
      </x:c>
      <x:c r="E259" s="110" t="str">
        <x:v>9623843</x:v>
      </x:c>
      <x:c r="F259" s="102" t="str">
        <x:v>IMO populated — checksum valid</x:v>
      </x:c>
      <x:c r="G259" s="102" t="str">
        <x:v>High</x:v>
      </x:c>
      <x:c r="H259" s="102" t="str">
        <x:v>2026-09-07</x:v>
      </x:c>
      <x:c r="I259" s="102" t="str">
        <x:v>https://www.vesselfinder.com/vessels/details/9623843</x:v>
      </x:c>
      <x:c r="J259" s="102" t="str">
        <x:v>SRC_0206</x:v>
      </x:c>
      <x:c r="K259" s="102" t="str">
        <x:v>Operating / schedule-observed</x:v>
      </x:c>
      <x:c r="L259" s="102" t="str">
        <x:v>Added in v1.5 fleet-build pass. Schedule evidence is not treated as ownership evidence.</x:v>
      </x:c>
    </x:row>
    <x:row r="260">
      <x:c r="A260" s="102" t="str">
        <x:v>VESSEL_00259</x:v>
      </x:c>
      <x:c r="B260" s="102" t="str">
        <x:v>SKY LIGHT</x:v>
      </x:c>
      <x:c r="C260" s="102"/>
      <x:c r="D260" s="102" t="str">
        <x:v>Unresolved ownership/operator; canonical IMO seed</x:v>
      </x:c>
      <x:c r="E260" s="110" t="str">
        <x:v>9118513</x:v>
      </x:c>
      <x:c r="F260" s="102" t="str">
        <x:v>IMO populated — checksum valid</x:v>
      </x:c>
      <x:c r="G260" s="102" t="str">
        <x:v>High</x:v>
      </x:c>
      <x:c r="H260" s="102" t="str">
        <x:v>2026-09-07</x:v>
      </x:c>
      <x:c r="I260" s="102" t="str">
        <x:v>https://www.vesselfinder.com/vessels/details/9118513</x:v>
      </x:c>
      <x:c r="J260" s="102" t="str">
        <x:v>SRC_0206</x:v>
      </x:c>
      <x:c r="K260" s="102" t="str">
        <x:v>Operating / schedule-observed</x:v>
      </x:c>
      <x:c r="L260" s="102" t="str">
        <x:v>Added in v1.5 fleet-build pass. Schedule evidence is not treated as ownership evidence.</x:v>
      </x:c>
    </x:row>
    <x:row r="261">
      <x:c r="A261" s="102" t="str">
        <x:v>VESSEL_00260</x:v>
      </x:c>
      <x:c r="B261" s="102" t="str">
        <x:v>GOLDEN STAR 1</x:v>
      </x:c>
      <x:c r="C261" s="102"/>
      <x:c r="D261" s="102" t="str">
        <x:v>Unresolved ownership/operator; canonical IMO seed</x:v>
      </x:c>
      <x:c r="E261" s="110" t="str">
        <x:v>8952857</x:v>
      </x:c>
      <x:c r="F261" s="102" t="str">
        <x:v>IMO populated — checksum valid</x:v>
      </x:c>
      <x:c r="G261" s="102" t="str">
        <x:v>High</x:v>
      </x:c>
      <x:c r="H261" s="102" t="str">
        <x:v>2026-09-07</x:v>
      </x:c>
      <x:c r="I261" s="102" t="str">
        <x:v>https://www.vesselfinder.com/vessels/details/8952857</x:v>
      </x:c>
      <x:c r="J261" s="102" t="str">
        <x:v>SRC_0206</x:v>
      </x:c>
      <x:c r="K261" s="102" t="str">
        <x:v>Operating / schedule-observed</x:v>
      </x:c>
      <x:c r="L261" s="102" t="str">
        <x:v>Added in v1.5 fleet-build pass. Schedule evidence is not treated as ownership evidence.</x:v>
      </x:c>
    </x:row>
    <x:row r="262">
      <x:c r="A262" s="102" t="str">
        <x:v>VESSEL_00261</x:v>
      </x:c>
      <x:c r="B262" s="102" t="str">
        <x:v>SSF VALENCE</x:v>
      </x:c>
      <x:c r="C262" s="102"/>
      <x:c r="D262" s="102" t="str">
        <x:v>Unresolved ownership/operator; canonical IMO seed</x:v>
      </x:c>
      <x:c r="E262" s="110" t="str">
        <x:v>9304693</x:v>
      </x:c>
      <x:c r="F262" s="102" t="str">
        <x:v>IMO populated — checksum valid</x:v>
      </x:c>
      <x:c r="G262" s="102" t="str">
        <x:v>High</x:v>
      </x:c>
      <x:c r="H262" s="102" t="str">
        <x:v>2026-09-07</x:v>
      </x:c>
      <x:c r="I262" s="102" t="str">
        <x:v>https://www.vesselfinder.com/vessels/details/9304693</x:v>
      </x:c>
      <x:c r="J262" s="102" t="str">
        <x:v>SRC_0207</x:v>
      </x:c>
      <x:c r="K262" s="102" t="str">
        <x:v>Operating / schedule-observed</x:v>
      </x:c>
      <x:c r="L262" s="102" t="str">
        <x:v>Added in v1.5 fleet-build pass. Schedule evidence is not treated as ownership evidence.</x:v>
      </x:c>
    </x:row>
    <x:row r="263">
      <x:c r="A263" s="102" t="str">
        <x:v>VESSEL_00262</x:v>
      </x:c>
      <x:c r="B263" s="102" t="str">
        <x:v>SM MANALI</x:v>
      </x:c>
      <x:c r="C263" s="102"/>
      <x:c r="D263" s="102" t="str">
        <x:v>Unresolved ownership/operator; canonical IMO seed</x:v>
      </x:c>
      <x:c r="E263" s="110" t="str">
        <x:v>9303742</x:v>
      </x:c>
      <x:c r="F263" s="102" t="str">
        <x:v>IMO populated — checksum valid</x:v>
      </x:c>
      <x:c r="G263" s="102" t="str">
        <x:v>High</x:v>
      </x:c>
      <x:c r="H263" s="102" t="str">
        <x:v>2026-09-07</x:v>
      </x:c>
      <x:c r="I263" s="102" t="str">
        <x:v>https://www.vesselfinder.com/vessels/details/9303742</x:v>
      </x:c>
      <x:c r="J263" s="102" t="str">
        <x:v>SRC_0207</x:v>
      </x:c>
      <x:c r="K263" s="102" t="str">
        <x:v>Operating / schedule-observed</x:v>
      </x:c>
      <x:c r="L263" s="102" t="str">
        <x:v>Added in v1.5 fleet-build pass. Schedule evidence is not treated as ownership evidence.</x:v>
      </x:c>
    </x:row>
    <x:row r="264">
      <x:c r="A264" s="102" t="str">
        <x:v>VESSEL_00263</x:v>
      </x:c>
      <x:c r="B264" s="102" t="str">
        <x:v>REMAH</x:v>
      </x:c>
      <x:c r="C264" s="102"/>
      <x:c r="D264" s="102" t="str">
        <x:v>Unresolved ownership/operator; canonical IMO seed</x:v>
      </x:c>
      <x:c r="E264" s="110" t="str">
        <x:v>9947720</x:v>
      </x:c>
      <x:c r="F264" s="102" t="str">
        <x:v>IMO populated — checksum valid</x:v>
      </x:c>
      <x:c r="G264" s="102" t="str">
        <x:v>High</x:v>
      </x:c>
      <x:c r="H264" s="102" t="str">
        <x:v>2026-09-07</x:v>
      </x:c>
      <x:c r="I264" s="102" t="str">
        <x:v>https://www.vesselfinder.com/vessels/details/9947720</x:v>
      </x:c>
      <x:c r="J264" s="102" t="str">
        <x:v>SRC_0207</x:v>
      </x:c>
      <x:c r="K264" s="102" t="str">
        <x:v>Operating / schedule-observed</x:v>
      </x:c>
      <x:c r="L264" s="102" t="str">
        <x:v>Added in v1.5 fleet-build pass. Schedule evidence is not treated as ownership evidence.</x:v>
      </x:c>
    </x:row>
    <x:row r="265">
      <x:c r="A265" s="102" t="str">
        <x:v>VESSEL_00264</x:v>
      </x:c>
      <x:c r="B265" s="102" t="str">
        <x:v>MIRROR</x:v>
      </x:c>
      <x:c r="C265" s="102"/>
      <x:c r="D265" s="102" t="str">
        <x:v>Unresolved ownership/operator; canonical IMO seed</x:v>
      </x:c>
      <x:c r="E265" s="110" t="str">
        <x:v>9328041</x:v>
      </x:c>
      <x:c r="F265" s="102" t="str">
        <x:v>IMO populated — checksum valid</x:v>
      </x:c>
      <x:c r="G265" s="102" t="str">
        <x:v>High</x:v>
      </x:c>
      <x:c r="H265" s="102" t="str">
        <x:v>2026-09-07</x:v>
      </x:c>
      <x:c r="I265" s="102" t="str">
        <x:v>https://www.vesselfinder.com/vessels/details/9328041</x:v>
      </x:c>
      <x:c r="J265" s="102" t="str">
        <x:v>SRC_0207</x:v>
      </x:c>
      <x:c r="K265" s="102" t="str">
        <x:v>Operating / schedule-observed</x:v>
      </x:c>
      <x:c r="L265" s="102" t="str">
        <x:v>Added in v1.5 fleet-build pass. Schedule evidence is not treated as ownership evidence.</x:v>
      </x:c>
    </x:row>
    <x:row r="266">
      <x:c r="A266" s="102" t="str">
        <x:v>VESSEL_00265</x:v>
      </x:c>
      <x:c r="B266" s="102" t="str">
        <x:v>HUA DA 610</x:v>
      </x:c>
      <x:c r="C266" s="102"/>
      <x:c r="D266" s="102" t="str">
        <x:v>Unresolved ownership/operator; canonical IMO seed</x:v>
      </x:c>
      <x:c r="E266" s="110" t="str">
        <x:v>1077385</x:v>
      </x:c>
      <x:c r="F266" s="102" t="str">
        <x:v>IMO populated — checksum valid</x:v>
      </x:c>
      <x:c r="G266" s="102" t="str">
        <x:v>High</x:v>
      </x:c>
      <x:c r="H266" s="102" t="str">
        <x:v>2026-09-07</x:v>
      </x:c>
      <x:c r="I266" s="102" t="str">
        <x:v>https://www.vesselfinder.com/vessels/details/1077385</x:v>
      </x:c>
      <x:c r="J266" s="102" t="str">
        <x:v>SRC_0208</x:v>
      </x:c>
      <x:c r="K266" s="102" t="str">
        <x:v>Operating / schedule-observed</x:v>
      </x:c>
      <x:c r="L266" s="102" t="str">
        <x:v>Added in v1.5 fleet-build pass. Schedule evidence is not treated as ownership evidence.</x:v>
      </x:c>
    </x:row>
    <x:row r="267">
      <x:c r="A267" s="102" t="str">
        <x:v>VESSEL_00266</x:v>
      </x:c>
      <x:c r="B267" s="102" t="str">
        <x:v>AL BATEEN</x:v>
      </x:c>
      <x:c r="C267" s="102"/>
      <x:c r="D267" s="102" t="str">
        <x:v>Unresolved ownership/operator; canonical IMO seed</x:v>
      </x:c>
      <x:c r="E267" s="110" t="str">
        <x:v>9668984</x:v>
      </x:c>
      <x:c r="F267" s="102" t="str">
        <x:v>IMO populated — checksum valid</x:v>
      </x:c>
      <x:c r="G267" s="102" t="str">
        <x:v>High</x:v>
      </x:c>
      <x:c r="H267" s="102" t="str">
        <x:v>2026-09-07</x:v>
      </x:c>
      <x:c r="I267" s="102" t="str">
        <x:v>https://www.vesselfinder.com/vessels/details/9668984</x:v>
      </x:c>
      <x:c r="J267" s="102" t="str">
        <x:v>SRC_0208</x:v>
      </x:c>
      <x:c r="K267" s="102" t="str">
        <x:v>Operating / schedule-observed</x:v>
      </x:c>
      <x:c r="L267" s="102" t="str">
        <x:v>Added in v1.5 fleet-build pass. Schedule evidence is not treated as ownership evidence.</x:v>
      </x:c>
    </x:row>
    <x:row r="268">
      <x:c r="A268" s="102" t="str">
        <x:v>VESSEL_00267</x:v>
      </x:c>
      <x:c r="B268" s="102" t="str">
        <x:v>SAFEEN PRIZE</x:v>
      </x:c>
      <x:c r="C268" s="102"/>
      <x:c r="D268" s="102" t="str">
        <x:v>Unresolved ownership/operator; canonical IMO seed</x:v>
      </x:c>
      <x:c r="E268" s="110" t="str">
        <x:v>9603594</x:v>
      </x:c>
      <x:c r="F268" s="102" t="str">
        <x:v>IMO populated — checksum valid</x:v>
      </x:c>
      <x:c r="G268" s="102" t="str">
        <x:v>High</x:v>
      </x:c>
      <x:c r="H268" s="102" t="str">
        <x:v>2026-09-07</x:v>
      </x:c>
      <x:c r="I268" s="102" t="str">
        <x:v>https://www.vesselfinder.com/vessels/details/9603594</x:v>
      </x:c>
      <x:c r="J268" s="102" t="str">
        <x:v>SRC_0208</x:v>
      </x:c>
      <x:c r="K268" s="102" t="str">
        <x:v>Operating / schedule-observed</x:v>
      </x:c>
      <x:c r="L268" s="102" t="str">
        <x:v>Added in v1.5 fleet-build pass. Schedule evidence is not treated as ownership evidence.</x:v>
      </x:c>
    </x:row>
    <x:row r="269">
      <x:c r="A269" s="102" t="str">
        <x:v>VESSEL_00268</x:v>
      </x:c>
      <x:c r="B269" s="102" t="str">
        <x:v>SSF DREAM</x:v>
      </x:c>
      <x:c r="C269" s="102"/>
      <x:c r="D269" s="102" t="str">
        <x:v>Unresolved ownership/operator; canonical IMO seed</x:v>
      </x:c>
      <x:c r="E269" s="110" t="str">
        <x:v>9346005</x:v>
      </x:c>
      <x:c r="F269" s="102" t="str">
        <x:v>IMO populated — checksum valid</x:v>
      </x:c>
      <x:c r="G269" s="102" t="str">
        <x:v>High</x:v>
      </x:c>
      <x:c r="H269" s="102" t="str">
        <x:v>2026-09-07</x:v>
      </x:c>
      <x:c r="I269" s="102" t="str">
        <x:v>https://www.vesselfinder.com/vessels/details/9346005</x:v>
      </x:c>
      <x:c r="J269" s="102" t="str">
        <x:v>SRC_0208</x:v>
      </x:c>
      <x:c r="K269" s="102" t="str">
        <x:v>Operating / schedule-observed</x:v>
      </x:c>
      <x:c r="L269" s="102" t="str">
        <x:v>Added in v1.5 fleet-build pass. Schedule evidence is not treated as ownership evidence.</x:v>
      </x:c>
    </x:row>
    <x:row r="270">
      <x:c r="A270" s="102" t="str">
        <x:v>VESSEL_00269</x:v>
      </x:c>
      <x:c r="B270" s="102" t="str">
        <x:v>GFS LETO</x:v>
      </x:c>
      <x:c r="C270" s="102"/>
      <x:c r="D270" s="102" t="str">
        <x:v>Unresolved ownership/operator; canonical IMO seed</x:v>
      </x:c>
      <x:c r="E270" s="110" t="str">
        <x:v>9346562</x:v>
      </x:c>
      <x:c r="F270" s="102" t="str">
        <x:v>IMO populated — checksum valid</x:v>
      </x:c>
      <x:c r="G270" s="102" t="str">
        <x:v>High</x:v>
      </x:c>
      <x:c r="H270" s="102" t="str">
        <x:v>2026-09-07</x:v>
      </x:c>
      <x:c r="I270" s="102" t="str">
        <x:v>https://www.vesselfinder.com/vessels/details/9346562</x:v>
      </x:c>
      <x:c r="J270" s="102" t="str">
        <x:v>SRC_0209</x:v>
      </x:c>
      <x:c r="K270" s="102" t="str">
        <x:v>Operating / registry-observed</x:v>
      </x:c>
      <x:c r="L270" s="102" t="str">
        <x:v>Added in v1.5 fleet-build pass. Schedule evidence is not treated as ownership evidence.</x:v>
      </x:c>
    </x:row>
    <x:row r="271">
      <x:c r="A271" s="102" t="str">
        <x:v>VESSEL_00270</x:v>
      </x:c>
      <x:c r="B271" s="102" t="str">
        <x:v>GFS LYSA</x:v>
      </x:c>
      <x:c r="C271" s="102"/>
      <x:c r="D271" s="102" t="str">
        <x:v>Unresolved ownership/operator; canonical IMO seed</x:v>
      </x:c>
      <x:c r="E271" s="110" t="str">
        <x:v>9368730</x:v>
      </x:c>
      <x:c r="F271" s="102" t="str">
        <x:v>IMO populated — checksum valid</x:v>
      </x:c>
      <x:c r="G271" s="102" t="str">
        <x:v>High</x:v>
      </x:c>
      <x:c r="H271" s="102" t="str">
        <x:v>2026-09-07</x:v>
      </x:c>
      <x:c r="I271" s="102" t="str">
        <x:v>https://www.vesselfinder.com/vessels/details/9368730</x:v>
      </x:c>
      <x:c r="J271" s="102" t="str">
        <x:v>SRC_0209</x:v>
      </x:c>
      <x:c r="K271" s="102" t="str">
        <x:v>Operating / registry-observed</x:v>
      </x:c>
      <x:c r="L271" s="102" t="str">
        <x:v>Added in v1.5 fleet-build pass. Schedule evidence is not treated as ownership evidence.</x:v>
      </x:c>
    </x:row>
    <x:row r="272">
      <x:c r="A272" s="102" t="str">
        <x:v>VESSEL_00271</x:v>
      </x:c>
      <x:c r="B272" s="102" t="str">
        <x:v>GFS MARINE 01</x:v>
      </x:c>
      <x:c r="C272" s="102"/>
      <x:c r="D272" s="102" t="str">
        <x:v>Unresolved ownership/operator; canonical IMO seed</x:v>
      </x:c>
      <x:c r="E272" s="110" t="str">
        <x:v>9586368</x:v>
      </x:c>
      <x:c r="F272" s="102" t="str">
        <x:v>IMO populated — checksum valid</x:v>
      </x:c>
      <x:c r="G272" s="102" t="str">
        <x:v>High</x:v>
      </x:c>
      <x:c r="H272" s="102" t="str">
        <x:v>2026-09-07</x:v>
      </x:c>
      <x:c r="I272" s="102" t="str">
        <x:v>https://www.vesselfinder.com/vessels/details/9586368</x:v>
      </x:c>
      <x:c r="J272" s="102" t="str">
        <x:v>SRC_0209</x:v>
      </x:c>
      <x:c r="K272" s="102" t="str">
        <x:v>Operating / registry-observed</x:v>
      </x:c>
      <x:c r="L272" s="102" t="str">
        <x:v>Added in v1.5 fleet-build pass. Schedule evidence is not treated as ownership evidence.</x:v>
      </x:c>
    </x:row>
    <x:row r="273">
      <x:c r="A273" s="102" t="str">
        <x:v>VESSEL_00272</x:v>
      </x:c>
      <x:c r="B273" s="102" t="str">
        <x:v>GFS RHEA</x:v>
      </x:c>
      <x:c r="C273" s="102" t="str">
        <x:v>COMP_GFS</x:v>
      </x:c>
      <x:c r="D273" s="102" t="str">
        <x:v>Global Feeder Shipping</x:v>
      </x:c>
      <x:c r="E273" s="110" t="str">
        <x:v>9373486</x:v>
      </x:c>
      <x:c r="F273" s="102" t="str">
        <x:v>IMO populated — checksum valid</x:v>
      </x:c>
      <x:c r="G273" s="102" t="str">
        <x:v>High</x:v>
      </x:c>
      <x:c r="H273" s="102" t="str">
        <x:v>2026-09-07</x:v>
      </x:c>
      <x:c r="I273" s="102" t="str">
        <x:v>https://www.vesselfinder.com/vessels/details/9373486</x:v>
      </x:c>
      <x:c r="J273" s="102" t="str">
        <x:v>SRC_0210</x:v>
      </x:c>
      <x:c r="K273" s="102" t="str">
        <x:v>Operating / registry-observed</x:v>
      </x:c>
      <x:c r="L273" s="102" t="str">
        <x:v>Added in v1.5 fleet-build pass. Schedule evidence is not treated as ownership evidence.</x:v>
      </x:c>
    </x:row>
    <x:row r="274">
      <x:c r="A274" s="102" t="str">
        <x:v>VESSEL_00273</x:v>
      </x:c>
      <x:c r="B274" s="102" t="str">
        <x:v>GFS RHINE</x:v>
      </x:c>
      <x:c r="C274" s="102"/>
      <x:c r="D274" s="102" t="str">
        <x:v>Unresolved ownership/operator; canonical IMO seed</x:v>
      </x:c>
      <x:c r="E274" s="110" t="str">
        <x:v>9435234</x:v>
      </x:c>
      <x:c r="F274" s="102" t="str">
        <x:v>IMO populated — checksum valid</x:v>
      </x:c>
      <x:c r="G274" s="102" t="str">
        <x:v>High</x:v>
      </x:c>
      <x:c r="H274" s="102" t="str">
        <x:v>2026-09-07</x:v>
      </x:c>
      <x:c r="I274" s="102" t="str">
        <x:v>https://www.vesselfinder.com/vessels/details/9435234</x:v>
      </x:c>
      <x:c r="J274" s="102" t="str">
        <x:v>SRC_0209</x:v>
      </x:c>
      <x:c r="K274" s="102" t="str">
        <x:v>Operating / registry-observed</x:v>
      </x:c>
      <x:c r="L274" s="102" t="str">
        <x:v>Added in v1.5 fleet-build pass. Schedule evidence is not treated as ownership evidence.</x:v>
      </x:c>
    </x:row>
    <x:row r="275">
      <x:c r="A275" s="102" t="str">
        <x:v>VESSEL_00274</x:v>
      </x:c>
      <x:c r="B275" s="102" t="str">
        <x:v>Baie Comeau</x:v>
      </x:c>
      <x:c r="C275" s="102" t="str">
        <x:v>COMP_CSL_CANADA</x:v>
      </x:c>
      <x:c r="D275" s="102" t="str">
        <x:v>Canada Steamship Lines</x:v>
      </x:c>
      <x:c r="E275" s="110" t="str">
        <x:v>9639892</x:v>
      </x:c>
      <x:c r="F275" s="102" t="str">
        <x:v>IMO populated — checksum valid</x:v>
      </x:c>
      <x:c r="G275" s="102" t="str">
        <x:v>High</x:v>
      </x:c>
      <x:c r="H275" s="102" t="str">
        <x:v>2026-09-07</x:v>
      </x:c>
      <x:c r="I275" s="102" t="str">
        <x:v>https://www.vesselfinder.com/vessels/details/9639892</x:v>
      </x:c>
      <x:c r="J275" s="102" t="str">
        <x:v>SRC_0153</x:v>
      </x:c>
      <x:c r="K275" s="102" t="str">
        <x:v>Operating</x:v>
      </x:c>
      <x:c r="L275" s="102" t="str">
        <x:v>Generated during v1.9 unified branch merge.</x:v>
      </x:c>
    </x:row>
    <x:row r="276">
      <x:c r="A276" s="102" t="str">
        <x:v>VESSEL_00275</x:v>
      </x:c>
      <x:c r="B276" s="102" t="str">
        <x:v>Baie St. Paul</x:v>
      </x:c>
      <x:c r="C276" s="102" t="str">
        <x:v>COMP_CSL_CANADA</x:v>
      </x:c>
      <x:c r="D276" s="102" t="str">
        <x:v>Canada Steamship Lines</x:v>
      </x:c>
      <x:c r="E276" s="110" t="str">
        <x:v>9601027</x:v>
      </x:c>
      <x:c r="F276" s="102" t="str">
        <x:v>IMO populated — checksum valid</x:v>
      </x:c>
      <x:c r="G276" s="102" t="str">
        <x:v>High</x:v>
      </x:c>
      <x:c r="H276" s="102" t="str">
        <x:v>2026-09-07</x:v>
      </x:c>
      <x:c r="I276" s="102" t="str">
        <x:v>https://www.vesselfinder.com/vessels/details/9601027</x:v>
      </x:c>
      <x:c r="J276" s="102" t="str">
        <x:v>SRC_0153</x:v>
      </x:c>
      <x:c r="K276" s="102" t="str">
        <x:v>Operating</x:v>
      </x:c>
      <x:c r="L276" s="102" t="str">
        <x:v>Generated during v1.9 unified branch merge.</x:v>
      </x:c>
    </x:row>
    <x:row r="277">
      <x:c r="A277" s="102" t="str">
        <x:v>VESSEL_00276</x:v>
      </x:c>
      <x:c r="B277" s="102" t="str">
        <x:v>CSL Assiniboine</x:v>
      </x:c>
      <x:c r="C277" s="102" t="str">
        <x:v>COMP_CSL_CANADA</x:v>
      </x:c>
      <x:c r="D277" s="102" t="str">
        <x:v>Canada Steamship Lines</x:v>
      </x:c>
      <x:c r="E277" s="110" t="str">
        <x:v>7413218</x:v>
      </x:c>
      <x:c r="F277" s="102" t="str">
        <x:v>IMO populated — checksum valid</x:v>
      </x:c>
      <x:c r="G277" s="102" t="str">
        <x:v>High</x:v>
      </x:c>
      <x:c r="H277" s="102" t="str">
        <x:v>2026-09-07</x:v>
      </x:c>
      <x:c r="I277" s="102" t="str">
        <x:v>https://www.vesselfinder.com/vessels/details/7413218</x:v>
      </x:c>
      <x:c r="J277" s="102" t="str">
        <x:v>SRC_0153</x:v>
      </x:c>
      <x:c r="K277" s="102" t="str">
        <x:v>Operating</x:v>
      </x:c>
      <x:c r="L277" s="102" t="str">
        <x:v>Generated during v1.9 unified branch merge.</x:v>
      </x:c>
    </x:row>
    <x:row r="278">
      <x:c r="A278" s="102" t="str">
        <x:v>VESSEL_00277</x:v>
      </x:c>
      <x:c r="B278" s="102" t="str">
        <x:v>CSL Laurentien</x:v>
      </x:c>
      <x:c r="C278" s="102" t="str">
        <x:v>COMP_CSL_CANADA</x:v>
      </x:c>
      <x:c r="D278" s="102" t="str">
        <x:v>Canada Steamship Lines</x:v>
      </x:c>
      <x:c r="E278" s="110" t="str">
        <x:v>7423108</x:v>
      </x:c>
      <x:c r="F278" s="102" t="str">
        <x:v>IMO populated — checksum valid</x:v>
      </x:c>
      <x:c r="G278" s="102" t="str">
        <x:v>High</x:v>
      </x:c>
      <x:c r="H278" s="102" t="str">
        <x:v>2026-09-07</x:v>
      </x:c>
      <x:c r="I278" s="102" t="str">
        <x:v>https://www.vesselfinder.com/vessels/details/7423108</x:v>
      </x:c>
      <x:c r="J278" s="102" t="str">
        <x:v>SRC_0153</x:v>
      </x:c>
      <x:c r="K278" s="102" t="str">
        <x:v>Operating</x:v>
      </x:c>
      <x:c r="L278" s="102" t="str">
        <x:v>Generated during v1.9 unified branch merge.</x:v>
      </x:c>
    </x:row>
    <x:row r="279">
      <x:c r="A279" s="102" t="str">
        <x:v>VESSEL_00278</x:v>
      </x:c>
      <x:c r="B279" s="102" t="str">
        <x:v>CSL Niagara</x:v>
      </x:c>
      <x:c r="C279" s="102" t="str">
        <x:v>COMP_CSL_CANADA</x:v>
      </x:c>
      <x:c r="D279" s="102" t="str">
        <x:v>Canada Steamship Lines</x:v>
      </x:c>
      <x:c r="E279" s="110" t="str">
        <x:v>7128423</x:v>
      </x:c>
      <x:c r="F279" s="102" t="str">
        <x:v>IMO populated — checksum valid</x:v>
      </x:c>
      <x:c r="G279" s="102" t="str">
        <x:v>High</x:v>
      </x:c>
      <x:c r="H279" s="102" t="str">
        <x:v>2026-09-07</x:v>
      </x:c>
      <x:c r="I279" s="102" t="str">
        <x:v>https://www.vesselfinder.com/vessels/details/7128423</x:v>
      </x:c>
      <x:c r="J279" s="102" t="str">
        <x:v>SRC_0153</x:v>
      </x:c>
      <x:c r="K279" s="102" t="str">
        <x:v>Operating</x:v>
      </x:c>
      <x:c r="L279" s="102" t="str">
        <x:v>Generated during v1.9 unified branch merge.</x:v>
      </x:c>
    </x:row>
    <x:row r="280">
      <x:c r="A280" s="102" t="str">
        <x:v>VESSEL_00279</x:v>
      </x:c>
      <x:c r="B280" s="102" t="str">
        <x:v>CSL Tadoussac</x:v>
      </x:c>
      <x:c r="C280" s="102" t="str">
        <x:v>COMP_CSL_CANADA</x:v>
      </x:c>
      <x:c r="D280" s="102" t="str">
        <x:v>Canada Steamship Lines</x:v>
      </x:c>
      <x:c r="E280" s="110" t="str">
        <x:v>6918716</x:v>
      </x:c>
      <x:c r="F280" s="102" t="str">
        <x:v>IMO populated — checksum valid</x:v>
      </x:c>
      <x:c r="G280" s="102" t="str">
        <x:v>High</x:v>
      </x:c>
      <x:c r="H280" s="102" t="str">
        <x:v>2026-09-07</x:v>
      </x:c>
      <x:c r="I280" s="102" t="str">
        <x:v>https://www.vesselfinder.com/vessels/details/6918716</x:v>
      </x:c>
      <x:c r="J280" s="102" t="str">
        <x:v>SRC_0153</x:v>
      </x:c>
      <x:c r="K280" s="102" t="str">
        <x:v>Operating</x:v>
      </x:c>
      <x:c r="L280" s="102" t="str">
        <x:v>Generated during v1.9 unified branch merge.</x:v>
      </x:c>
    </x:row>
    <x:row r="281">
      <x:c r="A281" s="102" t="str">
        <x:v>VESSEL_00280</x:v>
      </x:c>
      <x:c r="B281" s="102" t="str">
        <x:v>Frontenac</x:v>
      </x:c>
      <x:c r="C281" s="102" t="str">
        <x:v>COMP_CSL_CANADA</x:v>
      </x:c>
      <x:c r="D281" s="102" t="str">
        <x:v>Canada Steamship Lines</x:v>
      </x:c>
      <x:c r="E281" s="110" t="str">
        <x:v>6804848</x:v>
      </x:c>
      <x:c r="F281" s="102" t="str">
        <x:v>IMO populated — checksum valid</x:v>
      </x:c>
      <x:c r="G281" s="102" t="str">
        <x:v>High</x:v>
      </x:c>
      <x:c r="H281" s="102" t="str">
        <x:v>2026-09-07</x:v>
      </x:c>
      <x:c r="I281" s="102" t="str">
        <x:v>https://www.vesselfinder.com/vessels/details/6804848</x:v>
      </x:c>
      <x:c r="J281" s="102" t="str">
        <x:v>SRC_0153</x:v>
      </x:c>
      <x:c r="K281" s="102" t="str">
        <x:v>Operating</x:v>
      </x:c>
      <x:c r="L281" s="102" t="str">
        <x:v>Generated during v1.9 unified branch merge.</x:v>
      </x:c>
    </x:row>
    <x:row r="282">
      <x:c r="A282" s="102" t="str">
        <x:v>VESSEL_00281</x:v>
      </x:c>
      <x:c r="B282" s="102" t="str">
        <x:v>Nukumi</x:v>
      </x:c>
      <x:c r="C282" s="102" t="str">
        <x:v>COMP_CSL_CANADA</x:v>
      </x:c>
      <x:c r="D282" s="102" t="str">
        <x:v>Canada Steamship Lines</x:v>
      </x:c>
      <x:c r="E282" s="110" t="str">
        <x:v>9914711</x:v>
      </x:c>
      <x:c r="F282" s="102" t="str">
        <x:v>IMO populated — checksum valid</x:v>
      </x:c>
      <x:c r="G282" s="102" t="str">
        <x:v>High</x:v>
      </x:c>
      <x:c r="H282" s="102" t="str">
        <x:v>2026-09-07</x:v>
      </x:c>
      <x:c r="I282" s="102" t="str">
        <x:v>https://www.vesselfinder.com/vessels/details/9914711</x:v>
      </x:c>
      <x:c r="J282" s="102" t="str">
        <x:v>SRC_0169</x:v>
      </x:c>
      <x:c r="K282" s="102" t="str">
        <x:v>Operating</x:v>
      </x:c>
      <x:c r="L282" s="102" t="str">
        <x:v>Generated during v1.9 unified branch merge.</x:v>
      </x:c>
    </x:row>
    <x:row r="283">
      <x:c r="A283" s="102" t="str">
        <x:v>VESSEL_00282</x:v>
      </x:c>
      <x:c r="B283" s="102" t="str">
        <x:v>Rt. Hon. Paul J. Martin</x:v>
      </x:c>
      <x:c r="C283" s="102" t="str">
        <x:v>COMP_CSL_CANADA</x:v>
      </x:c>
      <x:c r="D283" s="102" t="str">
        <x:v>Canada Steamship Lines</x:v>
      </x:c>
      <x:c r="E283" s="110" t="str">
        <x:v>7324405</x:v>
      </x:c>
      <x:c r="F283" s="102" t="str">
        <x:v>IMO populated — checksum valid</x:v>
      </x:c>
      <x:c r="G283" s="102" t="str">
        <x:v>High</x:v>
      </x:c>
      <x:c r="H283" s="102" t="str">
        <x:v>2026-09-07</x:v>
      </x:c>
      <x:c r="I283" s="102" t="str">
        <x:v>https://www.vesselfinder.com/vessels/details/7324405</x:v>
      </x:c>
      <x:c r="J283" s="102" t="str">
        <x:v>SRC_0153</x:v>
      </x:c>
      <x:c r="K283" s="102" t="str">
        <x:v>Operating</x:v>
      </x:c>
      <x:c r="L283" s="102" t="str">
        <x:v>Generated during v1.9 unified branch merge.</x:v>
      </x:c>
    </x:row>
    <x:row r="284">
      <x:c r="A284" s="102" t="str">
        <x:v>VESSEL_00283</x:v>
      </x:c>
      <x:c r="B284" s="102" t="str">
        <x:v>Thunder Bay</x:v>
      </x:c>
      <x:c r="C284" s="102" t="str">
        <x:v>COMP_CSL_CANADA</x:v>
      </x:c>
      <x:c r="D284" s="102" t="str">
        <x:v>Canada Steamship Lines</x:v>
      </x:c>
      <x:c r="E284" s="110" t="str">
        <x:v>9601039</x:v>
      </x:c>
      <x:c r="F284" s="102" t="str">
        <x:v>IMO populated — checksum valid</x:v>
      </x:c>
      <x:c r="G284" s="102" t="str">
        <x:v>High</x:v>
      </x:c>
      <x:c r="H284" s="102" t="str">
        <x:v>2026-09-07</x:v>
      </x:c>
      <x:c r="I284" s="102" t="str">
        <x:v>https://www.vesselfinder.com/vessels/details/9601039</x:v>
      </x:c>
      <x:c r="J284" s="102" t="str">
        <x:v>SRC_0153</x:v>
      </x:c>
      <x:c r="K284" s="102" t="str">
        <x:v>Operating</x:v>
      </x:c>
      <x:c r="L284" s="102" t="str">
        <x:v>Generated during v1.9 unified branch merge.</x:v>
      </x:c>
    </x:row>
    <x:row r="285">
      <x:c r="A285" s="102" t="str">
        <x:v>VESSEL_00284</x:v>
      </x:c>
      <x:c r="B285" s="102" t="str">
        <x:v>Whitefish Bay</x:v>
      </x:c>
      <x:c r="C285" s="102" t="str">
        <x:v>COMP_CSL_CANADA</x:v>
      </x:c>
      <x:c r="D285" s="102" t="str">
        <x:v>Canada Steamship Lines</x:v>
      </x:c>
      <x:c r="E285" s="110" t="str">
        <x:v>9639880</x:v>
      </x:c>
      <x:c r="F285" s="102" t="str">
        <x:v>IMO populated — checksum valid</x:v>
      </x:c>
      <x:c r="G285" s="102" t="str">
        <x:v>High</x:v>
      </x:c>
      <x:c r="H285" s="102" t="str">
        <x:v>2026-09-07</x:v>
      </x:c>
      <x:c r="I285" s="102" t="str">
        <x:v>https://www.vesselfinder.com/vessels/details/9639880</x:v>
      </x:c>
      <x:c r="J285" s="102" t="str">
        <x:v>SRC_0153</x:v>
      </x:c>
      <x:c r="K285" s="102" t="str">
        <x:v>Operating</x:v>
      </x:c>
      <x:c r="L285" s="102" t="str">
        <x:v>Generated during v1.9 unified branch merge.</x:v>
      </x:c>
    </x:row>
    <x:row r="286">
      <x:c r="A286" s="102" t="str">
        <x:v>VESSEL_00285</x:v>
      </x:c>
      <x:c r="B286" s="102" t="str">
        <x:v>CSL St-Laurent</x:v>
      </x:c>
      <x:c r="C286" s="102" t="str">
        <x:v>COMP_CSL_CANADA</x:v>
      </x:c>
      <x:c r="D286" s="102" t="str">
        <x:v>Canada Steamship Lines</x:v>
      </x:c>
      <x:c r="E286" s="110" t="str">
        <x:v>9665281</x:v>
      </x:c>
      <x:c r="F286" s="102" t="str">
        <x:v>IMO populated — checksum valid</x:v>
      </x:c>
      <x:c r="G286" s="102" t="str">
        <x:v>High</x:v>
      </x:c>
      <x:c r="H286" s="102" t="str">
        <x:v>2026-09-07</x:v>
      </x:c>
      <x:c r="I286" s="102" t="str">
        <x:v>https://www.vesselfinder.com/vessels/details/9665281</x:v>
      </x:c>
      <x:c r="J286" s="102" t="str">
        <x:v>SRC_0153</x:v>
      </x:c>
      <x:c r="K286" s="102" t="str">
        <x:v>Operating</x:v>
      </x:c>
      <x:c r="L286" s="102" t="str">
        <x:v>Generated during v1.9 unified branch merge.</x:v>
      </x:c>
    </x:row>
    <x:row r="287">
      <x:c r="A287" s="102" t="str">
        <x:v>VESSEL_00286</x:v>
      </x:c>
      <x:c r="B287" s="102" t="str">
        <x:v>CSL Welland</x:v>
      </x:c>
      <x:c r="C287" s="102" t="str">
        <x:v>COMP_CSL_CANADA</x:v>
      </x:c>
      <x:c r="D287" s="102" t="str">
        <x:v>Canada Steamship Lines</x:v>
      </x:c>
      <x:c r="E287" s="110" t="str">
        <x:v>9665279</x:v>
      </x:c>
      <x:c r="F287" s="102" t="str">
        <x:v>IMO populated — checksum valid</x:v>
      </x:c>
      <x:c r="G287" s="102" t="str">
        <x:v>High</x:v>
      </x:c>
      <x:c r="H287" s="102" t="str">
        <x:v>2026-09-07</x:v>
      </x:c>
      <x:c r="I287" s="102" t="str">
        <x:v>https://www.vesselfinder.com/vessels/details/9665279</x:v>
      </x:c>
      <x:c r="J287" s="102" t="str">
        <x:v>SRC_0153</x:v>
      </x:c>
      <x:c r="K287" s="102" t="str">
        <x:v>Operating</x:v>
      </x:c>
      <x:c r="L287" s="102" t="str">
        <x:v>Generated during v1.9 unified branch merge.</x:v>
      </x:c>
    </x:row>
    <x:row r="288">
      <x:c r="A288" s="102" t="str">
        <x:v>VESSEL_00287</x:v>
      </x:c>
      <x:c r="B288" s="102" t="str">
        <x:v>Ferbec</x:v>
      </x:c>
      <x:c r="C288" s="102" t="str">
        <x:v>COMP_CSL_CANADA</x:v>
      </x:c>
      <x:c r="D288" s="102" t="str">
        <x:v>Canada Steamship Lines</x:v>
      </x:c>
      <x:c r="E288" s="110" t="str">
        <x:v>9259848</x:v>
      </x:c>
      <x:c r="F288" s="102" t="str">
        <x:v>IMO populated — checksum valid</x:v>
      </x:c>
      <x:c r="G288" s="102" t="str">
        <x:v>High</x:v>
      </x:c>
      <x:c r="H288" s="102" t="str">
        <x:v>2026-09-07</x:v>
      </x:c>
      <x:c r="I288" s="102" t="str">
        <x:v>https://www.vesselfinder.com/vessels/details/9259848</x:v>
      </x:c>
      <x:c r="J288" s="102" t="str">
        <x:v>SRC_0153</x:v>
      </x:c>
      <x:c r="K288" s="102" t="str">
        <x:v>Operating</x:v>
      </x:c>
      <x:c r="L288" s="102" t="str">
        <x:v>Generated during v1.9 unified branch merge.</x:v>
      </x:c>
    </x:row>
    <x:row r="289">
      <x:c r="A289" s="102" t="str">
        <x:v>VESSEL_00288</x:v>
      </x:c>
      <x:c r="B289" s="102" t="str">
        <x:v>Oakglen</x:v>
      </x:c>
      <x:c r="C289" s="102" t="str">
        <x:v>COMP_CSL_CANADA</x:v>
      </x:c>
      <x:c r="D289" s="102" t="str">
        <x:v>Canada Steamship Lines</x:v>
      </x:c>
      <x:c r="E289" s="110" t="str">
        <x:v>7901148</x:v>
      </x:c>
      <x:c r="F289" s="102" t="str">
        <x:v>IMO populated — checksum valid</x:v>
      </x:c>
      <x:c r="G289" s="102" t="str">
        <x:v>High</x:v>
      </x:c>
      <x:c r="H289" s="102" t="str">
        <x:v>2026-09-07</x:v>
      </x:c>
      <x:c r="I289" s="102" t="str">
        <x:v>https://www.vesselfinder.com/vessels/details/7901148</x:v>
      </x:c>
      <x:c r="J289" s="102" t="str">
        <x:v>SRC_0153</x:v>
      </x:c>
      <x:c r="K289" s="102" t="str">
        <x:v>Operating</x:v>
      </x:c>
      <x:c r="L289" s="102" t="str">
        <x:v>Generated during v1.9 unified branch merge.</x:v>
      </x:c>
    </x:row>
    <x:row r="290">
      <x:c r="A290" s="102" t="str">
        <x:v>VESSEL_00289</x:v>
      </x:c>
      <x:c r="B290" s="102" t="str">
        <x:v>Spruceglen</x:v>
      </x:c>
      <x:c r="C290" s="102" t="str">
        <x:v>COMP_CSL_CANADA</x:v>
      </x:c>
      <x:c r="D290" s="102" t="str">
        <x:v>Canada Steamship Lines</x:v>
      </x:c>
      <x:c r="E290" s="110" t="str">
        <x:v>8119261</x:v>
      </x:c>
      <x:c r="F290" s="102" t="str">
        <x:v>IMO populated — checksum valid</x:v>
      </x:c>
      <x:c r="G290" s="102" t="str">
        <x:v>High</x:v>
      </x:c>
      <x:c r="H290" s="102" t="str">
        <x:v>2026-09-07</x:v>
      </x:c>
      <x:c r="I290" s="102" t="str">
        <x:v>https://www.vesselfinder.com/vessels/details/8119261</x:v>
      </x:c>
      <x:c r="J290" s="102" t="str">
        <x:v>SRC_0153</x:v>
      </x:c>
      <x:c r="K290" s="102" t="str">
        <x:v>Operating</x:v>
      </x:c>
      <x:c r="L290" s="102" t="str">
        <x:v>Generated during v1.9 unified branch merge.</x:v>
      </x:c>
    </x:row>
    <x:row r="291">
      <x:c r="A291" s="102" t="str">
        <x:v>VESSEL_00290</x:v>
      </x:c>
      <x:c r="B291" s="102" t="str">
        <x:v>Tamarack</x:v>
      </x:c>
      <x:c r="C291" s="102" t="str">
        <x:v>COMP_EUREKA_SHIPPING</x:v>
      </x:c>
      <x:c r="D291" s="102" t="str">
        <x:v>Eureka Shipping</x:v>
      </x:c>
      <x:c r="E291" s="110" t="str">
        <x:v>1037153</x:v>
      </x:c>
      <x:c r="F291" s="102" t="str">
        <x:v>IMO populated — checksum valid</x:v>
      </x:c>
      <x:c r="G291" s="102" t="str">
        <x:v>High</x:v>
      </x:c>
      <x:c r="H291" s="102" t="str">
        <x:v>2026-09-07</x:v>
      </x:c>
      <x:c r="I291" s="102" t="str">
        <x:v>https://www.vesselfinder.com/vessels/details/1037153</x:v>
      </x:c>
      <x:c r="J291" s="102" t="str">
        <x:v>SRC_0170</x:v>
      </x:c>
      <x:c r="K291" s="102" t="str">
        <x:v>Operating</x:v>
      </x:c>
      <x:c r="L291" s="102" t="str">
        <x:v>Generated during v1.9 unified branch merge.</x:v>
      </x:c>
    </x:row>
    <x:row r="292">
      <x:c r="A292" s="102" t="str">
        <x:v>VESSEL_00291</x:v>
      </x:c>
      <x:c r="B292" s="102" t="str">
        <x:v>Algoma Guardian</x:v>
      </x:c>
      <x:c r="C292" s="102" t="str">
        <x:v>COMP_ALGOMA</x:v>
      </x:c>
      <x:c r="D292" s="102" t="str">
        <x:v>Algoma Central Corporation</x:v>
      </x:c>
      <x:c r="E292" s="110" t="str">
        <x:v>8505850</x:v>
      </x:c>
      <x:c r="F292" s="102" t="str">
        <x:v>IMO populated — checksum valid</x:v>
      </x:c>
      <x:c r="G292" s="102" t="str">
        <x:v>High</x:v>
      </x:c>
      <x:c r="H292" s="102" t="str">
        <x:v>2026-09-07</x:v>
      </x:c>
      <x:c r="I292" s="102" t="str">
        <x:v>https://www.vesselfinder.com/vessels/details/8505850</x:v>
      </x:c>
      <x:c r="J292" s="102" t="str">
        <x:v>SRC_0167</x:v>
      </x:c>
      <x:c r="K292" s="102" t="str">
        <x:v>2023 regulator-recorded; current status to verify</x:v>
      </x:c>
      <x:c r="L292" s="102" t="str">
        <x:v>Generated during v1.9 unified branch merge.</x:v>
      </x:c>
    </x:row>
    <x:row r="293">
      <x:c r="A293" s="102" t="str">
        <x:v>VESSEL_00292</x:v>
      </x:c>
      <x:c r="B293" s="102" t="str">
        <x:v>Algoma Harvester</x:v>
      </x:c>
      <x:c r="C293" s="102" t="str">
        <x:v>COMP_ALGOMA</x:v>
      </x:c>
      <x:c r="D293" s="102" t="str">
        <x:v>Algoma Central Corporation</x:v>
      </x:c>
      <x:c r="E293" s="110" t="str">
        <x:v>9613939</x:v>
      </x:c>
      <x:c r="F293" s="102" t="str">
        <x:v>IMO populated — checksum valid</x:v>
      </x:c>
      <x:c r="G293" s="102" t="str">
        <x:v>High</x:v>
      </x:c>
      <x:c r="H293" s="102" t="str">
        <x:v>2026-09-07</x:v>
      </x:c>
      <x:c r="I293" s="102" t="str">
        <x:v>https://www.vesselfinder.com/vessels/details/9613939</x:v>
      </x:c>
      <x:c r="J293" s="102" t="str">
        <x:v>SRC_0167</x:v>
      </x:c>
      <x:c r="K293" s="102" t="str">
        <x:v>2023 regulator-recorded; current status to verify</x:v>
      </x:c>
      <x:c r="L293" s="102" t="str">
        <x:v>Generated during v1.9 unified branch merge.</x:v>
      </x:c>
    </x:row>
    <x:row r="294">
      <x:c r="A294" s="102" t="str">
        <x:v>VESSEL_00293</x:v>
      </x:c>
      <x:c r="B294" s="102" t="str">
        <x:v>Algoma Innovator</x:v>
      </x:c>
      <x:c r="C294" s="102" t="str">
        <x:v>COMP_ALGOMA</x:v>
      </x:c>
      <x:c r="D294" s="102" t="str">
        <x:v>Algoma Central Corporation</x:v>
      </x:c>
      <x:c r="E294" s="110" t="str">
        <x:v>9773375</x:v>
      </x:c>
      <x:c r="F294" s="102" t="str">
        <x:v>IMO populated — checksum valid</x:v>
      </x:c>
      <x:c r="G294" s="102" t="str">
        <x:v>High</x:v>
      </x:c>
      <x:c r="H294" s="102" t="str">
        <x:v>2026-09-07</x:v>
      </x:c>
      <x:c r="I294" s="102" t="str">
        <x:v>https://www.vesselfinder.com/vessels/details/9773375</x:v>
      </x:c>
      <x:c r="J294" s="102" t="str">
        <x:v>SRC_0167</x:v>
      </x:c>
      <x:c r="K294" s="102" t="str">
        <x:v>2023 regulator-recorded; current status to verify</x:v>
      </x:c>
      <x:c r="L294" s="102" t="str">
        <x:v>Generated during v1.9 unified branch merge.</x:v>
      </x:c>
    </x:row>
    <x:row r="295">
      <x:c r="A295" s="102" t="str">
        <x:v>VESSEL_00294</x:v>
      </x:c>
      <x:c r="B295" s="102" t="str">
        <x:v>Algoma Intrepid</x:v>
      </x:c>
      <x:c r="C295" s="102" t="str">
        <x:v>COMP_ALGOMA</x:v>
      </x:c>
      <x:c r="D295" s="102" t="str">
        <x:v>Algoma Central Corporation</x:v>
      </x:c>
      <x:c r="E295" s="110" t="str">
        <x:v>9773387</x:v>
      </x:c>
      <x:c r="F295" s="102" t="str">
        <x:v>IMO populated — checksum valid</x:v>
      </x:c>
      <x:c r="G295" s="102" t="str">
        <x:v>High</x:v>
      </x:c>
      <x:c r="H295" s="102" t="str">
        <x:v>2026-09-07</x:v>
      </x:c>
      <x:c r="I295" s="102" t="str">
        <x:v>https://www.vesselfinder.com/vessels/details/9773387</x:v>
      </x:c>
      <x:c r="J295" s="102" t="str">
        <x:v>SRC_0167</x:v>
      </x:c>
      <x:c r="K295" s="102" t="str">
        <x:v>2023 regulator-recorded; current status to verify</x:v>
      </x:c>
      <x:c r="L295" s="102" t="str">
        <x:v>Generated during v1.9 unified branch merge.</x:v>
      </x:c>
    </x:row>
    <x:row r="296">
      <x:c r="A296" s="102" t="str">
        <x:v>VESSEL_00295</x:v>
      </x:c>
      <x:c r="B296" s="102" t="str">
        <x:v>Algoma Mariner</x:v>
      </x:c>
      <x:c r="C296" s="102" t="str">
        <x:v>COMP_ALGOMA</x:v>
      </x:c>
      <x:c r="D296" s="102" t="str">
        <x:v>Algoma Central Corporation</x:v>
      </x:c>
      <x:c r="E296" s="110" t="str">
        <x:v>9587893</x:v>
      </x:c>
      <x:c r="F296" s="102" t="str">
        <x:v>IMO populated — checksum valid</x:v>
      </x:c>
      <x:c r="G296" s="102" t="str">
        <x:v>High</x:v>
      </x:c>
      <x:c r="H296" s="102" t="str">
        <x:v>2026-09-07</x:v>
      </x:c>
      <x:c r="I296" s="102" t="str">
        <x:v>https://www.vesselfinder.com/vessels/details/9587893</x:v>
      </x:c>
      <x:c r="J296" s="102" t="str">
        <x:v>SRC_0167</x:v>
      </x:c>
      <x:c r="K296" s="102" t="str">
        <x:v>2023 regulator-recorded; current status to verify</x:v>
      </x:c>
      <x:c r="L296" s="102" t="str">
        <x:v>Generated during v1.9 unified branch merge.</x:v>
      </x:c>
    </x:row>
    <x:row r="297">
      <x:c r="A297" s="102" t="str">
        <x:v>VESSEL_00296</x:v>
      </x:c>
      <x:c r="B297" s="102" t="str">
        <x:v>Algoma Niagara</x:v>
      </x:c>
      <x:c r="C297" s="102" t="str">
        <x:v>COMP_ALGOMA</x:v>
      </x:c>
      <x:c r="D297" s="102" t="str">
        <x:v>Algoma Central Corporation</x:v>
      </x:c>
      <x:c r="E297" s="110" t="str">
        <x:v>9619270</x:v>
      </x:c>
      <x:c r="F297" s="102" t="str">
        <x:v>IMO populated — checksum valid</x:v>
      </x:c>
      <x:c r="G297" s="102" t="str">
        <x:v>High</x:v>
      </x:c>
      <x:c r="H297" s="102" t="str">
        <x:v>2026-09-07</x:v>
      </x:c>
      <x:c r="I297" s="102" t="str">
        <x:v>https://www.vesselfinder.com/vessels/details/9619270</x:v>
      </x:c>
      <x:c r="J297" s="102" t="str">
        <x:v>SRC_0167</x:v>
      </x:c>
      <x:c r="K297" s="102" t="str">
        <x:v>2023 regulator-recorded; current status to verify</x:v>
      </x:c>
      <x:c r="L297" s="102" t="str">
        <x:v>Generated during v1.9 unified branch merge.</x:v>
      </x:c>
    </x:row>
    <x:row r="298">
      <x:c r="A298" s="102" t="str">
        <x:v>VESSEL_00297</x:v>
      </x:c>
      <x:c r="B298" s="102" t="str">
        <x:v>Algoma Sault</x:v>
      </x:c>
      <x:c r="C298" s="102" t="str">
        <x:v>COMP_ALGOMA</x:v>
      </x:c>
      <x:c r="D298" s="102" t="str">
        <x:v>Algoma Central Corporation</x:v>
      </x:c>
      <x:c r="E298" s="110" t="str">
        <x:v>9619282</x:v>
      </x:c>
      <x:c r="F298" s="102" t="str">
        <x:v>IMO populated — checksum valid</x:v>
      </x:c>
      <x:c r="G298" s="102" t="str">
        <x:v>High</x:v>
      </x:c>
      <x:c r="H298" s="102" t="str">
        <x:v>2026-09-07</x:v>
      </x:c>
      <x:c r="I298" s="102" t="str">
        <x:v>https://www.vesselfinder.com/vessels/details/9619282</x:v>
      </x:c>
      <x:c r="J298" s="102" t="str">
        <x:v>SRC_0167</x:v>
      </x:c>
      <x:c r="K298" s="102" t="str">
        <x:v>2023 regulator-recorded; current status to verify</x:v>
      </x:c>
      <x:c r="L298" s="102" t="str">
        <x:v>Generated during v1.9 unified branch merge.</x:v>
      </x:c>
    </x:row>
    <x:row r="299">
      <x:c r="A299" s="102" t="str">
        <x:v>VESSEL_00298</x:v>
      </x:c>
      <x:c r="B299" s="102" t="str">
        <x:v>Algoma Strongfield</x:v>
      </x:c>
      <x:c r="C299" s="102" t="str">
        <x:v>COMP_ALGOMA</x:v>
      </x:c>
      <x:c r="D299" s="102" t="str">
        <x:v>Algoma Central Corporation</x:v>
      </x:c>
      <x:c r="E299" s="110" t="str">
        <x:v>9613953</x:v>
      </x:c>
      <x:c r="F299" s="102" t="str">
        <x:v>IMO populated — checksum valid</x:v>
      </x:c>
      <x:c r="G299" s="102" t="str">
        <x:v>High</x:v>
      </x:c>
      <x:c r="H299" s="102" t="str">
        <x:v>2026-09-07</x:v>
      </x:c>
      <x:c r="I299" s="102" t="str">
        <x:v>https://www.vesselfinder.com/vessels/details/9613953</x:v>
      </x:c>
      <x:c r="J299" s="102" t="str">
        <x:v>SRC_0167</x:v>
      </x:c>
      <x:c r="K299" s="102" t="str">
        <x:v>2023 regulator-recorded; current status to verify</x:v>
      </x:c>
      <x:c r="L299" s="102" t="str">
        <x:v>Generated during v1.9 unified branch merge.</x:v>
      </x:c>
    </x:row>
    <x:row r="300">
      <x:c r="A300" s="102" t="str">
        <x:v>VESSEL_00299</x:v>
      </x:c>
      <x:c r="B300" s="102" t="str">
        <x:v>Algoma Transport</x:v>
      </x:c>
      <x:c r="C300" s="102" t="str">
        <x:v>COMP_ALGOMA</x:v>
      </x:c>
      <x:c r="D300" s="102" t="str">
        <x:v>Algoma Central Corporation</x:v>
      </x:c>
      <x:c r="E300" s="110" t="str">
        <x:v>7711737</x:v>
      </x:c>
      <x:c r="F300" s="102" t="str">
        <x:v>IMO populated — checksum valid</x:v>
      </x:c>
      <x:c r="G300" s="102" t="str">
        <x:v>High</x:v>
      </x:c>
      <x:c r="H300" s="102" t="str">
        <x:v>2026-09-07</x:v>
      </x:c>
      <x:c r="I300" s="102" t="str">
        <x:v>https://www.vesselfinder.com/vessels/details/7711737</x:v>
      </x:c>
      <x:c r="J300" s="102" t="str">
        <x:v>SRC_0167</x:v>
      </x:c>
      <x:c r="K300" s="102" t="str">
        <x:v>2023 regulator-recorded; current status to verify</x:v>
      </x:c>
      <x:c r="L300" s="102" t="str">
        <x:v>Generated during v1.9 unified branch merge.</x:v>
      </x:c>
    </x:row>
    <x:row r="301">
      <x:c r="A301" s="102" t="str">
        <x:v>VESSEL_00300</x:v>
      </x:c>
      <x:c r="B301" s="102" t="str">
        <x:v>Capt. Henry Jackman</x:v>
      </x:c>
      <x:c r="C301" s="102" t="str">
        <x:v>COMP_ALGOMA</x:v>
      </x:c>
      <x:c r="D301" s="102" t="str">
        <x:v>Algoma Central Corporation</x:v>
      </x:c>
      <x:c r="E301" s="110" t="str">
        <x:v>9619294</x:v>
      </x:c>
      <x:c r="F301" s="102" t="str">
        <x:v>IMO populated — checksum valid</x:v>
      </x:c>
      <x:c r="G301" s="102" t="str">
        <x:v>High</x:v>
      </x:c>
      <x:c r="H301" s="102" t="str">
        <x:v>2026-09-07</x:v>
      </x:c>
      <x:c r="I301" s="102" t="str">
        <x:v>https://www.vesselfinder.com/vessels/details/9619294</x:v>
      </x:c>
      <x:c r="J301" s="102" t="str">
        <x:v>SRC_0167</x:v>
      </x:c>
      <x:c r="K301" s="102" t="str">
        <x:v>2023 regulator-recorded; current status to verify</x:v>
      </x:c>
      <x:c r="L301" s="102" t="str">
        <x:v>Generated during v1.9 unified branch merge.</x:v>
      </x:c>
    </x:row>
    <x:row r="302">
      <x:c r="A302" s="102" t="str">
        <x:v>VESSEL_00301</x:v>
      </x:c>
      <x:c r="B302" s="102" t="str">
        <x:v>G3 Marquis</x:v>
      </x:c>
      <x:c r="C302" s="102" t="str">
        <x:v>COMP_ALGOMA</x:v>
      </x:c>
      <x:c r="D302" s="102" t="str">
        <x:v>Algoma Central Corporation</x:v>
      </x:c>
      <x:c r="E302" s="110" t="str">
        <x:v>9613941</x:v>
      </x:c>
      <x:c r="F302" s="102" t="str">
        <x:v>IMO populated — checksum valid</x:v>
      </x:c>
      <x:c r="G302" s="102" t="str">
        <x:v>High</x:v>
      </x:c>
      <x:c r="H302" s="102" t="str">
        <x:v>2026-09-07</x:v>
      </x:c>
      <x:c r="I302" s="102" t="str">
        <x:v>https://www.vesselfinder.com/vessels/details/9613941</x:v>
      </x:c>
      <x:c r="J302" s="102" t="str">
        <x:v>SRC_0167</x:v>
      </x:c>
      <x:c r="K302" s="102" t="str">
        <x:v>2023 regulator-recorded; current status to verify</x:v>
      </x:c>
      <x:c r="L302" s="102" t="str">
        <x:v>Generated during v1.9 unified branch merge.</x:v>
      </x:c>
    </x:row>
    <x:row r="303">
      <x:c r="A303" s="102" t="str">
        <x:v>VESSEL_00302</x:v>
      </x:c>
      <x:c r="B303" s="102" t="str">
        <x:v>John D Leitch</x:v>
      </x:c>
      <x:c r="C303" s="102" t="str">
        <x:v>COMP_ALGOMA</x:v>
      </x:c>
      <x:c r="D303" s="102" t="str">
        <x:v>Algoma Central Corporation</x:v>
      </x:c>
      <x:c r="E303" s="110" t="str">
        <x:v>6714586</x:v>
      </x:c>
      <x:c r="F303" s="102" t="str">
        <x:v>IMO populated — checksum valid</x:v>
      </x:c>
      <x:c r="G303" s="102" t="str">
        <x:v>High</x:v>
      </x:c>
      <x:c r="H303" s="102" t="str">
        <x:v>2026-09-07</x:v>
      </x:c>
      <x:c r="I303" s="102" t="str">
        <x:v>https://www.vesselfinder.com/vessels/details/6714586</x:v>
      </x:c>
      <x:c r="J303" s="102" t="str">
        <x:v>SRC_0167</x:v>
      </x:c>
      <x:c r="K303" s="102" t="str">
        <x:v>2023 regulator-recorded; current status to verify</x:v>
      </x:c>
      <x:c r="L303" s="102" t="str">
        <x:v>Generated during v1.9 unified branch merge.</x:v>
      </x:c>
    </x:row>
    <x:row r="304">
      <x:c r="A304" s="102" t="str">
        <x:v>VESSEL_00303</x:v>
      </x:c>
      <x:c r="B304" s="102" t="str">
        <x:v>Radcliffe R Latimer</x:v>
      </x:c>
      <x:c r="C304" s="102" t="str">
        <x:v>COMP_ALGOMA</x:v>
      </x:c>
      <x:c r="D304" s="102" t="str">
        <x:v>Algoma Central Corporation</x:v>
      </x:c>
      <x:c r="E304" s="110" t="str">
        <x:v>7711725</x:v>
      </x:c>
      <x:c r="F304" s="102" t="str">
        <x:v>IMO populated — checksum valid</x:v>
      </x:c>
      <x:c r="G304" s="102" t="str">
        <x:v>High</x:v>
      </x:c>
      <x:c r="H304" s="102" t="str">
        <x:v>2026-09-07</x:v>
      </x:c>
      <x:c r="I304" s="102" t="str">
        <x:v>https://www.vesselfinder.com/vessels/details/7711725</x:v>
      </x:c>
      <x:c r="J304" s="102" t="str">
        <x:v>SRC_0167</x:v>
      </x:c>
      <x:c r="K304" s="102" t="str">
        <x:v>2023 regulator-recorded; current status to verify</x:v>
      </x:c>
      <x:c r="L304" s="102" t="str">
        <x:v>Generated during v1.9 unified branch merge.</x:v>
      </x:c>
    </x:row>
    <x:row r="305">
      <x:c r="A305" s="102" t="str">
        <x:v>VESSEL_00304</x:v>
      </x:c>
      <x:c r="B305" s="102" t="str">
        <x:v>Tim S Dool</x:v>
      </x:c>
      <x:c r="C305" s="102" t="str">
        <x:v>COMP_ALGOMA</x:v>
      </x:c>
      <x:c r="D305" s="102" t="str">
        <x:v>Algoma Central Corporation</x:v>
      </x:c>
      <x:c r="E305" s="110" t="str">
        <x:v>6800919</x:v>
      </x:c>
      <x:c r="F305" s="102" t="str">
        <x:v>IMO populated — checksum valid</x:v>
      </x:c>
      <x:c r="G305" s="102" t="str">
        <x:v>High</x:v>
      </x:c>
      <x:c r="H305" s="102" t="str">
        <x:v>2026-09-07</x:v>
      </x:c>
      <x:c r="I305" s="102" t="str">
        <x:v>https://www.vesselfinder.com/vessels/details/6800919</x:v>
      </x:c>
      <x:c r="J305" s="102" t="str">
        <x:v>SRC_0167</x:v>
      </x:c>
      <x:c r="K305" s="102" t="str">
        <x:v>2023 regulator-recorded; current status to verify</x:v>
      </x:c>
      <x:c r="L305" s="102" t="str">
        <x:v>Generated during v1.9 unified branch merge.</x:v>
      </x:c>
    </x:row>
    <x:row r="306">
      <x:c r="A306" s="102" t="str">
        <x:v>VESSEL_00305</x:v>
      </x:c>
      <x:c r="B306" s="102" t="str">
        <x:v>Algonova</x:v>
      </x:c>
      <x:c r="C306" s="102" t="str">
        <x:v>COMP_ALGOMA</x:v>
      </x:c>
      <x:c r="D306" s="102" t="str">
        <x:v>Algoma Central Corporation</x:v>
      </x:c>
      <x:c r="E306" s="110" t="str">
        <x:v>9378589</x:v>
      </x:c>
      <x:c r="F306" s="102" t="str">
        <x:v>IMO populated — checksum valid</x:v>
      </x:c>
      <x:c r="G306" s="102" t="str">
        <x:v>High</x:v>
      </x:c>
      <x:c r="H306" s="102" t="str">
        <x:v>2026-09-07</x:v>
      </x:c>
      <x:c r="I306" s="102" t="str">
        <x:v>https://www.vesselfinder.com/vessels/details/9378589</x:v>
      </x:c>
      <x:c r="J306" s="102" t="str">
        <x:v>SRC_0167</x:v>
      </x:c>
      <x:c r="K306" s="102" t="str">
        <x:v>2023 regulator-recorded; current status to verify</x:v>
      </x:c>
      <x:c r="L306" s="102" t="str">
        <x:v>Generated during v1.9 unified branch merge.</x:v>
      </x:c>
    </x:row>
    <x:row r="307">
      <x:c r="A307" s="102" t="str">
        <x:v>VESSEL_00306</x:v>
      </x:c>
      <x:c r="B307" s="102" t="str">
        <x:v>Algoscotia</x:v>
      </x:c>
      <x:c r="C307" s="102" t="str">
        <x:v>COMP_ALGOMA</x:v>
      </x:c>
      <x:c r="D307" s="102" t="str">
        <x:v>Algoma Central Corporation</x:v>
      </x:c>
      <x:c r="E307" s="110" t="str">
        <x:v>9273222</x:v>
      </x:c>
      <x:c r="F307" s="102" t="str">
        <x:v>IMO populated — checksum valid</x:v>
      </x:c>
      <x:c r="G307" s="102" t="str">
        <x:v>High</x:v>
      </x:c>
      <x:c r="H307" s="102" t="str">
        <x:v>2026-09-07</x:v>
      </x:c>
      <x:c r="I307" s="102" t="str">
        <x:v>https://www.vesselfinder.com/vessels/details/9273222</x:v>
      </x:c>
      <x:c r="J307" s="102" t="str">
        <x:v>SRC_0167</x:v>
      </x:c>
      <x:c r="K307" s="102" t="str">
        <x:v>2023 regulator-recorded; current status to verify</x:v>
      </x:c>
      <x:c r="L307" s="102" t="str">
        <x:v>Generated during v1.9 unified branch merge.</x:v>
      </x:c>
    </x:row>
    <x:row r="308">
      <x:c r="A308" s="102" t="str">
        <x:v>VESSEL_00307</x:v>
      </x:c>
      <x:c r="B308" s="102" t="str">
        <x:v>Algosea</x:v>
      </x:c>
      <x:c r="C308" s="102" t="str">
        <x:v>COMP_ALGOMA</x:v>
      </x:c>
      <x:c r="D308" s="102" t="str">
        <x:v>Algoma Central Corporation</x:v>
      </x:c>
      <x:c r="E308" s="110" t="str">
        <x:v>9127198</x:v>
      </x:c>
      <x:c r="F308" s="102" t="str">
        <x:v>IMO populated — checksum valid</x:v>
      </x:c>
      <x:c r="G308" s="102" t="str">
        <x:v>High</x:v>
      </x:c>
      <x:c r="H308" s="102" t="str">
        <x:v>2026-09-07</x:v>
      </x:c>
      <x:c r="I308" s="102" t="str">
        <x:v>https://www.vesselfinder.com/vessels/details/9127198</x:v>
      </x:c>
      <x:c r="J308" s="102" t="str">
        <x:v>SRC_0167</x:v>
      </x:c>
      <x:c r="K308" s="102" t="str">
        <x:v>2023 regulator-recorded; current status to verify</x:v>
      </x:c>
      <x:c r="L308" s="102" t="str">
        <x:v>Generated during v1.9 unified branch merge.</x:v>
      </x:c>
    </x:row>
    <x:row r="309">
      <x:c r="A309" s="102" t="str">
        <x:v>VESSEL_00308</x:v>
      </x:c>
      <x:c r="B309" s="102" t="str">
        <x:v>Algoterra</x:v>
      </x:c>
      <x:c r="C309" s="102" t="str">
        <x:v>COMP_ALGOMA</x:v>
      </x:c>
      <x:c r="D309" s="102" t="str">
        <x:v>Algoma Central Corporation</x:v>
      </x:c>
      <x:c r="E309" s="110" t="str">
        <x:v>9442249</x:v>
      </x:c>
      <x:c r="F309" s="102" t="str">
        <x:v>IMO populated — checksum valid</x:v>
      </x:c>
      <x:c r="G309" s="102" t="str">
        <x:v>High</x:v>
      </x:c>
      <x:c r="H309" s="102" t="str">
        <x:v>2026-09-07</x:v>
      </x:c>
      <x:c r="I309" s="102" t="str">
        <x:v>https://www.vesselfinder.com/vessels/details/9442249</x:v>
      </x:c>
      <x:c r="J309" s="102" t="str">
        <x:v>SRC_0167</x:v>
      </x:c>
      <x:c r="K309" s="102" t="str">
        <x:v>2023 regulator-recorded; current status to verify</x:v>
      </x:c>
      <x:c r="L309" s="102" t="str">
        <x:v>Generated during v1.9 unified branch merge.</x:v>
      </x:c>
    </x:row>
    <x:row r="310">
      <x:c r="A310" s="102" t="str">
        <x:v>VESSEL_00309</x:v>
      </x:c>
      <x:c r="B310" s="102" t="str">
        <x:v>Algotitan</x:v>
      </x:c>
      <x:c r="C310" s="102" t="str">
        <x:v>COMP_ALGOMA</x:v>
      </x:c>
      <x:c r="D310" s="102" t="str">
        <x:v>Algoma Central Corporation</x:v>
      </x:c>
      <x:c r="E310" s="110" t="str">
        <x:v>9333802</x:v>
      </x:c>
      <x:c r="F310" s="102" t="str">
        <x:v>IMO populated — checksum valid</x:v>
      </x:c>
      <x:c r="G310" s="102" t="str">
        <x:v>High</x:v>
      </x:c>
      <x:c r="H310" s="102" t="str">
        <x:v>2026-09-07</x:v>
      </x:c>
      <x:c r="I310" s="102" t="str">
        <x:v>https://www.vesselfinder.com/vessels/details/9333802</x:v>
      </x:c>
      <x:c r="J310" s="102" t="str">
        <x:v>SRC_0167</x:v>
      </x:c>
      <x:c r="K310" s="102" t="str">
        <x:v>2023 regulator-recorded; current status to verify</x:v>
      </x:c>
      <x:c r="L310" s="102" t="str">
        <x:v>Generated during v1.9 unified branch merge.</x:v>
      </x:c>
    </x:row>
    <x:row r="311">
      <x:c r="A311" s="102" t="str">
        <x:v>VESSEL_00310</x:v>
      </x:c>
      <x:c r="B311" s="102" t="str">
        <x:v>Algoma Bear</x:v>
      </x:c>
      <x:c r="C311" s="102" t="str">
        <x:v>COMP_ALGOMA</x:v>
      </x:c>
      <x:c r="D311" s="102" t="str">
        <x:v>Algoma Central Corporation</x:v>
      </x:c>
      <x:c r="E311" s="110" t="str">
        <x:v>9619309</x:v>
      </x:c>
      <x:c r="F311" s="102" t="str">
        <x:v>IMO populated — checksum valid</x:v>
      </x:c>
      <x:c r="G311" s="102" t="str">
        <x:v>High</x:v>
      </x:c>
      <x:c r="H311" s="102" t="str">
        <x:v>2026-09-07</x:v>
      </x:c>
      <x:c r="I311" s="102" t="str">
        <x:v>https://www.vesselfinder.com/vessels/details/9619309</x:v>
      </x:c>
      <x:c r="J311" s="102" t="str">
        <x:v>SRC_0174</x:v>
      </x:c>
      <x:c r="K311" s="102" t="str">
        <x:v>Operating</x:v>
      </x:c>
      <x:c r="L311" s="102" t="str">
        <x:v>Generated during v1.9 unified branch merge.</x:v>
      </x:c>
    </x:row>
    <x:row r="312">
      <x:c r="A312" s="102" t="str">
        <x:v>VESSEL_00311</x:v>
      </x:c>
      <x:c r="B312" s="102" t="str">
        <x:v>Algoma Endeavour</x:v>
      </x:c>
      <x:c r="C312" s="102" t="str">
        <x:v>COMP_ALGOMA</x:v>
      </x:c>
      <x:c r="D312" s="102" t="str">
        <x:v>Algoma Central Corporation</x:v>
      </x:c>
      <x:c r="E312" s="110" t="str">
        <x:v>9790141</x:v>
      </x:c>
      <x:c r="F312" s="102" t="str">
        <x:v>IMO populated — checksum valid</x:v>
      </x:c>
      <x:c r="G312" s="102" t="str">
        <x:v>High</x:v>
      </x:c>
      <x:c r="H312" s="102" t="str">
        <x:v>2026-09-07</x:v>
      </x:c>
      <x:c r="I312" s="102" t="str">
        <x:v>https://www.vesselfinder.com/vessels/details/9790141</x:v>
      </x:c>
      <x:c r="J312" s="102" t="str">
        <x:v>SRC_0175</x:v>
      </x:c>
      <x:c r="K312" s="102" t="str">
        <x:v>Operating</x:v>
      </x:c>
      <x:c r="L312" s="102" t="str">
        <x:v>Generated during v1.9 unified branch merge.</x:v>
      </x:c>
    </x:row>
    <x:row r="313">
      <x:c r="A313" s="102" t="str">
        <x:v>VESSEL_00312</x:v>
      </x:c>
      <x:c r="B313" s="102" t="str">
        <x:v>Algoma East Coast</x:v>
      </x:c>
      <x:c r="C313" s="102" t="str">
        <x:v>COMP_FUNDY_TANKERS</x:v>
      </x:c>
      <x:c r="D313" s="102" t="str">
        <x:v>Fundy Tankers Ltd.</x:v>
      </x:c>
      <x:c r="E313" s="110" t="str">
        <x:v>1022079</x:v>
      </x:c>
      <x:c r="F313" s="102" t="str">
        <x:v>IMO populated — checksum valid</x:v>
      </x:c>
      <x:c r="G313" s="102" t="str">
        <x:v>High</x:v>
      </x:c>
      <x:c r="H313" s="102" t="str">
        <x:v>2026-09-07</x:v>
      </x:c>
      <x:c r="I313" s="102" t="str">
        <x:v>https://www.vesselfinder.com/vessels/details/1022079</x:v>
      </x:c>
      <x:c r="J313" s="102" t="str">
        <x:v>SRC_0172</x:v>
      </x:c>
      <x:c r="K313" s="102" t="str">
        <x:v>Operating</x:v>
      </x:c>
      <x:c r="L313" s="102" t="str">
        <x:v>Generated during v1.9 unified branch merge.</x:v>
      </x:c>
    </x:row>
    <x:row r="314">
      <x:c r="A314" s="102" t="str">
        <x:v>VESSEL_00313</x:v>
      </x:c>
      <x:c r="B314" s="102" t="str">
        <x:v>Algoma Acadian</x:v>
      </x:c>
      <x:c r="C314" s="102" t="str">
        <x:v>COMP_FUNDY_TANKERS</x:v>
      </x:c>
      <x:c r="D314" s="102" t="str">
        <x:v>Fundy Tankers Ltd.</x:v>
      </x:c>
      <x:c r="E314" s="110" t="str">
        <x:v>1022081</x:v>
      </x:c>
      <x:c r="F314" s="102" t="str">
        <x:v>IMO populated — checksum valid</x:v>
      </x:c>
      <x:c r="G314" s="102" t="str">
        <x:v>High</x:v>
      </x:c>
      <x:c r="H314" s="102" t="str">
        <x:v>2026-09-07</x:v>
      </x:c>
      <x:c r="I314" s="102" t="str">
        <x:v>https://www.vesselfinder.com/vessels/details/1022081</x:v>
      </x:c>
      <x:c r="J314" s="102" t="str">
        <x:v>SRC_0173</x:v>
      </x:c>
      <x:c r="K314" s="102" t="str">
        <x:v>Operating</x:v>
      </x:c>
      <x:c r="L314" s="102" t="str">
        <x:v>Generated during v1.9 unified branch merge.</x:v>
      </x:c>
    </x:row>
    <x:row r="315">
      <x:c r="A315" s="102" t="str">
        <x:v>VESSEL_00314</x:v>
      </x:c>
      <x:c r="B315" s="102" t="str">
        <x:v>Mark W. Barker</x:v>
      </x:c>
      <x:c r="C315" s="102" t="str">
        <x:v>COMP_INTERLAKE</x:v>
      </x:c>
      <x:c r="D315" s="102" t="str">
        <x:v>The Interlake Steamship Company</x:v>
      </x:c>
      <x:c r="E315" s="110" t="str">
        <x:v>9962445</x:v>
      </x:c>
      <x:c r="F315" s="102" t="str">
        <x:v>IMO populated — checksum valid</x:v>
      </x:c>
      <x:c r="G315" s="102" t="str">
        <x:v>High</x:v>
      </x:c>
      <x:c r="H315" s="102" t="str">
        <x:v>2026-09-07</x:v>
      </x:c>
      <x:c r="I315" s="102" t="str">
        <x:v>https://www.vesselfinder.com/vessels/details/9962445</x:v>
      </x:c>
      <x:c r="J315" s="102" t="str">
        <x:v>SRC_0156</x:v>
      </x:c>
      <x:c r="K315" s="102" t="str">
        <x:v>Operating</x:v>
      </x:c>
      <x:c r="L315" s="102" t="str">
        <x:v>Generated during v1.9 unified branch merge.</x:v>
      </x:c>
    </x:row>
    <x:row r="316">
      <x:c r="A316" s="102" t="str">
        <x:v>VESSEL_00315</x:v>
      </x:c>
      <x:c r="B316" s="102" t="str">
        <x:v>Paul R. Tregurtha</x:v>
      </x:c>
      <x:c r="C316" s="102" t="str">
        <x:v>COMP_INTERLAKE</x:v>
      </x:c>
      <x:c r="D316" s="102" t="str">
        <x:v>The Interlake Steamship Company</x:v>
      </x:c>
      <x:c r="E316" s="110" t="str">
        <x:v>7729057</x:v>
      </x:c>
      <x:c r="F316" s="102" t="str">
        <x:v>IMO populated — checksum valid</x:v>
      </x:c>
      <x:c r="G316" s="102" t="str">
        <x:v>High</x:v>
      </x:c>
      <x:c r="H316" s="102" t="str">
        <x:v>2026-09-07</x:v>
      </x:c>
      <x:c r="I316" s="102" t="str">
        <x:v>https://www.vesselfinder.com/vessels/details/7729057</x:v>
      </x:c>
      <x:c r="J316" s="102" t="str">
        <x:v>SRC_0156</x:v>
      </x:c>
      <x:c r="K316" s="102" t="str">
        <x:v>Operating</x:v>
      </x:c>
      <x:c r="L316" s="102" t="str">
        <x:v>Generated during v1.9 unified branch merge.</x:v>
      </x:c>
    </x:row>
    <x:row r="317">
      <x:c r="A317" s="102" t="str">
        <x:v>VESSEL_00316</x:v>
      </x:c>
      <x:c r="B317" s="102" t="str">
        <x:v>James R. Barker</x:v>
      </x:c>
      <x:c r="C317" s="102" t="str">
        <x:v>COMP_INTERLAKE</x:v>
      </x:c>
      <x:c r="D317" s="102" t="str">
        <x:v>The Interlake Steamship Company</x:v>
      </x:c>
      <x:c r="E317" s="110" t="str">
        <x:v>7390260</x:v>
      </x:c>
      <x:c r="F317" s="102" t="str">
        <x:v>IMO populated — checksum valid</x:v>
      </x:c>
      <x:c r="G317" s="102" t="str">
        <x:v>High</x:v>
      </x:c>
      <x:c r="H317" s="102" t="str">
        <x:v>2026-09-07</x:v>
      </x:c>
      <x:c r="I317" s="102" t="str">
        <x:v>https://www.vesselfinder.com/vessels/details/7390260</x:v>
      </x:c>
      <x:c r="J317" s="102" t="str">
        <x:v>SRC_0156</x:v>
      </x:c>
      <x:c r="K317" s="102" t="str">
        <x:v>Operating</x:v>
      </x:c>
      <x:c r="L317" s="102" t="str">
        <x:v>Generated during v1.9 unified branch merge.</x:v>
      </x:c>
    </x:row>
    <x:row r="318">
      <x:c r="A318" s="102" t="str">
        <x:v>VESSEL_00317</x:v>
      </x:c>
      <x:c r="B318" s="102" t="str">
        <x:v>Mesabi Miner</x:v>
      </x:c>
      <x:c r="C318" s="102" t="str">
        <x:v>COMP_INTERLAKE</x:v>
      </x:c>
      <x:c r="D318" s="102" t="str">
        <x:v>The Interlake Steamship Company</x:v>
      </x:c>
      <x:c r="E318" s="110" t="str">
        <x:v>7390272</x:v>
      </x:c>
      <x:c r="F318" s="102" t="str">
        <x:v>IMO populated — checksum valid</x:v>
      </x:c>
      <x:c r="G318" s="102" t="str">
        <x:v>High</x:v>
      </x:c>
      <x:c r="H318" s="102" t="str">
        <x:v>2026-09-07</x:v>
      </x:c>
      <x:c r="I318" s="102" t="str">
        <x:v>https://www.vesselfinder.com/vessels/details/7390272</x:v>
      </x:c>
      <x:c r="J318" s="102" t="str">
        <x:v>SRC_0156</x:v>
      </x:c>
      <x:c r="K318" s="102" t="str">
        <x:v>Operating</x:v>
      </x:c>
      <x:c r="L318" s="102" t="str">
        <x:v>Generated during v1.9 unified branch merge.</x:v>
      </x:c>
    </x:row>
    <x:row r="319">
      <x:c r="A319" s="102" t="str">
        <x:v>VESSEL_00318</x:v>
      </x:c>
      <x:c r="B319" s="102" t="str">
        <x:v>Lee A. Tregurtha</x:v>
      </x:c>
      <x:c r="C319" s="102" t="str">
        <x:v>COMP_INTERLAKE</x:v>
      </x:c>
      <x:c r="D319" s="102" t="str">
        <x:v>The Interlake Steamship Company</x:v>
      </x:c>
      <x:c r="E319" s="110" t="str">
        <x:v>5385625</x:v>
      </x:c>
      <x:c r="F319" s="102" t="str">
        <x:v>IMO populated — checksum valid</x:v>
      </x:c>
      <x:c r="G319" s="102" t="str">
        <x:v>High</x:v>
      </x:c>
      <x:c r="H319" s="102" t="str">
        <x:v>2026-09-07</x:v>
      </x:c>
      <x:c r="I319" s="102" t="str">
        <x:v>https://www.vesselfinder.com/vessels/details/5385625</x:v>
      </x:c>
      <x:c r="J319" s="102" t="str">
        <x:v>SRC_0156</x:v>
      </x:c>
      <x:c r="K319" s="102" t="str">
        <x:v>Operating</x:v>
      </x:c>
      <x:c r="L319" s="102" t="str">
        <x:v>Generated during v1.9 unified branch merge.</x:v>
      </x:c>
    </x:row>
    <x:row r="320">
      <x:c r="A320" s="102" t="str">
        <x:v>VESSEL_00319</x:v>
      </x:c>
      <x:c r="B320" s="102" t="str">
        <x:v>Honorable James L. Oberstar</x:v>
      </x:c>
      <x:c r="C320" s="102" t="str">
        <x:v>COMP_INTERLAKE</x:v>
      </x:c>
      <x:c r="D320" s="102" t="str">
        <x:v>The Interlake Steamship Company</x:v>
      </x:c>
      <x:c r="E320" s="110" t="str">
        <x:v>5322518</x:v>
      </x:c>
      <x:c r="F320" s="102" t="str">
        <x:v>IMO populated — checksum valid</x:v>
      </x:c>
      <x:c r="G320" s="102" t="str">
        <x:v>High</x:v>
      </x:c>
      <x:c r="H320" s="102" t="str">
        <x:v>2026-09-07</x:v>
      </x:c>
      <x:c r="I320" s="102" t="str">
        <x:v>https://www.vesselfinder.com/vessels/details/5322518</x:v>
      </x:c>
      <x:c r="J320" s="102" t="str">
        <x:v>SRC_0156</x:v>
      </x:c>
      <x:c r="K320" s="102" t="str">
        <x:v>Operating</x:v>
      </x:c>
      <x:c r="L320" s="102" t="str">
        <x:v>Generated during v1.9 unified branch merge.</x:v>
      </x:c>
    </x:row>
    <x:row r="321">
      <x:c r="A321" s="102" t="str">
        <x:v>VESSEL_00320</x:v>
      </x:c>
      <x:c r="B321" s="102" t="str">
        <x:v>Kaye E. Barker</x:v>
      </x:c>
      <x:c r="C321" s="102" t="str">
        <x:v>COMP_INTERLAKE</x:v>
      </x:c>
      <x:c r="D321" s="102" t="str">
        <x:v>The Interlake Steamship Company</x:v>
      </x:c>
      <x:c r="E321" s="110" t="str">
        <x:v>5097450</x:v>
      </x:c>
      <x:c r="F321" s="102" t="str">
        <x:v>IMO populated — checksum valid</x:v>
      </x:c>
      <x:c r="G321" s="102" t="str">
        <x:v>High</x:v>
      </x:c>
      <x:c r="H321" s="102" t="str">
        <x:v>2026-09-07</x:v>
      </x:c>
      <x:c r="I321" s="102" t="str">
        <x:v>https://www.vesselfinder.com/vessels/details/5097450</x:v>
      </x:c>
      <x:c r="J321" s="102" t="str">
        <x:v>SRC_0156</x:v>
      </x:c>
      <x:c r="K321" s="102" t="str">
        <x:v>Operating</x:v>
      </x:c>
      <x:c r="L321" s="102" t="str">
        <x:v>Generated during v1.9 unified branch merge.</x:v>
      </x:c>
    </x:row>
    <x:row r="322">
      <x:c r="A322" s="102" t="str">
        <x:v>VESSEL_00321</x:v>
      </x:c>
      <x:c r="B322" s="102" t="str">
        <x:v>Herbert C. Jackson</x:v>
      </x:c>
      <x:c r="C322" s="102" t="str">
        <x:v>COMP_INTERLAKE</x:v>
      </x:c>
      <x:c r="D322" s="102" t="str">
        <x:v>The Interlake Steamship Company</x:v>
      </x:c>
      <x:c r="E322" s="110" t="str">
        <x:v>5148417</x:v>
      </x:c>
      <x:c r="F322" s="102" t="str">
        <x:v>IMO populated — checksum valid</x:v>
      </x:c>
      <x:c r="G322" s="102" t="str">
        <x:v>High</x:v>
      </x:c>
      <x:c r="H322" s="102" t="str">
        <x:v>2026-09-07</x:v>
      </x:c>
      <x:c r="I322" s="102" t="str">
        <x:v>https://www.vesselfinder.com/vessels/details/5148417</x:v>
      </x:c>
      <x:c r="J322" s="102" t="str">
        <x:v>SRC_0156</x:v>
      </x:c>
      <x:c r="K322" s="102" t="str">
        <x:v>Operating</x:v>
      </x:c>
      <x:c r="L322" s="102" t="str">
        <x:v>Generated during v1.9 unified branch merge.</x:v>
      </x:c>
    </x:row>
    <x:row r="323">
      <x:c r="A323" s="102" t="str">
        <x:v>VESSEL_00322</x:v>
      </x:c>
      <x:c r="B323" s="102" t="str">
        <x:v>Dorothy Ann</x:v>
      </x:c>
      <x:c r="C323" s="102" t="str">
        <x:v>COMP_INTERLAKE</x:v>
      </x:c>
      <x:c r="D323" s="102" t="str">
        <x:v>The Interlake Steamship Company</x:v>
      </x:c>
      <x:c r="E323" s="110" t="str">
        <x:v>8955732</x:v>
      </x:c>
      <x:c r="F323" s="102" t="str">
        <x:v>IMO populated — checksum valid</x:v>
      </x:c>
      <x:c r="G323" s="102" t="str">
        <x:v>High</x:v>
      </x:c>
      <x:c r="H323" s="102" t="str">
        <x:v>2026-09-07</x:v>
      </x:c>
      <x:c r="I323" s="102" t="str">
        <x:v>https://www.vesselfinder.com/vessels/details/8955732</x:v>
      </x:c>
      <x:c r="J323" s="102" t="str">
        <x:v>SRC_0156</x:v>
      </x:c>
      <x:c r="K323" s="102" t="str">
        <x:v>Operating</x:v>
      </x:c>
      <x:c r="L323" s="102" t="str">
        <x:v>Generated during v1.9 unified branch merge.</x:v>
      </x:c>
    </x:row>
    <x:row r="324">
      <x:c r="A324" s="102" t="str">
        <x:v>VESSEL_00323</x:v>
      </x:c>
      <x:c r="B324" s="102" t="str">
        <x:v>Stewart J. Cort</x:v>
      </x:c>
      <x:c r="C324" s="102" t="str">
        <x:v>COMP_INTERLAKE</x:v>
      </x:c>
      <x:c r="D324" s="102" t="str">
        <x:v>The Interlake Steamship Company</x:v>
      </x:c>
      <x:c r="E324" s="110" t="str">
        <x:v>7105495</x:v>
      </x:c>
      <x:c r="F324" s="102" t="str">
        <x:v>IMO populated — checksum valid</x:v>
      </x:c>
      <x:c r="G324" s="102" t="str">
        <x:v>High</x:v>
      </x:c>
      <x:c r="H324" s="102" t="str">
        <x:v>2026-09-07</x:v>
      </x:c>
      <x:c r="I324" s="102" t="str">
        <x:v>https://www.vesselfinder.com/vessels/details/7105495</x:v>
      </x:c>
      <x:c r="J324" s="102" t="str">
        <x:v>SRC_0156</x:v>
      </x:c>
      <x:c r="K324" s="102" t="str">
        <x:v>Operating</x:v>
      </x:c>
      <x:c r="L324" s="102" t="str">
        <x:v>Generated during v1.9 unified branch merge.</x:v>
      </x:c>
    </x:row>
    <x:row r="325">
      <x:c r="A325" s="102" t="str">
        <x:v>VESSEL_00324</x:v>
      </x:c>
      <x:c r="B325" s="102" t="str">
        <x:v>American Century</x:v>
      </x:c>
      <x:c r="C325" s="102" t="str">
        <x:v>COMP_ASC</x:v>
      </x:c>
      <x:c r="D325" s="102" t="str">
        <x:v>American Steamship Company</x:v>
      </x:c>
      <x:c r="E325" s="110" t="str">
        <x:v>7923196</x:v>
      </x:c>
      <x:c r="F325" s="102" t="str">
        <x:v>IMO populated — checksum valid</x:v>
      </x:c>
      <x:c r="G325" s="102" t="str">
        <x:v>High</x:v>
      </x:c>
      <x:c r="H325" s="102" t="str">
        <x:v>2026-09-07</x:v>
      </x:c>
      <x:c r="I325" s="102" t="str">
        <x:v>https://www.vesselfinder.com/vessels/details/7923196</x:v>
      </x:c>
      <x:c r="J325" s="102" t="str">
        <x:v>SRC_0167</x:v>
      </x:c>
      <x:c r="K325" s="102" t="str">
        <x:v>2023 regulator-recorded; current status to verify</x:v>
      </x:c>
      <x:c r="L325" s="102" t="str">
        <x:v>Generated during v1.9 unified branch merge.</x:v>
      </x:c>
    </x:row>
    <x:row r="326">
      <x:c r="A326" s="102" t="str">
        <x:v>VESSEL_00325</x:v>
      </x:c>
      <x:c r="B326" s="102" t="str">
        <x:v>American Courage</x:v>
      </x:c>
      <x:c r="C326" s="102" t="str">
        <x:v>COMP_ASC</x:v>
      </x:c>
      <x:c r="D326" s="102" t="str">
        <x:v>American Steamship Company</x:v>
      </x:c>
      <x:c r="E326" s="110" t="str">
        <x:v>7634226</x:v>
      </x:c>
      <x:c r="F326" s="102" t="str">
        <x:v>IMO populated — checksum valid</x:v>
      </x:c>
      <x:c r="G326" s="102" t="str">
        <x:v>High</x:v>
      </x:c>
      <x:c r="H326" s="102" t="str">
        <x:v>2026-09-07</x:v>
      </x:c>
      <x:c r="I326" s="102" t="str">
        <x:v>https://www.vesselfinder.com/vessels/details/7634226</x:v>
      </x:c>
      <x:c r="J326" s="102" t="str">
        <x:v>SRC_0167</x:v>
      </x:c>
      <x:c r="K326" s="102" t="str">
        <x:v>2023 regulator-recorded; current status to verify</x:v>
      </x:c>
      <x:c r="L326" s="102" t="str">
        <x:v>Generated during v1.9 unified branch merge.</x:v>
      </x:c>
    </x:row>
    <x:row r="327">
      <x:c r="A327" s="102" t="str">
        <x:v>VESSEL_00326</x:v>
      </x:c>
      <x:c r="B327" s="102" t="str">
        <x:v>American Integrity</x:v>
      </x:c>
      <x:c r="C327" s="102" t="str">
        <x:v>COMP_ASC</x:v>
      </x:c>
      <x:c r="D327" s="102" t="str">
        <x:v>American Steamship Company</x:v>
      </x:c>
      <x:c r="E327" s="110" t="str">
        <x:v>7514696</x:v>
      </x:c>
      <x:c r="F327" s="102" t="str">
        <x:v>IMO populated — checksum valid</x:v>
      </x:c>
      <x:c r="G327" s="102" t="str">
        <x:v>High</x:v>
      </x:c>
      <x:c r="H327" s="102" t="str">
        <x:v>2026-09-07</x:v>
      </x:c>
      <x:c r="I327" s="102" t="str">
        <x:v>https://www.vesselfinder.com/vessels/details/7514696</x:v>
      </x:c>
      <x:c r="J327" s="102" t="str">
        <x:v>SRC_0167</x:v>
      </x:c>
      <x:c r="K327" s="102" t="str">
        <x:v>2023 regulator-recorded; current status to verify</x:v>
      </x:c>
      <x:c r="L327" s="102" t="str">
        <x:v>Generated during v1.9 unified branch merge.</x:v>
      </x:c>
    </x:row>
    <x:row r="328">
      <x:c r="A328" s="102" t="str">
        <x:v>VESSEL_00327</x:v>
      </x:c>
      <x:c r="B328" s="102" t="str">
        <x:v>American Mariner</x:v>
      </x:c>
      <x:c r="C328" s="102" t="str">
        <x:v>COMP_ASC</x:v>
      </x:c>
      <x:c r="D328" s="102" t="str">
        <x:v>American Steamship Company</x:v>
      </x:c>
      <x:c r="E328" s="110" t="str">
        <x:v>7812567</x:v>
      </x:c>
      <x:c r="F328" s="102" t="str">
        <x:v>IMO populated — checksum valid</x:v>
      </x:c>
      <x:c r="G328" s="102" t="str">
        <x:v>High</x:v>
      </x:c>
      <x:c r="H328" s="102" t="str">
        <x:v>2026-09-07</x:v>
      </x:c>
      <x:c r="I328" s="102" t="str">
        <x:v>https://www.vesselfinder.com/vessels/details/7812567</x:v>
      </x:c>
      <x:c r="J328" s="102" t="str">
        <x:v>SRC_0167</x:v>
      </x:c>
      <x:c r="K328" s="102" t="str">
        <x:v>2023 regulator-recorded; current status to verify</x:v>
      </x:c>
      <x:c r="L328" s="102" t="str">
        <x:v>Generated during v1.9 unified branch merge.</x:v>
      </x:c>
    </x:row>
    <x:row r="329">
      <x:c r="A329" s="102" t="str">
        <x:v>VESSEL_00328</x:v>
      </x:c>
      <x:c r="B329" s="102" t="str">
        <x:v>American Spirit</x:v>
      </x:c>
      <x:c r="C329" s="102" t="str">
        <x:v>COMP_ASC</x:v>
      </x:c>
      <x:c r="D329" s="102" t="str">
        <x:v>American Steamship Company</x:v>
      </x:c>
      <x:c r="E329" s="110" t="str">
        <x:v>7423392</x:v>
      </x:c>
      <x:c r="F329" s="102" t="str">
        <x:v>IMO populated — checksum valid</x:v>
      </x:c>
      <x:c r="G329" s="102" t="str">
        <x:v>High</x:v>
      </x:c>
      <x:c r="H329" s="102" t="str">
        <x:v>2026-09-07</x:v>
      </x:c>
      <x:c r="I329" s="102" t="str">
        <x:v>https://www.vesselfinder.com/vessels/details/7423392</x:v>
      </x:c>
      <x:c r="J329" s="102" t="str">
        <x:v>SRC_0167</x:v>
      </x:c>
      <x:c r="K329" s="102" t="str">
        <x:v>2023 regulator-recorded; current status to verify</x:v>
      </x:c>
      <x:c r="L329" s="102" t="str">
        <x:v>Generated during v1.9 unified branch merge.</x:v>
      </x:c>
    </x:row>
    <x:row r="330">
      <x:c r="A330" s="102" t="str">
        <x:v>VESSEL_00329</x:v>
      </x:c>
      <x:c r="B330" s="102" t="str">
        <x:v>Burns Harbor</x:v>
      </x:c>
      <x:c r="C330" s="102" t="str">
        <x:v>COMP_ASC</x:v>
      </x:c>
      <x:c r="D330" s="102" t="str">
        <x:v>American Steamship Company</x:v>
      </x:c>
      <x:c r="E330" s="110" t="str">
        <x:v>7514713</x:v>
      </x:c>
      <x:c r="F330" s="102" t="str">
        <x:v>IMO populated — checksum valid</x:v>
      </x:c>
      <x:c r="G330" s="102" t="str">
        <x:v>High</x:v>
      </x:c>
      <x:c r="H330" s="102" t="str">
        <x:v>2026-09-07</x:v>
      </x:c>
      <x:c r="I330" s="102" t="str">
        <x:v>https://www.vesselfinder.com/vessels/details/7514713</x:v>
      </x:c>
      <x:c r="J330" s="102" t="str">
        <x:v>SRC_0167</x:v>
      </x:c>
      <x:c r="K330" s="102" t="str">
        <x:v>2023 regulator-recorded; current status to verify</x:v>
      </x:c>
      <x:c r="L330" s="102" t="str">
        <x:v>Generated during v1.9 unified branch merge.</x:v>
      </x:c>
    </x:row>
    <x:row r="331">
      <x:c r="A331" s="102" t="str">
        <x:v>VESSEL_00330</x:v>
      </x:c>
      <x:c r="B331" s="102" t="str">
        <x:v>H. Lee White</x:v>
      </x:c>
      <x:c r="C331" s="102" t="str">
        <x:v>COMP_ASC</x:v>
      </x:c>
      <x:c r="D331" s="102" t="str">
        <x:v>American Steamship Company</x:v>
      </x:c>
      <x:c r="E331" s="110" t="str">
        <x:v>7366362</x:v>
      </x:c>
      <x:c r="F331" s="102" t="str">
        <x:v>IMO populated — checksum valid</x:v>
      </x:c>
      <x:c r="G331" s="102" t="str">
        <x:v>High</x:v>
      </x:c>
      <x:c r="H331" s="102" t="str">
        <x:v>2026-09-07</x:v>
      </x:c>
      <x:c r="I331" s="102" t="str">
        <x:v>https://www.vesselfinder.com/vessels/details/7366362</x:v>
      </x:c>
      <x:c r="J331" s="102" t="str">
        <x:v>SRC_0167</x:v>
      </x:c>
      <x:c r="K331" s="102" t="str">
        <x:v>2023 regulator-recorded; current status to verify</x:v>
      </x:c>
      <x:c r="L331" s="102" t="str">
        <x:v>Generated during v1.9 unified branch merge.</x:v>
      </x:c>
    </x:row>
    <x:row r="332">
      <x:c r="A332" s="102" t="str">
        <x:v>VESSEL_00331</x:v>
      </x:c>
      <x:c r="B332" s="102" t="str">
        <x:v>Indiana Harbor</x:v>
      </x:c>
      <x:c r="C332" s="102" t="str">
        <x:v>COMP_ASC</x:v>
      </x:c>
      <x:c r="D332" s="102" t="str">
        <x:v>American Steamship Company</x:v>
      </x:c>
      <x:c r="E332" s="110" t="str">
        <x:v>7514701</x:v>
      </x:c>
      <x:c r="F332" s="102" t="str">
        <x:v>IMO populated — checksum valid</x:v>
      </x:c>
      <x:c r="G332" s="102" t="str">
        <x:v>High</x:v>
      </x:c>
      <x:c r="H332" s="102" t="str">
        <x:v>2026-09-07</x:v>
      </x:c>
      <x:c r="I332" s="102" t="str">
        <x:v>https://www.vesselfinder.com/vessels/details/7514701</x:v>
      </x:c>
      <x:c r="J332" s="102" t="str">
        <x:v>SRC_0167</x:v>
      </x:c>
      <x:c r="K332" s="102" t="str">
        <x:v>2023 regulator-recorded; current status to verify</x:v>
      </x:c>
      <x:c r="L332" s="102" t="str">
        <x:v>Generated during v1.9 unified branch merge.</x:v>
      </x:c>
    </x:row>
    <x:row r="333">
      <x:c r="A333" s="102" t="str">
        <x:v>VESSEL_00332</x:v>
      </x:c>
      <x:c r="B333" s="102" t="str">
        <x:v>John J Boland</x:v>
      </x:c>
      <x:c r="C333" s="102" t="str">
        <x:v>COMP_ASC</x:v>
      </x:c>
      <x:c r="D333" s="102" t="str">
        <x:v>American Steamship Company</x:v>
      </x:c>
      <x:c r="E333" s="110" t="str">
        <x:v>7318901</x:v>
      </x:c>
      <x:c r="F333" s="102" t="str">
        <x:v>IMO populated — checksum valid</x:v>
      </x:c>
      <x:c r="G333" s="102" t="str">
        <x:v>High</x:v>
      </x:c>
      <x:c r="H333" s="102" t="str">
        <x:v>2026-09-07</x:v>
      </x:c>
      <x:c r="I333" s="102" t="str">
        <x:v>https://www.vesselfinder.com/vessels/details/7318901</x:v>
      </x:c>
      <x:c r="J333" s="102" t="str">
        <x:v>SRC_0167</x:v>
      </x:c>
      <x:c r="K333" s="102" t="str">
        <x:v>2023 regulator-recorded; current status to verify</x:v>
      </x:c>
      <x:c r="L333" s="102" t="str">
        <x:v>Generated during v1.9 unified branch merge.</x:v>
      </x:c>
    </x:row>
    <x:row r="334">
      <x:c r="A334" s="102" t="str">
        <x:v>VESSEL_00333</x:v>
      </x:c>
      <x:c r="B334" s="102" t="str">
        <x:v>Sam Laud</x:v>
      </x:c>
      <x:c r="C334" s="102" t="str">
        <x:v>COMP_ASC</x:v>
      </x:c>
      <x:c r="D334" s="102" t="str">
        <x:v>American Steamship Company</x:v>
      </x:c>
      <x:c r="E334" s="110" t="str">
        <x:v>7390210</x:v>
      </x:c>
      <x:c r="F334" s="102" t="str">
        <x:v>IMO populated — checksum valid</x:v>
      </x:c>
      <x:c r="G334" s="102" t="str">
        <x:v>High</x:v>
      </x:c>
      <x:c r="H334" s="102" t="str">
        <x:v>2026-09-07</x:v>
      </x:c>
      <x:c r="I334" s="102" t="str">
        <x:v>https://www.vesselfinder.com/vessels/details/7390210</x:v>
      </x:c>
      <x:c r="J334" s="102" t="str">
        <x:v>SRC_0167</x:v>
      </x:c>
      <x:c r="K334" s="102" t="str">
        <x:v>2023 regulator-recorded; current status to verify</x:v>
      </x:c>
      <x:c r="L334" s="102" t="str">
        <x:v>Generated during v1.9 unified branch merge.</x:v>
      </x:c>
    </x:row>
    <x:row r="335">
      <x:c r="A335" s="102" t="str">
        <x:v>VESSEL_00334</x:v>
      </x:c>
      <x:c r="B335" s="102" t="str">
        <x:v>Walter J. McCarthy Jr.</x:v>
      </x:c>
      <x:c r="C335" s="102" t="str">
        <x:v>COMP_ASC</x:v>
      </x:c>
      <x:c r="D335" s="102" t="str">
        <x:v>American Steamship Company</x:v>
      </x:c>
      <x:c r="E335" s="110" t="str">
        <x:v>7514684</x:v>
      </x:c>
      <x:c r="F335" s="102" t="str">
        <x:v>IMO populated — checksum valid</x:v>
      </x:c>
      <x:c r="G335" s="102" t="str">
        <x:v>High</x:v>
      </x:c>
      <x:c r="H335" s="102" t="str">
        <x:v>2026-09-07</x:v>
      </x:c>
      <x:c r="I335" s="102" t="str">
        <x:v>https://www.vesselfinder.com/vessels/details/7514684</x:v>
      </x:c>
      <x:c r="J335" s="102" t="str">
        <x:v>SRC_0167</x:v>
      </x:c>
      <x:c r="K335" s="102" t="str">
        <x:v>2023 regulator-recorded; current status to verify</x:v>
      </x:c>
      <x:c r="L335" s="102" t="str">
        <x:v>Generated during v1.9 unified branch merge.</x:v>
      </x:c>
    </x:row>
    <x:row r="336">
      <x:c r="A336" s="102" t="str">
        <x:v>VESSEL_00335</x:v>
      </x:c>
      <x:c r="B336" s="102" t="str">
        <x:v>Calumet</x:v>
      </x:c>
      <x:c r="C336" s="102" t="str">
        <x:v>COMP_GRN</x:v>
      </x:c>
      <x:c r="D336" s="102" t="str">
        <x:v>Grand River Navigation</x:v>
      </x:c>
      <x:c r="E336" s="110" t="str">
        <x:v>7329314</x:v>
      </x:c>
      <x:c r="F336" s="102" t="str">
        <x:v>IMO populated — checksum valid</x:v>
      </x:c>
      <x:c r="G336" s="102" t="str">
        <x:v>High</x:v>
      </x:c>
      <x:c r="H336" s="102" t="str">
        <x:v>2026-09-07</x:v>
      </x:c>
      <x:c r="I336" s="102" t="str">
        <x:v>https://www.vesselfinder.com/vessels/details/7329314</x:v>
      </x:c>
      <x:c r="J336" s="102" t="str">
        <x:v>SRC_0167</x:v>
      </x:c>
      <x:c r="K336" s="102" t="str">
        <x:v>2023 regulator-recorded; current status to verify</x:v>
      </x:c>
      <x:c r="L336" s="102" t="str">
        <x:v>Generated during v1.9 unified branch merge.</x:v>
      </x:c>
    </x:row>
    <x:row r="337">
      <x:c r="A337" s="102" t="str">
        <x:v>VESSEL_00336</x:v>
      </x:c>
      <x:c r="B337" s="102" t="str">
        <x:v>Defiance</x:v>
      </x:c>
      <x:c r="C337" s="102" t="str">
        <x:v>COMP_GRN</x:v>
      </x:c>
      <x:c r="D337" s="102" t="str">
        <x:v>Grand River Navigation</x:v>
      </x:c>
      <x:c r="E337" s="110" t="str">
        <x:v>8109761</x:v>
      </x:c>
      <x:c r="F337" s="102" t="str">
        <x:v>IMO populated — checksum valid</x:v>
      </x:c>
      <x:c r="G337" s="102" t="str">
        <x:v>High</x:v>
      </x:c>
      <x:c r="H337" s="102" t="str">
        <x:v>2026-09-07</x:v>
      </x:c>
      <x:c r="I337" s="102" t="str">
        <x:v>https://www.vesselfinder.com/vessels/details/8109761</x:v>
      </x:c>
      <x:c r="J337" s="102" t="str">
        <x:v>SRC_0167</x:v>
      </x:c>
      <x:c r="K337" s="102" t="str">
        <x:v>2023 regulator-recorded; current status to verify</x:v>
      </x:c>
      <x:c r="L337" s="102" t="str">
        <x:v>Generated during v1.9 unified branch merge.</x:v>
      </x:c>
    </x:row>
    <x:row r="338">
      <x:c r="A338" s="102" t="str">
        <x:v>VESSEL_00337</x:v>
      </x:c>
      <x:c r="B338" s="102" t="str">
        <x:v>Manitowoc</x:v>
      </x:c>
      <x:c r="C338" s="102" t="str">
        <x:v>COMP_GRN</x:v>
      </x:c>
      <x:c r="D338" s="102" t="str">
        <x:v>Grand River Navigation</x:v>
      </x:c>
      <x:c r="E338" s="110" t="str">
        <x:v>7366398</x:v>
      </x:c>
      <x:c r="F338" s="102" t="str">
        <x:v>IMO populated — checksum valid</x:v>
      </x:c>
      <x:c r="G338" s="102" t="str">
        <x:v>High</x:v>
      </x:c>
      <x:c r="H338" s="102" t="str">
        <x:v>2026-09-07</x:v>
      </x:c>
      <x:c r="I338" s="102" t="str">
        <x:v>https://www.vesselfinder.com/vessels/details/7366398</x:v>
      </x:c>
      <x:c r="J338" s="102" t="str">
        <x:v>SRC_0167</x:v>
      </x:c>
      <x:c r="K338" s="102" t="str">
        <x:v>2023 regulator-recorded; current status to verify</x:v>
      </x:c>
      <x:c r="L338" s="102" t="str">
        <x:v>Generated during v1.9 unified branch merge.</x:v>
      </x:c>
    </x:row>
    <x:row r="339">
      <x:c r="A339" s="102" t="str">
        <x:v>VESSEL_00338</x:v>
      </x:c>
      <x:c r="B339" s="102" t="str">
        <x:v>Menominee</x:v>
      </x:c>
      <x:c r="C339" s="102" t="str">
        <x:v>COMP_GRN</x:v>
      </x:c>
      <x:c r="D339" s="102" t="str">
        <x:v>Grand River Navigation</x:v>
      </x:c>
      <x:c r="E339" s="110" t="str">
        <x:v>5336351</x:v>
      </x:c>
      <x:c r="F339" s="102" t="str">
        <x:v>IMO populated — checksum valid</x:v>
      </x:c>
      <x:c r="G339" s="102" t="str">
        <x:v>High</x:v>
      </x:c>
      <x:c r="H339" s="102" t="str">
        <x:v>2026-09-07</x:v>
      </x:c>
      <x:c r="I339" s="102" t="str">
        <x:v>https://www.vesselfinder.com/vessels/details/5336351</x:v>
      </x:c>
      <x:c r="J339" s="102" t="str">
        <x:v>SRC_0167</x:v>
      </x:c>
      <x:c r="K339" s="102" t="str">
        <x:v>2023 regulator-recorded; current status to verify</x:v>
      </x:c>
      <x:c r="L339" s="102" t="str">
        <x:v>Generated during v1.9 unified branch merge.</x:v>
      </x:c>
    </x:row>
    <x:row r="340">
      <x:c r="A340" s="102" t="str">
        <x:v>VESSEL_00339</x:v>
      </x:c>
      <x:c r="B340" s="102" t="str">
        <x:v>Victory</x:v>
      </x:c>
      <x:c r="C340" s="102" t="str">
        <x:v>COMP_GRN</x:v>
      </x:c>
      <x:c r="D340" s="102" t="str">
        <x:v>Grand River Navigation</x:v>
      </x:c>
      <x:c r="E340" s="110" t="str">
        <x:v>8003292</x:v>
      </x:c>
      <x:c r="F340" s="102" t="str">
        <x:v>IMO populated — checksum valid</x:v>
      </x:c>
      <x:c r="G340" s="102" t="str">
        <x:v>High</x:v>
      </x:c>
      <x:c r="H340" s="102" t="str">
        <x:v>2026-09-07</x:v>
      </x:c>
      <x:c r="I340" s="102" t="str">
        <x:v>https://www.vesselfinder.com/vessels/details/8003292</x:v>
      </x:c>
      <x:c r="J340" s="102" t="str">
        <x:v>SRC_0167</x:v>
      </x:c>
      <x:c r="K340" s="102" t="str">
        <x:v>2023 regulator-recorded; current status to verify</x:v>
      </x:c>
      <x:c r="L340" s="102" t="str">
        <x:v>Generated during v1.9 unified branch merge.</x:v>
      </x:c>
    </x:row>
    <x:row r="341">
      <x:c r="A341" s="102" t="str">
        <x:v>VESSEL_00340</x:v>
      </x:c>
      <x:c r="B341" s="102" t="str">
        <x:v>Olive L Moore</x:v>
      </x:c>
      <x:c r="C341" s="102" t="str">
        <x:v>COMP_GRN</x:v>
      </x:c>
      <x:c r="D341" s="102" t="str">
        <x:v>Grand River Navigation</x:v>
      </x:c>
      <x:c r="E341" s="110"/>
      <x:c r="F341" s="102" t="str">
        <x:v>IMO pending</x:v>
      </x:c>
      <x:c r="G341" s="102" t="str">
        <x:v>Low</x:v>
      </x:c>
      <x:c r="H341" s="102" t="str">
        <x:v>2026-09-07</x:v>
      </x:c>
      <x:c r="I341" s="102"/>
      <x:c r="J341" s="102" t="str">
        <x:v>SRC_0167</x:v>
      </x:c>
      <x:c r="K341" s="102" t="str">
        <x:v>2023 regulator-recorded; IMO unresolved</x:v>
      </x:c>
      <x:c r="L341" s="102" t="str">
        <x:v>Generated during v1.9 unified branch merge.</x:v>
      </x:c>
    </x:row>
    <x:row r="342">
      <x:c r="A342" s="102" t="str">
        <x:v>VESSEL_00341</x:v>
      </x:c>
      <x:c r="B342" s="102" t="str">
        <x:v>Ashtabula</x:v>
      </x:c>
      <x:c r="C342" s="102" t="str">
        <x:v>COMP_GRN</x:v>
      </x:c>
      <x:c r="D342" s="102" t="str">
        <x:v>Grand River Navigation</x:v>
      </x:c>
      <x:c r="E342" s="110"/>
      <x:c r="F342" s="102" t="str">
        <x:v>IMO pending</x:v>
      </x:c>
      <x:c r="G342" s="102" t="str">
        <x:v>Low</x:v>
      </x:c>
      <x:c r="H342" s="102" t="str">
        <x:v>2026-09-07</x:v>
      </x:c>
      <x:c r="I342" s="102"/>
      <x:c r="J342" s="102" t="str">
        <x:v>SRC_0167</x:v>
      </x:c>
      <x:c r="K342" s="102" t="str">
        <x:v>2023 regulator-recorded; IMO unresolved</x:v>
      </x:c>
      <x:c r="L342" s="102" t="str">
        <x:v>Generated during v1.9 unified branch merge.</x:v>
      </x:c>
    </x:row>
    <x:row r="343">
      <x:c r="A343" s="102" t="str">
        <x:v>VESSEL_00342</x:v>
      </x:c>
      <x:c r="B343" s="102" t="str">
        <x:v>Cuyahoga</x:v>
      </x:c>
      <x:c r="C343" s="102" t="str">
        <x:v>COMP_LOWER_LAKES</x:v>
      </x:c>
      <x:c r="D343" s="102" t="str">
        <x:v>Lower Lakes Towing</x:v>
      </x:c>
      <x:c r="E343" s="110" t="str">
        <x:v>5166392</x:v>
      </x:c>
      <x:c r="F343" s="102" t="str">
        <x:v>IMO populated — checksum valid</x:v>
      </x:c>
      <x:c r="G343" s="102" t="str">
        <x:v>High</x:v>
      </x:c>
      <x:c r="H343" s="102" t="str">
        <x:v>2026-09-07</x:v>
      </x:c>
      <x:c r="I343" s="102" t="str">
        <x:v>https://www.vesselfinder.com/vessels/details/5166392</x:v>
      </x:c>
      <x:c r="J343" s="102" t="str">
        <x:v>SRC_0167</x:v>
      </x:c>
      <x:c r="K343" s="102" t="str">
        <x:v>2023 regulator-recorded; current status to verify</x:v>
      </x:c>
      <x:c r="L343" s="102" t="str">
        <x:v>Generated during v1.9 unified branch merge.</x:v>
      </x:c>
    </x:row>
    <x:row r="344">
      <x:c r="A344" s="102" t="str">
        <x:v>VESSEL_00343</x:v>
      </x:c>
      <x:c r="B344" s="102" t="str">
        <x:v>Kaministiqua</x:v>
      </x:c>
      <x:c r="C344" s="102" t="str">
        <x:v>COMP_LOWER_LAKES</x:v>
      </x:c>
      <x:c r="D344" s="102" t="str">
        <x:v>Lower Lakes Towing</x:v>
      </x:c>
      <x:c r="E344" s="110" t="str">
        <x:v>8119285</x:v>
      </x:c>
      <x:c r="F344" s="102" t="str">
        <x:v>IMO populated — checksum valid</x:v>
      </x:c>
      <x:c r="G344" s="102" t="str">
        <x:v>High</x:v>
      </x:c>
      <x:c r="H344" s="102" t="str">
        <x:v>2026-09-07</x:v>
      </x:c>
      <x:c r="I344" s="102" t="str">
        <x:v>https://www.vesselfinder.com/vessels/details/8119285</x:v>
      </x:c>
      <x:c r="J344" s="102" t="str">
        <x:v>SRC_0167</x:v>
      </x:c>
      <x:c r="K344" s="102" t="str">
        <x:v>2023 regulator-recorded; current status to verify</x:v>
      </x:c>
      <x:c r="L344" s="102" t="str">
        <x:v>Generated during v1.9 unified branch merge.</x:v>
      </x:c>
    </x:row>
    <x:row r="345">
      <x:c r="A345" s="102" t="str">
        <x:v>VESSEL_00344</x:v>
      </x:c>
      <x:c r="B345" s="102" t="str">
        <x:v>Manitoulin</x:v>
      </x:c>
      <x:c r="C345" s="102" t="str">
        <x:v>COMP_LOWER_LAKES</x:v>
      </x:c>
      <x:c r="D345" s="102" t="str">
        <x:v>Lower Lakes Towing</x:v>
      </x:c>
      <x:c r="E345" s="110" t="str">
        <x:v>8810918</x:v>
      </x:c>
      <x:c r="F345" s="102" t="str">
        <x:v>IMO populated — checksum valid</x:v>
      </x:c>
      <x:c r="G345" s="102" t="str">
        <x:v>High</x:v>
      </x:c>
      <x:c r="H345" s="102" t="str">
        <x:v>2026-09-07</x:v>
      </x:c>
      <x:c r="I345" s="102" t="str">
        <x:v>https://www.vesselfinder.com/vessels/details/8810918</x:v>
      </x:c>
      <x:c r="J345" s="102" t="str">
        <x:v>SRC_0167</x:v>
      </x:c>
      <x:c r="K345" s="102" t="str">
        <x:v>2023 regulator-recorded; current status to verify</x:v>
      </x:c>
      <x:c r="L345" s="102" t="str">
        <x:v>Generated during v1.9 unified branch merge.</x:v>
      </x:c>
    </x:row>
    <x:row r="346">
      <x:c r="A346" s="102" t="str">
        <x:v>VESSEL_00345</x:v>
      </x:c>
      <x:c r="B346" s="102" t="str">
        <x:v>Michipicoten</x:v>
      </x:c>
      <x:c r="C346" s="102" t="str">
        <x:v>COMP_LOWER_LAKES</x:v>
      </x:c>
      <x:c r="D346" s="102" t="str">
        <x:v>Lower Lakes Towing</x:v>
      </x:c>
      <x:c r="E346" s="110" t="str">
        <x:v>5102865</x:v>
      </x:c>
      <x:c r="F346" s="102" t="str">
        <x:v>IMO populated — checksum valid</x:v>
      </x:c>
      <x:c r="G346" s="102" t="str">
        <x:v>High</x:v>
      </x:c>
      <x:c r="H346" s="102" t="str">
        <x:v>2026-09-07</x:v>
      </x:c>
      <x:c r="I346" s="102" t="str">
        <x:v>https://www.vesselfinder.com/vessels/details/5102865</x:v>
      </x:c>
      <x:c r="J346" s="102" t="str">
        <x:v>SRC_0167</x:v>
      </x:c>
      <x:c r="K346" s="102" t="str">
        <x:v>2023 regulator-recorded; current status to verify</x:v>
      </x:c>
      <x:c r="L346" s="102" t="str">
        <x:v>Generated during v1.9 unified branch merge.</x:v>
      </x:c>
    </x:row>
    <x:row r="347">
      <x:c r="A347" s="102" t="str">
        <x:v>VESSEL_00346</x:v>
      </x:c>
      <x:c r="B347" s="102" t="str">
        <x:v>Robert S. Pierson</x:v>
      </x:c>
      <x:c r="C347" s="102" t="str">
        <x:v>COMP_LOWER_LAKES</x:v>
      </x:c>
      <x:c r="D347" s="102" t="str">
        <x:v>Lower Lakes Towing</x:v>
      </x:c>
      <x:c r="E347" s="110" t="str">
        <x:v>7366403</x:v>
      </x:c>
      <x:c r="F347" s="102" t="str">
        <x:v>IMO populated — checksum valid</x:v>
      </x:c>
      <x:c r="G347" s="102" t="str">
        <x:v>High</x:v>
      </x:c>
      <x:c r="H347" s="102" t="str">
        <x:v>2026-09-07</x:v>
      </x:c>
      <x:c r="I347" s="102" t="str">
        <x:v>https://www.vesselfinder.com/vessels/details/7366403</x:v>
      </x:c>
      <x:c r="J347" s="102" t="str">
        <x:v>SRC_0167</x:v>
      </x:c>
      <x:c r="K347" s="102" t="str">
        <x:v>2023 regulator-recorded; current status to verify</x:v>
      </x:c>
      <x:c r="L347" s="102" t="str">
        <x:v>Generated during v1.9 unified branch merge.</x:v>
      </x:c>
    </x:row>
    <x:row r="348">
      <x:c r="A348" s="102" t="str">
        <x:v>VESSEL_00347</x:v>
      </x:c>
      <x:c r="B348" s="102" t="str">
        <x:v>Saginaw</x:v>
      </x:c>
      <x:c r="C348" s="102" t="str">
        <x:v>COMP_LOWER_LAKES</x:v>
      </x:c>
      <x:c r="D348" s="102" t="str">
        <x:v>Lower Lakes Towing</x:v>
      </x:c>
      <x:c r="E348" s="110" t="str">
        <x:v>5173876</x:v>
      </x:c>
      <x:c r="F348" s="102" t="str">
        <x:v>IMO populated — checksum valid</x:v>
      </x:c>
      <x:c r="G348" s="102" t="str">
        <x:v>High</x:v>
      </x:c>
      <x:c r="H348" s="102" t="str">
        <x:v>2026-09-07</x:v>
      </x:c>
      <x:c r="I348" s="102" t="str">
        <x:v>https://www.vesselfinder.com/vessels/details/5173876</x:v>
      </x:c>
      <x:c r="J348" s="102" t="str">
        <x:v>SRC_0167</x:v>
      </x:c>
      <x:c r="K348" s="102" t="str">
        <x:v>2023 regulator-recorded; current status to verify</x:v>
      </x:c>
      <x:c r="L348" s="102" t="str">
        <x:v>Generated during v1.9 unified branch merge.</x:v>
      </x:c>
    </x:row>
    <x:row r="349">
      <x:c r="A349" s="102" t="str">
        <x:v>VESSEL_00348</x:v>
      </x:c>
      <x:c r="B349" s="102" t="str">
        <x:v>Arthur M. Anderson</x:v>
      </x:c>
      <x:c r="C349" s="102" t="str">
        <x:v>COMP_GREAT_LAKES_FLEET</x:v>
      </x:c>
      <x:c r="D349" s="102" t="str">
        <x:v>Great Lakes Fleet</x:v>
      </x:c>
      <x:c r="E349" s="110" t="str">
        <x:v>5025691</x:v>
      </x:c>
      <x:c r="F349" s="102" t="str">
        <x:v>IMO populated — checksum valid</x:v>
      </x:c>
      <x:c r="G349" s="102" t="str">
        <x:v>High</x:v>
      </x:c>
      <x:c r="H349" s="102" t="str">
        <x:v>2026-09-07</x:v>
      </x:c>
      <x:c r="I349" s="102" t="str">
        <x:v>https://www.vesselfinder.com/vessels/details/5025691</x:v>
      </x:c>
      <x:c r="J349" s="102" t="str">
        <x:v>SRC_0167</x:v>
      </x:c>
      <x:c r="K349" s="102" t="str">
        <x:v>2023 regulator-recorded; current status to verify</x:v>
      </x:c>
      <x:c r="L349" s="102" t="str">
        <x:v>Generated during v1.9 unified branch merge.</x:v>
      </x:c>
    </x:row>
    <x:row r="350">
      <x:c r="A350" s="102" t="str">
        <x:v>VESSEL_00349</x:v>
      </x:c>
      <x:c r="B350" s="102" t="str">
        <x:v>Cason J. Callaway</x:v>
      </x:c>
      <x:c r="C350" s="102" t="str">
        <x:v>COMP_GREAT_LAKES_FLEET</x:v>
      </x:c>
      <x:c r="D350" s="102" t="str">
        <x:v>Great Lakes Fleet</x:v>
      </x:c>
      <x:c r="E350" s="110" t="str">
        <x:v>5065392</x:v>
      </x:c>
      <x:c r="F350" s="102" t="str">
        <x:v>IMO populated — checksum valid</x:v>
      </x:c>
      <x:c r="G350" s="102" t="str">
        <x:v>High</x:v>
      </x:c>
      <x:c r="H350" s="102" t="str">
        <x:v>2026-09-07</x:v>
      </x:c>
      <x:c r="I350" s="102" t="str">
        <x:v>https://www.vesselfinder.com/vessels/details/5065392</x:v>
      </x:c>
      <x:c r="J350" s="102" t="str">
        <x:v>SRC_0167</x:v>
      </x:c>
      <x:c r="K350" s="102" t="str">
        <x:v>2023 regulator-recorded; current status to verify</x:v>
      </x:c>
      <x:c r="L350" s="102" t="str">
        <x:v>Generated during v1.9 unified branch merge.</x:v>
      </x:c>
    </x:row>
    <x:row r="351">
      <x:c r="A351" s="102" t="str">
        <x:v>VESSEL_00350</x:v>
      </x:c>
      <x:c r="B351" s="102" t="str">
        <x:v>Edgar B. Speer</x:v>
      </x:c>
      <x:c r="C351" s="102" t="str">
        <x:v>COMP_GREAT_LAKES_FLEET</x:v>
      </x:c>
      <x:c r="D351" s="102" t="str">
        <x:v>Great Lakes Fleet</x:v>
      </x:c>
      <x:c r="E351" s="110" t="str">
        <x:v>7625952</x:v>
      </x:c>
      <x:c r="F351" s="102" t="str">
        <x:v>IMO populated — checksum valid</x:v>
      </x:c>
      <x:c r="G351" s="102" t="str">
        <x:v>High</x:v>
      </x:c>
      <x:c r="H351" s="102" t="str">
        <x:v>2026-09-07</x:v>
      </x:c>
      <x:c r="I351" s="102" t="str">
        <x:v>https://www.vesselfinder.com/vessels/details/7625952</x:v>
      </x:c>
      <x:c r="J351" s="102" t="str">
        <x:v>SRC_0167</x:v>
      </x:c>
      <x:c r="K351" s="102" t="str">
        <x:v>2023 regulator-recorded; current status to verify</x:v>
      </x:c>
      <x:c r="L351" s="102" t="str">
        <x:v>Generated during v1.9 unified branch merge.</x:v>
      </x:c>
    </x:row>
    <x:row r="352">
      <x:c r="A352" s="102" t="str">
        <x:v>VESSEL_00351</x:v>
      </x:c>
      <x:c r="B352" s="102" t="str">
        <x:v>Edwin H. Gott</x:v>
      </x:c>
      <x:c r="C352" s="102" t="str">
        <x:v>COMP_GREAT_LAKES_FLEET</x:v>
      </x:c>
      <x:c r="D352" s="102" t="str">
        <x:v>Great Lakes Fleet</x:v>
      </x:c>
      <x:c r="E352" s="110" t="str">
        <x:v>7606061</x:v>
      </x:c>
      <x:c r="F352" s="102" t="str">
        <x:v>IMO populated — checksum valid</x:v>
      </x:c>
      <x:c r="G352" s="102" t="str">
        <x:v>High</x:v>
      </x:c>
      <x:c r="H352" s="102" t="str">
        <x:v>2026-09-07</x:v>
      </x:c>
      <x:c r="I352" s="102" t="str">
        <x:v>https://www.vesselfinder.com/vessels/details/7606061</x:v>
      </x:c>
      <x:c r="J352" s="102" t="str">
        <x:v>SRC_0167</x:v>
      </x:c>
      <x:c r="K352" s="102" t="str">
        <x:v>2023 regulator-recorded; current status to verify</x:v>
      </x:c>
      <x:c r="L352" s="102" t="str">
        <x:v>Generated during v1.9 unified branch merge.</x:v>
      </x:c>
    </x:row>
    <x:row r="353">
      <x:c r="A353" s="102" t="str">
        <x:v>VESSEL_00352</x:v>
      </x:c>
      <x:c r="B353" s="102" t="str">
        <x:v>Great Republic</x:v>
      </x:c>
      <x:c r="C353" s="102" t="str">
        <x:v>COMP_GREAT_LAKES_FLEET</x:v>
      </x:c>
      <x:c r="D353" s="102" t="str">
        <x:v>Great Lakes Fleet</x:v>
      </x:c>
      <x:c r="E353" s="110" t="str">
        <x:v>7914236</x:v>
      </x:c>
      <x:c r="F353" s="102" t="str">
        <x:v>IMO populated — checksum valid</x:v>
      </x:c>
      <x:c r="G353" s="102" t="str">
        <x:v>High</x:v>
      </x:c>
      <x:c r="H353" s="102" t="str">
        <x:v>2026-09-07</x:v>
      </x:c>
      <x:c r="I353" s="102" t="str">
        <x:v>https://www.vesselfinder.com/vessels/details/7914236</x:v>
      </x:c>
      <x:c r="J353" s="102" t="str">
        <x:v>SRC_0167</x:v>
      </x:c>
      <x:c r="K353" s="102" t="str">
        <x:v>2023 regulator-recorded; current status to verify</x:v>
      </x:c>
      <x:c r="L353" s="102" t="str">
        <x:v>Generated during v1.9 unified branch merge.</x:v>
      </x:c>
    </x:row>
    <x:row r="354">
      <x:c r="A354" s="102" t="str">
        <x:v>VESSEL_00353</x:v>
      </x:c>
      <x:c r="B354" s="102" t="str">
        <x:v>John G. Munson</x:v>
      </x:c>
      <x:c r="C354" s="102" t="str">
        <x:v>COMP_GREAT_LAKES_FLEET</x:v>
      </x:c>
      <x:c r="D354" s="102" t="str">
        <x:v>Great Lakes Fleet</x:v>
      </x:c>
      <x:c r="E354" s="110" t="str">
        <x:v>5173670</x:v>
      </x:c>
      <x:c r="F354" s="102" t="str">
        <x:v>IMO populated — checksum valid</x:v>
      </x:c>
      <x:c r="G354" s="102" t="str">
        <x:v>High</x:v>
      </x:c>
      <x:c r="H354" s="102" t="str">
        <x:v>2026-09-07</x:v>
      </x:c>
      <x:c r="I354" s="102" t="str">
        <x:v>https://www.vesselfinder.com/vessels/details/5173670</x:v>
      </x:c>
      <x:c r="J354" s="102" t="str">
        <x:v>SRC_0167</x:v>
      </x:c>
      <x:c r="K354" s="102" t="str">
        <x:v>2023 regulator-recorded; current status to verify</x:v>
      </x:c>
      <x:c r="L354" s="102" t="str">
        <x:v>Generated during v1.9 unified branch merge.</x:v>
      </x:c>
    </x:row>
    <x:row r="355">
      <x:c r="A355" s="102" t="str">
        <x:v>VESSEL_00354</x:v>
      </x:c>
      <x:c r="B355" s="102" t="str">
        <x:v>Philip R. Clarke</x:v>
      </x:c>
      <x:c r="C355" s="102" t="str">
        <x:v>COMP_GREAT_LAKES_FLEET</x:v>
      </x:c>
      <x:c r="D355" s="102" t="str">
        <x:v>Great Lakes Fleet</x:v>
      </x:c>
      <x:c r="E355" s="110" t="str">
        <x:v>5277062</x:v>
      </x:c>
      <x:c r="F355" s="102" t="str">
        <x:v>IMO populated — checksum valid</x:v>
      </x:c>
      <x:c r="G355" s="102" t="str">
        <x:v>High</x:v>
      </x:c>
      <x:c r="H355" s="102" t="str">
        <x:v>2026-09-07</x:v>
      </x:c>
      <x:c r="I355" s="102" t="str">
        <x:v>https://www.vesselfinder.com/vessels/details/5277062</x:v>
      </x:c>
      <x:c r="J355" s="102" t="str">
        <x:v>SRC_0167</x:v>
      </x:c>
      <x:c r="K355" s="102" t="str">
        <x:v>2023 regulator-recorded; current status to verify</x:v>
      </x:c>
      <x:c r="L355" s="102" t="str">
        <x:v>Generated during v1.9 unified branch merge.</x:v>
      </x:c>
    </x:row>
    <x:row r="356">
      <x:c r="A356" s="102" t="str">
        <x:v>VESSEL_00355</x:v>
      </x:c>
      <x:c r="B356" s="102" t="str">
        <x:v>Presque Isle</x:v>
      </x:c>
      <x:c r="C356" s="102" t="str">
        <x:v>COMP_GREAT_LAKES_FLEET</x:v>
      </x:c>
      <x:c r="D356" s="102" t="str">
        <x:v>Great Lakes Fleet</x:v>
      </x:c>
      <x:c r="E356" s="110" t="str">
        <x:v>7303877</x:v>
      </x:c>
      <x:c r="F356" s="102" t="str">
        <x:v>IMO populated — checksum valid</x:v>
      </x:c>
      <x:c r="G356" s="102" t="str">
        <x:v>High</x:v>
      </x:c>
      <x:c r="H356" s="102" t="str">
        <x:v>2026-09-07</x:v>
      </x:c>
      <x:c r="I356" s="102" t="str">
        <x:v>https://www.vesselfinder.com/vessels/details/7303877</x:v>
      </x:c>
      <x:c r="J356" s="102" t="str">
        <x:v>SRC_0167</x:v>
      </x:c>
      <x:c r="K356" s="102" t="str">
        <x:v>2023 regulator-recorded; current status to verify</x:v>
      </x:c>
      <x:c r="L356" s="102" t="str">
        <x:v>Generated during v1.9 unified branch merge.</x:v>
      </x:c>
    </x:row>
    <x:row r="357">
      <x:c r="A357" s="102" t="str">
        <x:v>VESSEL_00356</x:v>
      </x:c>
      <x:c r="B357" s="102" t="str">
        <x:v>Roger Blough</x:v>
      </x:c>
      <x:c r="C357" s="102" t="str">
        <x:v>COMP_GREAT_LAKES_FLEET</x:v>
      </x:c>
      <x:c r="D357" s="102" t="str">
        <x:v>Great Lakes Fleet</x:v>
      </x:c>
      <x:c r="E357" s="110" t="str">
        <x:v>7222138</x:v>
      </x:c>
      <x:c r="F357" s="102" t="str">
        <x:v>IMO populated — checksum valid</x:v>
      </x:c>
      <x:c r="G357" s="102" t="str">
        <x:v>High</x:v>
      </x:c>
      <x:c r="H357" s="102" t="str">
        <x:v>2026-09-07</x:v>
      </x:c>
      <x:c r="I357" s="102" t="str">
        <x:v>https://www.vesselfinder.com/vessels/details/7222138</x:v>
      </x:c>
      <x:c r="J357" s="102" t="str">
        <x:v>SRC_0167</x:v>
      </x:c>
      <x:c r="K357" s="102" t="str">
        <x:v>2023 regulator-recorded; current status to verify</x:v>
      </x:c>
      <x:c r="L357" s="102" t="str">
        <x:v>Generated during v1.9 unified branch merge.</x:v>
      </x:c>
    </x:row>
    <x:row r="358">
      <x:c r="A358" s="102" t="str">
        <x:v>VESSEL_00357</x:v>
      </x:c>
      <x:c r="B358" s="102" t="str">
        <x:v>Badger</x:v>
      </x:c>
      <x:c r="C358" s="102" t="str">
        <x:v>COMP_LAKE_MICHIGAN_CARFERRY</x:v>
      </x:c>
      <x:c r="D358" s="102" t="str">
        <x:v>Lake Michigan Carferry</x:v>
      </x:c>
      <x:c r="E358" s="110" t="str">
        <x:v>5033583</x:v>
      </x:c>
      <x:c r="F358" s="102" t="str">
        <x:v>IMO populated — checksum valid</x:v>
      </x:c>
      <x:c r="G358" s="102" t="str">
        <x:v>High</x:v>
      </x:c>
      <x:c r="H358" s="102" t="str">
        <x:v>2026-09-07</x:v>
      </x:c>
      <x:c r="I358" s="102" t="str">
        <x:v>https://www.vesselfinder.com/vessels/details/5033583</x:v>
      </x:c>
      <x:c r="J358" s="102" t="str">
        <x:v>SRC_0167</x:v>
      </x:c>
      <x:c r="K358" s="102" t="str">
        <x:v>2023 regulator-recorded; current status to verify</x:v>
      </x:c>
      <x:c r="L358" s="102" t="str">
        <x:v>Generated during v1.9 unified branch merge.</x:v>
      </x:c>
    </x:row>
    <x:row r="359">
      <x:c r="A359" s="102" t="str">
        <x:v>VESSEL_00358</x:v>
      </x:c>
      <x:c r="B359" s="102" t="str">
        <x:v>Florence Spirit</x:v>
      </x:c>
      <x:c r="C359" s="102" t="str">
        <x:v>COMP_MCKEIL</x:v>
      </x:c>
      <x:c r="D359" s="102" t="str">
        <x:v>McKeil Marine</x:v>
      </x:c>
      <x:c r="E359" s="110" t="str">
        <x:v>9314600</x:v>
      </x:c>
      <x:c r="F359" s="102" t="str">
        <x:v>IMO populated — checksum valid</x:v>
      </x:c>
      <x:c r="G359" s="102" t="str">
        <x:v>High</x:v>
      </x:c>
      <x:c r="H359" s="102" t="str">
        <x:v>2026-09-07</x:v>
      </x:c>
      <x:c r="I359" s="102" t="str">
        <x:v>https://www.vesselfinder.com/vessels/details/9314600</x:v>
      </x:c>
      <x:c r="J359" s="102" t="str">
        <x:v>SRC_0177</x:v>
      </x:c>
      <x:c r="K359" s="102" t="str">
        <x:v>Operating</x:v>
      </x:c>
      <x:c r="L359" s="102" t="str">
        <x:v>Generated during v1.9 unified branch merge.</x:v>
      </x:c>
    </x:row>
  </x:sheetData>
  <x:pageMargins left="0.7" right="0.7" top="0.75" bottom="0.75" header="0.3" footer="0.3"/>
  <x:tableParts count="1">
    <x:tablePart xmlns:r="http://schemas.openxmlformats.org/officeDocument/2006/relationships" r:id="Radd7144b094c4e66"/>
  </x:tableParts>
</x:worksheet>
</file>

<file path=xl/worksheets/sheet35.xml><?xml version="1.0" encoding="utf-8"?>
<x:worksheet xmlns:x="http://schemas.openxmlformats.org/spreadsheetml/2006/main">
  <x:sheetFormatPr defaultRowHeight="15"/>
  <x:cols>
    <x:col min="1" max="1" width="18" hidden="0" customWidth="1"/>
    <x:col min="2" max="2" width="28" hidden="0" customWidth="1"/>
    <x:col min="3" max="3" width="18" hidden="0" customWidth="1"/>
    <x:col min="4" max="4" width="18" hidden="0" customWidth="1"/>
    <x:col min="5" max="5" width="18" hidden="0" customWidth="1"/>
    <x:col min="6" max="6" width="18" hidden="0" customWidth="1"/>
    <x:col min="7" max="7" width="28" hidden="0" customWidth="1"/>
    <x:col min="8" max="8" width="18" hidden="0" customWidth="1"/>
  </x:cols>
  <x:sheetData>
    <x:row r="1">
      <x:c r="A1" s="166" t="str">
        <x:v>Owner Company ID</x:v>
      </x:c>
      <x:c r="B1" s="166" t="str">
        <x:v>Owner Name</x:v>
      </x:c>
      <x:c r="C1" s="166" t="str">
        <x:v>Individual Vessel Records</x:v>
      </x:c>
      <x:c r="D1" s="166" t="str">
        <x:v>With IMO</x:v>
      </x:c>
      <x:c r="E1" s="166" t="str">
        <x:v>Without IMO</x:v>
      </x:c>
      <x:c r="F1" s="166" t="str">
        <x:v>IMO Coverage %</x:v>
      </x:c>
      <x:c r="G1" s="166" t="str">
        <x:v>Coverage Status</x:v>
      </x:c>
      <x:c r="H1" s="166" t="str">
        <x:v>Verified As Of</x:v>
      </x:c>
      <x:c r="I1" s="165"/>
      <x:c r="J1" s="165"/>
      <x:c r="K1" s="165"/>
      <x:c r="L1" s="165"/>
      <x:c r="M1" s="165"/>
      <x:c r="N1" s="165"/>
      <x:c r="O1" s="165"/>
      <x:c r="P1" s="165"/>
      <x:c r="Q1" s="165"/>
      <x:c r="R1" s="165"/>
      <x:c r="S1" s="165"/>
      <x:c r="T1" s="165"/>
      <x:c r="U1" s="165"/>
      <x:c r="V1" s="165"/>
      <x:c r="W1" s="165"/>
      <x:c r="X1" s="165"/>
      <x:c r="Y1" s="165"/>
      <x:c r="Z1" s="165"/>
      <x:c r="AA1" s="165"/>
      <x:c r="AB1" s="165"/>
      <x:c r="AC1" s="165"/>
      <x:c r="AD1" s="165"/>
      <x:c r="AE1" s="165"/>
      <x:c r="AF1" s="165"/>
      <x:c r="AG1" s="165"/>
      <x:c r="AH1" s="165"/>
      <x:c r="AI1" s="165"/>
      <x:c r="AJ1" s="165"/>
      <x:c r="AK1" s="165"/>
      <x:c r="AL1" s="165"/>
      <x:c r="AM1" s="165"/>
      <x:c r="AN1" s="165"/>
      <x:c r="AO1" s="165"/>
      <x:c r="AP1" s="165"/>
      <x:c r="AQ1" s="165"/>
      <x:c r="AR1" s="165"/>
      <x:c r="AS1" s="165"/>
      <x:c r="AT1" s="165"/>
      <x:c r="AU1" s="165"/>
      <x:c r="AV1" s="165"/>
      <x:c r="AW1" s="165"/>
      <x:c r="AX1" s="165"/>
      <x:c r="AY1" s="165"/>
      <x:c r="AZ1" s="165"/>
    </x:row>
    <x:row r="2">
      <x:c r="A2" s="42" t="str">
        <x:v>COMP_ADNOC_LS</x:v>
      </x:c>
      <x:c r="B2" s="42" t="str">
        <x:v>ADNOC Logistics &amp; Services</x:v>
      </x:c>
      <x:c r="C2" s="42" t="n">
        <x:v>45</x:v>
      </x:c>
      <x:c r="D2" s="42" t="n">
        <x:v>36</x:v>
      </x:c>
      <x:c r="E2" s="42" t="n">
        <x:v>9</x:v>
      </x:c>
      <x:c r="F2" s="66" t="n">
        <x:v>0.8</x:v>
      </x:c>
      <x:c r="G2" s="42" t="str">
        <x:v>Partial</x:v>
      </x:c>
      <x:c r="H2" s="42" t="str">
        <x:v>2026-09-07</x:v>
      </x:c>
    </x:row>
    <x:row r="3">
      <x:c r="A3" s="42" t="str">
        <x:v>COMP_AW_SHIPPING</x:v>
      </x:c>
      <x:c r="B3" s="42" t="str">
        <x:v>AW Shipping</x:v>
      </x:c>
      <x:c r="C3" s="42" t="n">
        <x:v>19</x:v>
      </x:c>
      <x:c r="D3" s="42" t="n">
        <x:v>9</x:v>
      </x:c>
      <x:c r="E3" s="42" t="n">
        <x:v>10</x:v>
      </x:c>
      <x:c r="F3" s="66" t="n">
        <x:v>0.47368421052631576</x:v>
      </x:c>
      <x:c r="G3" s="42" t="str">
        <x:v>Partial</x:v>
      </x:c>
      <x:c r="H3" s="42" t="str">
        <x:v>2026-09-07</x:v>
      </x:c>
    </x:row>
    <x:row r="4">
      <x:c r="A4" s="42" t="str">
        <x:v>COMP_ALGOMA</x:v>
      </x:c>
      <x:c r="B4" s="42" t="str">
        <x:v>Algoma Central Corporation</x:v>
      </x:c>
      <x:c r="C4" s="42" t="n">
        <x:v>21</x:v>
      </x:c>
      <x:c r="D4" s="42" t="n">
        <x:v>21</x:v>
      </x:c>
      <x:c r="E4" s="42" t="n">
        <x:v>0</x:v>
      </x:c>
      <x:c r="F4" s="66" t="n">
        <x:v>1</x:v>
      </x:c>
      <x:c r="G4" s="42" t="str">
        <x:v>Complete</x:v>
      </x:c>
      <x:c r="H4" s="42" t="str">
        <x:v>2026-09-07</x:v>
      </x:c>
    </x:row>
    <x:row r="5">
      <x:c r="A5" s="42" t="str">
        <x:v>COMP_ASC</x:v>
      </x:c>
      <x:c r="B5" s="42" t="str">
        <x:v>American Steamship Company</x:v>
      </x:c>
      <x:c r="C5" s="42" t="n">
        <x:v>11</x:v>
      </x:c>
      <x:c r="D5" s="42" t="n">
        <x:v>11</x:v>
      </x:c>
      <x:c r="E5" s="42" t="n">
        <x:v>0</x:v>
      </x:c>
      <x:c r="F5" s="66" t="n">
        <x:v>1</x:v>
      </x:c>
      <x:c r="G5" s="42" t="str">
        <x:v>Complete</x:v>
      </x:c>
      <x:c r="H5" s="42" t="str">
        <x:v>2026-09-07</x:v>
      </x:c>
    </x:row>
    <x:row r="6">
      <x:c r="A6" s="42" t="str">
        <x:v>COMP_BYD</x:v>
      </x:c>
      <x:c r="B6" s="42" t="str">
        <x:v>BYD Company / BYD Auto</x:v>
      </x:c>
      <x:c r="C6" s="42" t="n">
        <x:v>6</x:v>
      </x:c>
      <x:c r="D6" s="42" t="n">
        <x:v>6</x:v>
      </x:c>
      <x:c r="E6" s="42" t="n">
        <x:v>0</x:v>
      </x:c>
      <x:c r="F6" s="66" t="n">
        <x:v>1</x:v>
      </x:c>
      <x:c r="G6" s="42" t="str">
        <x:v>Complete</x:v>
      </x:c>
      <x:c r="H6" s="42" t="str">
        <x:v>2026-09-07</x:v>
      </x:c>
    </x:row>
    <x:row r="7">
      <x:c r="A7" s="42" t="str">
        <x:v>COMP_CMA_CGM</x:v>
      </x:c>
      <x:c r="B7" s="42" t="str">
        <x:v>CMA CGM Group</x:v>
      </x:c>
      <x:c r="C7" s="42" t="n">
        <x:v>1</x:v>
      </x:c>
      <x:c r="D7" s="42" t="n">
        <x:v>1</x:v>
      </x:c>
      <x:c r="E7" s="42" t="n">
        <x:v>0</x:v>
      </x:c>
      <x:c r="F7" s="66" t="n">
        <x:v>1</x:v>
      </x:c>
      <x:c r="G7" s="42" t="str">
        <x:v>Complete</x:v>
      </x:c>
      <x:c r="H7" s="42" t="str">
        <x:v>2026-09-07</x:v>
      </x:c>
    </x:row>
    <x:row r="8">
      <x:c r="A8" s="42" t="str">
        <x:v>COMP_CSL_CANADA</x:v>
      </x:c>
      <x:c r="B8" s="42" t="str">
        <x:v>Canada Steamship Lines</x:v>
      </x:c>
      <x:c r="C8" s="42" t="n">
        <x:v>16</x:v>
      </x:c>
      <x:c r="D8" s="42" t="n">
        <x:v>16</x:v>
      </x:c>
      <x:c r="E8" s="42" t="n">
        <x:v>0</x:v>
      </x:c>
      <x:c r="F8" s="66" t="n">
        <x:v>1</x:v>
      </x:c>
      <x:c r="G8" s="42" t="str">
        <x:v>Complete</x:v>
      </x:c>
      <x:c r="H8" s="42" t="str">
        <x:v>2026-09-07</x:v>
      </x:c>
    </x:row>
    <x:row r="9">
      <x:c r="A9" s="42" t="str">
        <x:v>COMP_CHEVRON</x:v>
      </x:c>
      <x:c r="B9" s="42" t="str">
        <x:v>Chevron Corporation</x:v>
      </x:c>
      <x:c r="C9" s="42" t="n">
        <x:v>1</x:v>
      </x:c>
      <x:c r="D9" s="42" t="n">
        <x:v>1</x:v>
      </x:c>
      <x:c r="E9" s="42" t="n">
        <x:v>0</x:v>
      </x:c>
      <x:c r="F9" s="66" t="n">
        <x:v>1</x:v>
      </x:c>
      <x:c r="G9" s="42" t="str">
        <x:v>Complete</x:v>
      </x:c>
      <x:c r="H9" s="42" t="str">
        <x:v>2026-09-07</x:v>
      </x:c>
    </x:row>
    <x:row r="10">
      <x:c r="A10" s="42" t="str">
        <x:v>COMP_EUREKA_SHIPPING</x:v>
      </x:c>
      <x:c r="B10" s="42" t="str">
        <x:v>Eureka Shipping</x:v>
      </x:c>
      <x:c r="C10" s="42" t="n">
        <x:v>1</x:v>
      </x:c>
      <x:c r="D10" s="42" t="n">
        <x:v>1</x:v>
      </x:c>
      <x:c r="E10" s="42" t="n">
        <x:v>0</x:v>
      </x:c>
      <x:c r="F10" s="66" t="n">
        <x:v>1</x:v>
      </x:c>
      <x:c r="G10" s="42" t="str">
        <x:v>Complete</x:v>
      </x:c>
      <x:c r="H10" s="42" t="str">
        <x:v>2026-09-07</x:v>
      </x:c>
    </x:row>
    <x:row r="11">
      <x:c r="A11" s="42" t="str">
        <x:v>COMP_FUNDY_TANKERS</x:v>
      </x:c>
      <x:c r="B11" s="42" t="str">
        <x:v>Fundy Tankers Ltd.</x:v>
      </x:c>
      <x:c r="C11" s="42" t="n">
        <x:v>2</x:v>
      </x:c>
      <x:c r="D11" s="42" t="n">
        <x:v>2</x:v>
      </x:c>
      <x:c r="E11" s="42" t="n">
        <x:v>0</x:v>
      </x:c>
      <x:c r="F11" s="66" t="n">
        <x:v>1</x:v>
      </x:c>
      <x:c r="G11" s="42" t="str">
        <x:v>Complete</x:v>
      </x:c>
      <x:c r="H11" s="42" t="str">
        <x:v>2026-09-07</x:v>
      </x:c>
    </x:row>
    <x:row r="12">
      <x:c r="A12" s="42" t="str">
        <x:v>COMP_GFS</x:v>
      </x:c>
      <x:c r="B12" s="42" t="str">
        <x:v>Global Feeder Shipping</x:v>
      </x:c>
      <x:c r="C12" s="42" t="n">
        <x:v>1</x:v>
      </x:c>
      <x:c r="D12" s="42" t="n">
        <x:v>1</x:v>
      </x:c>
      <x:c r="E12" s="42" t="n">
        <x:v>0</x:v>
      </x:c>
      <x:c r="F12" s="66" t="n">
        <x:v>1</x:v>
      </x:c>
      <x:c r="G12" s="42" t="str">
        <x:v>Complete</x:v>
      </x:c>
      <x:c r="H12" s="42" t="str">
        <x:v>2026-09-07</x:v>
      </x:c>
    </x:row>
    <x:row r="13">
      <x:c r="A13" t="str">
        <x:v>COMP_GRN</x:v>
      </x:c>
      <x:c r="B13" t="str">
        <x:v>Grand River Navigation</x:v>
      </x:c>
      <x:c r="C13" t="n">
        <x:v>7</x:v>
      </x:c>
      <x:c r="D13" t="n">
        <x:v>5</x:v>
      </x:c>
      <x:c r="E13" t="n">
        <x:v>2</x:v>
      </x:c>
      <x:c r="F13" s="111" t="n">
        <x:v>0.7142857142857143</x:v>
      </x:c>
      <x:c r="G13" t="str">
        <x:v>Partial</x:v>
      </x:c>
      <x:c r="H13" t="str">
        <x:v>2026-09-07</x:v>
      </x:c>
    </x:row>
    <x:row r="14">
      <x:c r="A14" t="str">
        <x:v>COMP_GREAT_LAKES_FLEET</x:v>
      </x:c>
      <x:c r="B14" t="str">
        <x:v>Great Lakes Fleet</x:v>
      </x:c>
      <x:c r="C14" t="n">
        <x:v>9</x:v>
      </x:c>
      <x:c r="D14" t="n">
        <x:v>9</x:v>
      </x:c>
      <x:c r="E14" t="n">
        <x:v>0</x:v>
      </x:c>
      <x:c r="F14" s="111" t="n">
        <x:v>1</x:v>
      </x:c>
      <x:c r="G14" t="str">
        <x:v>Complete</x:v>
      </x:c>
      <x:c r="H14" t="str">
        <x:v>2026-09-07</x:v>
      </x:c>
    </x:row>
    <x:row r="15">
      <x:c r="A15" t="str">
        <x:v>COMP_LAKE_MICHIGAN_CARFERRY</x:v>
      </x:c>
      <x:c r="B15" t="str">
        <x:v>Lake Michigan Carferry</x:v>
      </x:c>
      <x:c r="C15" t="n">
        <x:v>1</x:v>
      </x:c>
      <x:c r="D15" t="n">
        <x:v>1</x:v>
      </x:c>
      <x:c r="E15" t="n">
        <x:v>0</x:v>
      </x:c>
      <x:c r="F15" s="111" t="n">
        <x:v>1</x:v>
      </x:c>
      <x:c r="G15" t="str">
        <x:v>Complete</x:v>
      </x:c>
      <x:c r="H15" t="str">
        <x:v>2026-09-07</x:v>
      </x:c>
    </x:row>
    <x:row r="16">
      <x:c r="A16" t="str">
        <x:v>COMP_LOWER_LAKES</x:v>
      </x:c>
      <x:c r="B16" t="str">
        <x:v>Lower Lakes Towing</x:v>
      </x:c>
      <x:c r="C16" t="n">
        <x:v>6</x:v>
      </x:c>
      <x:c r="D16" t="n">
        <x:v>6</x:v>
      </x:c>
      <x:c r="E16" t="n">
        <x:v>0</x:v>
      </x:c>
      <x:c r="F16" s="111" t="n">
        <x:v>1</x:v>
      </x:c>
      <x:c r="G16" t="str">
        <x:v>Complete</x:v>
      </x:c>
      <x:c r="H16" t="str">
        <x:v>2026-09-07</x:v>
      </x:c>
    </x:row>
    <x:row r="17">
      <x:c r="A17" t="str">
        <x:v>COMP_MCKEIL</x:v>
      </x:c>
      <x:c r="B17" t="str">
        <x:v>McKeil Marine</x:v>
      </x:c>
      <x:c r="C17" t="n">
        <x:v>1</x:v>
      </x:c>
      <x:c r="D17" t="n">
        <x:v>1</x:v>
      </x:c>
      <x:c r="E17" t="n">
        <x:v>0</x:v>
      </x:c>
      <x:c r="F17" s="111" t="n">
        <x:v>1</x:v>
      </x:c>
      <x:c r="G17" t="str">
        <x:v>Complete</x:v>
      </x:c>
      <x:c r="H17" t="str">
        <x:v>2026-09-07</x:v>
      </x:c>
    </x:row>
    <x:row r="18">
      <x:c r="A18" t="str">
        <x:v>COMP_NAVIG8</x:v>
      </x:c>
      <x:c r="B18" t="str">
        <x:v>Navig8</x:v>
      </x:c>
      <x:c r="C18" t="n">
        <x:v>29</x:v>
      </x:c>
      <x:c r="D18" t="n">
        <x:v>29</x:v>
      </x:c>
      <x:c r="E18" t="n">
        <x:v>0</x:v>
      </x:c>
      <x:c r="F18" s="111" t="n">
        <x:v>1</x:v>
      </x:c>
      <x:c r="G18" t="str">
        <x:v>Complete</x:v>
      </x:c>
      <x:c r="H18" t="str">
        <x:v>2026-09-07</x:v>
      </x:c>
    </x:row>
    <x:row r="19">
      <x:c r="A19" t="str">
        <x:v>COMP_PERFORMANCE_SHIPPING</x:v>
      </x:c>
      <x:c r="B19" t="str">
        <x:v>Performance Shipping Inc.</x:v>
      </x:c>
      <x:c r="C19" t="n">
        <x:v>1</x:v>
      </x:c>
      <x:c r="D19" t="n">
        <x:v>1</x:v>
      </x:c>
      <x:c r="E19" t="n">
        <x:v>0</x:v>
      </x:c>
      <x:c r="F19" s="111" t="n">
        <x:v>1</x:v>
      </x:c>
      <x:c r="G19" t="str">
        <x:v>Complete</x:v>
      </x:c>
      <x:c r="H19" t="str">
        <x:v>2026-09-07</x:v>
      </x:c>
    </x:row>
    <x:row r="20">
      <x:c r="A20" t="str">
        <x:v>COMP_SINOKOR</x:v>
      </x:c>
      <x:c r="B20" t="str">
        <x:v>SINOKOR Merchant Marine</x:v>
      </x:c>
      <x:c r="C20" t="n">
        <x:v>47</x:v>
      </x:c>
      <x:c r="D20" t="n">
        <x:v>47</x:v>
      </x:c>
      <x:c r="E20" t="n">
        <x:v>0</x:v>
      </x:c>
      <x:c r="F20" s="111" t="n">
        <x:v>1</x:v>
      </x:c>
      <x:c r="G20" t="str">
        <x:v>Complete</x:v>
      </x:c>
      <x:c r="H20" t="str">
        <x:v>2026-09-07</x:v>
      </x:c>
    </x:row>
    <x:row r="21">
      <x:c r="A21" t="str">
        <x:v>COMP_INTERLAKE</x:v>
      </x:c>
      <x:c r="B21" t="str">
        <x:v>The Interlake Steamship Company</x:v>
      </x:c>
      <x:c r="C21" t="n">
        <x:v>10</x:v>
      </x:c>
      <x:c r="D21" t="n">
        <x:v>10</x:v>
      </x:c>
      <x:c r="E21" t="n">
        <x:v>0</x:v>
      </x:c>
      <x:c r="F21" s="111" t="n">
        <x:v>1</x:v>
      </x:c>
      <x:c r="G21" t="str">
        <x:v>Complete</x:v>
      </x:c>
      <x:c r="H21" t="str">
        <x:v>2026-09-07</x:v>
      </x:c>
    </x:row>
    <x:row r="22">
      <x:c r="A22" t="str">
        <x:v>COMP_UGR</x:v>
      </x:c>
      <x:c r="B22" t="str">
        <x:v>United Global Ro-Ro</x:v>
      </x:c>
      <x:c r="C22" t="n">
        <x:v>14</x:v>
      </x:c>
      <x:c r="D22" t="n">
        <x:v>14</x:v>
      </x:c>
      <x:c r="E22" t="n">
        <x:v>0</x:v>
      </x:c>
      <x:c r="F22" s="111" t="n">
        <x:v>1</x:v>
      </x:c>
      <x:c r="G22" t="str">
        <x:v>Complete</x:v>
      </x:c>
      <x:c r="H22" t="str">
        <x:v>2026-09-07</x:v>
      </x:c>
    </x:row>
    <x:row r="23">
      <x:c r="A23" t="str">
        <x:v>COMP_ZODIAC</x:v>
      </x:c>
      <x:c r="B23" t="str">
        <x:v>Zodiac Maritime</x:v>
      </x:c>
      <x:c r="C23" t="n">
        <x:v>2</x:v>
      </x:c>
      <x:c r="D23" t="n">
        <x:v>2</x:v>
      </x:c>
      <x:c r="E23" t="n">
        <x:v>0</x:v>
      </x:c>
      <x:c r="F23" s="111" t="n">
        <x:v>1</x:v>
      </x:c>
      <x:c r="G23" t="str">
        <x:v>Complete</x:v>
      </x:c>
      <x:c r="H23" t="str">
        <x:v>2026-09-07</x:v>
      </x:c>
    </x:row>
  </x:sheetData>
  <x:conditionalFormatting sqref="F2:F12">
    <x:cfRule type="dataBar" priority="1">
      <x:dataBar>
        <x:cfvo type="min"/>
        <x:cfvo type="max"/>
        <x:color rgb="FFA02B93"/>
      </x:dataBar>
      <x:extLst>
        <x:ext xmlns:x14="http://schemas.microsoft.com/office/spreadsheetml/2009/9/main" uri="{B025F937-C7B1-47D3-B67F-A62EFF666E3E}">
          <x14:id>{1D4BF57A-294A-E607-A500-665905B7669B}</x14:id>
        </x:ext>
      </x:extLst>
    </x:cfRule>
  </x:conditionalFormatting>
  <x:pageMargins left="0.7" right="0.7" top="0.75" bottom="0.75" header="0.3" footer="0.3"/>
  <x:tableParts count="1">
    <x:tablePart xmlns:r="http://schemas.openxmlformats.org/officeDocument/2006/relationships" r:id="R04e0db99fed94d4e"/>
  </x:tableParts>
  <x:extLst>
    <x:ext xmlns:x14="http://schemas.microsoft.com/office/spreadsheetml/2009/9/main" xmlns:xm="http://schemas.microsoft.com/office/excel/2006/main" uri="{78C0D931-6437-407d-A8EE-F0AAD7539E65}">
      <x14:conditionalFormattings>
        <x14:conditionalFormatting>
          <x14:cfRule type="dataBar" priority="1" id="{1D4BF57A-294A-E607-A500-665905B7669B}">
            <x14:dataBar gradient="1">
              <x14:cfvo type="min"/>
              <x14:cfvo type="max"/>
              <x14:fillColor rgb="FFA02B93"/>
            </x14:dataBar>
          </x14:cfRule>
          <xm:sqref>F2:F12</xm:sqref>
        </x14:conditionalFormatting>
      </x14:conditionalFormattings>
    </x:ext>
  </x:extLst>
</x:worksheet>
</file>

<file path=xl/worksheets/sheet36.xml><?xml version="1.0" encoding="utf-8"?>
<x:worksheet xmlns:x="http://schemas.openxmlformats.org/spreadsheetml/2006/main">
  <x:sheetFormatPr defaultRowHeight="15"/>
  <x:cols>
    <x:col min="1" max="1" width="28" hidden="0" customWidth="1"/>
    <x:col min="2" max="2"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88" t="str">
        <x:v>P&amp;C Trade System Intelligence — IMO Enrichment v1.3</x:v>
      </x:c>
      <x:c r="B1" s="88"/>
      <x:c r="C1" s="88"/>
      <x:c r="D1" s="88"/>
      <x:c r="E1" s="88"/>
      <x:c r="F1" s="88"/>
      <x:c r="G1" s="88"/>
      <x:c r="H1" s="88"/>
    </x:row>
    <x:row r="2">
      <x:c r="A2" s="91" t="str">
        <x:v>IMO numbers are now treated as the primary vessel identity key for incident, sanctions, ownership, charter and fleet joins. Newbuild hull placeholders remain blank until a public IMO can be confidently resolved.</x:v>
      </x:c>
      <x:c r="B2" s="91"/>
      <x:c r="C2" s="91"/>
      <x:c r="D2" s="91"/>
      <x:c r="E2" s="91"/>
      <x:c r="F2" s="91"/>
      <x:c r="G2" s="91"/>
      <x:c r="H2" s="91"/>
    </x:row>
    <x:row r="4">
      <x:c r="A4" s="93" t="str">
        <x:v>Metric</x:v>
      </x:c>
      <x:c r="B4" s="93" t="str">
        <x:v>Value</x:v>
      </x:c>
      <x:c r="D4" s="93" t="str">
        <x:v>Integrity rule</x:v>
      </x:c>
      <x:c r="E4" s="93"/>
      <x:c r="F4" s="93"/>
      <x:c r="G4" s="93"/>
      <x:c r="H4" s="93"/>
    </x:row>
    <x:row r="5">
      <x:c r="A5" s="95" t="str">
        <x:v>Individual vessel records</x:v>
      </x:c>
      <x:c r="B5" s="95" t="n">
        <x:v>168</x:v>
      </x:c>
      <x:c r="D5" s="100" t="str">
        <x:v>Do not assign an IMO to an unnamed or unresolved hull simply because a likely order or sister ship exists. IMO enrichment is identity work: every populated IMO passed the IMO checksum, and unresolved newbuilds remain explicitly pending.</x:v>
      </x:c>
      <x:c r="E5" s="100"/>
      <x:c r="F5" s="100"/>
      <x:c r="G5" s="100"/>
      <x:c r="H5" s="100"/>
    </x:row>
    <x:row r="6">
      <x:c r="A6" s="95" t="str">
        <x:v>IMO populated</x:v>
      </x:c>
      <x:c r="B6" s="95" t="n">
        <x:v>149</x:v>
      </x:c>
      <x:c r="D6" s="100"/>
      <x:c r="E6" s="100"/>
      <x:c r="F6" s="100"/>
      <x:c r="G6" s="100"/>
      <x:c r="H6" s="100"/>
    </x:row>
    <x:row r="7">
      <x:c r="A7" s="95" t="str">
        <x:v>IMO unresolved</x:v>
      </x:c>
      <x:c r="B7" s="95" t="n">
        <x:v>19</x:v>
      </x:c>
      <x:c r="D7" s="100"/>
      <x:c r="E7" s="100"/>
      <x:c r="F7" s="100"/>
      <x:c r="G7" s="100"/>
      <x:c r="H7" s="100"/>
    </x:row>
    <x:row r="8">
      <x:c r="A8" s="95" t="str">
        <x:v>IMO coverage</x:v>
      </x:c>
      <x:c r="B8" s="96" t="n">
        <x:v>0.8869047619047619</x:v>
      </x:c>
      <x:c r="D8" s="100"/>
      <x:c r="E8" s="100"/>
      <x:c r="F8" s="100"/>
      <x:c r="G8" s="100"/>
      <x:c r="H8" s="100"/>
    </x:row>
    <x:row r="9">
      <x:c r="A9" s="95" t="str">
        <x:v>IMO numbers added in v1.3</x:v>
      </x:c>
      <x:c r="B9" s="95" t="n">
        <x:v>141</x:v>
      </x:c>
      <x:c r="D9" s="100"/>
      <x:c r="E9" s="100"/>
      <x:c r="F9" s="100"/>
      <x:c r="G9" s="100"/>
      <x:c r="H9" s="100"/>
    </x:row>
    <x:row r="10">
      <x:c r="A10" s="95" t="str">
        <x:v>Checksum failures</x:v>
      </x:c>
      <x:c r="B10" s="95" t="n">
        <x:v>0</x:v>
      </x:c>
      <x:c r="D10" s="100"/>
      <x:c r="E10" s="100"/>
      <x:c r="F10" s="100"/>
      <x:c r="G10" s="100"/>
      <x:c r="H10" s="100"/>
    </x:row>
  </x:sheetData>
  <x:mergeCells>
    <x:mergeCell ref="A1:H1"/>
    <x:mergeCell ref="A2:H2"/>
    <x:mergeCell ref="D4:H4"/>
    <x:mergeCell ref="D5:H10"/>
  </x:mergeCells>
  <x:pageMargins left="0.7" right="0.7" top="0.75" bottom="0.75" header="0.3" footer="0.3"/>
</x:worksheet>
</file>

<file path=xl/worksheets/sheet37.xml><?xml version="1.0" encoding="utf-8"?>
<x:worksheet xmlns:x="http://schemas.openxmlformats.org/spreadsheetml/2006/main">
  <x:sheetFormatPr defaultRowHeight="15"/>
  <x:cols>
    <x:col min="1" max="1" width="10" hidden="0" customWidth="1"/>
    <x:col min="2" max="2" width="20" hidden="0" customWidth="1"/>
    <x:col min="3" max="3" width="28" hidden="0" customWidth="1"/>
    <x:col min="4" max="4" width="26" hidden="0" customWidth="1"/>
    <x:col min="5" max="5" width="20" hidden="0" customWidth="1"/>
    <x:col min="6" max="6" width="16" hidden="0" customWidth="1"/>
    <x:col min="7" max="7" width="34" hidden="0" customWidth="1"/>
    <x:col min="8" max="8" width="38" hidden="0" customWidth="1"/>
    <x:col min="9" max="9" width="44" hidden="0" customWidth="1"/>
    <x:col min="10" max="10" width="14" hidden="0" customWidth="1"/>
    <x:col min="11" max="11" width="27" hidden="0" customWidth="1"/>
    <x:col min="12" max="12" width="13" hidden="0" customWidth="1"/>
    <x:col min="13" max="13" width="36" hidden="0" customWidth="1"/>
  </x:cols>
  <x:sheetData>
    <x:row r="1" ht="28" customHeight="1">
      <x:c r="A1" s="116" t="str">
        <x:v>Fleet Research Universe — v1.8</x:v>
      </x:c>
      <x:c r="B1" s="116"/>
      <x:c r="C1" s="116"/>
      <x:c r="D1" s="116"/>
      <x:c r="E1" s="116"/>
      <x:c r="F1" s="116"/>
      <x:c r="G1" s="116"/>
      <x:c r="H1" s="116"/>
      <x:c r="I1" s="116"/>
      <x:c r="J1" s="116"/>
      <x:c r="K1" s="116"/>
      <x:c r="L1" s="116"/>
      <x:c r="M1" s="116"/>
    </x:row>
    <x:row r="2">
      <x:c r="A2" s="120" t="str">
        <x:v>Universe Companies</x:v>
      </x:c>
      <x:c r="B2" s="120"/>
      <x:c r="C2" s="120" t="str">
        <x:v>Canonical Companies</x:v>
      </x:c>
      <x:c r="D2" s="120"/>
      <x:c r="E2" s="120" t="str">
        <x:v>Canonical Vessels</x:v>
      </x:c>
      <x:c r="F2" s="120"/>
      <x:c r="G2" s="120" t="str">
        <x:v>GFS Managed Seed</x:v>
      </x:c>
      <x:c r="H2" s="120"/>
      <x:c r="J2" s="120" t="str">
        <x:v>CMA CGM commercial snapshot</x:v>
      </x:c>
      <x:c r="K2" s="120" t="str">
        <x:v>GFS commercial snapshot</x:v>
      </x:c>
      <x:c r="L2" s="120" t="str">
        <x:v>AD Ports ownership of GFS</x:v>
      </x:c>
      <x:c r="M2" s="120" t="str">
        <x:v>Verified</x:v>
      </x:c>
    </x:row>
    <x:row r="3">
      <x:c r="A3" s="122" t="n">
        <x:v>87</x:v>
      </x:c>
      <x:c r="B3" s="122"/>
      <x:c r="C3" s="122" t="n">
        <x:v>61</x:v>
      </x:c>
      <x:c r="D3" s="122"/>
      <x:c r="E3" s="122" t="n">
        <x:v>358</x:v>
      </x:c>
      <x:c r="F3" s="122" t="n">
        <x:v>273</x:v>
      </x:c>
      <x:c r="G3" s="122" t="n">
        <x:f>COUNTIF(Vessels!AA2:AA1000,"GFS Ship Management FZE")</x:f>
        <x:v>16</x:v>
      </x:c>
      <x:c r="H3" s="122"/>
      <x:c r="J3" s="124" t="n">
        <x:v>844</x:v>
      </x:c>
      <x:c r="K3" s="124" t="n">
        <x:v>36</x:v>
      </x:c>
      <x:c r="L3" s="124" t="str">
        <x:v>81%</x:v>
      </x:c>
      <x:c r="M3" s="124" t="str">
        <x:v>2026-09-07</x:v>
      </x:c>
    </x:row>
    <x:row r="5" ht="42" customHeight="1">
      <x:c r="A5" s="128" t="str">
        <x:v>Data rule: IMO is the vessel key. Keep registered owner, beneficial owner, commercial operator, technical/ISM manager and charterer as separate relationships. Do not merge Global Feeder Shipping LLC with GFS Ship Management FZE until the legal corporate relationship is verified.</x:v>
      </x:c>
      <x:c r="B5" s="128"/>
      <x:c r="C5" s="128"/>
      <x:c r="D5" s="128"/>
      <x:c r="E5" s="128"/>
      <x:c r="F5" s="128"/>
      <x:c r="G5" s="128"/>
      <x:c r="H5" s="128"/>
      <x:c r="I5" s="128"/>
      <x:c r="J5" s="128"/>
      <x:c r="K5" s="128"/>
      <x:c r="L5" s="128"/>
      <x:c r="M5" s="128"/>
    </x:row>
    <x:row r="7">
      <x:c r="A7" s="107" t="str">
        <x:v>Priority</x:v>
      </x:c>
      <x:c r="B7" s="107" t="str">
        <x:v>Segment</x:v>
      </x:c>
      <x:c r="C7" s="107" t="str">
        <x:v>Company / Brand</x:v>
      </x:c>
      <x:c r="D7" s="107" t="str">
        <x:v>Parent / Strategic Link</x:v>
      </x:c>
      <x:c r="E7" s="107" t="str">
        <x:v>Company ID</x:v>
      </x:c>
      <x:c r="F7" s="107" t="str">
        <x:v>Canonical Status</x:v>
      </x:c>
      <x:c r="G7" s="107" t="str">
        <x:v>Fleet Scope to Capture</x:v>
      </x:c>
      <x:c r="H7" s="107" t="str">
        <x:v>Why Included</x:v>
      </x:c>
      <x:c r="I7" s="107" t="str">
        <x:v>Primary Seed Source</x:v>
      </x:c>
      <x:c r="J7" s="107" t="str">
        <x:v>Research Status</x:v>
      </x:c>
      <x:c r="K7" s="107" t="str">
        <x:v>Known Fleet Snapshot</x:v>
      </x:c>
      <x:c r="L7" s="107" t="str">
        <x:v>Last Verified</x:v>
      </x:c>
      <x:c r="M7" s="107" t="str">
        <x:v>Notes</x:v>
      </x:c>
    </x:row>
    <x:row r="8">
      <x:c r="A8" s="102" t="str">
        <x:v>Tier 1</x:v>
      </x:c>
      <x:c r="B8" s="102" t="str">
        <x:v>Container / liner</x:v>
      </x:c>
      <x:c r="C8" s="102" t="str">
        <x:v>CMA CGM Group</x:v>
      </x:c>
      <x:c r="D8" s="102" t="str">
        <x:v>CMA CGM Group</x:v>
      </x:c>
      <x:c r="E8" s="102" t="str">
        <x:v>COMP_CMA_CGM</x:v>
      </x:c>
      <x:c r="F8" s="102" t="str">
        <x:v>Canonical</x:v>
      </x:c>
      <x:c r="G8" s="102" t="str">
        <x:v>Owned + chartered + commercially operated container fleet</x:v>
      </x:c>
      <x:c r="H8" s="102" t="str">
        <x:v>Global top-tier liner; major Khalifa Port / UAE exposure</x:v>
      </x:c>
      <x:c r="I8" s="102" t="str">
        <x:v>https://www.linescape.com/carriers/3/</x:v>
      </x:c>
      <x:c r="J8" s="102" t="str">
        <x:v>In progress</x:v>
      </x:c>
      <x:c r="K8" s="102" t="str">
        <x:v>844 commercially scheduled vessels</x:v>
      </x:c>
      <x:c r="L8" s="102" t="str">
        <x:v>2026-09-07</x:v>
      </x:c>
      <x:c r="M8" s="102" t="str">
        <x:v>Keep commercial fleet separate from 400-owned-vessel milestone.</x:v>
      </x:c>
    </x:row>
    <x:row r="9">
      <x:c r="A9" s="102" t="str">
        <x:v>Tier 1</x:v>
      </x:c>
      <x:c r="B9" s="102" t="str">
        <x:v>Container / liner</x:v>
      </x:c>
      <x:c r="C9" s="102" t="str">
        <x:v>MSC</x:v>
      </x:c>
      <x:c r="D9" s="102" t="str">
        <x:v>MSC Group</x:v>
      </x:c>
      <x:c r="E9" s="102" t="str">
        <x:v>COMP_MSC</x:v>
      </x:c>
      <x:c r="F9" s="102" t="str">
        <x:v>Canonical</x:v>
      </x:c>
      <x:c r="G9" s="102" t="str">
        <x:v>Cargo fleet; owned/chartered split</x:v>
      </x:c>
      <x:c r="H9" s="102" t="str">
        <x:v>Largest-scale global container network; Khalifa Port JV exposure</x:v>
      </x:c>
      <x:c r="I9" s="102" t="str">
        <x:v>https://www.linescape.com/carriers/</x:v>
      </x:c>
      <x:c r="J9" s="102" t="str">
        <x:v>Queued</x:v>
      </x:c>
      <x:c r="K9" s="102" t="str">
        <x:v>~1,000 cargo vessels in current company baseline</x:v>
      </x:c>
      <x:c r="L9" s="102" t="str">
        <x:v>2026-09-07</x:v>
      </x:c>
      <x:c r="M9" s="102"/>
    </x:row>
    <x:row r="10">
      <x:c r="A10" s="102" t="str">
        <x:v>Tier 1</x:v>
      </x:c>
      <x:c r="B10" s="102" t="str">
        <x:v>Container / liner</x:v>
      </x:c>
      <x:c r="C10" s="102" t="str">
        <x:v>Maersk</x:v>
      </x:c>
      <x:c r="D10" s="102" t="str">
        <x:v>A.P. Moller - Maersk</x:v>
      </x:c>
      <x:c r="E10" s="102" t="str">
        <x:v>COMP_MAERSK</x:v>
      </x:c>
      <x:c r="F10" s="102" t="str">
        <x:v>Canonical</x:v>
      </x:c>
      <x:c r="G10" s="102" t="str">
        <x:v>Owned + chartered container fleet</x:v>
      </x:c>
      <x:c r="H10" s="102" t="str">
        <x:v>Global liner / terminals / air-logistics ecosystem</x:v>
      </x:c>
      <x:c r="I10" s="102" t="str">
        <x:v>https://www.linescape.com/carriers/</x:v>
      </x:c>
      <x:c r="J10" s="102" t="str">
        <x:v>Queued</x:v>
      </x:c>
      <x:c r="K10" s="102"/>
      <x:c r="L10" s="102" t="str">
        <x:v>2026-09-07</x:v>
      </x:c>
      <x:c r="M10" s="102"/>
    </x:row>
    <x:row r="11">
      <x:c r="A11" s="102" t="str">
        <x:v>Tier 1</x:v>
      </x:c>
      <x:c r="B11" s="102" t="str">
        <x:v>Container / liner</x:v>
      </x:c>
      <x:c r="C11" s="102" t="str">
        <x:v>COSCO SHIPPING Lines</x:v>
      </x:c>
      <x:c r="D11" s="102" t="str">
        <x:v>COSCO SHIPPING Group</x:v>
      </x:c>
      <x:c r="E11" s="102" t="str">
        <x:v>COMP_COSCO_LINES</x:v>
      </x:c>
      <x:c r="F11" s="102" t="str">
        <x:v>Canonical</x:v>
      </x:c>
      <x:c r="G11" s="102" t="str">
        <x:v>Container fleet + OOCL group mapping</x:v>
      </x:c>
      <x:c r="H11" s="102" t="str">
        <x:v>China-linked global fleet; terminal ownership and corridor exposure</x:v>
      </x:c>
      <x:c r="I11" s="102" t="str">
        <x:v>https://www.linescape.com/carriers/</x:v>
      </x:c>
      <x:c r="J11" s="102" t="str">
        <x:v>Queued</x:v>
      </x:c>
      <x:c r="K11" s="102" t="str">
        <x:v>456 container vessels baseline</x:v>
      </x:c>
      <x:c r="L11" s="102" t="str">
        <x:v>2026-09-07</x:v>
      </x:c>
      <x:c r="M11" s="102"/>
    </x:row>
    <x:row r="12">
      <x:c r="A12" s="102" t="str">
        <x:v>Tier 1</x:v>
      </x:c>
      <x:c r="B12" s="102" t="str">
        <x:v>Container / liner</x:v>
      </x:c>
      <x:c r="C12" s="102" t="str">
        <x:v>Evergreen Marine</x:v>
      </x:c>
      <x:c r="D12" s="102"/>
      <x:c r="E12" s="102" t="str">
        <x:v>COMP_EVERGREEN</x:v>
      </x:c>
      <x:c r="F12" s="102" t="str">
        <x:v>Canonical</x:v>
      </x:c>
      <x:c r="G12" s="102" t="str">
        <x:v>Current operating fleet</x:v>
      </x:c>
      <x:c r="H12" s="102" t="str">
        <x:v>Major East-West liner</x:v>
      </x:c>
      <x:c r="I12" s="102" t="str">
        <x:v>https://www.linescape.com/carriers/</x:v>
      </x:c>
      <x:c r="J12" s="102" t="str">
        <x:v>Queued</x:v>
      </x:c>
      <x:c r="K12" s="102" t="str">
        <x:v>208-vessel 2023 baseline requires refresh</x:v>
      </x:c>
      <x:c r="L12" s="102" t="str">
        <x:v>2026-09-07</x:v>
      </x:c>
      <x:c r="M12" s="102"/>
    </x:row>
    <x:row r="13">
      <x:c r="A13" s="102" t="str">
        <x:v>Tier 1</x:v>
      </x:c>
      <x:c r="B13" s="102" t="str">
        <x:v>Container / liner</x:v>
      </x:c>
      <x:c r="C13" s="102" t="str">
        <x:v>Hapag-Lloyd</x:v>
      </x:c>
      <x:c r="D13" s="102"/>
      <x:c r="E13" s="102" t="str">
        <x:v>COMP_HAPAG_LLOYD</x:v>
      </x:c>
      <x:c r="F13" s="102" t="str">
        <x:v>Canonical</x:v>
      </x:c>
      <x:c r="G13" s="102" t="str">
        <x:v>Owned + chartered container fleet</x:v>
      </x:c>
      <x:c r="H13" s="102" t="str">
        <x:v>Top-tier liner; alliance/service exposure</x:v>
      </x:c>
      <x:c r="I13" s="102" t="str">
        <x:v>https://www.linescape.com/carriers/</x:v>
      </x:c>
      <x:c r="J13" s="102" t="str">
        <x:v>Queued</x:v>
      </x:c>
      <x:c r="K13" s="102"/>
      <x:c r="L13" s="102" t="str">
        <x:v>2026-09-07</x:v>
      </x:c>
      <x:c r="M13" s="102"/>
    </x:row>
    <x:row r="14">
      <x:c r="A14" s="102" t="str">
        <x:v>Tier 1</x:v>
      </x:c>
      <x:c r="B14" s="102" t="str">
        <x:v>Container / liner</x:v>
      </x:c>
      <x:c r="C14" s="102" t="str">
        <x:v>Ocean Network Express (ONE)</x:v>
      </x:c>
      <x:c r="D14" s="102" t="str">
        <x:v>NYK / MOL / K Line JV</x:v>
      </x:c>
      <x:c r="E14" s="102" t="str">
        <x:v>COMP_ONE</x:v>
      </x:c>
      <x:c r="F14" s="102" t="str">
        <x:v>Canonical</x:v>
      </x:c>
      <x:c r="G14" s="102" t="str">
        <x:v>Commercially operated container fleet</x:v>
      </x:c>
      <x:c r="H14" s="102" t="str">
        <x:v>Top-tier liner and partner-service exposure</x:v>
      </x:c>
      <x:c r="I14" s="102" t="str">
        <x:v>https://www.linescape.com/carriers/</x:v>
      </x:c>
      <x:c r="J14" s="102" t="str">
        <x:v>Queued</x:v>
      </x:c>
      <x:c r="K14" s="102"/>
      <x:c r="L14" s="102" t="str">
        <x:v>2026-09-07</x:v>
      </x:c>
      <x:c r="M14" s="102"/>
    </x:row>
    <x:row r="15">
      <x:c r="A15" s="102" t="str">
        <x:v>Tier 1</x:v>
      </x:c>
      <x:c r="B15" s="102" t="str">
        <x:v>Container / liner</x:v>
      </x:c>
      <x:c r="C15" s="102" t="str">
        <x:v>Yang Ming</x:v>
      </x:c>
      <x:c r="D15" s="102"/>
      <x:c r="E15" s="102" t="str">
        <x:v>COMP_YANG_MING</x:v>
      </x:c>
      <x:c r="F15" s="102" t="str">
        <x:v>Canonical</x:v>
      </x:c>
      <x:c r="G15" s="102" t="str">
        <x:v>Commercially operated container fleet</x:v>
      </x:c>
      <x:c r="H15" s="102" t="str">
        <x:v>Top-tier liner / Asia-Europe and transpacific exposure</x:v>
      </x:c>
      <x:c r="I15" s="102" t="str">
        <x:v>https://www.linescape.com/carriers/</x:v>
      </x:c>
      <x:c r="J15" s="102" t="str">
        <x:v>Queued</x:v>
      </x:c>
      <x:c r="K15" s="102"/>
      <x:c r="L15" s="102" t="str">
        <x:v>2026-09-07</x:v>
      </x:c>
      <x:c r="M15" s="102"/>
    </x:row>
    <x:row r="16">
      <x:c r="A16" s="102" t="str">
        <x:v>Tier 1</x:v>
      </x:c>
      <x:c r="B16" s="102" t="str">
        <x:v>Container / liner</x:v>
      </x:c>
      <x:c r="C16" s="102" t="str">
        <x:v>HMM</x:v>
      </x:c>
      <x:c r="D16" s="102"/>
      <x:c r="E16" s="102" t="str">
        <x:v>COMP_HMM</x:v>
      </x:c>
      <x:c r="F16" s="102" t="str">
        <x:v>Canonical</x:v>
      </x:c>
      <x:c r="G16" s="102" t="str">
        <x:v>Commercially operated container fleet</x:v>
      </x:c>
      <x:c r="H16" s="102" t="str">
        <x:v>Korean top-tier liner; shipyard/orderbook relevance</x:v>
      </x:c>
      <x:c r="I16" s="102" t="str">
        <x:v>https://www.linescape.com/carriers/</x:v>
      </x:c>
      <x:c r="J16" s="102" t="str">
        <x:v>Queued</x:v>
      </x:c>
      <x:c r="K16" s="102"/>
      <x:c r="L16" s="102" t="str">
        <x:v>2026-09-07</x:v>
      </x:c>
      <x:c r="M16" s="102"/>
    </x:row>
    <x:row r="17">
      <x:c r="A17" s="102" t="str">
        <x:v>Tier 1</x:v>
      </x:c>
      <x:c r="B17" s="102" t="str">
        <x:v>Container / liner</x:v>
      </x:c>
      <x:c r="C17" s="102" t="str">
        <x:v>PIL</x:v>
      </x:c>
      <x:c r="D17" s="102"/>
      <x:c r="E17" s="102" t="str">
        <x:v>COMP_PIL</x:v>
      </x:c>
      <x:c r="F17" s="102" t="str">
        <x:v>Canonical</x:v>
      </x:c>
      <x:c r="G17" s="102" t="str">
        <x:v>Commercially operated container fleet</x:v>
      </x:c>
      <x:c r="H17" s="102" t="str">
        <x:v>Strong Asia-Africa / regional corridor relevance</x:v>
      </x:c>
      <x:c r="I17" s="102" t="str">
        <x:v>https://www.linescape.com/carriers/</x:v>
      </x:c>
      <x:c r="J17" s="102" t="str">
        <x:v>Queued</x:v>
      </x:c>
      <x:c r="K17" s="102"/>
      <x:c r="L17" s="102" t="str">
        <x:v>2026-09-07</x:v>
      </x:c>
      <x:c r="M17" s="102"/>
    </x:row>
    <x:row r="18">
      <x:c r="A18" s="102" t="str">
        <x:v>Tier 1</x:v>
      </x:c>
      <x:c r="B18" s="102" t="str">
        <x:v>Container / liner</x:v>
      </x:c>
      <x:c r="C18" s="102" t="str">
        <x:v>Wan Hai Lines</x:v>
      </x:c>
      <x:c r="D18" s="102"/>
      <x:c r="E18" s="102" t="str">
        <x:v>COMP_WAN_HAI</x:v>
      </x:c>
      <x:c r="F18" s="102" t="str">
        <x:v>Canonical</x:v>
      </x:c>
      <x:c r="G18" s="102" t="str">
        <x:v>Commercially operated container fleet</x:v>
      </x:c>
      <x:c r="H18" s="102" t="str">
        <x:v>Major intra-Asia and global operator</x:v>
      </x:c>
      <x:c r="I18" s="102" t="str">
        <x:v>https://www.linescape.com/carriers/</x:v>
      </x:c>
      <x:c r="J18" s="102" t="str">
        <x:v>Queued</x:v>
      </x:c>
      <x:c r="K18" s="102"/>
      <x:c r="L18" s="102" t="str">
        <x:v>2026-09-07</x:v>
      </x:c>
      <x:c r="M18" s="102"/>
    </x:row>
    <x:row r="19">
      <x:c r="A19" s="102" t="str">
        <x:v>Tier 1</x:v>
      </x:c>
      <x:c r="B19" s="102" t="str">
        <x:v>Container / liner</x:v>
      </x:c>
      <x:c r="C19" s="102" t="str">
        <x:v>ZIM</x:v>
      </x:c>
      <x:c r="D19" s="102"/>
      <x:c r="E19" s="102" t="str">
        <x:v>COMP_ZIM</x:v>
      </x:c>
      <x:c r="F19" s="102" t="str">
        <x:v>Canonical</x:v>
      </x:c>
      <x:c r="G19" s="102" t="str">
        <x:v>Containerships + car carriers; charter counterparties</x:v>
      </x:c>
      <x:c r="H19" s="102" t="str">
        <x:v>High charter intensity makes owner/operator separation useful</x:v>
      </x:c>
      <x:c r="I19" s="102" t="str">
        <x:v>https://www.linescape.com/carriers/</x:v>
      </x:c>
      <x:c r="J19" s="102" t="str">
        <x:v>Queued</x:v>
      </x:c>
      <x:c r="K19" s="102" t="str">
        <x:v>115 containerships + 13 car carriers</x:v>
      </x:c>
      <x:c r="L19" s="102" t="str">
        <x:v>2026-09-07</x:v>
      </x:c>
      <x:c r="M19" s="102"/>
    </x:row>
    <x:row r="20">
      <x:c r="A20" s="102" t="str">
        <x:v>Tier 1</x:v>
      </x:c>
      <x:c r="B20" s="102" t="str">
        <x:v>Container / liner</x:v>
      </x:c>
      <x:c r="C20" s="102" t="str">
        <x:v>SINOKOR Merchant Marine</x:v>
      </x:c>
      <x:c r="D20" s="102"/>
      <x:c r="E20" s="102" t="str">
        <x:v>COMP_SINOKOR</x:v>
      </x:c>
      <x:c r="F20" s="102" t="str">
        <x:v>Canonical</x:v>
      </x:c>
      <x:c r="G20" s="102" t="str">
        <x:v>Container / bulk operating fleet</x:v>
      </x:c>
      <x:c r="H20" s="102" t="str">
        <x:v>Korean regional operator; already partially seeded</x:v>
      </x:c>
      <x:c r="I20" s="102" t="str">
        <x:v>https://www.sinokor.co.kr/en/</x:v>
      </x:c>
      <x:c r="J20" s="102" t="str">
        <x:v>In progress</x:v>
      </x:c>
      <x:c r="K20" s="102" t="str">
        <x:v>66 operating-vessel headline plus separate 93-VLCC control benchmark</x:v>
      </x:c>
      <x:c r="L20" s="102" t="str">
        <x:v>2026-09-07</x:v>
      </x:c>
      <x:c r="M20" s="102" t="str">
        <x:v>Reconcile whether 93-VLCC benchmark reflects SINOKOR operating company, related beneficial owners, controlled tonnage or post-acquisition group exposure.</x:v>
      </x:c>
    </x:row>
    <x:row r="21">
      <x:c r="A21" s="102" t="str">
        <x:v>Tier 1</x:v>
      </x:c>
      <x:c r="B21" s="102" t="str">
        <x:v>Container / liner</x:v>
      </x:c>
      <x:c r="C21" s="102" t="str">
        <x:v>Emirates Shipping Line</x:v>
      </x:c>
      <x:c r="D21" s="102"/>
      <x:c r="E21" s="102" t="str">
        <x:v>COMP_ESL</x:v>
      </x:c>
      <x:c r="F21" s="102" t="str">
        <x:v>Canonical</x:v>
      </x:c>
      <x:c r="G21" s="102" t="str">
        <x:v>Container fleet and Gulf services</x:v>
      </x:c>
      <x:c r="H21" s="102" t="str">
        <x:v>Direct Gulf / UAE relevance</x:v>
      </x:c>
      <x:c r="I21" s="102" t="str">
        <x:v>https://www.linescape.com/carriers/</x:v>
      </x:c>
      <x:c r="J21" s="102" t="str">
        <x:v>Queued</x:v>
      </x:c>
      <x:c r="K21" s="102"/>
      <x:c r="L21" s="102" t="str">
        <x:v>2026-09-07</x:v>
      </x:c>
      <x:c r="M21" s="102"/>
    </x:row>
    <x:row r="22">
      <x:c r="A22" s="102" t="str">
        <x:v>Tier 1</x:v>
      </x:c>
      <x:c r="B22" s="102" t="str">
        <x:v>Container / liner</x:v>
      </x:c>
      <x:c r="C22" s="102" t="str">
        <x:v>SeaLead Shipping</x:v>
      </x:c>
      <x:c r="D22" s="102"/>
      <x:c r="E22" s="102" t="str">
        <x:v>COMP_SEALEAD</x:v>
      </x:c>
      <x:c r="F22" s="102" t="str">
        <x:v>Canonical</x:v>
      </x:c>
      <x:c r="G22" s="102" t="str">
        <x:v>Commercially operated container fleet</x:v>
      </x:c>
      <x:c r="H22" s="102" t="str">
        <x:v>Fast-growing independent operator and charter-market exposure</x:v>
      </x:c>
      <x:c r="I22" s="102" t="str">
        <x:v>https://www.linescape.com/carriers/</x:v>
      </x:c>
      <x:c r="J22" s="102" t="str">
        <x:v>Queued</x:v>
      </x:c>
      <x:c r="K22" s="102"/>
      <x:c r="L22" s="102" t="str">
        <x:v>2026-09-07</x:v>
      </x:c>
      <x:c r="M22" s="102"/>
    </x:row>
    <x:row r="23">
      <x:c r="A23" s="102" t="str">
        <x:v>Tier 1</x:v>
      </x:c>
      <x:c r="B23" s="102" t="str">
        <x:v>Feeder</x:v>
      </x:c>
      <x:c r="C23" s="102" t="str">
        <x:v>Global Feeder Shipping (GFS)</x:v>
      </x:c>
      <x:c r="D23" s="102" t="str">
        <x:v>81% AD Ports Group</x:v>
      </x:c>
      <x:c r="E23" s="102" t="str">
        <x:v>COMP_GFS</x:v>
      </x:c>
      <x:c r="F23" s="102" t="str">
        <x:v>Canonical</x:v>
      </x:c>
      <x:c r="G23" s="102" t="str">
        <x:v>Commercial carrier fleet + legal owner/operator mapping</x:v>
      </x:c>
      <x:c r="H23" s="102" t="str">
        <x:v>Direct AD Ports strategic link; Hormuz attack exposure</x:v>
      </x:c>
      <x:c r="I23" s="102" t="str">
        <x:v>https://www.linescape.com/carriers/66/</x:v>
      </x:c>
      <x:c r="J23" s="102" t="str">
        <x:v>In progress</x:v>
      </x:c>
      <x:c r="K23" s="102" t="str">
        <x:v>36 commercial-carrier vessels</x:v>
      </x:c>
      <x:c r="L23" s="102" t="str">
        <x:v>2026-09-07</x:v>
      </x:c>
      <x:c r="M23" s="102" t="str">
        <x:v>Separate from GFS Ship Management FZE.</x:v>
      </x:c>
    </x:row>
    <x:row r="24">
      <x:c r="A24" s="102" t="str">
        <x:v>Tier 1</x:v>
      </x:c>
      <x:c r="B24" s="102" t="str">
        <x:v>Ship management</x:v>
      </x:c>
      <x:c r="C24" s="102" t="str">
        <x:v>GFS Ship Management FZE</x:v>
      </x:c>
      <x:c r="D24" s="102" t="str">
        <x:v>Legal corporate link to GFS to reconcile</x:v>
      </x:c>
      <x:c r="E24" s="102" t="str">
        <x:v>COMP_GFS_SHIP_MGMT</x:v>
      </x:c>
      <x:c r="F24" s="102" t="str">
        <x:v>Canonical</x:v>
      </x:c>
      <x:c r="G24" s="102" t="str">
        <x:v>Managed/in-house container, bulk and car-carrier fleets</x:v>
      </x:c>
      <x:c r="H24" s="102" t="str">
        <x:v>Critical for identifying technical-management layer behind GFS-linked vessels</x:v>
      </x:c>
      <x:c r="I24" s="102" t="str">
        <x:v>https://gfsmgmt.com/container-fleet/</x:v>
      </x:c>
      <x:c r="J24" s="102" t="str">
        <x:v>In progress</x:v>
      </x:c>
      <x:c r="K24" s="102" t="str">
        <x:v>30+ in-house vessels; 16 named container vessels seeded</x:v>
      </x:c>
      <x:c r="L24" s="102" t="str">
        <x:v>2026-09-07</x:v>
      </x:c>
      <x:c r="M24" s="102" t="str">
        <x:v>Do not automatically attribute every managed vessel to AD Ports / GFS commercial operation.</x:v>
      </x:c>
    </x:row>
    <x:row r="25">
      <x:c r="A25" s="102" t="str">
        <x:v>Tier 1</x:v>
      </x:c>
      <x:c r="B25" s="102" t="str">
        <x:v>Feeder</x:v>
      </x:c>
      <x:c r="C25" s="102" t="str">
        <x:v>SAFEEN Feeders</x:v>
      </x:c>
      <x:c r="D25" s="102" t="str">
        <x:v>AD Ports Group / Noatum Maritime</x:v>
      </x:c>
      <x:c r="E25" s="102" t="str">
        <x:v>COMP_SAFEEN_FEEDERS</x:v>
      </x:c>
      <x:c r="F25" s="102" t="str">
        <x:v>Canonical</x:v>
      </x:c>
      <x:c r="G25" s="102" t="str">
        <x:v>Feeder fleet and services</x:v>
      </x:c>
      <x:c r="H25" s="102" t="str">
        <x:v>Core AD Ports feeder business alongside GFS and Transmar</x:v>
      </x:c>
      <x:c r="I25" s="102" t="str">
        <x:v>https://www.adportsgroup.com/en/news-and-media/2026/06/24/ad-ports-group-increases-ownership-in-global-feeder-shipping</x:v>
      </x:c>
      <x:c r="J25" s="102" t="str">
        <x:v>Queued</x:v>
      </x:c>
      <x:c r="K25" s="102"/>
      <x:c r="L25" s="102" t="str">
        <x:v>2026-09-07</x:v>
      </x:c>
      <x:c r="M25" s="102"/>
    </x:row>
    <x:row r="26">
      <x:c r="A26" s="102" t="str">
        <x:v>Tier 1</x:v>
      </x:c>
      <x:c r="B26" s="102" t="str">
        <x:v>Feeder</x:v>
      </x:c>
      <x:c r="C26" s="102" t="str">
        <x:v>Transmar International Shipping</x:v>
      </x:c>
      <x:c r="D26" s="102" t="str">
        <x:v>70% AD Ports Group</x:v>
      </x:c>
      <x:c r="E26" s="102" t="str">
        <x:v>COMP_TRANSMAR</x:v>
      </x:c>
      <x:c r="F26" s="102" t="str">
        <x:v>Canonical</x:v>
      </x:c>
      <x:c r="G26" s="102" t="str">
        <x:v>Regional container / feeder fleet</x:v>
      </x:c>
      <x:c r="H26" s="102" t="str">
        <x:v>AD Ports Egypt / Red Sea feeder exposure</x:v>
      </x:c>
      <x:c r="I26" s="102" t="str">
        <x:v>https://www.adportsgroup.com/en/news-and-media/2022/09/14/ad-ports-group-completes-acquisition-of-majority-stakes-in-egypts-transmar-and-transcargo-intl</x:v>
      </x:c>
      <x:c r="J26" s="102" t="str">
        <x:v>Queued</x:v>
      </x:c>
      <x:c r="K26" s="102"/>
      <x:c r="L26" s="102" t="str">
        <x:v>2026-09-07</x:v>
      </x:c>
      <x:c r="M26" s="102"/>
    </x:row>
    <x:row r="27">
      <x:c r="A27" s="102" t="str">
        <x:v>Tier 1</x:v>
      </x:c>
      <x:c r="B27" s="102" t="str">
        <x:v>Feeder</x:v>
      </x:c>
      <x:c r="C27" s="102" t="str">
        <x:v>X-Press Feeders</x:v>
      </x:c>
      <x:c r="D27" s="102"/>
      <x:c r="E27" s="102" t="str">
        <x:v>COMP_XPRESS</x:v>
      </x:c>
      <x:c r="F27" s="102" t="str">
        <x:v>Canonical</x:v>
      </x:c>
      <x:c r="G27" s="102" t="str">
        <x:v>Feeder fleet / charter network</x:v>
      </x:c>
      <x:c r="H27" s="102" t="str">
        <x:v>One of the largest independent feeder networks</x:v>
      </x:c>
      <x:c r="I27" s="102" t="str">
        <x:v>https://www.linescape.com/carriers/</x:v>
      </x:c>
      <x:c r="J27" s="102" t="str">
        <x:v>Queued</x:v>
      </x:c>
      <x:c r="K27" s="102"/>
      <x:c r="L27" s="102" t="str">
        <x:v>2026-09-07</x:v>
      </x:c>
      <x:c r="M27" s="102"/>
    </x:row>
    <x:row r="28">
      <x:c r="A28" s="102" t="str">
        <x:v>Tier 1</x:v>
      </x:c>
      <x:c r="B28" s="102" t="str">
        <x:v>Feeder</x:v>
      </x:c>
      <x:c r="C28" s="102" t="str">
        <x:v>Unifeeder</x:v>
      </x:c>
      <x:c r="D28" s="102" t="str">
        <x:v>DP World</x:v>
      </x:c>
      <x:c r="E28" s="102" t="str">
        <x:v>COMP_UNIFEEDER</x:v>
      </x:c>
      <x:c r="F28" s="102" t="str">
        <x:v>Canonical</x:v>
      </x:c>
      <x:c r="G28" s="102" t="str">
        <x:v>Feeder / short-sea fleet + DP World link</x:v>
      </x:c>
      <x:c r="H28" s="102" t="str">
        <x:v>Important for DP World corporate and port-network exposure</x:v>
      </x:c>
      <x:c r="I28" s="102" t="str">
        <x:v>https://www.linescape.com/carriers/</x:v>
      </x:c>
      <x:c r="J28" s="102" t="str">
        <x:v>Queued</x:v>
      </x:c>
      <x:c r="K28" s="102"/>
      <x:c r="L28" s="102" t="str">
        <x:v>2026-09-07</x:v>
      </x:c>
      <x:c r="M28" s="102"/>
    </x:row>
    <x:row r="29">
      <x:c r="A29" s="102" t="str">
        <x:v>Tier 1</x:v>
      </x:c>
      <x:c r="B29" s="102" t="str">
        <x:v>Maritime platform</x:v>
      </x:c>
      <x:c r="C29" s="102" t="str">
        <x:v>Noatum Maritime</x:v>
      </x:c>
      <x:c r="D29" s="102" t="str">
        <x:v>AD Ports Group</x:v>
      </x:c>
      <x:c r="E29" s="102" t="str">
        <x:v>COMP_NOATUM_MARITIME</x:v>
      </x:c>
      <x:c r="F29" s="102" t="str">
        <x:v>Canonical</x:v>
      </x:c>
      <x:c r="G29" s="102" t="str">
        <x:v>Shipping / marine services fleet portfolio</x:v>
      </x:c>
      <x:c r="H29" s="102" t="str">
        <x:v>AD Ports maritime umbrella; connects feeder, RoRo, bulk and service assets</x:v>
      </x:c>
      <x:c r="I29" s="102" t="str">
        <x:v>https://www.adportsgroup.com/en/integrated-clusters/maritime-and-shipping</x:v>
      </x:c>
      <x:c r="J29" s="102" t="str">
        <x:v>In progress</x:v>
      </x:c>
      <x:c r="K29" s="102"/>
      <x:c r="L29" s="102" t="str">
        <x:v>2026-09-07</x:v>
      </x:c>
      <x:c r="M29" s="102"/>
    </x:row>
    <x:row r="30">
      <x:c r="A30" s="102" t="str">
        <x:v>Tier 2</x:v>
      </x:c>
      <x:c r="B30" s="102" t="str">
        <x:v>RoRo / PCTC</x:v>
      </x:c>
      <x:c r="C30" s="102" t="str">
        <x:v>United Global Ro-Ro (UGR)</x:v>
      </x:c>
      <x:c r="D30" s="102" t="str">
        <x:v>Noatum Maritime / AD Ports</x:v>
      </x:c>
      <x:c r="E30" s="102" t="str">
        <x:v>COMP_UGR</x:v>
      </x:c>
      <x:c r="F30" s="102" t="str">
        <x:v>Canonical</x:v>
      </x:c>
      <x:c r="G30" s="102" t="str">
        <x:v>RoRo fleet</x:v>
      </x:c>
      <x:c r="H30" s="102" t="str">
        <x:v>AD Ports vehicle-logistics and corridor relevance</x:v>
      </x:c>
      <x:c r="I30" s="102"/>
      <x:c r="J30" s="102" t="str">
        <x:v>In progress</x:v>
      </x:c>
      <x:c r="K30" s="102" t="str">
        <x:v>14 vessels already seeded</x:v>
      </x:c>
      <x:c r="L30" s="102" t="str">
        <x:v>2026-09-07</x:v>
      </x:c>
      <x:c r="M30" s="102"/>
    </x:row>
    <x:row r="31">
      <x:c r="A31" s="102" t="str">
        <x:v>Tier 2</x:v>
      </x:c>
      <x:c r="B31" s="102" t="str">
        <x:v>RoRo / PCTC</x:v>
      </x:c>
      <x:c r="C31" s="102" t="str">
        <x:v>Wallenius Wilhelmsen</x:v>
      </x:c>
      <x:c r="D31" s="102"/>
      <x:c r="E31" s="102"/>
      <x:c r="F31" s="102" t="str">
        <x:v>Research universe</x:v>
      </x:c>
      <x:c r="G31" s="102" t="str">
        <x:v>Owned/operated PCTC fleet</x:v>
      </x:c>
      <x:c r="H31" s="102" t="str">
        <x:v>Global automotive trade benchmark</x:v>
      </x:c>
      <x:c r="I31" s="102" t="str">
        <x:v>https://www.linescape.com/carriers/</x:v>
      </x:c>
      <x:c r="J31" s="102" t="str">
        <x:v>Queued</x:v>
      </x:c>
      <x:c r="K31" s="102"/>
      <x:c r="L31" s="102" t="str">
        <x:v>2026-09-07</x:v>
      </x:c>
      <x:c r="M31" s="102"/>
    </x:row>
    <x:row r="32">
      <x:c r="A32" s="102" t="str">
        <x:v>Tier 2</x:v>
      </x:c>
      <x:c r="B32" s="102" t="str">
        <x:v>RoRo / PCTC</x:v>
      </x:c>
      <x:c r="C32" s="102" t="str">
        <x:v>Höegh Autoliners</x:v>
      </x:c>
      <x:c r="D32" s="102"/>
      <x:c r="E32" s="102"/>
      <x:c r="F32" s="102" t="str">
        <x:v>Research universe</x:v>
      </x:c>
      <x:c r="G32" s="102" t="str">
        <x:v>PCTC fleet + newbuilds</x:v>
      </x:c>
      <x:c r="H32" s="102" t="str">
        <x:v>Vehicle export / shipyard / alternative-fuel relevance</x:v>
      </x:c>
      <x:c r="I32" s="102" t="str">
        <x:v>https://www.linescape.com/carriers/</x:v>
      </x:c>
      <x:c r="J32" s="102" t="str">
        <x:v>Queued</x:v>
      </x:c>
      <x:c r="K32" s="102"/>
      <x:c r="L32" s="102" t="str">
        <x:v>2026-09-07</x:v>
      </x:c>
      <x:c r="M32" s="102"/>
    </x:row>
    <x:row r="33">
      <x:c r="A33" s="102" t="str">
        <x:v>Tier 2</x:v>
      </x:c>
      <x:c r="B33" s="102" t="str">
        <x:v>RoRo / PCTC</x:v>
      </x:c>
      <x:c r="C33" s="102" t="str">
        <x:v>EUKOR</x:v>
      </x:c>
      <x:c r="D33" s="102"/>
      <x:c r="E33" s="102"/>
      <x:c r="F33" s="102" t="str">
        <x:v>Research universe</x:v>
      </x:c>
      <x:c r="G33" s="102" t="str">
        <x:v>PCTC fleet</x:v>
      </x:c>
      <x:c r="H33" s="102" t="str">
        <x:v>Hyundai/Kia logistics and global vehicle corridors</x:v>
      </x:c>
      <x:c r="I33" s="102" t="str">
        <x:v>https://www.linescape.com/carriers/</x:v>
      </x:c>
      <x:c r="J33" s="102" t="str">
        <x:v>Queued</x:v>
      </x:c>
      <x:c r="K33" s="102"/>
      <x:c r="L33" s="102" t="str">
        <x:v>2026-09-07</x:v>
      </x:c>
      <x:c r="M33" s="102"/>
    </x:row>
    <x:row r="34">
      <x:c r="A34" s="102" t="str">
        <x:v>Tier 2</x:v>
      </x:c>
      <x:c r="B34" s="102" t="str">
        <x:v>RoRo / PCTC</x:v>
      </x:c>
      <x:c r="C34" s="102" t="str">
        <x:v>NYK RoRo</x:v>
      </x:c>
      <x:c r="D34" s="102" t="str">
        <x:v>NYK Line</x:v>
      </x:c>
      <x:c r="E34" s="102"/>
      <x:c r="F34" s="102" t="str">
        <x:v>Research universe</x:v>
      </x:c>
      <x:c r="G34" s="102" t="str">
        <x:v>PCTC / RoRo fleet</x:v>
      </x:c>
      <x:c r="H34" s="102" t="str">
        <x:v>Japanese vehicle-carrier ecosystem</x:v>
      </x:c>
      <x:c r="I34" s="102" t="str">
        <x:v>https://www.linescape.com/carriers/</x:v>
      </x:c>
      <x:c r="J34" s="102" t="str">
        <x:v>Queued</x:v>
      </x:c>
      <x:c r="K34" s="102"/>
      <x:c r="L34" s="102" t="str">
        <x:v>2026-09-07</x:v>
      </x:c>
      <x:c r="M34" s="102"/>
    </x:row>
    <x:row r="35">
      <x:c r="A35" s="102" t="str">
        <x:v>Tier 2</x:v>
      </x:c>
      <x:c r="B35" s="102" t="str">
        <x:v>RoRo / PCTC</x:v>
      </x:c>
      <x:c r="C35" s="102" t="str">
        <x:v>MOL RoRo</x:v>
      </x:c>
      <x:c r="D35" s="102" t="str">
        <x:v>Mitsui O.S.K. Lines</x:v>
      </x:c>
      <x:c r="E35" s="102"/>
      <x:c r="F35" s="102" t="str">
        <x:v>Research universe</x:v>
      </x:c>
      <x:c r="G35" s="102" t="str">
        <x:v>PCTC / RoRo fleet</x:v>
      </x:c>
      <x:c r="H35" s="102" t="str">
        <x:v>Japanese vehicle-carrier ecosystem</x:v>
      </x:c>
      <x:c r="I35" s="102" t="str">
        <x:v>https://www.linescape.com/carriers/</x:v>
      </x:c>
      <x:c r="J35" s="102" t="str">
        <x:v>Queued</x:v>
      </x:c>
      <x:c r="K35" s="102"/>
      <x:c r="L35" s="102" t="str">
        <x:v>2026-09-07</x:v>
      </x:c>
      <x:c r="M35" s="102"/>
    </x:row>
    <x:row r="36">
      <x:c r="A36" s="102" t="str">
        <x:v>Tier 2</x:v>
      </x:c>
      <x:c r="B36" s="102" t="str">
        <x:v>RoRo / PCTC</x:v>
      </x:c>
      <x:c r="C36" s="102" t="str">
        <x:v>K Line RoRo</x:v>
      </x:c>
      <x:c r="D36" s="102" t="str">
        <x:v>Kawasaki Kisen Kaisha</x:v>
      </x:c>
      <x:c r="E36" s="102"/>
      <x:c r="F36" s="102" t="str">
        <x:v>Research universe</x:v>
      </x:c>
      <x:c r="G36" s="102" t="str">
        <x:v>PCTC / RoRo fleet</x:v>
      </x:c>
      <x:c r="H36" s="102" t="str">
        <x:v>Japanese vehicle-carrier ecosystem</x:v>
      </x:c>
      <x:c r="I36" s="102" t="str">
        <x:v>https://www.linescape.com/carriers/</x:v>
      </x:c>
      <x:c r="J36" s="102" t="str">
        <x:v>Queued</x:v>
      </x:c>
      <x:c r="K36" s="102"/>
      <x:c r="L36" s="102" t="str">
        <x:v>2026-09-07</x:v>
      </x:c>
      <x:c r="M36" s="102"/>
    </x:row>
    <x:row r="37">
      <x:c r="A37" s="102" t="str">
        <x:v>Tier 2</x:v>
      </x:c>
      <x:c r="B37" s="102" t="str">
        <x:v>RoRo / PCTC</x:v>
      </x:c>
      <x:c r="C37" s="102" t="str">
        <x:v>Hyundai Glovis</x:v>
      </x:c>
      <x:c r="D37" s="102"/>
      <x:c r="E37" s="102"/>
      <x:c r="F37" s="102" t="str">
        <x:v>Research universe</x:v>
      </x:c>
      <x:c r="G37" s="102" t="str">
        <x:v>PCTC fleet</x:v>
      </x:c>
      <x:c r="H37" s="102" t="str">
        <x:v>Automaker-linked logistics and export corridors</x:v>
      </x:c>
      <x:c r="I37" s="102" t="str">
        <x:v>https://www.linescape.com/carriers/</x:v>
      </x:c>
      <x:c r="J37" s="102" t="str">
        <x:v>Queued</x:v>
      </x:c>
      <x:c r="K37" s="102"/>
      <x:c r="L37" s="102" t="str">
        <x:v>2026-09-07</x:v>
      </x:c>
      <x:c r="M37" s="102"/>
    </x:row>
    <x:row r="38">
      <x:c r="A38" s="102" t="str">
        <x:v>Tier 2</x:v>
      </x:c>
      <x:c r="B38" s="102" t="str">
        <x:v>RoRo / PCTC</x:v>
      </x:c>
      <x:c r="C38" s="102" t="str">
        <x:v>Grimaldi Group</x:v>
      </x:c>
      <x:c r="D38" s="102"/>
      <x:c r="E38" s="102"/>
      <x:c r="F38" s="102" t="str">
        <x:v>Research universe</x:v>
      </x:c>
      <x:c r="G38" s="102" t="str">
        <x:v>RoRo / RoPax / PCTC fleet</x:v>
      </x:c>
      <x:c r="H38" s="102" t="str">
        <x:v>Europe-Med-Africa / Atlantic corridor exposure</x:v>
      </x:c>
      <x:c r="I38" s="102" t="str">
        <x:v>https://www.linescape.com/carriers/</x:v>
      </x:c>
      <x:c r="J38" s="102" t="str">
        <x:v>Queued</x:v>
      </x:c>
      <x:c r="K38" s="102"/>
      <x:c r="L38" s="102" t="str">
        <x:v>2026-09-07</x:v>
      </x:c>
      <x:c r="M38" s="102"/>
    </x:row>
    <x:row r="39">
      <x:c r="A39" s="102" t="str">
        <x:v>Tier 2</x:v>
      </x:c>
      <x:c r="B39" s="102" t="str">
        <x:v>RoRo / PCTC</x:v>
      </x:c>
      <x:c r="C39" s="102" t="str">
        <x:v>Bahri</x:v>
      </x:c>
      <x:c r="D39" s="102"/>
      <x:c r="E39" s="102" t="str">
        <x:v>COMP_BAHRI</x:v>
      </x:c>
      <x:c r="F39" s="102" t="str">
        <x:v>Canonical</x:v>
      </x:c>
      <x:c r="G39" s="102" t="str">
        <x:v>RoCon / multipurpose + tanker / bulk portfolio</x:v>
      </x:c>
      <x:c r="H39" s="102" t="str">
        <x:v>Saudi strategic shipping / defence-logistics relevance</x:v>
      </x:c>
      <x:c r="I39" s="102" t="str">
        <x:v>https://www.bahri.sa/en/</x:v>
      </x:c>
      <x:c r="J39" s="102" t="str">
        <x:v>In progress</x:v>
      </x:c>
      <x:c r="K39" s="102" t="str">
        <x:v>104 total vessels; 50 VLCCs current corporate fact</x:v>
      </x:c>
      <x:c r="L39" s="102" t="str">
        <x:v>2026-09-07</x:v>
      </x:c>
      <x:c r="M39" s="102"/>
    </x:row>
    <x:row r="40">
      <x:c r="A40" s="102" t="str">
        <x:v>Tier 2</x:v>
      </x:c>
      <x:c r="B40" s="102" t="str">
        <x:v>RoRo / PCTC</x:v>
      </x:c>
      <x:c r="C40" s="102" t="str">
        <x:v>Sallaum Lines</x:v>
      </x:c>
      <x:c r="D40" s="102"/>
      <x:c r="E40" s="102"/>
      <x:c r="F40" s="102" t="str">
        <x:v>Research universe</x:v>
      </x:c>
      <x:c r="G40" s="102" t="str">
        <x:v>PCTC fleet</x:v>
      </x:c>
      <x:c r="H40" s="102" t="str">
        <x:v>Used/new vehicle logistics and Red Sea / Africa exposure</x:v>
      </x:c>
      <x:c r="I40" s="102" t="str">
        <x:v>https://www.linescape.com/carriers/</x:v>
      </x:c>
      <x:c r="J40" s="102" t="str">
        <x:v>Queued</x:v>
      </x:c>
      <x:c r="K40" s="102"/>
      <x:c r="L40" s="102" t="str">
        <x:v>2026-09-07</x:v>
      </x:c>
      <x:c r="M40" s="102"/>
    </x:row>
    <x:row r="41">
      <x:c r="A41" s="102" t="str">
        <x:v>Tier 2</x:v>
      </x:c>
      <x:c r="B41" s="102" t="str">
        <x:v>Ferry / RoRo</x:v>
      </x:c>
      <x:c r="C41" s="102" t="str">
        <x:v>P&amp;O Ferries</x:v>
      </x:c>
      <x:c r="D41" s="102" t="str">
        <x:v>DP World</x:v>
      </x:c>
      <x:c r="E41" s="102" t="str">
        <x:v>COMP_PO_FERRIES</x:v>
      </x:c>
      <x:c r="F41" s="102" t="str">
        <x:v>Canonical</x:v>
      </x:c>
      <x:c r="G41" s="102" t="str">
        <x:v>RoPax/freight ferry fleet + routes</x:v>
      </x:c>
      <x:c r="H41" s="102" t="str">
        <x:v>Direct DP World UK operating link; disruptions and cross-Channel exposure</x:v>
      </x:c>
      <x:c r="I41" s="102" t="str">
        <x:v>https://www.poferries.com/en/routes</x:v>
      </x:c>
      <x:c r="J41" s="102" t="str">
        <x:v>In progress</x:v>
      </x:c>
      <x:c r="K41" s="102"/>
      <x:c r="L41" s="102" t="str">
        <x:v>2026-09-07</x:v>
      </x:c>
      <x:c r="M41" s="102" t="str">
        <x:v>DP World group relationship now canonical</x:v>
      </x:c>
    </x:row>
    <x:row r="42">
      <x:c r="A42" s="102" t="str">
        <x:v>Tier 2</x:v>
      </x:c>
      <x:c r="B42" s="102" t="str">
        <x:v>Ferry</x:v>
      </x:c>
      <x:c r="C42" s="102" t="str">
        <x:v>Stena Line</x:v>
      </x:c>
      <x:c r="D42" s="102" t="str">
        <x:v>Stena AB</x:v>
      </x:c>
      <x:c r="E42" s="102"/>
      <x:c r="F42" s="102" t="str">
        <x:v>Research universe</x:v>
      </x:c>
      <x:c r="G42" s="102" t="str">
        <x:v>RoPax / ferry fleet</x:v>
      </x:c>
      <x:c r="H42" s="102" t="str">
        <x:v>North Sea / Baltic / Irish Sea network resilience</x:v>
      </x:c>
      <x:c r="I42" s="102"/>
      <x:c r="J42" s="102" t="str">
        <x:v>Queued</x:v>
      </x:c>
      <x:c r="K42" s="102"/>
      <x:c r="L42" s="102" t="str">
        <x:v>2026-09-07</x:v>
      </x:c>
      <x:c r="M42" s="102"/>
    </x:row>
    <x:row r="43">
      <x:c r="A43" s="102" t="str">
        <x:v>Tier 2</x:v>
      </x:c>
      <x:c r="B43" s="102" t="str">
        <x:v>Ferry</x:v>
      </x:c>
      <x:c r="C43" s="102" t="str">
        <x:v>DFDS</x:v>
      </x:c>
      <x:c r="D43" s="102"/>
      <x:c r="E43" s="102" t="str">
        <x:v>COMP_DFDS</x:v>
      </x:c>
      <x:c r="F43" s="102" t="str">
        <x:v>Canonical</x:v>
      </x:c>
      <x:c r="G43" s="102" t="str">
        <x:v>European RoRo/RoPax fleet + routes</x:v>
      </x:c>
      <x:c r="H43" s="102" t="str">
        <x:v>European freight and passenger corridor exposure</x:v>
      </x:c>
      <x:c r="I43" s="102" t="str">
        <x:v>https://www.dfds.com/</x:v>
      </x:c>
      <x:c r="J43" s="102" t="str">
        <x:v>In progress</x:v>
      </x:c>
      <x:c r="K43" s="102"/>
      <x:c r="L43" s="102" t="str">
        <x:v>2026-09-07</x:v>
      </x:c>
      <x:c r="M43" s="102" t="str">
        <x:v>Canonical ferry operator</x:v>
      </x:c>
    </x:row>
    <x:row r="44">
      <x:c r="A44" s="102" t="str">
        <x:v>Tier 2</x:v>
      </x:c>
      <x:c r="B44" s="102" t="str">
        <x:v>Ferry</x:v>
      </x:c>
      <x:c r="C44" s="102" t="str">
        <x:v>Brittany Ferries</x:v>
      </x:c>
      <x:c r="D44" s="102"/>
      <x:c r="E44" s="102"/>
      <x:c r="F44" s="102" t="str">
        <x:v>Research universe</x:v>
      </x:c>
      <x:c r="G44" s="102" t="str">
        <x:v>RoPax fleet</x:v>
      </x:c>
      <x:c r="H44" s="102" t="str">
        <x:v>Western Europe / UK-France-Spain corridors</x:v>
      </x:c>
      <x:c r="I44" s="102"/>
      <x:c r="J44" s="102" t="str">
        <x:v>Queued</x:v>
      </x:c>
      <x:c r="K44" s="102"/>
      <x:c r="L44" s="102" t="str">
        <x:v>2026-09-07</x:v>
      </x:c>
      <x:c r="M44" s="102"/>
    </x:row>
    <x:row r="45">
      <x:c r="A45" s="102" t="str">
        <x:v>Tier 2</x:v>
      </x:c>
      <x:c r="B45" s="102" t="str">
        <x:v>Ferry</x:v>
      </x:c>
      <x:c r="C45" s="102" t="str">
        <x:v>Tallink Grupp</x:v>
      </x:c>
      <x:c r="D45" s="102"/>
      <x:c r="E45" s="102"/>
      <x:c r="F45" s="102" t="str">
        <x:v>Research universe</x:v>
      </x:c>
      <x:c r="G45" s="102" t="str">
        <x:v>RoPax fleet</x:v>
      </x:c>
      <x:c r="H45" s="102" t="str">
        <x:v>Baltic Sea infrastructure and disruption relevance</x:v>
      </x:c>
      <x:c r="I45" s="102"/>
      <x:c r="J45" s="102" t="str">
        <x:v>Queued</x:v>
      </x:c>
      <x:c r="K45" s="102"/>
      <x:c r="L45" s="102" t="str">
        <x:v>2026-09-07</x:v>
      </x:c>
      <x:c r="M45" s="102"/>
    </x:row>
    <x:row r="46">
      <x:c r="A46" s="102" t="str">
        <x:v>Tier 2</x:v>
      </x:c>
      <x:c r="B46" s="102" t="str">
        <x:v>Ferry</x:v>
      </x:c>
      <x:c r="C46" s="102" t="str">
        <x:v>Viking Line</x:v>
      </x:c>
      <x:c r="D46" s="102"/>
      <x:c r="E46" s="102"/>
      <x:c r="F46" s="102" t="str">
        <x:v>Research universe</x:v>
      </x:c>
      <x:c r="G46" s="102" t="str">
        <x:v>RoPax fleet</x:v>
      </x:c>
      <x:c r="H46" s="102" t="str">
        <x:v>Baltic ferry system exposure</x:v>
      </x:c>
      <x:c r="I46" s="102"/>
      <x:c r="J46" s="102" t="str">
        <x:v>Queued</x:v>
      </x:c>
      <x:c r="K46" s="102"/>
      <x:c r="L46" s="102" t="str">
        <x:v>2026-09-07</x:v>
      </x:c>
      <x:c r="M46" s="102"/>
    </x:row>
    <x:row r="47">
      <x:c r="A47" s="102" t="str">
        <x:v>Tier 2</x:v>
      </x:c>
      <x:c r="B47" s="102" t="str">
        <x:v>Ferry</x:v>
      </x:c>
      <x:c r="C47" s="102" t="str">
        <x:v>BC Ferries</x:v>
      </x:c>
      <x:c r="D47" s="102" t="str">
        <x:v>Province-linked public operator</x:v>
      </x:c>
      <x:c r="E47" s="102" t="str">
        <x:v>COMP_BC_FERRIES</x:v>
      </x:c>
      <x:c r="F47" s="102" t="str">
        <x:v>Canonical</x:v>
      </x:c>
      <x:c r="G47" s="102" t="str">
        <x:v>39-ferry coastal network + terminals + reliability</x:v>
      </x:c>
      <x:c r="H47" s="102" t="str">
        <x:v>Large integrated coastal ferry system; operational resilience benchmark</x:v>
      </x:c>
      <x:c r="I47" s="102" t="str">
        <x:v>https://www.bcferries.com/on-the-ferry/our-fleet</x:v>
      </x:c>
      <x:c r="J47" s="102" t="str">
        <x:v>In progress</x:v>
      </x:c>
      <x:c r="K47" s="102"/>
      <x:c r="L47" s="102" t="str">
        <x:v>2026-09-07</x:v>
      </x:c>
      <x:c r="M47" s="102" t="str">
        <x:v>Canonical ferry system/company</x:v>
      </x:c>
    </x:row>
    <x:row r="48">
      <x:c r="A48" s="102" t="str">
        <x:v>Tier 2</x:v>
      </x:c>
      <x:c r="B48" s="102" t="str">
        <x:v>Ferry</x:v>
      </x:c>
      <x:c r="C48" s="102" t="str">
        <x:v>Washington State Ferries</x:v>
      </x:c>
      <x:c r="D48" s="102" t="str">
        <x:v>Washington State DOT</x:v>
      </x:c>
      <x:c r="E48" s="102" t="str">
        <x:v>COMP_WSF</x:v>
      </x:c>
      <x:c r="F48" s="102" t="str">
        <x:v>Canonical</x:v>
      </x:c>
      <x:c r="G48" s="102" t="str">
        <x:v>21-ferry state network + terminals + reliability</x:v>
      </x:c>
      <x:c r="H48" s="102" t="str">
        <x:v>Major public ferry network and fleet-renewal benchmark</x:v>
      </x:c>
      <x:c r="I48" s="102" t="str">
        <x:v>https://wsdot.wa.gov/travel/washington-state-ferries/ferries-terminals/about-our-fleet</x:v>
      </x:c>
      <x:c r="J48" s="102" t="str">
        <x:v>In progress</x:v>
      </x:c>
      <x:c r="K48" s="102"/>
      <x:c r="L48" s="102" t="str">
        <x:v>2026-09-07</x:v>
      </x:c>
      <x:c r="M48" s="102" t="str">
        <x:v>Canonical government ferry system</x:v>
      </x:c>
    </x:row>
    <x:row r="49">
      <x:c r="A49" s="102" t="str">
        <x:v>Tier 2</x:v>
      </x:c>
      <x:c r="B49" s="102" t="str">
        <x:v>Ferry</x:v>
      </x:c>
      <x:c r="C49" s="102" t="str">
        <x:v>Irish Ferries</x:v>
      </x:c>
      <x:c r="D49" s="102" t="str">
        <x:v>Irish Continental Group</x:v>
      </x:c>
      <x:c r="E49" s="102"/>
      <x:c r="F49" s="102" t="str">
        <x:v>Research universe</x:v>
      </x:c>
      <x:c r="G49" s="102" t="str">
        <x:v>RoPax fleet</x:v>
      </x:c>
      <x:c r="H49" s="102" t="str">
        <x:v>Irish Sea / UK-EU connectivity</x:v>
      </x:c>
      <x:c r="I49" s="102"/>
      <x:c r="J49" s="102" t="str">
        <x:v>Queued</x:v>
      </x:c>
      <x:c r="K49" s="102"/>
      <x:c r="L49" s="102" t="str">
        <x:v>2026-09-07</x:v>
      </x:c>
      <x:c r="M49" s="102"/>
    </x:row>
    <x:row r="50">
      <x:c r="A50" s="102" t="str">
        <x:v>Tier 2</x:v>
      </x:c>
      <x:c r="B50" s="102" t="str">
        <x:v>Cruise</x:v>
      </x:c>
      <x:c r="C50" s="102" t="str">
        <x:v>MSC Cruises</x:v>
      </x:c>
      <x:c r="D50" s="102" t="str">
        <x:v>MSC Group</x:v>
      </x:c>
      <x:c r="E50" s="102" t="str">
        <x:v>COMP_MSC_CRUISES</x:v>
      </x:c>
      <x:c r="F50" s="102" t="str">
        <x:v>Canonical</x:v>
      </x:c>
      <x:c r="G50" s="102" t="str">
        <x:v>Cruise fleet + homeports + terminals</x:v>
      </x:c>
      <x:c r="H50" s="102" t="str">
        <x:v>Connects cruise shipping to port investment and terminal exposure</x:v>
      </x:c>
      <x:c r="I50" s="102"/>
      <x:c r="J50" s="102" t="str">
        <x:v>Queued</x:v>
      </x:c>
      <x:c r="K50" s="102"/>
      <x:c r="L50" s="102" t="str">
        <x:v>2026-09-07</x:v>
      </x:c>
      <x:c r="M50" s="102"/>
    </x:row>
    <x:row r="51">
      <x:c r="A51" s="102" t="str">
        <x:v>Tier 2</x:v>
      </x:c>
      <x:c r="B51" s="102" t="str">
        <x:v>Cruise</x:v>
      </x:c>
      <x:c r="C51" s="102" t="str">
        <x:v>Carnival Corporation &amp; plc</x:v>
      </x:c>
      <x:c r="D51" s="102"/>
      <x:c r="E51" s="102"/>
      <x:c r="F51" s="102" t="str">
        <x:v>Research universe</x:v>
      </x:c>
      <x:c r="G51" s="102" t="str">
        <x:v>Multi-brand cruise fleet</x:v>
      </x:c>
      <x:c r="H51" s="102" t="str">
        <x:v>Largest cruise ecosystem; global homeport / terminal exposure</x:v>
      </x:c>
      <x:c r="I51" s="102"/>
      <x:c r="J51" s="102" t="str">
        <x:v>Queued</x:v>
      </x:c>
      <x:c r="K51" s="102"/>
      <x:c r="L51" s="102" t="str">
        <x:v>2026-09-07</x:v>
      </x:c>
      <x:c r="M51" s="102"/>
    </x:row>
    <x:row r="52">
      <x:c r="A52" s="102" t="str">
        <x:v>Tier 2</x:v>
      </x:c>
      <x:c r="B52" s="102" t="str">
        <x:v>Cruise</x:v>
      </x:c>
      <x:c r="C52" s="102" t="str">
        <x:v>Royal Caribbean Group</x:v>
      </x:c>
      <x:c r="D52" s="102"/>
      <x:c r="E52" s="102"/>
      <x:c r="F52" s="102" t="str">
        <x:v>Research universe</x:v>
      </x:c>
      <x:c r="G52" s="102" t="str">
        <x:v>Multi-brand cruise fleet</x:v>
      </x:c>
      <x:c r="H52" s="102" t="str">
        <x:v>Global cruise / terminal exposure</x:v>
      </x:c>
      <x:c r="I52" s="102"/>
      <x:c r="J52" s="102" t="str">
        <x:v>Queued</x:v>
      </x:c>
      <x:c r="K52" s="102"/>
      <x:c r="L52" s="102" t="str">
        <x:v>2026-09-07</x:v>
      </x:c>
      <x:c r="M52" s="102"/>
    </x:row>
    <x:row r="53">
      <x:c r="A53" s="102" t="str">
        <x:v>Tier 2</x:v>
      </x:c>
      <x:c r="B53" s="102" t="str">
        <x:v>Cruise</x:v>
      </x:c>
      <x:c r="C53" s="102" t="str">
        <x:v>Norwegian Cruise Line Holdings</x:v>
      </x:c>
      <x:c r="D53" s="102"/>
      <x:c r="E53" s="102"/>
      <x:c r="F53" s="102" t="str">
        <x:v>Research universe</x:v>
      </x:c>
      <x:c r="G53" s="102" t="str">
        <x:v>Multi-brand cruise fleet</x:v>
      </x:c>
      <x:c r="H53" s="102" t="str">
        <x:v>Global cruise / itinerary disruption exposure</x:v>
      </x:c>
      <x:c r="I53" s="102"/>
      <x:c r="J53" s="102" t="str">
        <x:v>Queued</x:v>
      </x:c>
      <x:c r="K53" s="102"/>
      <x:c r="L53" s="102" t="str">
        <x:v>2026-09-07</x:v>
      </x:c>
      <x:c r="M53" s="102"/>
    </x:row>
    <x:row r="54">
      <x:c r="A54" s="102" t="str">
        <x:v>Tier 2</x:v>
      </x:c>
      <x:c r="B54" s="102" t="str">
        <x:v>Cruise</x:v>
      </x:c>
      <x:c r="C54" s="102" t="str">
        <x:v>Viking</x:v>
      </x:c>
      <x:c r="D54" s="102"/>
      <x:c r="E54" s="102" t="str">
        <x:v>COMP_VIKING</x:v>
      </x:c>
      <x:c r="F54" s="102" t="str">
        <x:v>Canonical</x:v>
      </x:c>
      <x:c r="G54" s="102" t="str">
        <x:v>Ocean/expedition fleet incl. Great Lakes deployment</x:v>
      </x:c>
      <x:c r="H54" s="102" t="str">
        <x:v>Cruise / Arctic / expedition relevance</x:v>
      </x:c>
      <x:c r="I54" s="102" t="str">
        <x:v>https://www.vikingcruises.com/</x:v>
      </x:c>
      <x:c r="J54" s="102" t="str">
        <x:v>In progress</x:v>
      </x:c>
      <x:c r="K54" s="102"/>
      <x:c r="L54" s="102" t="str">
        <x:v>2026-09-07</x:v>
      </x:c>
      <x:c r="M54" s="102" t="str">
        <x:v>Canonical cruise operator with Great Lakes seasonal exposure</x:v>
      </x:c>
    </x:row>
    <x:row r="55">
      <x:c r="A55" s="102" t="str">
        <x:v>Tier 2</x:v>
      </x:c>
      <x:c r="B55" s="102" t="str">
        <x:v>Cruise</x:v>
      </x:c>
      <x:c r="C55" s="102" t="str">
        <x:v>Disney Cruise Line</x:v>
      </x:c>
      <x:c r="D55" s="102" t="str">
        <x:v>The Walt Disney Company</x:v>
      </x:c>
      <x:c r="E55" s="102"/>
      <x:c r="F55" s="102" t="str">
        <x:v>Research universe</x:v>
      </x:c>
      <x:c r="G55" s="102" t="str">
        <x:v>Cruise fleet + newbuilds</x:v>
      </x:c>
      <x:c r="H55" s="102" t="str">
        <x:v>Rapid fleet expansion / shipyard / homeport relevance</x:v>
      </x:c>
      <x:c r="I55" s="102"/>
      <x:c r="J55" s="102" t="str">
        <x:v>Queued</x:v>
      </x:c>
      <x:c r="K55" s="102"/>
      <x:c r="L55" s="102" t="str">
        <x:v>2026-09-07</x:v>
      </x:c>
      <x:c r="M55" s="102"/>
    </x:row>
    <x:row r="56">
      <x:c r="A56" s="102" t="str">
        <x:v>Tier 2</x:v>
      </x:c>
      <x:c r="B56" s="102" t="str">
        <x:v>Great Lakes / bulk</x:v>
      </x:c>
      <x:c r="C56" s="102" t="str">
        <x:v>CSL Group</x:v>
      </x:c>
      <x:c r="D56" s="102"/>
      <x:c r="E56" s="102" t="str">
        <x:v>COMP_CSL_GROUP</x:v>
      </x:c>
      <x:c r="F56" s="102" t="str">
        <x:v>Canonical</x:v>
      </x:c>
      <x:c r="G56" s="102" t="str">
        <x:v>Current Great Lakes + global regional fleet architecture</x:v>
      </x:c>
      <x:c r="H56" s="102" t="str">
        <x:v>Great Lakes system; also operates internationally including Australia</x:v>
      </x:c>
      <x:c r="I56" s="102" t="str">
        <x:v>https://cslships.com/global-fleet/</x:v>
      </x:c>
      <x:c r="J56" s="102" t="str">
        <x:v>In progress</x:v>
      </x:c>
      <x:c r="K56" s="102"/>
      <x:c r="L56" s="102" t="str">
        <x:v>2026-09-07</x:v>
      </x:c>
      <x:c r="M56" s="102" t="str">
        <x:v>Parent group + Canada/Australia/Americas divisions now canonical</x:v>
      </x:c>
    </x:row>
    <x:row r="57">
      <x:c r="A57" s="102" t="str">
        <x:v>Tier 2</x:v>
      </x:c>
      <x:c r="B57" s="102" t="str">
        <x:v>Great Lakes / bulk</x:v>
      </x:c>
      <x:c r="C57" s="102" t="str">
        <x:v>Algoma Central Corporation</x:v>
      </x:c>
      <x:c r="D57" s="102"/>
      <x:c r="E57" s="102" t="str">
        <x:v>COMP_ALGOMA</x:v>
      </x:c>
      <x:c r="F57" s="102" t="str">
        <x:v>Canonical</x:v>
      </x:c>
      <x:c r="G57" s="102" t="str">
        <x:v>Great Lakes lakers + tankers + international self-unloaders</x:v>
      </x:c>
      <x:c r="H57" s="102" t="str">
        <x:v>Core Great Lakes cargo system</x:v>
      </x:c>
      <x:c r="I57" s="102" t="str">
        <x:v>https://www.algonet.com/fleets/</x:v>
      </x:c>
      <x:c r="J57" s="102" t="str">
        <x:v>In progress</x:v>
      </x:c>
      <x:c r="K57" s="102"/>
      <x:c r="L57" s="102" t="str">
        <x:v>2026-09-07</x:v>
      </x:c>
      <x:c r="M57" s="102" t="str">
        <x:v>Canonical company and cross-regional fleet program</x:v>
      </x:c>
    </x:row>
    <x:row r="58">
      <x:c r="A58" s="102" t="str">
        <x:v>Tier 2</x:v>
      </x:c>
      <x:c r="B58" s="102" t="str">
        <x:v>Great Lakes / bulk</x:v>
      </x:c>
      <x:c r="C58" s="102" t="str">
        <x:v>Interlake Steamship Company</x:v>
      </x:c>
      <x:c r="D58" s="102"/>
      <x:c r="E58" s="102" t="str">
        <x:v>COMP_INTERLAKE</x:v>
      </x:c>
      <x:c r="F58" s="102" t="str">
        <x:v>Canonical</x:v>
      </x:c>
      <x:c r="G58" s="102" t="str">
        <x:v>11-vessel U.S. Great Lakes commercial fleet</x:v>
      </x:c>
      <x:c r="H58" s="102" t="str">
        <x:v>Core US Great Lakes cargo system</x:v>
      </x:c>
      <x:c r="I58" s="102" t="str">
        <x:v>https://interlake-steamship.com/</x:v>
      </x:c>
      <x:c r="J58" s="102" t="str">
        <x:v>In progress</x:v>
      </x:c>
      <x:c r="K58" s="102"/>
      <x:c r="L58" s="102" t="str">
        <x:v>2026-09-07</x:v>
      </x:c>
      <x:c r="M58" s="102" t="str">
        <x:v>Great Lakes canonical fleet workstream</x:v>
      </x:c>
    </x:row>
    <x:row r="59">
      <x:c r="A59" s="102" t="str">
        <x:v>Tier 2</x:v>
      </x:c>
      <x:c r="B59" s="102" t="str">
        <x:v>Great Lakes / bulk</x:v>
      </x:c>
      <x:c r="C59" s="102" t="str">
        <x:v>American Steamship Company</x:v>
      </x:c>
      <x:c r="D59" s="102"/>
      <x:c r="E59" s="102" t="str">
        <x:v>COMP_ASC</x:v>
      </x:c>
      <x:c r="F59" s="102" t="str">
        <x:v>Canonical</x:v>
      </x:c>
      <x:c r="G59" s="102" t="str">
        <x:v>Great Lakes self-unloading bulk fleet under Mainstay Maritime</x:v>
      </x:c>
      <x:c r="H59" s="102" t="str">
        <x:v>Core US Great Lakes cargo system</x:v>
      </x:c>
      <x:c r="I59" s="102" t="str">
        <x:v>https://mainstaymaritime.com/</x:v>
      </x:c>
      <x:c r="J59" s="102" t="str">
        <x:v>In progress</x:v>
      </x:c>
      <x:c r="K59" s="102"/>
      <x:c r="L59" s="102" t="str">
        <x:v>2026-09-07</x:v>
      </x:c>
      <x:c r="M59" s="102" t="str">
        <x:v>Canonical company; group relationship to Mainstay retained</x:v>
      </x:c>
    </x:row>
    <x:row r="60">
      <x:c r="A60" s="102" t="str">
        <x:v>Tier 2</x:v>
      </x:c>
      <x:c r="B60" s="102" t="str">
        <x:v>Great Lakes / bulk</x:v>
      </x:c>
      <x:c r="C60" s="102" t="str">
        <x:v>Fednav</x:v>
      </x:c>
      <x:c r="D60" s="102"/>
      <x:c r="E60" s="102" t="str">
        <x:v>COMP_FEDNAV</x:v>
      </x:c>
      <x:c r="F60" s="102" t="str">
        <x:v>Canonical</x:v>
      </x:c>
      <x:c r="G60" s="102" t="str">
        <x:v>Great Lakes/Seaway + global dry-bulk fleet</x:v>
      </x:c>
      <x:c r="H60" s="102" t="str">
        <x:v>St Lawrence / Arctic / international bulk corridors</x:v>
      </x:c>
      <x:c r="I60" s="102" t="str">
        <x:v>https://www.fednav.com/</x:v>
      </x:c>
      <x:c r="J60" s="102" t="str">
        <x:v>In progress</x:v>
      </x:c>
      <x:c r="K60" s="102"/>
      <x:c r="L60" s="102" t="str">
        <x:v>2026-09-07</x:v>
      </x:c>
      <x:c r="M60" s="102" t="str">
        <x:v>Canonical company with global/ice-class exposure</x:v>
      </x:c>
    </x:row>
    <x:row r="61">
      <x:c r="A61" s="102" t="str">
        <x:v>Tier 2</x:v>
      </x:c>
      <x:c r="B61" s="102" t="str">
        <x:v>Great Lakes / bulk</x:v>
      </x:c>
      <x:c r="C61" s="102" t="str">
        <x:v>Lower Lakes Towing</x:v>
      </x:c>
      <x:c r="D61" s="102"/>
      <x:c r="E61" s="102" t="str">
        <x:v>COMP_LOWER_LAKES</x:v>
      </x:c>
      <x:c r="F61" s="102" t="str">
        <x:v>Canonical</x:v>
      </x:c>
      <x:c r="G61" s="102" t="str">
        <x:v>Great Lakes bulk fleet</x:v>
      </x:c>
      <x:c r="H61" s="102" t="str">
        <x:v>Canadian / US Great Lakes cargo exposure</x:v>
      </x:c>
      <x:c r="I61" s="102" t="str">
        <x:v>https://www.randlog.com/</x:v>
      </x:c>
      <x:c r="J61" s="102" t="str">
        <x:v>In progress</x:v>
      </x:c>
      <x:c r="K61" s="102"/>
      <x:c r="L61" s="102" t="str">
        <x:v>2026-09-07</x:v>
      </x:c>
      <x:c r="M61" s="102" t="str">
        <x:v>Canonical company; current ownership/control refresh remains queued</x:v>
      </x:c>
    </x:row>
    <x:row r="62">
      <x:c r="A62" s="102" t="str">
        <x:v>Tier 3</x:v>
      </x:c>
      <x:c r="B62" s="102" t="str">
        <x:v>Dry bulk</x:v>
      </x:c>
      <x:c r="C62" s="102" t="str">
        <x:v>Oldendorff Carriers</x:v>
      </x:c>
      <x:c r="D62" s="102"/>
      <x:c r="E62" s="102"/>
      <x:c r="F62" s="102" t="str">
        <x:v>Research universe</x:v>
      </x:c>
      <x:c r="G62" s="102" t="str">
        <x:v>Owned + chartered dry-bulk fleet</x:v>
      </x:c>
      <x:c r="H62" s="102" t="str">
        <x:v>Global commodity corridor exposure</x:v>
      </x:c>
      <x:c r="I62" s="102"/>
      <x:c r="J62" s="102" t="str">
        <x:v>Queued</x:v>
      </x:c>
      <x:c r="K62" s="102"/>
      <x:c r="L62" s="102" t="str">
        <x:v>2026-09-07</x:v>
      </x:c>
      <x:c r="M62" s="102"/>
    </x:row>
    <x:row r="63">
      <x:c r="A63" s="102" t="str">
        <x:v>Tier 3</x:v>
      </x:c>
      <x:c r="B63" s="102" t="str">
        <x:v>Dry bulk</x:v>
      </x:c>
      <x:c r="C63" s="102" t="str">
        <x:v>Star Bulk Carriers</x:v>
      </x:c>
      <x:c r="D63" s="102"/>
      <x:c r="E63" s="102"/>
      <x:c r="F63" s="102" t="str">
        <x:v>Research universe</x:v>
      </x:c>
      <x:c r="G63" s="102" t="str">
        <x:v>Dry-bulk fleet</x:v>
      </x:c>
      <x:c r="H63" s="102" t="str">
        <x:v>Listed bulk owner; commodity/charter-market relevance</x:v>
      </x:c>
      <x:c r="I63" s="102"/>
      <x:c r="J63" s="102" t="str">
        <x:v>Queued</x:v>
      </x:c>
      <x:c r="K63" s="102"/>
      <x:c r="L63" s="102" t="str">
        <x:v>2026-09-07</x:v>
      </x:c>
      <x:c r="M63" s="102"/>
    </x:row>
    <x:row r="64">
      <x:c r="A64" s="102" t="str">
        <x:v>Tier 3</x:v>
      </x:c>
      <x:c r="B64" s="102" t="str">
        <x:v>Dry bulk</x:v>
      </x:c>
      <x:c r="C64" s="102" t="str">
        <x:v>Berge Bulk</x:v>
      </x:c>
      <x:c r="D64" s="102"/>
      <x:c r="E64" s="102"/>
      <x:c r="F64" s="102" t="str">
        <x:v>Research universe</x:v>
      </x:c>
      <x:c r="G64" s="102" t="str">
        <x:v>Large dry-bulk fleet</x:v>
      </x:c>
      <x:c r="H64" s="102" t="str">
        <x:v>Major ore / commodity corridor exposure</x:v>
      </x:c>
      <x:c r="I64" s="102"/>
      <x:c r="J64" s="102" t="str">
        <x:v>Queued</x:v>
      </x:c>
      <x:c r="K64" s="102"/>
      <x:c r="L64" s="102" t="str">
        <x:v>2026-09-07</x:v>
      </x:c>
      <x:c r="M64" s="102"/>
    </x:row>
    <x:row r="65">
      <x:c r="A65" s="102" t="str">
        <x:v>Tier 3</x:v>
      </x:c>
      <x:c r="B65" s="102" t="str">
        <x:v>Dry bulk</x:v>
      </x:c>
      <x:c r="C65" s="102" t="str">
        <x:v>Pacific Basin</x:v>
      </x:c>
      <x:c r="D65" s="102"/>
      <x:c r="E65" s="102"/>
      <x:c r="F65" s="102" t="str">
        <x:v>Research universe</x:v>
      </x:c>
      <x:c r="G65" s="102" t="str">
        <x:v>Handysize / Supramax fleet</x:v>
      </x:c>
      <x:c r="H65" s="102" t="str">
        <x:v>Global minor-bulk and port exposure</x:v>
      </x:c>
      <x:c r="I65" s="102"/>
      <x:c r="J65" s="102" t="str">
        <x:v>Queued</x:v>
      </x:c>
      <x:c r="K65" s="102"/>
      <x:c r="L65" s="102" t="str">
        <x:v>2026-09-07</x:v>
      </x:c>
      <x:c r="M65" s="102"/>
    </x:row>
    <x:row r="66">
      <x:c r="A66" s="102" t="str">
        <x:v>Tier 3</x:v>
      </x:c>
      <x:c r="B66" s="102" t="str">
        <x:v>Dry bulk</x:v>
      </x:c>
      <x:c r="C66" s="102" t="str">
        <x:v>Golden Ocean</x:v>
      </x:c>
      <x:c r="D66" s="102"/>
      <x:c r="E66" s="102"/>
      <x:c r="F66" s="102" t="str">
        <x:v>Research universe</x:v>
      </x:c>
      <x:c r="G66" s="102" t="str">
        <x:v>Capesize / Panamax fleet</x:v>
      </x:c>
      <x:c r="H66" s="102" t="str">
        <x:v>Major dry-bulk benchmark</x:v>
      </x:c>
      <x:c r="I66" s="102"/>
      <x:c r="J66" s="102" t="str">
        <x:v>Queued</x:v>
      </x:c>
      <x:c r="K66" s="102"/>
      <x:c r="L66" s="102" t="str">
        <x:v>2026-09-07</x:v>
      </x:c>
      <x:c r="M66" s="102"/>
    </x:row>
    <x:row r="67">
      <x:c r="A67" s="102" t="str">
        <x:v>Tier 3</x:v>
      </x:c>
      <x:c r="B67" s="102" t="str">
        <x:v>Dry bulk</x:v>
      </x:c>
      <x:c r="C67" s="102" t="str">
        <x:v>Genco Shipping &amp; Trading</x:v>
      </x:c>
      <x:c r="D67" s="102"/>
      <x:c r="E67" s="102"/>
      <x:c r="F67" s="102" t="str">
        <x:v>Research universe</x:v>
      </x:c>
      <x:c r="G67" s="102" t="str">
        <x:v>Dry-bulk fleet</x:v>
      </x:c>
      <x:c r="H67" s="102" t="str">
        <x:v>Listed owner / commodity-corridor exposure</x:v>
      </x:c>
      <x:c r="I67" s="102"/>
      <x:c r="J67" s="102" t="str">
        <x:v>Queued</x:v>
      </x:c>
      <x:c r="K67" s="102"/>
      <x:c r="L67" s="102" t="str">
        <x:v>2026-09-07</x:v>
      </x:c>
      <x:c r="M67" s="102"/>
    </x:row>
    <x:row r="68">
      <x:c r="A68" s="102" t="str">
        <x:v>Tier 2</x:v>
      </x:c>
      <x:c r="B68" s="102" t="str">
        <x:v>Energy shipping</x:v>
      </x:c>
      <x:c r="C68" s="102" t="str">
        <x:v>ADNOC Logistics &amp; Services</x:v>
      </x:c>
      <x:c r="D68" s="102" t="str">
        <x:v>ADNOC</x:v>
      </x:c>
      <x:c r="E68" s="102" t="str">
        <x:v>COMP_ADNOC_LS</x:v>
      </x:c>
      <x:c r="F68" s="102" t="str">
        <x:v>Canonical</x:v>
      </x:c>
      <x:c r="G68" s="102" t="str">
        <x:v>Shipping + offshore + integrated logistics fleets</x:v>
      </x:c>
      <x:c r="H68" s="102" t="str">
        <x:v>Direct UAE strategic shipping exposure</x:v>
      </x:c>
      <x:c r="I68" s="102" t="str">
        <x:v>None</x:v>
      </x:c>
      <x:c r="J68" s="102" t="str">
        <x:v>In progress</x:v>
      </x:c>
      <x:c r="K68" s="102" t="str">
        <x:v>112 shipping vessels; broader fleet 900+ baseline</x:v>
      </x:c>
      <x:c r="L68" s="102" t="str">
        <x:v>2026-09-07</x:v>
      </x:c>
      <x:c r="M68" s="102"/>
    </x:row>
    <x:row r="69">
      <x:c r="A69" s="102" t="str">
        <x:v>Tier 2</x:v>
      </x:c>
      <x:c r="B69" s="102" t="str">
        <x:v>Energy shipping</x:v>
      </x:c>
      <x:c r="C69" s="102" t="str">
        <x:v>Navig8</x:v>
      </x:c>
      <x:c r="D69" s="102" t="str">
        <x:v>80% ADNOC L&amp;S</x:v>
      </x:c>
      <x:c r="E69" s="102" t="str">
        <x:v>COMP_NAVIG8</x:v>
      </x:c>
      <x:c r="F69" s="102" t="str">
        <x:v>Canonical</x:v>
      </x:c>
      <x:c r="G69" s="102" t="str">
        <x:v>Tanker fleet</x:v>
      </x:c>
      <x:c r="H69" s="102" t="str">
        <x:v>ADNOC L&amp;S acquisition and global tanker exposure</x:v>
      </x:c>
      <x:c r="I69" s="102" t="str">
        <x:v>None</x:v>
      </x:c>
      <x:c r="J69" s="102" t="str">
        <x:v>In progress</x:v>
      </x:c>
      <x:c r="K69" s="102" t="str">
        <x:v>32-vessel integrated fleet baseline</x:v>
      </x:c>
      <x:c r="L69" s="102" t="str">
        <x:v>2026-09-07</x:v>
      </x:c>
      <x:c r="M69" s="102"/>
    </x:row>
    <x:row r="70">
      <x:c r="A70" s="102" t="str">
        <x:v>Tier 2</x:v>
      </x:c>
      <x:c r="B70" s="102" t="str">
        <x:v>Energy shipping</x:v>
      </x:c>
      <x:c r="C70" s="102" t="str">
        <x:v>Nakilat</x:v>
      </x:c>
      <x:c r="D70" s="102"/>
      <x:c r="E70" s="102" t="str">
        <x:v>COMP_NAKILAT</x:v>
      </x:c>
      <x:c r="F70" s="102" t="str">
        <x:v>Canonical</x:v>
      </x:c>
      <x:c r="G70" s="102" t="str">
        <x:v>LNG / LPG fleet + newbuild orderbook</x:v>
      </x:c>
      <x:c r="H70" s="102" t="str">
        <x:v>Qatar LNG export system</x:v>
      </x:c>
      <x:c r="I70" s="102" t="str">
        <x:v>None</x:v>
      </x:c>
      <x:c r="J70" s="102" t="str">
        <x:v>In progress</x:v>
      </x:c>
      <x:c r="K70" s="102"/>
      <x:c r="L70" s="102" t="str">
        <x:v>2026-09-07</x:v>
      </x:c>
      <x:c r="M70" s="102"/>
    </x:row>
    <x:row r="71">
      <x:c r="A71" s="102" t="str">
        <x:v>Tier 2</x:v>
      </x:c>
      <x:c r="B71" s="102" t="str">
        <x:v>Energy shipping</x:v>
      </x:c>
      <x:c r="C71" s="102" t="str">
        <x:v>Milaha</x:v>
      </x:c>
      <x:c r="D71" s="102"/>
      <x:c r="E71" s="102" t="str">
        <x:v>COMP_MILAHA</x:v>
      </x:c>
      <x:c r="F71" s="102" t="str">
        <x:v>Canonical</x:v>
      </x:c>
      <x:c r="G71" s="102" t="str">
        <x:v>Gas / petrochem / offshore fleet</x:v>
      </x:c>
      <x:c r="H71" s="102" t="str">
        <x:v>Qatar maritime ecosystem</x:v>
      </x:c>
      <x:c r="I71" s="102" t="str">
        <x:v>None</x:v>
      </x:c>
      <x:c r="J71" s="102" t="str">
        <x:v>In progress</x:v>
      </x:c>
      <x:c r="K71" s="102"/>
      <x:c r="L71" s="102" t="str">
        <x:v>2026-09-07</x:v>
      </x:c>
      <x:c r="M71" s="102"/>
    </x:row>
    <x:row r="72">
      <x:c r="A72" s="102" t="str">
        <x:v>Tier 2</x:v>
      </x:c>
      <x:c r="B72" s="102" t="str">
        <x:v>Energy shipping</x:v>
      </x:c>
      <x:c r="C72" s="102" t="str">
        <x:v>bp Shipping</x:v>
      </x:c>
      <x:c r="D72" s="102" t="str">
        <x:v>bp</x:v>
      </x:c>
      <x:c r="E72" s="102" t="str">
        <x:v>COMP_BP_SHIPPING</x:v>
      </x:c>
      <x:c r="F72" s="102" t="str">
        <x:v>Canonical</x:v>
      </x:c>
      <x:c r="G72" s="102" t="str">
        <x:v>Oil / LNG / supply vessels; owned/chartered split</x:v>
      </x:c>
      <x:c r="H72" s="102" t="str">
        <x:v>Energy-major shipping exposure</x:v>
      </x:c>
      <x:c r="I72" s="102" t="str">
        <x:v>None</x:v>
      </x:c>
      <x:c r="J72" s="102" t="str">
        <x:v>Queued</x:v>
      </x:c>
      <x:c r="K72" s="102" t="str">
        <x:v>48-vessel 2024 baseline</x:v>
      </x:c>
      <x:c r="L72" s="102" t="str">
        <x:v>2026-09-07</x:v>
      </x:c>
      <x:c r="M72" s="102"/>
    </x:row>
    <x:row r="73">
      <x:c r="A73" s="102" t="str">
        <x:v>Tier 2</x:v>
      </x:c>
      <x:c r="B73" s="102" t="str">
        <x:v>Energy shipping</x:v>
      </x:c>
      <x:c r="C73" s="102" t="str">
        <x:v>Chevron Shipping</x:v>
      </x:c>
      <x:c r="D73" s="102" t="str">
        <x:v>Chevron</x:v>
      </x:c>
      <x:c r="E73" s="102" t="str">
        <x:v>COMP_CHEVRON_SHIPPING</x:v>
      </x:c>
      <x:c r="F73" s="102" t="str">
        <x:v>Canonical</x:v>
      </x:c>
      <x:c r="G73" s="102" t="str">
        <x:v>Crude / LNG / products fleet</x:v>
      </x:c>
      <x:c r="H73" s="102" t="str">
        <x:v>Energy-major shipping exposure</x:v>
      </x:c>
      <x:c r="I73" s="102" t="str">
        <x:v>None</x:v>
      </x:c>
      <x:c r="J73" s="102" t="str">
        <x:v>Queued</x:v>
      </x:c>
      <x:c r="K73" s="102"/>
      <x:c r="L73" s="102" t="str">
        <x:v>2026-09-07</x:v>
      </x:c>
      <x:c r="M73" s="102"/>
    </x:row>
    <x:row r="74">
      <x:c r="A74" s="102" t="str">
        <x:v>Tier 3</x:v>
      </x:c>
      <x:c r="B74" s="102" t="str">
        <x:v>Energy shipping</x:v>
      </x:c>
      <x:c r="C74" s="102" t="str">
        <x:v>GasLog</x:v>
      </x:c>
      <x:c r="D74" s="102"/>
      <x:c r="E74" s="102"/>
      <x:c r="F74" s="102" t="str">
        <x:v>Research universe</x:v>
      </x:c>
      <x:c r="G74" s="102" t="str">
        <x:v>LNG carrier fleet</x:v>
      </x:c>
      <x:c r="H74" s="102" t="str">
        <x:v>LNG ownership / charter structure benchmark</x:v>
      </x:c>
      <x:c r="I74" s="102"/>
      <x:c r="J74" s="102" t="str">
        <x:v>Queued</x:v>
      </x:c>
      <x:c r="K74" s="102"/>
      <x:c r="L74" s="102" t="str">
        <x:v>2026-09-07</x:v>
      </x:c>
      <x:c r="M74" s="102"/>
    </x:row>
    <x:row r="75">
      <x:c r="A75" s="102" t="str">
        <x:v>Tier 3</x:v>
      </x:c>
      <x:c r="B75" s="102" t="str">
        <x:v>Energy shipping</x:v>
      </x:c>
      <x:c r="C75" s="102" t="str">
        <x:v>Shell Shipping / STASCO</x:v>
      </x:c>
      <x:c r="D75" s="102" t="str">
        <x:v>Shell</x:v>
      </x:c>
      <x:c r="E75" s="102"/>
      <x:c r="F75" s="102" t="str">
        <x:v>Research universe</x:v>
      </x:c>
      <x:c r="G75" s="102" t="str">
        <x:v>LNG / tanker / charter exposure</x:v>
      </x:c>
      <x:c r="H75" s="102" t="str">
        <x:v>Energy-major shipping and charter-principal mapping</x:v>
      </x:c>
      <x:c r="I75" s="102"/>
      <x:c r="J75" s="102" t="str">
        <x:v>Queued</x:v>
      </x:c>
      <x:c r="K75" s="102"/>
      <x:c r="L75" s="102" t="str">
        <x:v>2026-09-07</x:v>
      </x:c>
      <x:c r="M75" s="102"/>
    </x:row>
    <x:row r="76">
      <x:c r="A76" s="102" t="str">
        <x:v>Tier 1</x:v>
      </x:c>
      <x:c r="B76" s="102" t="str">
        <x:v>Tanker / VLCC</x:v>
      </x:c>
      <x:c r="C76" s="102" t="str">
        <x:v>China Merchants Energy Shipping</x:v>
      </x:c>
      <x:c r="D76" s="102" t="str">
        <x:v>China Merchants Group</x:v>
      </x:c>
      <x:c r="E76" s="102" t="str">
        <x:v>COMP_CMES</x:v>
      </x:c>
      <x:c r="F76" s="102" t="str">
        <x:v>Canonical</x:v>
      </x:c>
      <x:c r="G76" s="102" t="str">
        <x:v>VLCC + broader tanker fleet; owned/operated/chartered split; newbuild orderbook</x:v>
      </x:c>
      <x:c r="H76" s="102" t="str">
        <x:v>One of the largest Chinese crude fleets; Middle East-to-China corridor and STS exposure</x:v>
      </x:c>
      <x:c r="I76" s="102" t="str">
        <x:v>https://www.reuters.com/business/energy/chinas-state-shippers-deploy-oil-tankers-outside-gulf-avoid-chokepoints-sources-2026-08-18/</x:v>
      </x:c>
      <x:c r="J76" s="102" t="str">
        <x:v>In progress</x:v>
      </x:c>
      <x:c r="K76" s="102" t="str">
        <x:v>51 VLCC benchmark; 10 new VLCC orders reported in 2026</x:v>
      </x:c>
      <x:c r="L76" s="102" t="str">
        <x:v>2026-09-07</x:v>
      </x:c>
      <x:c r="M76" s="102" t="str">
        <x:v>Keep tanker fleet separate from China Merchants port/logistics assets.</x:v>
      </x:c>
    </x:row>
    <x:row r="77">
      <x:c r="A77" s="102" t="str">
        <x:v>Tier 1</x:v>
      </x:c>
      <x:c r="B77" s="102" t="str">
        <x:v>Tanker / VLCC</x:v>
      </x:c>
      <x:c r="C77" s="102" t="str">
        <x:v>COSCO SHIPPING Energy</x:v>
      </x:c>
      <x:c r="D77" s="102" t="str">
        <x:v>COSCO SHIPPING</x:v>
      </x:c>
      <x:c r="E77" s="102" t="str">
        <x:v>COMP_COSCO_ENERGY</x:v>
      </x:c>
      <x:c r="F77" s="102" t="str">
        <x:v>Canonical</x:v>
      </x:c>
      <x:c r="G77" s="102" t="str">
        <x:v>VLCC + product tanker + LNG fleet; owned/operated/chartered split</x:v>
      </x:c>
      <x:c r="H77" s="102" t="str">
        <x:v>Links Chinese crude-import security to COSCO corporate/port network</x:v>
      </x:c>
      <x:c r="I77" s="102" t="str">
        <x:v>https://www.reuters.com/business/energy/chinas-state-shippers-deploy-oil-tankers-outside-gulf-avoid-chokepoints-sources-2026-08-18/</x:v>
      </x:c>
      <x:c r="J77" s="102" t="str">
        <x:v>In progress</x:v>
      </x:c>
      <x:c r="K77" s="102" t="str">
        <x:v>41 VLCC benchmark</x:v>
      </x:c>
      <x:c r="L77" s="102" t="str">
        <x:v>2026-09-07</x:v>
      </x:c>
      <x:c r="M77" s="102" t="str">
        <x:v>Separate from COSCO SHIPPING Lines and COSCO SHIPPING Ports.</x:v>
      </x:c>
    </x:row>
    <x:row r="78">
      <x:c r="A78" s="102" t="str">
        <x:v>Tier 1</x:v>
      </x:c>
      <x:c r="B78" s="102" t="str">
        <x:v>Tanker / VLCC</x:v>
      </x:c>
      <x:c r="C78" s="102" t="str">
        <x:v>Frontline plc</x:v>
      </x:c>
      <x:c r="D78" s="102"/>
      <x:c r="E78" s="102" t="str">
        <x:v>COMP_FRONTLINE</x:v>
      </x:c>
      <x:c r="F78" s="102" t="str">
        <x:v>Canonical</x:v>
      </x:c>
      <x:c r="G78" s="102" t="str">
        <x:v>VLCC, Suezmax and LR2 fleet including purchases, sales and newbuildings</x:v>
      </x:c>
      <x:c r="H78" s="102" t="str">
        <x:v>Large listed tanker owner with rapidly changing fleet count</x:v>
      </x:c>
      <x:c r="I78" s="102" t="str">
        <x:v>https://www.sec.gov/Archives/edgar/data/913290/000091957426005942/p15060813_ex-1.htm</x:v>
      </x:c>
      <x:c r="J78" s="102" t="str">
        <x:v>In progress</x:v>
      </x:c>
      <x:c r="K78" s="102" t="str">
        <x:v>40 VLCC pro-forma after announced transactions</x:v>
      </x:c>
      <x:c r="L78" s="102" t="str">
        <x:v>2026-09-07</x:v>
      </x:c>
      <x:c r="M78" s="102" t="str">
        <x:v>Ranking snapshots must preserve date because 37/40/41/42 can all be valid under different transaction dates.</x:v>
      </x:c>
    </x:row>
    <x:row r="79">
      <x:c r="A79" s="102" t="str">
        <x:v>Tier 1</x:v>
      </x:c>
      <x:c r="B79" s="102" t="str">
        <x:v>Tanker / VLCC</x:v>
      </x:c>
      <x:c r="C79" s="102" t="str">
        <x:v>Maran Tankers Management</x:v>
      </x:c>
      <x:c r="D79" s="102" t="str">
        <x:v>Angelicoussis Group</x:v>
      </x:c>
      <x:c r="E79" s="102" t="str">
        <x:v>COMP_MARAN_TANKERS</x:v>
      </x:c>
      <x:c r="F79" s="102" t="str">
        <x:v>Canonical</x:v>
      </x:c>
      <x:c r="G79" s="102" t="str">
        <x:v>VLCC fleet + management relationships + newbuilds</x:v>
      </x:c>
      <x:c r="H79" s="102" t="str">
        <x:v>Major private Greek tanker fleet and second-hand/newbuild benchmark</x:v>
      </x:c>
      <x:c r="I79" s="102" t="str">
        <x:v>https://directory.marinelink.com/ships/companies-maran_tankers_management_inc~2e</x:v>
      </x:c>
      <x:c r="J79" s="102" t="str">
        <x:v>Queued</x:v>
      </x:c>
      <x:c r="K79" s="102" t="str">
        <x:v>33 VLCC benchmark</x:v>
      </x:c>
      <x:c r="L79" s="102" t="str">
        <x:v>2026-09-07</x:v>
      </x:c>
      <x:c r="M79" s="102" t="str">
        <x:v>Resolve each IMO and legal owner under Angelicoussis structure.</x:v>
      </x:c>
    </x:row>
    <x:row r="80">
      <x:c r="A80" s="102" t="str">
        <x:v>Tier 1</x:v>
      </x:c>
      <x:c r="B80" s="102" t="str">
        <x:v>Tanker / VLCC</x:v>
      </x:c>
      <x:c r="C80" s="102" t="str">
        <x:v>Mitsui O.S.K. Lines</x:v>
      </x:c>
      <x:c r="D80" s="102"/>
      <x:c r="E80" s="102" t="str">
        <x:v>COMP_MOL</x:v>
      </x:c>
      <x:c r="F80" s="102" t="str">
        <x:v>Canonical</x:v>
      </x:c>
      <x:c r="G80" s="102" t="str">
        <x:v>Operated/owned crude tanker fleet; gas and other energy shipping kept separate</x:v>
      </x:c>
      <x:c r="H80" s="102" t="str">
        <x:v>Japanese energy-shipping benchmark and ONE shareholder</x:v>
      </x:c>
      <x:c r="I80" s="102" t="str">
        <x:v>https://www.mol.co.jp/en/</x:v>
      </x:c>
      <x:c r="J80" s="102" t="str">
        <x:v>Queued</x:v>
      </x:c>
      <x:c r="K80" s="102" t="str">
        <x:v>30 operated VLCC benchmark</x:v>
      </x:c>
      <x:c r="L80" s="102" t="str">
        <x:v>2026-09-07</x:v>
      </x:c>
      <x:c r="M80" s="102" t="str">
        <x:v>Avoid conflating MOL group tanker operations with ONE container fleet.</x:v>
      </x:c>
    </x:row>
    <x:row r="81">
      <x:c r="A81" s="102" t="str">
        <x:v>Tier 1</x:v>
      </x:c>
      <x:c r="B81" s="102" t="str">
        <x:v>Tanker / VLCC</x:v>
      </x:c>
      <x:c r="C81" s="102" t="str">
        <x:v>DHT Holdings</x:v>
      </x:c>
      <x:c r="D81" s="102"/>
      <x:c r="E81" s="102" t="str">
        <x:v>COMP_DHT</x:v>
      </x:c>
      <x:c r="F81" s="102" t="str">
        <x:v>Canonical</x:v>
      </x:c>
      <x:c r="G81" s="102" t="str">
        <x:v>Full VLCC fleet + charter employment + orderbook</x:v>
      </x:c>
      <x:c r="H81" s="102" t="str">
        <x:v>Pure-play VLCC company makes ownership/charter analysis comparatively clean</x:v>
      </x:c>
      <x:c r="I81" s="102" t="str">
        <x:v>https://www.dhtankers.com/</x:v>
      </x:c>
      <x:c r="J81" s="102" t="str">
        <x:v>In progress</x:v>
      </x:c>
      <x:c r="K81" s="102" t="str">
        <x:v>23 VLCC benchmark; four 2026 newbuilds delivered</x:v>
      </x:c>
      <x:c r="L81" s="102" t="str">
        <x:v>2026-09-07</x:v>
      </x:c>
      <x:c r="M81" s="102" t="str">
        <x:v>Populate full IMO register and charter status.</x:v>
      </x:c>
    </x:row>
    <x:row r="82">
      <x:c r="A82" s="102" t="str">
        <x:v>Tier 1</x:v>
      </x:c>
      <x:c r="B82" s="102" t="str">
        <x:v>Tanker / VLCC</x:v>
      </x:c>
      <x:c r="C82" s="102" t="str">
        <x:v>NYK Line</x:v>
      </x:c>
      <x:c r="D82" s="102"/>
      <x:c r="E82" s="102" t="str">
        <x:v>COMP_NYK</x:v>
      </x:c>
      <x:c r="F82" s="102" t="str">
        <x:v>Canonical</x:v>
      </x:c>
      <x:c r="G82" s="102" t="str">
        <x:v>VLCC fleet + broader tanker/LNG/car-carrier portfolios</x:v>
      </x:c>
      <x:c r="H82" s="102" t="str">
        <x:v>Japanese energy-shipping benchmark and ONE shareholder</x:v>
      </x:c>
      <x:c r="I82" s="102" t="str">
        <x:v>https://www.nyk.com/english/ir/library/result/2025/__icsFiles/afieldfile/2026/05/11/260511_ppt_en.pdf</x:v>
      </x:c>
      <x:c r="J82" s="102" t="str">
        <x:v>Queued</x:v>
      </x:c>
      <x:c r="K82" s="102" t="str">
        <x:v>22 operated VLCC benchmark; 106 tankers overall Mar 2026</x:v>
      </x:c>
      <x:c r="L82" s="102" t="str">
        <x:v>2026-09-07</x:v>
      </x:c>
      <x:c r="M82" s="102" t="str">
        <x:v>Segment totals include owned/co-owned and chartered vessels.</x:v>
      </x:c>
    </x:row>
    <x:row r="83">
      <x:c r="A83" s="102" t="str">
        <x:v>Tier 1</x:v>
      </x:c>
      <x:c r="B83" s="102" t="str">
        <x:v>Tanker / VLCC</x:v>
      </x:c>
      <x:c r="C83" s="102" t="str">
        <x:v>Asyad Shipping</x:v>
      </x:c>
      <x:c r="D83" s="102" t="str">
        <x:v>Asyad Group</x:v>
      </x:c>
      <x:c r="E83" s="102" t="str">
        <x:v>COMP_ASYAD_SHIPPING</x:v>
      </x:c>
      <x:c r="F83" s="102" t="str">
        <x:v>Canonical</x:v>
      </x:c>
      <x:c r="G83" s="102" t="str">
        <x:v>Crude/VLCC, products, LNG, dry bulk and liner fleet</x:v>
      </x:c>
      <x:c r="H83" s="102" t="str">
        <x:v>Oman maritime corridor relevance and Hormuz-alternative geography</x:v>
      </x:c>
      <x:c r="I83" s="102" t="str">
        <x:v>https://www.asyad.com/maritime/transport/our-fleet</x:v>
      </x:c>
      <x:c r="J83" s="102" t="str">
        <x:v>In progress</x:v>
      </x:c>
      <x:c r="K83" s="102" t="str">
        <x:v>14 VLCC ranking benchmark; 14 owned crude vessels at end-2025</x:v>
      </x:c>
      <x:c r="L83" s="102" t="str">
        <x:v>2026-09-07</x:v>
      </x:c>
      <x:c r="M83" s="102" t="str">
        <x:v>Classify crude vessels individually before treating all as VLCC.</x:v>
      </x:c>
    </x:row>
    <x:row r="84">
      <x:c r="A84" s="102" t="str">
        <x:v>Tier 1</x:v>
      </x:c>
      <x:c r="B84" s="102" t="str">
        <x:v>Tanker / VLCC</x:v>
      </x:c>
      <x:c r="C84" s="102" t="str">
        <x:v>National Iranian Tanker Company</x:v>
      </x:c>
      <x:c r="D84" s="102"/>
      <x:c r="E84" s="102" t="str">
        <x:v>COMP_NITC</x:v>
      </x:c>
      <x:c r="F84" s="102" t="str">
        <x:v>Canonical</x:v>
      </x:c>
      <x:c r="G84" s="102" t="str">
        <x:v>Sanctioned/restricted VLCC and tanker fleet</x:v>
      </x:c>
      <x:c r="H84" s="102" t="str">
        <x:v>Essential excluded-universe case for sanctions and tradeability analytics</x:v>
      </x:c>
      <x:c r="I84" s="102" t="str">
        <x:v>https://www.gosships.com/</x:v>
      </x:c>
      <x:c r="J84" s="102" t="str">
        <x:v>Queued</x:v>
      </x:c>
      <x:c r="K84" s="102" t="str">
        <x:v>37 VLCC benchmark; excluded from tradeable ranking</x:v>
      </x:c>
      <x:c r="L84" s="102" t="str">
        <x:v>2026-09-07</x:v>
      </x:c>
      <x:c r="M84" s="102" t="str">
        <x:v>Never remove sanctioned vessels from canonical fleet; restrictions belong in separate table.</x:v>
      </x:c>
    </x:row>
    <x:row r="85">
      <x:c r="A85" s="102" t="str">
        <x:v>Tier 1</x:v>
      </x:c>
      <x:c r="B85" s="102" t="str">
        <x:v>Great Lakes / bulk</x:v>
      </x:c>
      <x:c r="C85" s="102" t="str">
        <x:v>Canada Steamship Lines</x:v>
      </x:c>
      <x:c r="D85" s="102" t="str">
        <x:v>The CSL Group</x:v>
      </x:c>
      <x:c r="E85" s="102" t="str">
        <x:v>COMP_CSL_CANADA</x:v>
      </x:c>
      <x:c r="F85" s="102" t="str">
        <x:v>Canonical</x:v>
      </x:c>
      <x:c r="G85" s="102" t="str">
        <x:v>Great Lakes/St. Lawrence self-unloader and bulk fleet</x:v>
      </x:c>
      <x:c r="H85" s="102" t="str">
        <x:v>Core Canadian Great Lakes operator; parent links to global CSL regions</x:v>
      </x:c>
      <x:c r="I85" s="102" t="str">
        <x:v>https://cslships.com/global-fleet/</x:v>
      </x:c>
      <x:c r="J85" s="102" t="str">
        <x:v>In progress</x:v>
      </x:c>
      <x:c r="K85" s="102" t="str">
        <x:v>18 Great Lakes/St. Lawrence vessel staging records in current app branch</x:v>
      </x:c>
      <x:c r="L85" s="102" t="str">
        <x:v>2026-09-07</x:v>
      </x:c>
      <x:c r="M85" s="102" t="str">
        <x:v>Separate regional operating company/division from CSL Australia and Americas.</x:v>
      </x:c>
    </x:row>
    <x:row r="86">
      <x:c r="A86" s="102" t="str">
        <x:v>Tier 2</x:v>
      </x:c>
      <x:c r="B86" s="102" t="str">
        <x:v>Great Lakes / global bulk</x:v>
      </x:c>
      <x:c r="C86" s="102" t="str">
        <x:v>CSL Australia</x:v>
      </x:c>
      <x:c r="D86" s="102" t="str">
        <x:v>The CSL Group</x:v>
      </x:c>
      <x:c r="E86" s="102" t="str">
        <x:v>COMP_CSL_AUSTRALIA</x:v>
      </x:c>
      <x:c r="F86" s="102" t="str">
        <x:v>Canonical</x:v>
      </x:c>
      <x:c r="G86" s="102" t="str">
        <x:v>Australia/Asia self-unloader and transhipment fleet</x:v>
      </x:c>
      <x:c r="H86" s="102" t="str">
        <x:v>Cross-region comparison showing parent group exposure outside Great Lakes</x:v>
      </x:c>
      <x:c r="I86" s="102" t="str">
        <x:v>https://cslships.com/global-fleet/</x:v>
      </x:c>
      <x:c r="J86" s="102" t="str">
        <x:v>In progress</x:v>
      </x:c>
      <x:c r="K86" s="102" t="str">
        <x:v>16 Australia/Asia vessel discovery records</x:v>
      </x:c>
      <x:c r="L86" s="102" t="str">
        <x:v>2026-09-07</x:v>
      </x:c>
      <x:c r="M86" s="102" t="str">
        <x:v>Keep in same group graph as CSL Canada.</x:v>
      </x:c>
    </x:row>
    <x:row r="87">
      <x:c r="A87" s="102" t="str">
        <x:v>Tier 2</x:v>
      </x:c>
      <x:c r="B87" s="102" t="str">
        <x:v>Great Lakes / global bulk</x:v>
      </x:c>
      <x:c r="C87" s="102" t="str">
        <x:v>CSL Americas</x:v>
      </x:c>
      <x:c r="D87" s="102" t="str">
        <x:v>The CSL Group</x:v>
      </x:c>
      <x:c r="E87" s="102" t="str">
        <x:v>COMP_CSL_AMERICAS</x:v>
      </x:c>
      <x:c r="F87" s="102" t="str">
        <x:v>Canonical</x:v>
      </x:c>
      <x:c r="G87" s="102" t="str">
        <x:v>Americas/Caribbean/Africa regional fleet</x:v>
      </x:c>
      <x:c r="H87" s="102" t="str">
        <x:v>Cross-region CSL group fleet exposure</x:v>
      </x:c>
      <x:c r="I87" s="102" t="str">
        <x:v>https://cslships.com/global-fleet/</x:v>
      </x:c>
      <x:c r="J87" s="102" t="str">
        <x:v>Queued</x:v>
      </x:c>
      <x:c r="K87" s="102"/>
      <x:c r="L87" s="102" t="str">
        <x:v>2026-09-07</x:v>
      </x:c>
      <x:c r="M87" s="102" t="str">
        <x:v>Parent group footprint.</x:v>
      </x:c>
    </x:row>
    <x:row r="88">
      <x:c r="A88" s="102" t="str">
        <x:v>Tier 1</x:v>
      </x:c>
      <x:c r="B88" s="102" t="str">
        <x:v>Great Lakes / bulk</x:v>
      </x:c>
      <x:c r="C88" s="102" t="str">
        <x:v>Great Lakes Fleet</x:v>
      </x:c>
      <x:c r="D88" s="102" t="str">
        <x:v>CN</x:v>
      </x:c>
      <x:c r="E88" s="102" t="str">
        <x:v>COMP_GREAT_LAKES_FLEET</x:v>
      </x:c>
      <x:c r="F88" s="102" t="str">
        <x:v>Canonical</x:v>
      </x:c>
      <x:c r="G88" s="102" t="str">
        <x:v>U.S. Great Lakes self-unloading bulk fleet</x:v>
      </x:c>
      <x:c r="H88" s="102" t="str">
        <x:v>Integrated rail-marine iron ore and bulk supply chain</x:v>
      </x:c>
      <x:c r="I88" s="102" t="str">
        <x:v>https://www.cn.ca/</x:v>
      </x:c>
      <x:c r="J88" s="102" t="str">
        <x:v>In progress</x:v>
      </x:c>
      <x:c r="K88" s="102" t="str">
        <x:v>9 vessel identity seeds in current app branch</x:v>
      </x:c>
      <x:c r="L88" s="102" t="str">
        <x:v>2026-09-07</x:v>
      </x:c>
      <x:c r="M88" s="102" t="str">
        <x:v>CN ownership/system role retained separately from Key Lakes operating records.</x:v>
      </x:c>
    </x:row>
    <x:row r="89">
      <x:c r="A89" s="102" t="str">
        <x:v>Tier 1</x:v>
      </x:c>
      <x:c r="B89" s="102" t="str">
        <x:v>Great Lakes / marine</x:v>
      </x:c>
      <x:c r="C89" s="102" t="str">
        <x:v>Mainstay Maritime</x:v>
      </x:c>
      <x:c r="D89" s="102"/>
      <x:c r="E89" s="102" t="str">
        <x:v>COMP_MAINSTAY</x:v>
      </x:c>
      <x:c r="F89" s="102" t="str">
        <x:v>Canonical</x:v>
      </x:c>
      <x:c r="G89" s="102" t="str">
        <x:v>Great Lakes marine logistics group</x:v>
      </x:c>
      <x:c r="H89" s="102" t="str">
        <x:v>Parent platform for American Steamship, Grand River Navigation and Andrie</x:v>
      </x:c>
      <x:c r="I89" s="102" t="str">
        <x:v>https://mainstaymaritime.com/</x:v>
      </x:c>
      <x:c r="J89" s="102" t="str">
        <x:v>In progress</x:v>
      </x:c>
      <x:c r="K89" s="102"/>
      <x:c r="L89" s="102" t="str">
        <x:v>2026-09-07</x:v>
      </x:c>
      <x:c r="M89" s="102" t="str">
        <x:v>Group layer is required for vessel/operator ownership graph.</x:v>
      </x:c>
    </x:row>
    <x:row r="90">
      <x:c r="A90" s="102" t="str">
        <x:v>Tier 1</x:v>
      </x:c>
      <x:c r="B90" s="102" t="str">
        <x:v>Great Lakes / bulk</x:v>
      </x:c>
      <x:c r="C90" s="102" t="str">
        <x:v>Grand River Navigation</x:v>
      </x:c>
      <x:c r="D90" s="102" t="str">
        <x:v>Mainstay Maritime</x:v>
      </x:c>
      <x:c r="E90" s="102" t="str">
        <x:v>COMP_GRN</x:v>
      </x:c>
      <x:c r="F90" s="102" t="str">
        <x:v>Canonical</x:v>
      </x:c>
      <x:c r="G90" s="102" t="str">
        <x:v>U.S. Jones Act Great Lakes bulk fleet</x:v>
      </x:c>
      <x:c r="H90" s="102" t="str">
        <x:v>Core Mainstay operating company</x:v>
      </x:c>
      <x:c r="I90" s="102" t="str">
        <x:v>https://mainstaymaritime.com/</x:v>
      </x:c>
      <x:c r="J90" s="102" t="str">
        <x:v>In progress</x:v>
      </x:c>
      <x:c r="K90" s="102" t="str">
        <x:v>7 vessel identity seeds</x:v>
      </x:c>
      <x:c r="L90" s="102" t="str">
        <x:v>2026-09-07</x:v>
      </x:c>
      <x:c r="M90" s="102"/>
    </x:row>
    <x:row r="91">
      <x:c r="A91" s="102" t="str">
        <x:v>Tier 2</x:v>
      </x:c>
      <x:c r="B91" s="102" t="str">
        <x:v>Great Lakes / liquid bulk</x:v>
      </x:c>
      <x:c r="C91" s="102" t="str">
        <x:v>Andrie</x:v>
      </x:c>
      <x:c r="D91" s="102" t="str">
        <x:v>Mainstay Maritime</x:v>
      </x:c>
      <x:c r="E91" s="102" t="str">
        <x:v>COMP_ANDRIE</x:v>
      </x:c>
      <x:c r="F91" s="102" t="str">
        <x:v>Canonical</x:v>
      </x:c>
      <x:c r="G91" s="102" t="str">
        <x:v>Great Lakes tank-barge / liquid bulk operations</x:v>
      </x:c>
      <x:c r="H91" s="102" t="str">
        <x:v>Adds liquid-bulk movement to Great Lakes system</x:v>
      </x:c>
      <x:c r="I91" s="102" t="str">
        <x:v>https://mainstaymaritime.com/</x:v>
      </x:c>
      <x:c r="J91" s="102" t="str">
        <x:v>Queued</x:v>
      </x:c>
      <x:c r="K91" s="102"/>
      <x:c r="L91" s="102" t="str">
        <x:v>2026-09-07</x:v>
      </x:c>
      <x:c r="M91" s="102"/>
    </x:row>
    <x:row r="92">
      <x:c r="A92" s="102" t="str">
        <x:v>Tier 1</x:v>
      </x:c>
      <x:c r="B92" s="102" t="str">
        <x:v>Great Lakes / marine</x:v>
      </x:c>
      <x:c r="C92" s="102" t="str">
        <x:v>McKeil Marine</x:v>
      </x:c>
      <x:c r="D92" s="102"/>
      <x:c r="E92" s="102" t="str">
        <x:v>COMP_MCKEIL</x:v>
      </x:c>
      <x:c r="F92" s="102" t="str">
        <x:v>Canonical</x:v>
      </x:c>
      <x:c r="G92" s="102" t="str">
        <x:v>Bulk carriers, tankers, tugs, barges and project marine fleet</x:v>
      </x:c>
      <x:c r="H92" s="102" t="str">
        <x:v>Great Lakes/St. Lawrence plus East Coast and Arctic footprint</x:v>
      </x:c>
      <x:c r="I92" s="102" t="str">
        <x:v>https://www.mckeil.com/</x:v>
      </x:c>
      <x:c r="J92" s="102" t="str">
        <x:v>In progress</x:v>
      </x:c>
      <x:c r="K92" s="102" t="str">
        <x:v>19 fleet records / staging observations</x:v>
      </x:c>
      <x:c r="L92" s="102" t="str">
        <x:v>2026-09-07</x:v>
      </x:c>
      <x:c r="M92" s="102" t="str">
        <x:v>Cross-system Canadian marine operator.</x:v>
      </x:c>
    </x:row>
    <x:row r="93">
      <x:c r="A93" s="102" t="str">
        <x:v>Tier 2</x:v>
      </x:c>
      <x:c r="B93" s="102" t="str">
        <x:v>Great Lakes / transport</x:v>
      </x:c>
      <x:c r="C93" s="102" t="str">
        <x:v>Canadian National Railway / CN</x:v>
      </x:c>
      <x:c r="D93" s="102"/>
      <x:c r="E93" s="102" t="str">
        <x:v>COMP_CN</x:v>
      </x:c>
      <x:c r="F93" s="102" t="str">
        <x:v>Canonical</x:v>
      </x:c>
      <x:c r="G93" s="102" t="str">
        <x:v>Rail + marine / Great Lakes Fleet system footprint</x:v>
      </x:c>
      <x:c r="H93" s="102" t="str">
        <x:v>Connects ore and bulk marine transport to inland rail network</x:v>
      </x:c>
      <x:c r="I93" s="102" t="str">
        <x:v>https://www.cn.ca/</x:v>
      </x:c>
      <x:c r="J93" s="102" t="str">
        <x:v>In progress</x:v>
      </x:c>
      <x:c r="K93" s="102"/>
      <x:c r="L93" s="102" t="str">
        <x:v>2026-09-07</x:v>
      </x:c>
      <x:c r="M93" s="102" t="str">
        <x:v>Company-system dependency layer.</x:v>
      </x:c>
    </x:row>
    <x:row r="94">
      <x:c r="A94" s="102" t="str">
        <x:v>Tier 2</x:v>
      </x:c>
      <x:c r="B94" s="102" t="str">
        <x:v>Great Lakes / tanker</x:v>
      </x:c>
      <x:c r="C94" s="102" t="str">
        <x:v>Algoma Tankers Chartering Limited</x:v>
      </x:c>
      <x:c r="D94" s="102" t="str">
        <x:v>Algoma Central Corporation</x:v>
      </x:c>
      <x:c r="E94" s="102" t="str">
        <x:v>COMP_ALGOMA_TANKERS</x:v>
      </x:c>
      <x:c r="F94" s="102" t="str">
        <x:v>Canonical</x:v>
      </x:c>
      <x:c r="G94" s="102" t="str">
        <x:v>Product/chemical tanker operator program</x:v>
      </x:c>
      <x:c r="H94" s="102" t="str">
        <x:v>Connects Algoma to Atlantic/East Coast tanker operations</x:v>
      </x:c>
      <x:c r="I94" s="102" t="str">
        <x:v>https://www.algonet.com/</x:v>
      </x:c>
      <x:c r="J94" s="102" t="str">
        <x:v>In progress</x:v>
      </x:c>
      <x:c r="K94" s="102" t="str">
        <x:v>Algoma East Coast / Algoma Acadian current records</x:v>
      </x:c>
      <x:c r="L94" s="102" t="str">
        <x:v>2026-09-07</x:v>
      </x:c>
      <x:c r="M94" s="102" t="str">
        <x:v>Keep registered owner Fundy Tankers separate from operator/group exposure.</x:v>
      </x:c>
    </x:row>
  </x:sheetData>
  <x:mergeCells>
    <x:mergeCell ref="A1:M1"/>
    <x:mergeCell ref="A5:M5"/>
  </x:mergeCells>
  <x:conditionalFormatting sqref="A8:A75">
    <x:cfRule type="expression" dxfId="0" priority="1">
      <x:formula>A8="Tier 1"</x:formula>
    </x:cfRule>
    <x:cfRule type="expression" dxfId="1" priority="2">
      <x:formula>A8="Tier 2"</x:formula>
    </x:cfRule>
    <x:cfRule type="expression" dxfId="2" priority="3">
      <x:formula>A8="Tier 3"</x:formula>
    </x:cfRule>
  </x:conditionalFormatting>
  <x:dataValidations count="2">
    <x:dataValidation type="list" sqref="A8:A75">
      <x:formula1>"Tier 1,Tier 2,Tier 3"</x:formula1>
    </x:dataValidation>
    <x:dataValidation type="list" sqref="J8:J75">
      <x:formula1>"In progress,Queued,Not started,Complete"</x:formula1>
    </x:dataValidation>
  </x:dataValidations>
  <x:pageMargins left="0.7" right="0.7" top="0.75" bottom="0.75" header="0.3" footer="0.3"/>
  <x:tableParts count="1">
    <x:tablePart xmlns:r="http://schemas.openxmlformats.org/officeDocument/2006/relationships" r:id="R1a87431aa7a54e17"/>
  </x:tableParts>
</x:worksheet>
</file>

<file path=xl/worksheets/sheet38.xml><?xml version="1.0" encoding="utf-8"?>
<x:worksheet xmlns:x="http://schemas.openxmlformats.org/spreadsheetml/2006/main">
  <x:sheetFormatPr defaultRowHeight="15"/>
  <x:cols>
    <x:col min="1" max="1" width="14" hidden="0" customWidth="1"/>
    <x:col min="2" max="2" width="20" hidden="0" customWidth="1"/>
    <x:col min="3" max="3" width="24" hidden="0" customWidth="1"/>
    <x:col min="4" max="4" width="12" hidden="0" customWidth="1"/>
    <x:col min="5" max="5" width="24" hidden="0" customWidth="1"/>
    <x:col min="6" max="6" width="12" hidden="0" customWidth="1"/>
    <x:col min="7" max="7" width="27" hidden="0" customWidth="1"/>
    <x:col min="8" max="8" width="20" hidden="0" customWidth="1"/>
    <x:col min="9" max="9" width="20" hidden="0" customWidth="1"/>
    <x:col min="10" max="10" width="13" hidden="0" customWidth="1"/>
    <x:col min="11" max="11" width="13" hidden="0" customWidth="1"/>
    <x:col min="12" max="12" width="32" hidden="0" customWidth="1"/>
    <x:col min="13" max="13" width="38" hidden="0" customWidth="1"/>
    <x:col min="14" max="14" width="12" hidden="0" customWidth="1"/>
    <x:col min="15" max="15" width="48" hidden="0" customWidth="1"/>
    <x:col min="16" max="16" width="13" hidden="0" customWidth="1"/>
    <x:col min="17" max="17" width="18" hidden="0" customWidth="1"/>
    <x:col min="19" max="19" width="24" hidden="0" customWidth="1"/>
    <x:col min="20" max="20" width="12" hidden="0" customWidth="1"/>
    <x:col min="21" max="21" width="20" hidden="0" customWidth="1"/>
    <x:col min="22" max="22" width="12" hidden="0" customWidth="1"/>
  </x:cols>
  <x:sheetData>
    <x:row r="1" ht="28" customHeight="1">
      <x:c r="A1" s="132" t="str">
        <x:v>Carrier Deployment Seeds — IMO-Level Service Evidence</x:v>
      </x:c>
      <x:c r="B1" s="132"/>
      <x:c r="C1" s="132"/>
      <x:c r="D1" s="132"/>
      <x:c r="E1" s="132"/>
      <x:c r="F1" s="132"/>
      <x:c r="G1" s="132"/>
      <x:c r="H1" s="132"/>
      <x:c r="I1" s="132"/>
      <x:c r="J1" s="132"/>
      <x:c r="K1" s="132"/>
      <x:c r="L1" s="132"/>
      <x:c r="M1" s="132"/>
      <x:c r="N1" s="132"/>
      <x:c r="O1" s="132"/>
      <x:c r="P1" s="132"/>
      <x:c r="Q1" s="132"/>
    </x:row>
    <x:row r="2">
      <x:c r="A2" s="136" t="str">
        <x:v>Deployment Observations</x:v>
      </x:c>
      <x:c r="B2" s="136"/>
      <x:c r="C2" s="136" t="str">
        <x:v>Unique IMOs</x:v>
      </x:c>
      <x:c r="D2" s="136"/>
      <x:c r="E2" s="136" t="str">
        <x:v>Carriers</x:v>
      </x:c>
      <x:c r="F2" s="136"/>
      <x:c r="G2" s="136" t="str">
        <x:v>Canonical Vessel Links</x:v>
      </x:c>
      <x:c r="H2" s="136"/>
      <x:c r="S2" s="143" t="str">
        <x:v>Carrier</x:v>
      </x:c>
      <x:c r="T2" s="143" t="str">
        <x:v>Seed Vessels</x:v>
      </x:c>
      <x:c r="U2" s="143" t="str">
        <x:v>Company ID</x:v>
      </x:c>
      <x:c r="V2" s="143" t="str">
        <x:v>Source ID</x:v>
      </x:c>
    </x:row>
    <x:row r="3">
      <x:c r="A3" s="122" t="n">
        <x:v>85</x:v>
      </x:c>
      <x:c r="B3" s="122"/>
      <x:c r="C3" s="122" t="n">
        <x:v>85</x:v>
      </x:c>
      <x:c r="D3" s="122"/>
      <x:c r="E3" s="122" t="n">
        <x:v>18</x:v>
      </x:c>
      <x:c r="F3" s="122"/>
      <x:c r="G3" s="122" t="n">
        <x:v>85</x:v>
      </x:c>
      <x:c r="H3" s="122"/>
      <x:c r="S3" t="str">
        <x:v>CMA CGM</x:v>
      </x:c>
      <x:c r="T3" t="n">
        <x:v>5</x:v>
      </x:c>
      <x:c r="U3" t="str">
        <x:v>COMP_CMA_CGM</x:v>
      </x:c>
      <x:c r="V3" t="str">
        <x:v>SRC_0191</x:v>
      </x:c>
    </x:row>
    <x:row r="4">
      <x:c r="S4" t="str">
        <x:v>MSC</x:v>
      </x:c>
      <x:c r="T4" t="n">
        <x:v>5</x:v>
      </x:c>
      <x:c r="U4" t="str">
        <x:v>COMP_MSC</x:v>
      </x:c>
      <x:c r="V4" t="str">
        <x:v>SRC_0192</x:v>
      </x:c>
    </x:row>
    <x:row r="5" ht="44" customHeight="1">
      <x:c r="A5" s="140" t="str">
        <x:v>Interpretation rule: a carrier schedule is evidence that the vessel is deployed/marketed on that carrier's service. It is NOT, by itself, evidence that the carrier is the registered owner, beneficial owner, technical manager, ISM manager or actual ship operator.</x:v>
      </x:c>
      <x:c r="B5" s="140"/>
      <x:c r="C5" s="140"/>
      <x:c r="D5" s="140"/>
      <x:c r="E5" s="140"/>
      <x:c r="F5" s="140"/>
      <x:c r="G5" s="140"/>
      <x:c r="H5" s="140"/>
      <x:c r="I5" s="140"/>
      <x:c r="J5" s="140"/>
      <x:c r="K5" s="140"/>
      <x:c r="L5" s="140"/>
      <x:c r="M5" s="140"/>
      <x:c r="N5" s="140"/>
      <x:c r="O5" s="140"/>
      <x:c r="P5" s="140"/>
      <x:c r="Q5" s="140"/>
      <x:c r="S5" t="str">
        <x:v>Maersk</x:v>
      </x:c>
      <x:c r="T5" t="n">
        <x:v>5</x:v>
      </x:c>
      <x:c r="U5" t="str">
        <x:v>COMP_MAERSK</x:v>
      </x:c>
      <x:c r="V5" t="str">
        <x:v>SRC_0193</x:v>
      </x:c>
    </x:row>
    <x:row r="6">
      <x:c r="S6" t="str">
        <x:v>COSCO</x:v>
      </x:c>
      <x:c r="T6" t="n">
        <x:v>5</x:v>
      </x:c>
      <x:c r="U6" t="str">
        <x:v>COMP_COSCO_LINES</x:v>
      </x:c>
      <x:c r="V6" t="str">
        <x:v>SRC_0194</x:v>
      </x:c>
    </x:row>
    <x:row r="7">
      <x:c r="A7" s="145" t="str">
        <x:v>Seed ID</x:v>
      </x:c>
      <x:c r="B7" s="145" t="str">
        <x:v>Company ID</x:v>
      </x:c>
      <x:c r="C7" s="145" t="str">
        <x:v>Carrier</x:v>
      </x:c>
      <x:c r="D7" s="145" t="str">
        <x:v>Carrier Code</x:v>
      </x:c>
      <x:c r="E7" s="145" t="str">
        <x:v>Vessel Name</x:v>
      </x:c>
      <x:c r="F7" s="145" t="str">
        <x:v>IMO</x:v>
      </x:c>
      <x:c r="G7" s="145" t="str">
        <x:v>Evidence Type</x:v>
      </x:c>
      <x:c r="H7" s="145" t="str">
        <x:v>Origin</x:v>
      </x:c>
      <x:c r="I7" s="145" t="str">
        <x:v>Destination</x:v>
      </x:c>
      <x:c r="J7" s="145" t="str">
        <x:v>Departure</x:v>
      </x:c>
      <x:c r="K7" s="145" t="str">
        <x:v>Arrival</x:v>
      </x:c>
      <x:c r="L7" s="145" t="str">
        <x:v>Relationship</x:v>
      </x:c>
      <x:c r="M7" s="145" t="str">
        <x:v>Ownership Inference</x:v>
      </x:c>
      <x:c r="N7" s="145" t="str">
        <x:v>Source ID</x:v>
      </x:c>
      <x:c r="O7" s="145" t="str">
        <x:v>Source URL</x:v>
      </x:c>
      <x:c r="P7" s="145" t="str">
        <x:v>Verified As Of</x:v>
      </x:c>
      <x:c r="Q7" s="145" t="str">
        <x:v>Canonical Vessel ID</x:v>
      </x:c>
      <x:c r="S7" t="str">
        <x:v>Evergreen</x:v>
      </x:c>
      <x:c r="T7" t="n">
        <x:v>5</x:v>
      </x:c>
      <x:c r="U7" t="str">
        <x:v>COMP_EVERGREEN</x:v>
      </x:c>
      <x:c r="V7" t="str">
        <x:v>SRC_0195</x:v>
      </x:c>
    </x:row>
    <x:row r="8">
      <x:c r="A8" s="102" t="str">
        <x:v>DEP_00001</x:v>
      </x:c>
      <x:c r="B8" s="102" t="str">
        <x:v>COMP_CMA_CGM</x:v>
      </x:c>
      <x:c r="C8" s="102" t="str">
        <x:v>CMA CGM</x:v>
      </x:c>
      <x:c r="D8" s="102" t="str">
        <x:v>CMDU</x:v>
      </x:c>
      <x:c r="E8" s="102" t="str">
        <x:v>SIGYN W</x:v>
      </x:c>
      <x:c r="F8" s="110" t="str">
        <x:v>9754446</x:v>
      </x:c>
      <x:c r="G8" s="102" t="str">
        <x:v>Carrier schedule / service deployment</x:v>
      </x:c>
      <x:c r="H8" s="102" t="str">
        <x:v>Rotterdam</x:v>
      </x:c>
      <x:c r="I8" s="102" t="str">
        <x:v>Runavik</x:v>
      </x:c>
      <x:c r="J8" s="102" t="str">
        <x:v>2026-08-26</x:v>
      </x:c>
      <x:c r="K8" s="102" t="str">
        <x:v>2026-08-29</x:v>
      </x:c>
      <x:c r="L8" s="102" t="str">
        <x:v>SCHEDULED_BY / SERVICE_DEPLOYMENT</x:v>
      </x:c>
      <x:c r="M8" s="102" t="str">
        <x:v>Do not infer ownership/management from schedule</x:v>
      </x:c>
      <x:c r="N8" s="102" t="str">
        <x:v>SRC_0191</x:v>
      </x:c>
      <x:c r="O8" s="102" t="str">
        <x:v>https://www.fluentcargo.com/carriers/scac/CMDU</x:v>
      </x:c>
      <x:c r="P8" s="102" t="str">
        <x:v>2026-09-07</x:v>
      </x:c>
      <x:c r="Q8" s="102" t="str">
        <x:v>VESSEL_00185</x:v>
      </x:c>
      <x:c r="S8" t="str">
        <x:v>Hapag-Lloyd</x:v>
      </x:c>
      <x:c r="T8" t="n">
        <x:v>5</x:v>
      </x:c>
      <x:c r="U8" t="str">
        <x:v>COMP_HAPAG_LLOYD</x:v>
      </x:c>
      <x:c r="V8" t="str">
        <x:v>SRC_0196</x:v>
      </x:c>
    </x:row>
    <x:row r="9">
      <x:c r="A9" s="102" t="str">
        <x:v>DEP_00002</x:v>
      </x:c>
      <x:c r="B9" s="102" t="str">
        <x:v>COMP_CMA_CGM</x:v>
      </x:c>
      <x:c r="C9" s="102" t="str">
        <x:v>CMA CGM</x:v>
      </x:c>
      <x:c r="D9" s="102" t="str">
        <x:v>CMDU</x:v>
      </x:c>
      <x:c r="E9" s="102" t="str">
        <x:v>KOI</x:v>
      </x:c>
      <x:c r="F9" s="110" t="str">
        <x:v>9461489</x:v>
      </x:c>
      <x:c r="G9" s="102" t="str">
        <x:v>Carrier schedule / service deployment</x:v>
      </x:c>
      <x:c r="H9" s="102" t="str">
        <x:v>Busan</x:v>
      </x:c>
      <x:c r="I9" s="102" t="str">
        <x:v>Houston</x:v>
      </x:c>
      <x:c r="J9" s="102" t="str">
        <x:v>2026-08-27</x:v>
      </x:c>
      <x:c r="K9" s="102" t="str">
        <x:v>2026-09-21</x:v>
      </x:c>
      <x:c r="L9" s="102" t="str">
        <x:v>SCHEDULED_BY / SERVICE_DEPLOYMENT</x:v>
      </x:c>
      <x:c r="M9" s="102" t="str">
        <x:v>Do not infer ownership/management from schedule</x:v>
      </x:c>
      <x:c r="N9" s="102" t="str">
        <x:v>SRC_0191</x:v>
      </x:c>
      <x:c r="O9" s="102" t="str">
        <x:v>https://www.fluentcargo.com/carriers/scac/CMDU</x:v>
      </x:c>
      <x:c r="P9" s="102" t="str">
        <x:v>2026-09-07</x:v>
      </x:c>
      <x:c r="Q9" s="102" t="str">
        <x:v>VESSEL_00186</x:v>
      </x:c>
      <x:c r="S9" t="str">
        <x:v>ONE</x:v>
      </x:c>
      <x:c r="T9" t="n">
        <x:v>5</x:v>
      </x:c>
      <x:c r="U9" t="str">
        <x:v>COMP_ONE</x:v>
      </x:c>
      <x:c r="V9" t="str">
        <x:v>SRC_0197</x:v>
      </x:c>
    </x:row>
    <x:row r="10">
      <x:c r="A10" s="102" t="str">
        <x:v>DEP_00003</x:v>
      </x:c>
      <x:c r="B10" s="102" t="str">
        <x:v>COMP_CMA_CGM</x:v>
      </x:c>
      <x:c r="C10" s="102" t="str">
        <x:v>CMA CGM</x:v>
      </x:c>
      <x:c r="D10" s="102" t="str">
        <x:v>CMDU</x:v>
      </x:c>
      <x:c r="E10" s="102" t="str">
        <x:v>CMA CGM AMBER</x:v>
      </x:c>
      <x:c r="F10" s="110" t="str">
        <x:v>9350381</x:v>
      </x:c>
      <x:c r="G10" s="102" t="str">
        <x:v>Carrier schedule / service deployment</x:v>
      </x:c>
      <x:c r="H10" s="102" t="str">
        <x:v>Ningbo</x:v>
      </x:c>
      <x:c r="I10" s="102" t="str">
        <x:v>Shanghai</x:v>
      </x:c>
      <x:c r="J10" s="102" t="str">
        <x:v>2026-08-27</x:v>
      </x:c>
      <x:c r="K10" s="102" t="str">
        <x:v>2026-08-29</x:v>
      </x:c>
      <x:c r="L10" s="102" t="str">
        <x:v>SCHEDULED_BY / SERVICE_DEPLOYMENT</x:v>
      </x:c>
      <x:c r="M10" s="102" t="str">
        <x:v>Do not infer ownership/management from schedule</x:v>
      </x:c>
      <x:c r="N10" s="102" t="str">
        <x:v>SRC_0191</x:v>
      </x:c>
      <x:c r="O10" s="102" t="str">
        <x:v>https://www.fluentcargo.com/carriers/scac/CMDU</x:v>
      </x:c>
      <x:c r="P10" s="102" t="str">
        <x:v>2026-09-07</x:v>
      </x:c>
      <x:c r="Q10" s="102" t="str">
        <x:v>VESSEL_00187</x:v>
      </x:c>
      <x:c r="S10" t="str">
        <x:v>Yang Ming</x:v>
      </x:c>
      <x:c r="T10" t="n">
        <x:v>5</x:v>
      </x:c>
      <x:c r="U10" t="str">
        <x:v>COMP_YANG_MING</x:v>
      </x:c>
      <x:c r="V10" t="str">
        <x:v>SRC_0198</x:v>
      </x:c>
    </x:row>
    <x:row r="11">
      <x:c r="A11" s="102" t="str">
        <x:v>DEP_00004</x:v>
      </x:c>
      <x:c r="B11" s="102" t="str">
        <x:v>COMP_CMA_CGM</x:v>
      </x:c>
      <x:c r="C11" s="102" t="str">
        <x:v>CMA CGM</x:v>
      </x:c>
      <x:c r="D11" s="102" t="str">
        <x:v>CMDU</x:v>
      </x:c>
      <x:c r="E11" s="102" t="str">
        <x:v>CMA CGM SORBONNE</x:v>
      </x:c>
      <x:c r="F11" s="110" t="str">
        <x:v>9839210</x:v>
      </x:c>
      <x:c r="G11" s="102" t="str">
        <x:v>Carrier schedule / service deployment</x:v>
      </x:c>
      <x:c r="H11" s="102" t="str">
        <x:v>Malta Freeport</x:v>
      </x:c>
      <x:c r="I11" s="102" t="str">
        <x:v>Port Klang</x:v>
      </x:c>
      <x:c r="J11" s="102" t="str">
        <x:v>2026-08-26</x:v>
      </x:c>
      <x:c r="K11" s="102" t="str">
        <x:v>2026-09-11</x:v>
      </x:c>
      <x:c r="L11" s="102" t="str">
        <x:v>SCHEDULED_BY / SERVICE_DEPLOYMENT</x:v>
      </x:c>
      <x:c r="M11" s="102" t="str">
        <x:v>Do not infer ownership/management from schedule</x:v>
      </x:c>
      <x:c r="N11" s="102" t="str">
        <x:v>SRC_0191</x:v>
      </x:c>
      <x:c r="O11" s="102" t="str">
        <x:v>https://www.fluentcargo.com/carriers/scac/CMDU</x:v>
      </x:c>
      <x:c r="P11" s="102" t="str">
        <x:v>2026-09-07</x:v>
      </x:c>
      <x:c r="Q11" s="102" t="str">
        <x:v>VESSEL_00188</x:v>
      </x:c>
      <x:c r="S11" t="str">
        <x:v>HMM</x:v>
      </x:c>
      <x:c r="T11" t="n">
        <x:v>5</x:v>
      </x:c>
      <x:c r="U11" t="str">
        <x:v>COMP_HMM</x:v>
      </x:c>
      <x:c r="V11" t="str">
        <x:v>SRC_0199</x:v>
      </x:c>
    </x:row>
    <x:row r="12">
      <x:c r="A12" s="102" t="str">
        <x:v>DEP_00005</x:v>
      </x:c>
      <x:c r="B12" s="102" t="str">
        <x:v>COMP_CMA_CGM</x:v>
      </x:c>
      <x:c r="C12" s="102" t="str">
        <x:v>CMA CGM</x:v>
      </x:c>
      <x:c r="D12" s="102" t="str">
        <x:v>CMDU</x:v>
      </x:c>
      <x:c r="E12" s="102" t="str">
        <x:v>CMA CGM MEKONG</x:v>
      </x:c>
      <x:c r="F12" s="110" t="str">
        <x:v>9718105</x:v>
      </x:c>
      <x:c r="G12" s="102" t="str">
        <x:v>Carrier schedule / service deployment</x:v>
      </x:c>
      <x:c r="H12" s="102" t="str">
        <x:v>Rotterdam</x:v>
      </x:c>
      <x:c r="I12" s="102" t="str">
        <x:v>Hamburg</x:v>
      </x:c>
      <x:c r="J12" s="102" t="str">
        <x:v>2026-08-26</x:v>
      </x:c>
      <x:c r="K12" s="102" t="str">
        <x:v>2026-08-27</x:v>
      </x:c>
      <x:c r="L12" s="102" t="str">
        <x:v>SCHEDULED_BY / SERVICE_DEPLOYMENT</x:v>
      </x:c>
      <x:c r="M12" s="102" t="str">
        <x:v>Do not infer ownership/management from schedule</x:v>
      </x:c>
      <x:c r="N12" s="102" t="str">
        <x:v>SRC_0191</x:v>
      </x:c>
      <x:c r="O12" s="102" t="str">
        <x:v>https://www.fluentcargo.com/carriers/scac/CMDU</x:v>
      </x:c>
      <x:c r="P12" s="102" t="str">
        <x:v>2026-09-07</x:v>
      </x:c>
      <x:c r="Q12" s="102" t="str">
        <x:v>VESSEL_00189</x:v>
      </x:c>
      <x:c r="S12" t="str">
        <x:v>PIL</x:v>
      </x:c>
      <x:c r="T12" t="n">
        <x:v>5</x:v>
      </x:c>
      <x:c r="U12" t="str">
        <x:v>COMP_PIL</x:v>
      </x:c>
      <x:c r="V12" t="str">
        <x:v>SRC_0200</x:v>
      </x:c>
    </x:row>
    <x:row r="13">
      <x:c r="A13" s="102" t="str">
        <x:v>DEP_00006</x:v>
      </x:c>
      <x:c r="B13" s="102" t="str">
        <x:v>COMP_MSC</x:v>
      </x:c>
      <x:c r="C13" s="102" t="str">
        <x:v>MSC</x:v>
      </x:c>
      <x:c r="D13" s="102" t="str">
        <x:v>MSCU</x:v>
      </x:c>
      <x:c r="E13" s="102" t="str">
        <x:v>MSC UTMOST VIII</x:v>
      </x:c>
      <x:c r="F13" s="110" t="str">
        <x:v>9302621</x:v>
      </x:c>
      <x:c r="G13" s="102" t="str">
        <x:v>Carrier schedule / service deployment</x:v>
      </x:c>
      <x:c r="H13" s="102" t="str">
        <x:v>Sines</x:v>
      </x:c>
      <x:c r="I13" s="102" t="str">
        <x:v>Caucedo</x:v>
      </x:c>
      <x:c r="J13" s="102"/>
      <x:c r="K13" s="102"/>
      <x:c r="L13" s="102" t="str">
        <x:v>SCHEDULED_BY / SERVICE_DEPLOYMENT</x:v>
      </x:c>
      <x:c r="M13" s="102" t="str">
        <x:v>Do not infer ownership/management from schedule</x:v>
      </x:c>
      <x:c r="N13" s="102" t="str">
        <x:v>SRC_0192</x:v>
      </x:c>
      <x:c r="O13" s="102" t="str">
        <x:v>https://www.fluentcargo.com/carriers/scac/MSCU</x:v>
      </x:c>
      <x:c r="P13" s="102" t="str">
        <x:v>2026-09-07</x:v>
      </x:c>
      <x:c r="Q13" s="102" t="str">
        <x:v>VESSEL_00190</x:v>
      </x:c>
      <x:c r="S13" t="str">
        <x:v>Wan Hai</x:v>
      </x:c>
      <x:c r="T13" t="n">
        <x:v>5</x:v>
      </x:c>
      <x:c r="U13" t="str">
        <x:v>COMP_WAN_HAI</x:v>
      </x:c>
      <x:c r="V13" t="str">
        <x:v>SRC_0201</x:v>
      </x:c>
    </x:row>
    <x:row r="14">
      <x:c r="A14" s="102" t="str">
        <x:v>DEP_00007</x:v>
      </x:c>
      <x:c r="B14" s="102" t="str">
        <x:v>COMP_MSC</x:v>
      </x:c>
      <x:c r="C14" s="102" t="str">
        <x:v>MSC</x:v>
      </x:c>
      <x:c r="D14" s="102" t="str">
        <x:v>MSCU</x:v>
      </x:c>
      <x:c r="E14" s="102" t="str">
        <x:v>MSC TARA III</x:v>
      </x:c>
      <x:c r="F14" s="110" t="str">
        <x:v>9259381</x:v>
      </x:c>
      <x:c r="G14" s="102" t="str">
        <x:v>Carrier schedule / service deployment</x:v>
      </x:c>
      <x:c r="H14" s="102" t="str">
        <x:v>Shanghai</x:v>
      </x:c>
      <x:c r="I14" s="102" t="str">
        <x:v>Ningbo</x:v>
      </x:c>
      <x:c r="J14" s="102"/>
      <x:c r="K14" s="102"/>
      <x:c r="L14" s="102" t="str">
        <x:v>SCHEDULED_BY / SERVICE_DEPLOYMENT</x:v>
      </x:c>
      <x:c r="M14" s="102" t="str">
        <x:v>Do not infer ownership/management from schedule</x:v>
      </x:c>
      <x:c r="N14" s="102" t="str">
        <x:v>SRC_0192</x:v>
      </x:c>
      <x:c r="O14" s="102" t="str">
        <x:v>https://www.fluentcargo.com/carriers/scac/MSCU</x:v>
      </x:c>
      <x:c r="P14" s="102" t="str">
        <x:v>2026-09-07</x:v>
      </x:c>
      <x:c r="Q14" s="102" t="str">
        <x:v>VESSEL_00191</x:v>
      </x:c>
      <x:c r="S14" t="str">
        <x:v>ZIM</x:v>
      </x:c>
      <x:c r="T14" t="n">
        <x:v>5</x:v>
      </x:c>
      <x:c r="U14" t="str">
        <x:v>COMP_ZIM</x:v>
      </x:c>
      <x:c r="V14" t="str">
        <x:v>SRC_0202</x:v>
      </x:c>
    </x:row>
    <x:row r="15">
      <x:c r="A15" s="102" t="str">
        <x:v>DEP_00008</x:v>
      </x:c>
      <x:c r="B15" s="102" t="str">
        <x:v>COMP_MSC</x:v>
      </x:c>
      <x:c r="C15" s="102" t="str">
        <x:v>MSC</x:v>
      </x:c>
      <x:c r="D15" s="102" t="str">
        <x:v>MSCU</x:v>
      </x:c>
      <x:c r="E15" s="102" t="str">
        <x:v>MSC KAYLA</x:v>
      </x:c>
      <x:c r="F15" s="110" t="str">
        <x:v>9242637</x:v>
      </x:c>
      <x:c r="G15" s="102" t="str">
        <x:v>Carrier schedule / service deployment</x:v>
      </x:c>
      <x:c r="H15" s="102" t="str">
        <x:v>Antwerp</x:v>
      </x:c>
      <x:c r="I15" s="102" t="str">
        <x:v>St Petersburg</x:v>
      </x:c>
      <x:c r="J15" s="102"/>
      <x:c r="K15" s="102"/>
      <x:c r="L15" s="102" t="str">
        <x:v>SCHEDULED_BY / SERVICE_DEPLOYMENT</x:v>
      </x:c>
      <x:c r="M15" s="102" t="str">
        <x:v>Do not infer ownership/management from schedule</x:v>
      </x:c>
      <x:c r="N15" s="102" t="str">
        <x:v>SRC_0192</x:v>
      </x:c>
      <x:c r="O15" s="102" t="str">
        <x:v>https://www.fluentcargo.com/carriers/scac/MSCU</x:v>
      </x:c>
      <x:c r="P15" s="102" t="str">
        <x:v>2026-09-07</x:v>
      </x:c>
      <x:c r="Q15" s="102" t="str">
        <x:v>VESSEL_00192</x:v>
      </x:c>
      <x:c r="S15" t="str">
        <x:v>Unifeeder</x:v>
      </x:c>
      <x:c r="T15" t="n">
        <x:v>4</x:v>
      </x:c>
      <x:c r="U15" t="str">
        <x:v>COMP_UNIFEEDER</x:v>
      </x:c>
      <x:c r="V15" t="str">
        <x:v>SRC_0203</x:v>
      </x:c>
    </x:row>
    <x:row r="16">
      <x:c r="A16" s="102" t="str">
        <x:v>DEP_00009</x:v>
      </x:c>
      <x:c r="B16" s="102" t="str">
        <x:v>COMP_MSC</x:v>
      </x:c>
      <x:c r="C16" s="102" t="str">
        <x:v>MSC</x:v>
      </x:c>
      <x:c r="D16" s="102" t="str">
        <x:v>MSCU</x:v>
      </x:c>
      <x:c r="E16" s="102" t="str">
        <x:v>MSC JENNY II</x:v>
      </x:c>
      <x:c r="F16" s="110" t="str">
        <x:v>9000742</x:v>
      </x:c>
      <x:c r="G16" s="102" t="str">
        <x:v>Carrier schedule / service deployment</x:v>
      </x:c>
      <x:c r="H16" s="102" t="str">
        <x:v>Gioia Tauro</x:v>
      </x:c>
      <x:c r="I16" s="102" t="str">
        <x:v>Piraeus</x:v>
      </x:c>
      <x:c r="J16" s="102"/>
      <x:c r="K16" s="102"/>
      <x:c r="L16" s="102" t="str">
        <x:v>SCHEDULED_BY / SERVICE_DEPLOYMENT</x:v>
      </x:c>
      <x:c r="M16" s="102" t="str">
        <x:v>Do not infer ownership/management from schedule</x:v>
      </x:c>
      <x:c r="N16" s="102" t="str">
        <x:v>SRC_0192</x:v>
      </x:c>
      <x:c r="O16" s="102" t="str">
        <x:v>https://www.fluentcargo.com/carriers/scac/MSCU</x:v>
      </x:c>
      <x:c r="P16" s="102" t="str">
        <x:v>2026-09-07</x:v>
      </x:c>
      <x:c r="Q16" s="102" t="str">
        <x:v>VESSEL_00193</x:v>
      </x:c>
      <x:c r="S16" t="str">
        <x:v>SeaLead</x:v>
      </x:c>
      <x:c r="T16" t="n">
        <x:v>4</x:v>
      </x:c>
      <x:c r="U16" t="str">
        <x:v>COMP_SEALEAD</x:v>
      </x:c>
      <x:c r="V16" t="str">
        <x:v>SRC_0204</x:v>
      </x:c>
    </x:row>
    <x:row r="17">
      <x:c r="A17" s="102" t="str">
        <x:v>DEP_00010</x:v>
      </x:c>
      <x:c r="B17" s="102" t="str">
        <x:v>COMP_MSC</x:v>
      </x:c>
      <x:c r="C17" s="102" t="str">
        <x:v>MSC</x:v>
      </x:c>
      <x:c r="D17" s="102" t="str">
        <x:v>MSCU</x:v>
      </x:c>
      <x:c r="E17" s="102" t="str">
        <x:v>MSC SHANGHAI V</x:v>
      </x:c>
      <x:c r="F17" s="110" t="str">
        <x:v>9231822</x:v>
      </x:c>
      <x:c r="G17" s="102" t="str">
        <x:v>Carrier schedule / service deployment</x:v>
      </x:c>
      <x:c r="H17" s="102" t="str">
        <x:v>Tekirdag</x:v>
      </x:c>
      <x:c r="I17" s="102" t="str">
        <x:v>Piraeus</x:v>
      </x:c>
      <x:c r="J17" s="102"/>
      <x:c r="K17" s="102"/>
      <x:c r="L17" s="102" t="str">
        <x:v>SCHEDULED_BY / SERVICE_DEPLOYMENT</x:v>
      </x:c>
      <x:c r="M17" s="102" t="str">
        <x:v>Do not infer ownership/management from schedule</x:v>
      </x:c>
      <x:c r="N17" s="102" t="str">
        <x:v>SRC_0192</x:v>
      </x:c>
      <x:c r="O17" s="102" t="str">
        <x:v>https://www.fluentcargo.com/carriers/scac/MSCU</x:v>
      </x:c>
      <x:c r="P17" s="102" t="str">
        <x:v>2026-09-07</x:v>
      </x:c>
      <x:c r="Q17" s="102" t="str">
        <x:v>VESSEL_00194</x:v>
      </x:c>
      <x:c r="S17" t="str">
        <x:v>Emirates Shipping Line</x:v>
      </x:c>
      <x:c r="T17" t="n">
        <x:v>4</x:v>
      </x:c>
      <x:c r="U17" t="str">
        <x:v>COMP_ESL</x:v>
      </x:c>
      <x:c r="V17" t="str">
        <x:v>SRC_0205</x:v>
      </x:c>
    </x:row>
    <x:row r="18">
      <x:c r="A18" s="102" t="str">
        <x:v>DEP_00011</x:v>
      </x:c>
      <x:c r="B18" s="102" t="str">
        <x:v>COMP_MAERSK</x:v>
      </x:c>
      <x:c r="C18" s="102" t="str">
        <x:v>Maersk</x:v>
      </x:c>
      <x:c r="D18" s="102" t="str">
        <x:v>MAEU</x:v>
      </x:c>
      <x:c r="E18" s="102" t="str">
        <x:v>MAERSK SANA</x:v>
      </x:c>
      <x:c r="F18" s="110" t="str">
        <x:v>9289922</x:v>
      </x:c>
      <x:c r="G18" s="102" t="str">
        <x:v>Carrier schedule / service deployment</x:v>
      </x:c>
      <x:c r="H18" s="102" t="str">
        <x:v>Busan</x:v>
      </x:c>
      <x:c r="I18" s="102" t="str">
        <x:v>Lazaro Cardenas</x:v>
      </x:c>
      <x:c r="J18" s="102"/>
      <x:c r="K18" s="102"/>
      <x:c r="L18" s="102" t="str">
        <x:v>SCHEDULED_BY / SERVICE_DEPLOYMENT</x:v>
      </x:c>
      <x:c r="M18" s="102" t="str">
        <x:v>Do not infer ownership/management from schedule</x:v>
      </x:c>
      <x:c r="N18" s="102" t="str">
        <x:v>SRC_0193</x:v>
      </x:c>
      <x:c r="O18" s="102" t="str">
        <x:v>https://www.fluentcargo.com/carriers/scac/MAEU</x:v>
      </x:c>
      <x:c r="P18" s="102" t="str">
        <x:v>2026-09-07</x:v>
      </x:c>
      <x:c r="Q18" s="102" t="str">
        <x:v>VESSEL_00195</x:v>
      </x:c>
      <x:c r="S18" t="str">
        <x:v>X-Press Feeders</x:v>
      </x:c>
      <x:c r="T18" t="n">
        <x:v>4</x:v>
      </x:c>
      <x:c r="U18" t="str">
        <x:v>COMP_XPRESS</x:v>
      </x:c>
      <x:c r="V18" t="str">
        <x:v>SRC_0206</x:v>
      </x:c>
    </x:row>
    <x:row r="19">
      <x:c r="A19" s="102" t="str">
        <x:v>DEP_00012</x:v>
      </x:c>
      <x:c r="B19" s="102" t="str">
        <x:v>COMP_MAERSK</x:v>
      </x:c>
      <x:c r="C19" s="102" t="str">
        <x:v>Maersk</x:v>
      </x:c>
      <x:c r="D19" s="102" t="str">
        <x:v>MAEU</x:v>
      </x:c>
      <x:c r="E19" s="102" t="str">
        <x:v>MAERSK STOCKHOLM</x:v>
      </x:c>
      <x:c r="F19" s="110" t="str">
        <x:v>9352042</x:v>
      </x:c>
      <x:c r="G19" s="102" t="str">
        <x:v>Carrier schedule / service deployment</x:v>
      </x:c>
      <x:c r="H19" s="102" t="str">
        <x:v>Tanjung Pelepas</x:v>
      </x:c>
      <x:c r="I19" s="102" t="str">
        <x:v>Hong Kong</x:v>
      </x:c>
      <x:c r="J19" s="102"/>
      <x:c r="K19" s="102"/>
      <x:c r="L19" s="102" t="str">
        <x:v>SCHEDULED_BY / SERVICE_DEPLOYMENT</x:v>
      </x:c>
      <x:c r="M19" s="102" t="str">
        <x:v>Do not infer ownership/management from schedule</x:v>
      </x:c>
      <x:c r="N19" s="102" t="str">
        <x:v>SRC_0193</x:v>
      </x:c>
      <x:c r="O19" s="102" t="str">
        <x:v>https://www.fluentcargo.com/carriers/scac/MAEU</x:v>
      </x:c>
      <x:c r="P19" s="102" t="str">
        <x:v>2026-09-07</x:v>
      </x:c>
      <x:c r="Q19" s="102" t="str">
        <x:v>VESSEL_00196</x:v>
      </x:c>
      <x:c r="S19" t="str">
        <x:v>Global Feeder Shipping</x:v>
      </x:c>
      <x:c r="T19" t="n">
        <x:v>5</x:v>
      </x:c>
      <x:c r="U19" t="str">
        <x:v>COMP_GFS</x:v>
      </x:c>
      <x:c r="V19" t="str">
        <x:v>SRC_0207</x:v>
      </x:c>
    </x:row>
    <x:row r="20">
      <x:c r="A20" s="102" t="str">
        <x:v>DEP_00013</x:v>
      </x:c>
      <x:c r="B20" s="102" t="str">
        <x:v>COMP_MAERSK</x:v>
      </x:c>
      <x:c r="C20" s="102" t="str">
        <x:v>Maersk</x:v>
      </x:c>
      <x:c r="D20" s="102" t="str">
        <x:v>MAEU</x:v>
      </x:c>
      <x:c r="E20" s="102" t="str">
        <x:v>ADRIAN MAERSK</x:v>
      </x:c>
      <x:c r="F20" s="110" t="str">
        <x:v>9948815</x:v>
      </x:c>
      <x:c r="G20" s="102" t="str">
        <x:v>Carrier schedule / service deployment</x:v>
      </x:c>
      <x:c r="H20" s="102" t="str">
        <x:v>Port Said</x:v>
      </x:c>
      <x:c r="I20" s="102" t="str">
        <x:v>Suez Canal</x:v>
      </x:c>
      <x:c r="J20" s="102"/>
      <x:c r="K20" s="102"/>
      <x:c r="L20" s="102" t="str">
        <x:v>SCHEDULED_BY / SERVICE_DEPLOYMENT</x:v>
      </x:c>
      <x:c r="M20" s="102" t="str">
        <x:v>Do not infer ownership/management from schedule</x:v>
      </x:c>
      <x:c r="N20" s="102" t="str">
        <x:v>SRC_0193</x:v>
      </x:c>
      <x:c r="O20" s="102" t="str">
        <x:v>https://www.fluentcargo.com/carriers/scac/MAEU</x:v>
      </x:c>
      <x:c r="P20" s="102" t="str">
        <x:v>2026-09-07</x:v>
      </x:c>
      <x:c r="Q20" s="102" t="str">
        <x:v>VESSEL_00197</x:v>
      </x:c>
      <x:c r="S20" t="str">
        <x:v>SAFEEN Feeders</x:v>
      </x:c>
      <x:c r="T20" t="n">
        <x:v>4</x:v>
      </x:c>
      <x:c r="U20" t="str">
        <x:v>COMP_SAFEEN_FEEDERS</x:v>
      </x:c>
      <x:c r="V20" t="str">
        <x:v>SRC_0208</x:v>
      </x:c>
    </x:row>
    <x:row r="21">
      <x:c r="A21" s="102" t="str">
        <x:v>DEP_00014</x:v>
      </x:c>
      <x:c r="B21" s="102" t="str">
        <x:v>COMP_MAERSK</x:v>
      </x:c>
      <x:c r="C21" s="102" t="str">
        <x:v>Maersk</x:v>
      </x:c>
      <x:c r="D21" s="102" t="str">
        <x:v>MAEU</x:v>
      </x:c>
      <x:c r="E21" s="102" t="str">
        <x:v>BSG BONAIRE</x:v>
      </x:c>
      <x:c r="F21" s="110" t="str">
        <x:v>9303766</x:v>
      </x:c>
      <x:c r="G21" s="102" t="str">
        <x:v>Carrier schedule / service deployment</x:v>
      </x:c>
      <x:c r="H21" s="102" t="str">
        <x:v>Algeciras</x:v>
      </x:c>
      <x:c r="I21" s="102" t="str">
        <x:v>Livorno</x:v>
      </x:c>
      <x:c r="J21" s="102"/>
      <x:c r="K21" s="102"/>
      <x:c r="L21" s="102" t="str">
        <x:v>SCHEDULED_BY / SERVICE_DEPLOYMENT</x:v>
      </x:c>
      <x:c r="M21" s="102" t="str">
        <x:v>Do not infer ownership/management from schedule</x:v>
      </x:c>
      <x:c r="N21" s="102" t="str">
        <x:v>SRC_0193</x:v>
      </x:c>
      <x:c r="O21" s="102" t="str">
        <x:v>https://www.fluentcargo.com/carriers/scac/MAEU</x:v>
      </x:c>
      <x:c r="P21" s="102" t="str">
        <x:v>2026-09-07</x:v>
      </x:c>
      <x:c r="Q21" s="102" t="str">
        <x:v>VESSEL_00198</x:v>
      </x:c>
      <x:c r="V21"/>
    </x:row>
    <x:row r="22">
      <x:c r="A22" s="102" t="str">
        <x:v>DEP_00015</x:v>
      </x:c>
      <x:c r="B22" s="102" t="str">
        <x:v>COMP_MAERSK</x:v>
      </x:c>
      <x:c r="C22" s="102" t="str">
        <x:v>Maersk</x:v>
      </x:c>
      <x:c r="D22" s="102" t="str">
        <x:v>MAEU</x:v>
      </x:c>
      <x:c r="E22" s="102" t="str">
        <x:v>AS SIMONE</x:v>
      </x:c>
      <x:c r="F22" s="110" t="str">
        <x:v>9813814</x:v>
      </x:c>
      <x:c r="G22" s="102" t="str">
        <x:v>Carrier schedule / service deployment</x:v>
      </x:c>
      <x:c r="H22" s="102" t="str">
        <x:v>Busan</x:v>
      </x:c>
      <x:c r="I22" s="102" t="str">
        <x:v>Moji</x:v>
      </x:c>
      <x:c r="J22" s="102"/>
      <x:c r="K22" s="102"/>
      <x:c r="L22" s="102" t="str">
        <x:v>SCHEDULED_BY / SERVICE_DEPLOYMENT</x:v>
      </x:c>
      <x:c r="M22" s="102" t="str">
        <x:v>Do not infer ownership/management from schedule</x:v>
      </x:c>
      <x:c r="N22" s="102" t="str">
        <x:v>SRC_0193</x:v>
      </x:c>
      <x:c r="O22" s="102" t="str">
        <x:v>https://www.fluentcargo.com/carriers/scac/MAEU</x:v>
      </x:c>
      <x:c r="P22" s="102" t="str">
        <x:v>2026-09-07</x:v>
      </x:c>
      <x:c r="Q22" s="102" t="str">
        <x:v>VESSEL_00199</x:v>
      </x:c>
      <x:c r="V22"/>
    </x:row>
    <x:row r="23">
      <x:c r="A23" s="102" t="str">
        <x:v>DEP_00016</x:v>
      </x:c>
      <x:c r="B23" s="102" t="str">
        <x:v>COMP_COSCO_LINES</x:v>
      </x:c>
      <x:c r="C23" s="102" t="str">
        <x:v>COSCO</x:v>
      </x:c>
      <x:c r="D23" s="102" t="str">
        <x:v>COSU</x:v>
      </x:c>
      <x:c r="E23" s="102" t="str">
        <x:v>XIN FEI ZHOU</x:v>
      </x:c>
      <x:c r="F23" s="110" t="str">
        <x:v>9337937</x:v>
      </x:c>
      <x:c r="G23" s="102" t="str">
        <x:v>Carrier schedule / service deployment</x:v>
      </x:c>
      <x:c r="H23" s="102" t="str">
        <x:v>Xiamen</x:v>
      </x:c>
      <x:c r="I23" s="102" t="str">
        <x:v>Hong Kong</x:v>
      </x:c>
      <x:c r="J23" s="102"/>
      <x:c r="K23" s="102"/>
      <x:c r="L23" s="102" t="str">
        <x:v>SCHEDULED_BY / SERVICE_DEPLOYMENT</x:v>
      </x:c>
      <x:c r="M23" s="102" t="str">
        <x:v>Do not infer ownership/management from schedule</x:v>
      </x:c>
      <x:c r="N23" s="102" t="str">
        <x:v>SRC_0194</x:v>
      </x:c>
      <x:c r="O23" s="102" t="str">
        <x:v>https://www.fluentcargo.com/carriers/scac/COSU</x:v>
      </x:c>
      <x:c r="P23" s="102" t="str">
        <x:v>2026-09-07</x:v>
      </x:c>
      <x:c r="Q23" s="102" t="str">
        <x:v>VESSEL_00200</x:v>
      </x:c>
      <x:c r="V23"/>
    </x:row>
    <x:row r="24">
      <x:c r="A24" s="102" t="str">
        <x:v>DEP_00017</x:v>
      </x:c>
      <x:c r="B24" s="102" t="str">
        <x:v>COMP_COSCO_LINES</x:v>
      </x:c>
      <x:c r="C24" s="102" t="str">
        <x:v>COSCO</x:v>
      </x:c>
      <x:c r="D24" s="102" t="str">
        <x:v>COSU</x:v>
      </x:c>
      <x:c r="E24" s="102" t="str">
        <x:v>XIN TAI CANG</x:v>
      </x:c>
      <x:c r="F24" s="110" t="str">
        <x:v>9320465</x:v>
      </x:c>
      <x:c r="G24" s="102" t="str">
        <x:v>Carrier schedule / service deployment</x:v>
      </x:c>
      <x:c r="H24" s="102" t="str">
        <x:v>Singapore</x:v>
      </x:c>
      <x:c r="I24" s="102" t="str">
        <x:v>Surabaya</x:v>
      </x:c>
      <x:c r="J24" s="102"/>
      <x:c r="K24" s="102"/>
      <x:c r="L24" s="102" t="str">
        <x:v>SCHEDULED_BY / SERVICE_DEPLOYMENT</x:v>
      </x:c>
      <x:c r="M24" s="102" t="str">
        <x:v>Do not infer ownership/management from schedule</x:v>
      </x:c>
      <x:c r="N24" s="102" t="str">
        <x:v>SRC_0194</x:v>
      </x:c>
      <x:c r="O24" s="102" t="str">
        <x:v>https://www.fluentcargo.com/carriers/scac/COSU</x:v>
      </x:c>
      <x:c r="P24" s="102" t="str">
        <x:v>2026-09-07</x:v>
      </x:c>
      <x:c r="Q24" s="102" t="str">
        <x:v>VESSEL_00201</x:v>
      </x:c>
      <x:c r="V24"/>
    </x:row>
    <x:row r="25">
      <x:c r="A25" s="102" t="str">
        <x:v>DEP_00018</x:v>
      </x:c>
      <x:c r="B25" s="102" t="str">
        <x:v>COMP_COSCO_LINES</x:v>
      </x:c>
      <x:c r="C25" s="102" t="str">
        <x:v>COSCO</x:v>
      </x:c>
      <x:c r="D25" s="102" t="str">
        <x:v>COSU</x:v>
      </x:c>
      <x:c r="E25" s="102" t="str">
        <x:v>SEASMILE</x:v>
      </x:c>
      <x:c r="F25" s="110" t="str">
        <x:v>9632820</x:v>
      </x:c>
      <x:c r="G25" s="102" t="str">
        <x:v>Carrier schedule / service deployment</x:v>
      </x:c>
      <x:c r="H25" s="102" t="str">
        <x:v>Hong Kong</x:v>
      </x:c>
      <x:c r="I25" s="102" t="str">
        <x:v>Yantian</x:v>
      </x:c>
      <x:c r="J25" s="102"/>
      <x:c r="K25" s="102"/>
      <x:c r="L25" s="102" t="str">
        <x:v>SCHEDULED_BY / SERVICE_DEPLOYMENT</x:v>
      </x:c>
      <x:c r="M25" s="102" t="str">
        <x:v>Do not infer ownership/management from schedule</x:v>
      </x:c>
      <x:c r="N25" s="102" t="str">
        <x:v>SRC_0194</x:v>
      </x:c>
      <x:c r="O25" s="102" t="str">
        <x:v>https://www.fluentcargo.com/carriers/scac/COSU</x:v>
      </x:c>
      <x:c r="P25" s="102" t="str">
        <x:v>2026-09-07</x:v>
      </x:c>
      <x:c r="Q25" s="102" t="str">
        <x:v>VESSEL_00202</x:v>
      </x:c>
      <x:c r="V25"/>
    </x:row>
    <x:row r="26">
      <x:c r="A26" s="102" t="str">
        <x:v>DEP_00019</x:v>
      </x:c>
      <x:c r="B26" s="102" t="str">
        <x:v>COMP_COSCO_LINES</x:v>
      </x:c>
      <x:c r="C26" s="102" t="str">
        <x:v>COSCO</x:v>
      </x:c>
      <x:c r="D26" s="102" t="str">
        <x:v>COSU</x:v>
      </x:c>
      <x:c r="E26" s="102" t="str">
        <x:v>HANSA BREITENBURG</x:v>
      </x:c>
      <x:c r="F26" s="110" t="str">
        <x:v>9155391</x:v>
      </x:c>
      <x:c r="G26" s="102" t="str">
        <x:v>Carrier schedule / service deployment</x:v>
      </x:c>
      <x:c r="H26" s="102" t="str">
        <x:v>Nansha</x:v>
      </x:c>
      <x:c r="I26" s="102" t="str">
        <x:v>Laem Chabang</x:v>
      </x:c>
      <x:c r="J26" s="102"/>
      <x:c r="K26" s="102"/>
      <x:c r="L26" s="102" t="str">
        <x:v>SCHEDULED_BY / SERVICE_DEPLOYMENT</x:v>
      </x:c>
      <x:c r="M26" s="102" t="str">
        <x:v>Do not infer ownership/management from schedule</x:v>
      </x:c>
      <x:c r="N26" s="102" t="str">
        <x:v>SRC_0194</x:v>
      </x:c>
      <x:c r="O26" s="102" t="str">
        <x:v>https://www.fluentcargo.com/carriers/scac/COSU</x:v>
      </x:c>
      <x:c r="P26" s="102" t="str">
        <x:v>2026-09-07</x:v>
      </x:c>
      <x:c r="Q26" s="102" t="str">
        <x:v>VESSEL_00203</x:v>
      </x:c>
      <x:c r="V26"/>
    </x:row>
    <x:row r="27">
      <x:c r="A27" s="102" t="str">
        <x:v>DEP_00020</x:v>
      </x:c>
      <x:c r="B27" s="102" t="str">
        <x:v>COMP_COSCO_LINES</x:v>
      </x:c>
      <x:c r="C27" s="102" t="str">
        <x:v>COSCO</x:v>
      </x:c>
      <x:c r="D27" s="102" t="str">
        <x:v>COSU</x:v>
      </x:c>
      <x:c r="E27" s="102" t="str">
        <x:v>SMC COLUMBUS</x:v>
      </x:c>
      <x:c r="F27" s="110" t="str">
        <x:v>9961556</x:v>
      </x:c>
      <x:c r="G27" s="102" t="str">
        <x:v>Carrier schedule / service deployment</x:v>
      </x:c>
      <x:c r="H27" s="102" t="str">
        <x:v>Qingdao</x:v>
      </x:c>
      <x:c r="I27" s="102" t="str">
        <x:v>Yokohama</x:v>
      </x:c>
      <x:c r="J27" s="102"/>
      <x:c r="K27" s="102"/>
      <x:c r="L27" s="102" t="str">
        <x:v>SCHEDULED_BY / SERVICE_DEPLOYMENT</x:v>
      </x:c>
      <x:c r="M27" s="102" t="str">
        <x:v>Do not infer ownership/management from schedule</x:v>
      </x:c>
      <x:c r="N27" s="102" t="str">
        <x:v>SRC_0194</x:v>
      </x:c>
      <x:c r="O27" s="102" t="str">
        <x:v>https://www.fluentcargo.com/carriers/scac/COSU</x:v>
      </x:c>
      <x:c r="P27" s="102" t="str">
        <x:v>2026-09-07</x:v>
      </x:c>
      <x:c r="Q27" s="102" t="str">
        <x:v>VESSEL_00204</x:v>
      </x:c>
      <x:c r="V27"/>
    </x:row>
    <x:row r="28">
      <x:c r="A28" s="102" t="str">
        <x:v>DEP_00021</x:v>
      </x:c>
      <x:c r="B28" s="102" t="str">
        <x:v>COMP_EVERGREEN</x:v>
      </x:c>
      <x:c r="C28" s="102" t="str">
        <x:v>Evergreen</x:v>
      </x:c>
      <x:c r="D28" s="102" t="str">
        <x:v>EGLV</x:v>
      </x:c>
      <x:c r="E28" s="102" t="str">
        <x:v>EVER FAR</x:v>
      </x:c>
      <x:c r="F28" s="110" t="str">
        <x:v>9850862</x:v>
      </x:c>
      <x:c r="G28" s="102" t="str">
        <x:v>Carrier schedule / service deployment</x:v>
      </x:c>
      <x:c r="H28" s="102" t="str">
        <x:v>Ningbo</x:v>
      </x:c>
      <x:c r="I28" s="102" t="str">
        <x:v>Yantian</x:v>
      </x:c>
      <x:c r="J28" s="102"/>
      <x:c r="K28" s="102"/>
      <x:c r="L28" s="102" t="str">
        <x:v>SCHEDULED_BY / SERVICE_DEPLOYMENT</x:v>
      </x:c>
      <x:c r="M28" s="102" t="str">
        <x:v>Do not infer ownership/management from schedule</x:v>
      </x:c>
      <x:c r="N28" s="102" t="str">
        <x:v>SRC_0195</x:v>
      </x:c>
      <x:c r="O28" s="102" t="str">
        <x:v>https://www.fluentcargo.com/carriers/scac/EGLV</x:v>
      </x:c>
      <x:c r="P28" s="102" t="str">
        <x:v>2026-09-07</x:v>
      </x:c>
      <x:c r="Q28" s="102" t="str">
        <x:v>VESSEL_00205</x:v>
      </x:c>
      <x:c r="V28"/>
    </x:row>
    <x:row r="29">
      <x:c r="A29" s="102" t="str">
        <x:v>DEP_00022</x:v>
      </x:c>
      <x:c r="B29" s="102" t="str">
        <x:v>COMP_EVERGREEN</x:v>
      </x:c>
      <x:c r="C29" s="102" t="str">
        <x:v>Evergreen</x:v>
      </x:c>
      <x:c r="D29" s="102" t="str">
        <x:v>EGLV</x:v>
      </x:c>
      <x:c r="E29" s="102" t="str">
        <x:v>EVER BEFIT</x:v>
      </x:c>
      <x:c r="F29" s="110" t="str">
        <x:v>9784128</x:v>
      </x:c>
      <x:c r="G29" s="102" t="str">
        <x:v>Carrier schedule / service deployment</x:v>
      </x:c>
      <x:c r="H29" s="102" t="str">
        <x:v>Taipei</x:v>
      </x:c>
      <x:c r="I29" s="102" t="str">
        <x:v>Tokyo</x:v>
      </x:c>
      <x:c r="J29" s="102"/>
      <x:c r="K29" s="102"/>
      <x:c r="L29" s="102" t="str">
        <x:v>SCHEDULED_BY / SERVICE_DEPLOYMENT</x:v>
      </x:c>
      <x:c r="M29" s="102" t="str">
        <x:v>Do not infer ownership/management from schedule</x:v>
      </x:c>
      <x:c r="N29" s="102" t="str">
        <x:v>SRC_0195</x:v>
      </x:c>
      <x:c r="O29" s="102" t="str">
        <x:v>https://www.fluentcargo.com/carriers/scac/EGLV</x:v>
      </x:c>
      <x:c r="P29" s="102" t="str">
        <x:v>2026-09-07</x:v>
      </x:c>
      <x:c r="Q29" s="102" t="str">
        <x:v>VESSEL_00206</x:v>
      </x:c>
      <x:c r="V29"/>
    </x:row>
    <x:row r="30">
      <x:c r="A30" s="102" t="str">
        <x:v>DEP_00023</x:v>
      </x:c>
      <x:c r="B30" s="102" t="str">
        <x:v>COMP_EVERGREEN</x:v>
      </x:c>
      <x:c r="C30" s="102" t="str">
        <x:v>Evergreen</x:v>
      </x:c>
      <x:c r="D30" s="102" t="str">
        <x:v>EGLV</x:v>
      </x:c>
      <x:c r="E30" s="102" t="str">
        <x:v>EVER LINKING</x:v>
      </x:c>
      <x:c r="F30" s="110" t="str">
        <x:v>9629043</x:v>
      </x:c>
      <x:c r="G30" s="102" t="str">
        <x:v>Carrier schedule / service deployment</x:v>
      </x:c>
      <x:c r="H30" s="102" t="str">
        <x:v>Ningbo</x:v>
      </x:c>
      <x:c r="I30" s="102" t="str">
        <x:v>Los Angeles</x:v>
      </x:c>
      <x:c r="J30" s="102"/>
      <x:c r="K30" s="102"/>
      <x:c r="L30" s="102" t="str">
        <x:v>SCHEDULED_BY / SERVICE_DEPLOYMENT</x:v>
      </x:c>
      <x:c r="M30" s="102" t="str">
        <x:v>Do not infer ownership/management from schedule</x:v>
      </x:c>
      <x:c r="N30" s="102" t="str">
        <x:v>SRC_0195</x:v>
      </x:c>
      <x:c r="O30" s="102" t="str">
        <x:v>https://www.fluentcargo.com/carriers/scac/EGLV</x:v>
      </x:c>
      <x:c r="P30" s="102" t="str">
        <x:v>2026-09-07</x:v>
      </x:c>
      <x:c r="Q30" s="102" t="str">
        <x:v>VESSEL_00207</x:v>
      </x:c>
      <x:c r="V30"/>
    </x:row>
    <x:row r="31">
      <x:c r="A31" s="102" t="str">
        <x:v>DEP_00024</x:v>
      </x:c>
      <x:c r="B31" s="102" t="str">
        <x:v>COMP_EVERGREEN</x:v>
      </x:c>
      <x:c r="C31" s="102" t="str">
        <x:v>Evergreen</x:v>
      </x:c>
      <x:c r="D31" s="102" t="str">
        <x:v>EGLV</x:v>
      </x:c>
      <x:c r="E31" s="102" t="str">
        <x:v>EVER MEMO</x:v>
      </x:c>
      <x:c r="F31" s="110" t="str">
        <x:v>9935272</x:v>
      </x:c>
      <x:c r="G31" s="102" t="str">
        <x:v>Carrier schedule / service deployment</x:v>
      </x:c>
      <x:c r="H31" s="102" t="str">
        <x:v>Laem Chabang</x:v>
      </x:c>
      <x:c r="I31" s="102" t="str">
        <x:v>Vung Tau</x:v>
      </x:c>
      <x:c r="J31" s="102"/>
      <x:c r="K31" s="102"/>
      <x:c r="L31" s="102" t="str">
        <x:v>SCHEDULED_BY / SERVICE_DEPLOYMENT</x:v>
      </x:c>
      <x:c r="M31" s="102" t="str">
        <x:v>Do not infer ownership/management from schedule</x:v>
      </x:c>
      <x:c r="N31" s="102" t="str">
        <x:v>SRC_0195</x:v>
      </x:c>
      <x:c r="O31" s="102" t="str">
        <x:v>https://www.fluentcargo.com/carriers/scac/EGLV</x:v>
      </x:c>
      <x:c r="P31" s="102" t="str">
        <x:v>2026-09-07</x:v>
      </x:c>
      <x:c r="Q31" s="102" t="str">
        <x:v>VESSEL_00208</x:v>
      </x:c>
      <x:c r="V31"/>
    </x:row>
    <x:row r="32">
      <x:c r="A32" s="102" t="str">
        <x:v>DEP_00025</x:v>
      </x:c>
      <x:c r="B32" s="102" t="str">
        <x:v>COMP_EVERGREEN</x:v>
      </x:c>
      <x:c r="C32" s="102" t="str">
        <x:v>Evergreen</x:v>
      </x:c>
      <x:c r="D32" s="102" t="str">
        <x:v>EGLV</x:v>
      </x:c>
      <x:c r="E32" s="102" t="str">
        <x:v>NORTHERN PRACTISE</x:v>
      </x:c>
      <x:c r="F32" s="110" t="str">
        <x:v>9450301</x:v>
      </x:c>
      <x:c r="G32" s="102" t="str">
        <x:v>Carrier schedule / service deployment</x:v>
      </x:c>
      <x:c r="H32" s="102" t="str">
        <x:v>Singapore</x:v>
      </x:c>
      <x:c r="I32" s="102" t="str">
        <x:v>Port Klang</x:v>
      </x:c>
      <x:c r="J32" s="102"/>
      <x:c r="K32" s="102"/>
      <x:c r="L32" s="102" t="str">
        <x:v>SCHEDULED_BY / SERVICE_DEPLOYMENT</x:v>
      </x:c>
      <x:c r="M32" s="102" t="str">
        <x:v>Do not infer ownership/management from schedule</x:v>
      </x:c>
      <x:c r="N32" s="102" t="str">
        <x:v>SRC_0195</x:v>
      </x:c>
      <x:c r="O32" s="102" t="str">
        <x:v>https://www.fluentcargo.com/carriers/scac/EGLV</x:v>
      </x:c>
      <x:c r="P32" s="102" t="str">
        <x:v>2026-09-07</x:v>
      </x:c>
      <x:c r="Q32" s="102" t="str">
        <x:v>VESSEL_00209</x:v>
      </x:c>
      <x:c r="V32"/>
    </x:row>
    <x:row r="33">
      <x:c r="A33" s="102" t="str">
        <x:v>DEP_00026</x:v>
      </x:c>
      <x:c r="B33" s="102" t="str">
        <x:v>COMP_HAPAG_LLOYD</x:v>
      </x:c>
      <x:c r="C33" s="102" t="str">
        <x:v>Hapag-Lloyd</x:v>
      </x:c>
      <x:c r="D33" s="102" t="str">
        <x:v>HLCU</x:v>
      </x:c>
      <x:c r="E33" s="102" t="str">
        <x:v>VALPARAISO EXPRESS</x:v>
      </x:c>
      <x:c r="F33" s="110" t="str">
        <x:v>9777589</x:v>
      </x:c>
      <x:c r="G33" s="102" t="str">
        <x:v>Carrier schedule / service deployment</x:v>
      </x:c>
      <x:c r="H33" s="102" t="str">
        <x:v>Antwerp</x:v>
      </x:c>
      <x:c r="I33" s="102" t="str">
        <x:v>Caucedo</x:v>
      </x:c>
      <x:c r="J33" s="102"/>
      <x:c r="K33" s="102"/>
      <x:c r="L33" s="102" t="str">
        <x:v>SCHEDULED_BY / SERVICE_DEPLOYMENT</x:v>
      </x:c>
      <x:c r="M33" s="102" t="str">
        <x:v>Do not infer ownership/management from schedule</x:v>
      </x:c>
      <x:c r="N33" s="102" t="str">
        <x:v>SRC_0196</x:v>
      </x:c>
      <x:c r="O33" s="102" t="str">
        <x:v>https://www.fluentcargo.com/carriers/scac/HLCU</x:v>
      </x:c>
      <x:c r="P33" s="102" t="str">
        <x:v>2026-09-07</x:v>
      </x:c>
      <x:c r="Q33" s="102" t="str">
        <x:v>VESSEL_00210</x:v>
      </x:c>
      <x:c r="V33"/>
    </x:row>
    <x:row r="34">
      <x:c r="A34" s="102" t="str">
        <x:v>DEP_00027</x:v>
      </x:c>
      <x:c r="B34" s="102" t="str">
        <x:v>COMP_HAPAG_LLOYD</x:v>
      </x:c>
      <x:c r="C34" s="102" t="str">
        <x:v>Hapag-Lloyd</x:v>
      </x:c>
      <x:c r="D34" s="102" t="str">
        <x:v>HLCU</x:v>
      </x:c>
      <x:c r="E34" s="102" t="str">
        <x:v>SALERNO EXPRESS</x:v>
      </x:c>
      <x:c r="F34" s="110" t="str">
        <x:v>9439761</x:v>
      </x:c>
      <x:c r="G34" s="102" t="str">
        <x:v>Carrier schedule / service deployment</x:v>
      </x:c>
      <x:c r="H34" s="102" t="str">
        <x:v>Singapore</x:v>
      </x:c>
      <x:c r="I34" s="102" t="str">
        <x:v>Mombasa</x:v>
      </x:c>
      <x:c r="J34" s="102"/>
      <x:c r="K34" s="102"/>
      <x:c r="L34" s="102" t="str">
        <x:v>SCHEDULED_BY / SERVICE_DEPLOYMENT</x:v>
      </x:c>
      <x:c r="M34" s="102" t="str">
        <x:v>Do not infer ownership/management from schedule</x:v>
      </x:c>
      <x:c r="N34" s="102" t="str">
        <x:v>SRC_0196</x:v>
      </x:c>
      <x:c r="O34" s="102" t="str">
        <x:v>https://www.fluentcargo.com/carriers/scac/HLCU</x:v>
      </x:c>
      <x:c r="P34" s="102" t="str">
        <x:v>2026-09-07</x:v>
      </x:c>
      <x:c r="Q34" s="102" t="str">
        <x:v>VESSEL_00211</x:v>
      </x:c>
      <x:c r="V34"/>
    </x:row>
    <x:row r="35">
      <x:c r="A35" s="102" t="str">
        <x:v>DEP_00028</x:v>
      </x:c>
      <x:c r="B35" s="102" t="str">
        <x:v>COMP_HAPAG_LLOYD</x:v>
      </x:c>
      <x:c r="C35" s="102" t="str">
        <x:v>Hapag-Lloyd</x:v>
      </x:c>
      <x:c r="D35" s="102" t="str">
        <x:v>HLCU</x:v>
      </x:c>
      <x:c r="E35" s="102" t="str">
        <x:v>CARTAGENA EXPRESS</x:v>
      </x:c>
      <x:c r="F35" s="110" t="str">
        <x:v>9777618</x:v>
      </x:c>
      <x:c r="G35" s="102" t="str">
        <x:v>Carrier schedule / service deployment</x:v>
      </x:c>
      <x:c r="H35" s="102" t="str">
        <x:v>Rotterdam</x:v>
      </x:c>
      <x:c r="I35" s="102" t="str">
        <x:v>London Gateway</x:v>
      </x:c>
      <x:c r="J35" s="102"/>
      <x:c r="K35" s="102"/>
      <x:c r="L35" s="102" t="str">
        <x:v>SCHEDULED_BY / SERVICE_DEPLOYMENT</x:v>
      </x:c>
      <x:c r="M35" s="102" t="str">
        <x:v>Do not infer ownership/management from schedule</x:v>
      </x:c>
      <x:c r="N35" s="102" t="str">
        <x:v>SRC_0196</x:v>
      </x:c>
      <x:c r="O35" s="102" t="str">
        <x:v>https://www.fluentcargo.com/carriers/scac/HLCU</x:v>
      </x:c>
      <x:c r="P35" s="102" t="str">
        <x:v>2026-09-07</x:v>
      </x:c>
      <x:c r="Q35" s="102" t="str">
        <x:v>VESSEL_00212</x:v>
      </x:c>
      <x:c r="V35"/>
    </x:row>
    <x:row r="36">
      <x:c r="A36" s="102" t="str">
        <x:v>DEP_00029</x:v>
      </x:c>
      <x:c r="B36" s="102" t="str">
        <x:v>COMP_HAPAG_LLOYD</x:v>
      </x:c>
      <x:c r="C36" s="102" t="str">
        <x:v>Hapag-Lloyd</x:v>
      </x:c>
      <x:c r="D36" s="102" t="str">
        <x:v>HLCU</x:v>
      </x:c>
      <x:c r="E36" s="102" t="str">
        <x:v>DAMIETTA EXPRESS</x:v>
      </x:c>
      <x:c r="F36" s="110" t="str">
        <x:v>9543108</x:v>
      </x:c>
      <x:c r="G36" s="102" t="str">
        <x:v>Carrier schedule / service deployment</x:v>
      </x:c>
      <x:c r="H36" s="102" t="str">
        <x:v>Tanger Med</x:v>
      </x:c>
      <x:c r="I36" s="102" t="str">
        <x:v>Singapore</x:v>
      </x:c>
      <x:c r="J36" s="102"/>
      <x:c r="K36" s="102"/>
      <x:c r="L36" s="102" t="str">
        <x:v>SCHEDULED_BY / SERVICE_DEPLOYMENT</x:v>
      </x:c>
      <x:c r="M36" s="102" t="str">
        <x:v>Do not infer ownership/management from schedule</x:v>
      </x:c>
      <x:c r="N36" s="102" t="str">
        <x:v>SRC_0196</x:v>
      </x:c>
      <x:c r="O36" s="102" t="str">
        <x:v>https://www.fluentcargo.com/carriers/scac/HLCU</x:v>
      </x:c>
      <x:c r="P36" s="102" t="str">
        <x:v>2026-09-07</x:v>
      </x:c>
      <x:c r="Q36" s="102" t="str">
        <x:v>VESSEL_00213</x:v>
      </x:c>
      <x:c r="V36"/>
    </x:row>
    <x:row r="37">
      <x:c r="A37" s="102" t="str">
        <x:v>DEP_00030</x:v>
      </x:c>
      <x:c r="B37" s="102" t="str">
        <x:v>COMP_HAPAG_LLOYD</x:v>
      </x:c>
      <x:c r="C37" s="102" t="str">
        <x:v>Hapag-Lloyd</x:v>
      </x:c>
      <x:c r="D37" s="102" t="str">
        <x:v>HLCU</x:v>
      </x:c>
      <x:c r="E37" s="102" t="str">
        <x:v>AL NASRIYAH</x:v>
      </x:c>
      <x:c r="F37" s="110" t="str">
        <x:v>9708849</x:v>
      </x:c>
      <x:c r="G37" s="102" t="str">
        <x:v>Carrier schedule / service deployment</x:v>
      </x:c>
      <x:c r="H37" s="102" t="str">
        <x:v>Ningbo</x:v>
      </x:c>
      <x:c r="I37" s="102" t="str">
        <x:v>Shanghai</x:v>
      </x:c>
      <x:c r="J37" s="102"/>
      <x:c r="K37" s="102"/>
      <x:c r="L37" s="102" t="str">
        <x:v>SCHEDULED_BY / SERVICE_DEPLOYMENT</x:v>
      </x:c>
      <x:c r="M37" s="102" t="str">
        <x:v>Do not infer ownership/management from schedule</x:v>
      </x:c>
      <x:c r="N37" s="102" t="str">
        <x:v>SRC_0196</x:v>
      </x:c>
      <x:c r="O37" s="102" t="str">
        <x:v>https://www.fluentcargo.com/carriers/scac/HLCU</x:v>
      </x:c>
      <x:c r="P37" s="102" t="str">
        <x:v>2026-09-07</x:v>
      </x:c>
      <x:c r="Q37" s="102" t="str">
        <x:v>VESSEL_00214</x:v>
      </x:c>
      <x:c r="V37"/>
    </x:row>
    <x:row r="38">
      <x:c r="A38" s="102" t="str">
        <x:v>DEP_00031</x:v>
      </x:c>
      <x:c r="B38" s="102" t="str">
        <x:v>COMP_ONE</x:v>
      </x:c>
      <x:c r="C38" s="102" t="str">
        <x:v>ONE</x:v>
      </x:c>
      <x:c r="D38" s="102" t="str">
        <x:v>ONEY</x:v>
      </x:c>
      <x:c r="E38" s="102" t="str">
        <x:v>NYK FUJI</x:v>
      </x:c>
      <x:c r="F38" s="110" t="str">
        <x:v>9482938</x:v>
      </x:c>
      <x:c r="G38" s="102" t="str">
        <x:v>Carrier schedule / service deployment</x:v>
      </x:c>
      <x:c r="H38" s="102" t="str">
        <x:v>Tokyo</x:v>
      </x:c>
      <x:c r="I38" s="102" t="str">
        <x:v>Yokohama</x:v>
      </x:c>
      <x:c r="J38" s="102"/>
      <x:c r="K38" s="102"/>
      <x:c r="L38" s="102" t="str">
        <x:v>SCHEDULED_BY / SERVICE_DEPLOYMENT</x:v>
      </x:c>
      <x:c r="M38" s="102" t="str">
        <x:v>Do not infer ownership/management from schedule</x:v>
      </x:c>
      <x:c r="N38" s="102" t="str">
        <x:v>SRC_0197</x:v>
      </x:c>
      <x:c r="O38" s="102" t="str">
        <x:v>https://www.fluentcargo.com/carriers/scac/ONEY</x:v>
      </x:c>
      <x:c r="P38" s="102" t="str">
        <x:v>2026-09-07</x:v>
      </x:c>
      <x:c r="Q38" s="102" t="str">
        <x:v>VESSEL_00215</x:v>
      </x:c>
      <x:c r="V38"/>
    </x:row>
    <x:row r="39">
      <x:c r="A39" s="102" t="str">
        <x:v>DEP_00032</x:v>
      </x:c>
      <x:c r="B39" s="102" t="str">
        <x:v>COMP_ONE</x:v>
      </x:c>
      <x:c r="C39" s="102" t="str">
        <x:v>ONE</x:v>
      </x:c>
      <x:c r="D39" s="102" t="str">
        <x:v>ONEY</x:v>
      </x:c>
      <x:c r="E39" s="102" t="str">
        <x:v>ONE SPHERE</x:v>
      </x:c>
      <x:c r="F39" s="110" t="str">
        <x:v>9975624</x:v>
      </x:c>
      <x:c r="G39" s="102" t="str">
        <x:v>Carrier schedule / service deployment</x:v>
      </x:c>
      <x:c r="H39" s="102" t="str">
        <x:v>Busan</x:v>
      </x:c>
      <x:c r="I39" s="102" t="str">
        <x:v>Manzanillo</x:v>
      </x:c>
      <x:c r="J39" s="102"/>
      <x:c r="K39" s="102"/>
      <x:c r="L39" s="102" t="str">
        <x:v>SCHEDULED_BY / SERVICE_DEPLOYMENT</x:v>
      </x:c>
      <x:c r="M39" s="102" t="str">
        <x:v>Do not infer ownership/management from schedule</x:v>
      </x:c>
      <x:c r="N39" s="102" t="str">
        <x:v>SRC_0197</x:v>
      </x:c>
      <x:c r="O39" s="102" t="str">
        <x:v>https://www.fluentcargo.com/carriers/scac/ONEY</x:v>
      </x:c>
      <x:c r="P39" s="102" t="str">
        <x:v>2026-09-07</x:v>
      </x:c>
      <x:c r="Q39" s="102" t="str">
        <x:v>VESSEL_00216</x:v>
      </x:c>
      <x:c r="V39"/>
    </x:row>
    <x:row r="40">
      <x:c r="A40" s="102" t="str">
        <x:v>DEP_00033</x:v>
      </x:c>
      <x:c r="B40" s="102" t="str">
        <x:v>COMP_ONE</x:v>
      </x:c>
      <x:c r="C40" s="102" t="str">
        <x:v>ONE</x:v>
      </x:c>
      <x:c r="D40" s="102" t="str">
        <x:v>ONEY</x:v>
      </x:c>
      <x:c r="E40" s="102" t="str">
        <x:v>NYK VENUS</x:v>
      </x:c>
      <x:c r="F40" s="110" t="str">
        <x:v>9312793</x:v>
      </x:c>
      <x:c r="G40" s="102" t="str">
        <x:v>Carrier schedule / service deployment</x:v>
      </x:c>
      <x:c r="H40" s="102" t="str">
        <x:v>Singapore</x:v>
      </x:c>
      <x:c r="I40" s="102" t="str">
        <x:v>Laem Chabang</x:v>
      </x:c>
      <x:c r="J40" s="102"/>
      <x:c r="K40" s="102"/>
      <x:c r="L40" s="102" t="str">
        <x:v>SCHEDULED_BY / SERVICE_DEPLOYMENT</x:v>
      </x:c>
      <x:c r="M40" s="102" t="str">
        <x:v>Do not infer ownership/management from schedule</x:v>
      </x:c>
      <x:c r="N40" s="102" t="str">
        <x:v>SRC_0197</x:v>
      </x:c>
      <x:c r="O40" s="102" t="str">
        <x:v>https://www.fluentcargo.com/carriers/scac/ONEY</x:v>
      </x:c>
      <x:c r="P40" s="102" t="str">
        <x:v>2026-09-07</x:v>
      </x:c>
      <x:c r="Q40" s="102" t="str">
        <x:v>VESSEL_00217</x:v>
      </x:c>
      <x:c r="V40"/>
    </x:row>
    <x:row r="41">
      <x:c r="A41" s="102" t="str">
        <x:v>DEP_00034</x:v>
      </x:c>
      <x:c r="B41" s="102" t="str">
        <x:v>COMP_ONE</x:v>
      </x:c>
      <x:c r="C41" s="102" t="str">
        <x:v>ONE</x:v>
      </x:c>
      <x:c r="D41" s="102" t="str">
        <x:v>ONEY</x:v>
      </x:c>
      <x:c r="E41" s="102" t="str">
        <x:v>ONE MODERN</x:v>
      </x:c>
      <x:c r="F41" s="110" t="str">
        <x:v>9475636</x:v>
      </x:c>
      <x:c r="G41" s="102" t="str">
        <x:v>Carrier schedule / service deployment</x:v>
      </x:c>
      <x:c r="H41" s="102" t="str">
        <x:v>Busan</x:v>
      </x:c>
      <x:c r="I41" s="102" t="str">
        <x:v>Vancouver</x:v>
      </x:c>
      <x:c r="J41" s="102"/>
      <x:c r="K41" s="102"/>
      <x:c r="L41" s="102" t="str">
        <x:v>SCHEDULED_BY / SERVICE_DEPLOYMENT</x:v>
      </x:c>
      <x:c r="M41" s="102" t="str">
        <x:v>Do not infer ownership/management from schedule</x:v>
      </x:c>
      <x:c r="N41" s="102" t="str">
        <x:v>SRC_0197</x:v>
      </x:c>
      <x:c r="O41" s="102" t="str">
        <x:v>https://www.fluentcargo.com/carriers/scac/ONEY</x:v>
      </x:c>
      <x:c r="P41" s="102" t="str">
        <x:v>2026-09-07</x:v>
      </x:c>
      <x:c r="Q41" s="102" t="str">
        <x:v>VESSEL_00218</x:v>
      </x:c>
      <x:c r="V41"/>
    </x:row>
    <x:row r="42">
      <x:c r="A42" s="102" t="str">
        <x:v>DEP_00035</x:v>
      </x:c>
      <x:c r="B42" s="102" t="str">
        <x:v>COMP_ONE</x:v>
      </x:c>
      <x:c r="C42" s="102" t="str">
        <x:v>ONE</x:v>
      </x:c>
      <x:c r="D42" s="102" t="str">
        <x:v>ONEY</x:v>
      </x:c>
      <x:c r="E42" s="102" t="str">
        <x:v>ONE MILLAU</x:v>
      </x:c>
      <x:c r="F42" s="110" t="str">
        <x:v>9706736</x:v>
      </x:c>
      <x:c r="G42" s="102" t="str">
        <x:v>Carrier schedule / service deployment</x:v>
      </x:c>
      <x:c r="H42" s="102" t="str">
        <x:v>Busan</x:v>
      </x:c>
      <x:c r="I42" s="102" t="str">
        <x:v>Kaohsiung</x:v>
      </x:c>
      <x:c r="J42" s="102"/>
      <x:c r="K42" s="102"/>
      <x:c r="L42" s="102" t="str">
        <x:v>SCHEDULED_BY / SERVICE_DEPLOYMENT</x:v>
      </x:c>
      <x:c r="M42" s="102" t="str">
        <x:v>Do not infer ownership/management from schedule</x:v>
      </x:c>
      <x:c r="N42" s="102" t="str">
        <x:v>SRC_0197</x:v>
      </x:c>
      <x:c r="O42" s="102" t="str">
        <x:v>https://www.fluentcargo.com/carriers/scac/ONEY</x:v>
      </x:c>
      <x:c r="P42" s="102" t="str">
        <x:v>2026-09-07</x:v>
      </x:c>
      <x:c r="Q42" s="102" t="str">
        <x:v>VESSEL_00219</x:v>
      </x:c>
      <x:c r="V42"/>
    </x:row>
    <x:row r="43">
      <x:c r="A43" s="102" t="str">
        <x:v>DEP_00036</x:v>
      </x:c>
      <x:c r="B43" s="102" t="str">
        <x:v>COMP_YANG_MING</x:v>
      </x:c>
      <x:c r="C43" s="102" t="str">
        <x:v>Yang Ming</x:v>
      </x:c>
      <x:c r="D43" s="102" t="str">
        <x:v>YMLU</x:v>
      </x:c>
      <x:c r="E43" s="102" t="str">
        <x:v>IBN AL ABBAR</x:v>
      </x:c>
      <x:c r="F43" s="110" t="str">
        <x:v>9194490</x:v>
      </x:c>
      <x:c r="G43" s="102" t="str">
        <x:v>Carrier schedule / service deployment</x:v>
      </x:c>
      <x:c r="H43" s="102" t="str">
        <x:v>Keelung</x:v>
      </x:c>
      <x:c r="I43" s="102" t="str">
        <x:v>Taichung</x:v>
      </x:c>
      <x:c r="J43" s="102"/>
      <x:c r="K43" s="102"/>
      <x:c r="L43" s="102" t="str">
        <x:v>SCHEDULED_BY / SERVICE_DEPLOYMENT</x:v>
      </x:c>
      <x:c r="M43" s="102" t="str">
        <x:v>Do not infer ownership/management from schedule</x:v>
      </x:c>
      <x:c r="N43" s="102" t="str">
        <x:v>SRC_0198</x:v>
      </x:c>
      <x:c r="O43" s="102" t="str">
        <x:v>https://www.fluentcargo.com/carriers/scac/YMLU</x:v>
      </x:c>
      <x:c r="P43" s="102" t="str">
        <x:v>2026-09-07</x:v>
      </x:c>
      <x:c r="Q43" s="102" t="str">
        <x:v>VESSEL_00220</x:v>
      </x:c>
      <x:c r="V43"/>
    </x:row>
    <x:row r="44">
      <x:c r="A44" s="102" t="str">
        <x:v>DEP_00037</x:v>
      </x:c>
      <x:c r="B44" s="102" t="str">
        <x:v>COMP_YANG_MING</x:v>
      </x:c>
      <x:c r="C44" s="102" t="str">
        <x:v>Yang Ming</x:v>
      </x:c>
      <x:c r="D44" s="102" t="str">
        <x:v>YMLU</x:v>
      </x:c>
      <x:c r="E44" s="102" t="str">
        <x:v>YM CAPACITY</x:v>
      </x:c>
      <x:c r="F44" s="110" t="str">
        <x:v>9864540</x:v>
      </x:c>
      <x:c r="G44" s="102" t="str">
        <x:v>Carrier schedule / service deployment</x:v>
      </x:c>
      <x:c r="H44" s="102" t="str">
        <x:v>Shanghai</x:v>
      </x:c>
      <x:c r="I44" s="102" t="str">
        <x:v>Ningbo</x:v>
      </x:c>
      <x:c r="J44" s="102"/>
      <x:c r="K44" s="102"/>
      <x:c r="L44" s="102" t="str">
        <x:v>SCHEDULED_BY / SERVICE_DEPLOYMENT</x:v>
      </x:c>
      <x:c r="M44" s="102" t="str">
        <x:v>Do not infer ownership/management from schedule</x:v>
      </x:c>
      <x:c r="N44" s="102" t="str">
        <x:v>SRC_0198</x:v>
      </x:c>
      <x:c r="O44" s="102" t="str">
        <x:v>https://www.fluentcargo.com/carriers/scac/YMLU</x:v>
      </x:c>
      <x:c r="P44" s="102" t="str">
        <x:v>2026-09-07</x:v>
      </x:c>
      <x:c r="Q44" s="102" t="str">
        <x:v>VESSEL_00221</x:v>
      </x:c>
      <x:c r="V44"/>
    </x:row>
    <x:row r="45">
      <x:c r="A45" s="102" t="str">
        <x:v>DEP_00038</x:v>
      </x:c>
      <x:c r="B45" s="102" t="str">
        <x:v>COMP_YANG_MING</x:v>
      </x:c>
      <x:c r="C45" s="102" t="str">
        <x:v>Yang Ming</x:v>
      </x:c>
      <x:c r="D45" s="102" t="str">
        <x:v>YMLU</x:v>
      </x:c>
      <x:c r="E45" s="102" t="str">
        <x:v>YM INCEPTION</x:v>
      </x:c>
      <x:c r="F45" s="110" t="str">
        <x:v>9319155</x:v>
      </x:c>
      <x:c r="G45" s="102" t="str">
        <x:v>Carrier schedule / service deployment</x:v>
      </x:c>
      <x:c r="H45" s="102" t="str">
        <x:v>Kaohsiung</x:v>
      </x:c>
      <x:c r="I45" s="102" t="str">
        <x:v>Taichung</x:v>
      </x:c>
      <x:c r="J45" s="102"/>
      <x:c r="K45" s="102"/>
      <x:c r="L45" s="102" t="str">
        <x:v>SCHEDULED_BY / SERVICE_DEPLOYMENT</x:v>
      </x:c>
      <x:c r="M45" s="102" t="str">
        <x:v>Do not infer ownership/management from schedule</x:v>
      </x:c>
      <x:c r="N45" s="102" t="str">
        <x:v>SRC_0198</x:v>
      </x:c>
      <x:c r="O45" s="102" t="str">
        <x:v>https://www.fluentcargo.com/carriers/scac/YMLU</x:v>
      </x:c>
      <x:c r="P45" s="102" t="str">
        <x:v>2026-09-07</x:v>
      </x:c>
      <x:c r="Q45" s="102" t="str">
        <x:v>VESSEL_00222</x:v>
      </x:c>
      <x:c r="V45"/>
    </x:row>
    <x:row r="46">
      <x:c r="A46" s="102" t="str">
        <x:v>DEP_00039</x:v>
      </x:c>
      <x:c r="B46" s="102" t="str">
        <x:v>COMP_YANG_MING</x:v>
      </x:c>
      <x:c r="C46" s="102" t="str">
        <x:v>Yang Ming</x:v>
      </x:c>
      <x:c r="D46" s="102" t="str">
        <x:v>YMLU</x:v>
      </x:c>
      <x:c r="E46" s="102" t="str">
        <x:v>YM EXCELLENCE</x:v>
      </x:c>
      <x:c r="F46" s="110" t="str">
        <x:v>9496616</x:v>
      </x:c>
      <x:c r="G46" s="102" t="str">
        <x:v>Carrier schedule / service deployment</x:v>
      </x:c>
      <x:c r="H46" s="102" t="str">
        <x:v>Shekou</x:v>
      </x:c>
      <x:c r="I46" s="102" t="str">
        <x:v>Singapore</x:v>
      </x:c>
      <x:c r="J46" s="102"/>
      <x:c r="K46" s="102"/>
      <x:c r="L46" s="102" t="str">
        <x:v>SCHEDULED_BY / SERVICE_DEPLOYMENT</x:v>
      </x:c>
      <x:c r="M46" s="102" t="str">
        <x:v>Do not infer ownership/management from schedule</x:v>
      </x:c>
      <x:c r="N46" s="102" t="str">
        <x:v>SRC_0198</x:v>
      </x:c>
      <x:c r="O46" s="102" t="str">
        <x:v>https://www.fluentcargo.com/carriers/scac/YMLU</x:v>
      </x:c>
      <x:c r="P46" s="102" t="str">
        <x:v>2026-09-07</x:v>
      </x:c>
      <x:c r="Q46" s="102" t="str">
        <x:v>VESSEL_00223</x:v>
      </x:c>
      <x:c r="V46"/>
    </x:row>
    <x:row r="47">
      <x:c r="A47" s="102" t="str">
        <x:v>DEP_00040</x:v>
      </x:c>
      <x:c r="B47" s="102" t="str">
        <x:v>COMP_YANG_MING</x:v>
      </x:c>
      <x:c r="C47" s="102" t="str">
        <x:v>Yang Ming</x:v>
      </x:c>
      <x:c r="D47" s="102" t="str">
        <x:v>YMLU</x:v>
      </x:c>
      <x:c r="E47" s="102" t="str">
        <x:v>YM IMMENSE</x:v>
      </x:c>
      <x:c r="F47" s="110" t="str">
        <x:v>9319131</x:v>
      </x:c>
      <x:c r="G47" s="102" t="str">
        <x:v>Carrier schedule / service deployment</x:v>
      </x:c>
      <x:c r="H47" s="102" t="str">
        <x:v>Laem Chabang</x:v>
      </x:c>
      <x:c r="I47" s="102" t="str">
        <x:v>Ho Chi Minh City</x:v>
      </x:c>
      <x:c r="J47" s="102"/>
      <x:c r="K47" s="102"/>
      <x:c r="L47" s="102" t="str">
        <x:v>SCHEDULED_BY / SERVICE_DEPLOYMENT</x:v>
      </x:c>
      <x:c r="M47" s="102" t="str">
        <x:v>Do not infer ownership/management from schedule</x:v>
      </x:c>
      <x:c r="N47" s="102" t="str">
        <x:v>SRC_0198</x:v>
      </x:c>
      <x:c r="O47" s="102" t="str">
        <x:v>https://www.fluentcargo.com/carriers/scac/YMLU</x:v>
      </x:c>
      <x:c r="P47" s="102" t="str">
        <x:v>2026-09-07</x:v>
      </x:c>
      <x:c r="Q47" s="102" t="str">
        <x:v>VESSEL_00224</x:v>
      </x:c>
      <x:c r="V47"/>
    </x:row>
    <x:row r="48">
      <x:c r="A48" s="102" t="str">
        <x:v>DEP_00041</x:v>
      </x:c>
      <x:c r="B48" s="102" t="str">
        <x:v>COMP_HMM</x:v>
      </x:c>
      <x:c r="C48" s="102" t="str">
        <x:v>HMM</x:v>
      </x:c>
      <x:c r="D48" s="102" t="str">
        <x:v>HDMU</x:v>
      </x:c>
      <x:c r="E48" s="102" t="str">
        <x:v>HMM VANCOUVER</x:v>
      </x:c>
      <x:c r="F48" s="110" t="str">
        <x:v>9463085</x:v>
      </x:c>
      <x:c r="G48" s="102" t="str">
        <x:v>Carrier schedule / service deployment</x:v>
      </x:c>
      <x:c r="H48" s="102" t="str">
        <x:v>Ningbo</x:v>
      </x:c>
      <x:c r="I48" s="102" t="str">
        <x:v>Shanghai</x:v>
      </x:c>
      <x:c r="J48" s="102"/>
      <x:c r="K48" s="102"/>
      <x:c r="L48" s="102" t="str">
        <x:v>SCHEDULED_BY / SERVICE_DEPLOYMENT</x:v>
      </x:c>
      <x:c r="M48" s="102" t="str">
        <x:v>Do not infer ownership/management from schedule</x:v>
      </x:c>
      <x:c r="N48" s="102" t="str">
        <x:v>SRC_0199</x:v>
      </x:c>
      <x:c r="O48" s="102" t="str">
        <x:v>https://www.fluentcargo.com/carriers/scac/HDMU</x:v>
      </x:c>
      <x:c r="P48" s="102" t="str">
        <x:v>2026-09-07</x:v>
      </x:c>
      <x:c r="Q48" s="102" t="str">
        <x:v>VESSEL_00225</x:v>
      </x:c>
      <x:c r="V48"/>
    </x:row>
    <x:row r="49">
      <x:c r="A49" s="102" t="str">
        <x:v>DEP_00042</x:v>
      </x:c>
      <x:c r="B49" s="102" t="str">
        <x:v>COMP_HMM</x:v>
      </x:c>
      <x:c r="C49" s="102" t="str">
        <x:v>HMM</x:v>
      </x:c>
      <x:c r="D49" s="102" t="str">
        <x:v>HDMU</x:v>
      </x:c>
      <x:c r="E49" s="102" t="str">
        <x:v>HMM EMERALD</x:v>
      </x:c>
      <x:c r="F49" s="110" t="str">
        <x:v>9944493</x:v>
      </x:c>
      <x:c r="G49" s="102" t="str">
        <x:v>Carrier schedule / service deployment</x:v>
      </x:c>
      <x:c r="H49" s="102" t="str">
        <x:v>Shanghai</x:v>
      </x:c>
      <x:c r="I49" s="102" t="str">
        <x:v>Ningbo</x:v>
      </x:c>
      <x:c r="J49" s="102"/>
      <x:c r="K49" s="102"/>
      <x:c r="L49" s="102" t="str">
        <x:v>SCHEDULED_BY / SERVICE_DEPLOYMENT</x:v>
      </x:c>
      <x:c r="M49" s="102" t="str">
        <x:v>Do not infer ownership/management from schedule</x:v>
      </x:c>
      <x:c r="N49" s="102" t="str">
        <x:v>SRC_0199</x:v>
      </x:c>
      <x:c r="O49" s="102" t="str">
        <x:v>https://www.fluentcargo.com/carriers/scac/HDMU</x:v>
      </x:c>
      <x:c r="P49" s="102" t="str">
        <x:v>2026-09-07</x:v>
      </x:c>
      <x:c r="Q49" s="102" t="str">
        <x:v>VESSEL_00226</x:v>
      </x:c>
      <x:c r="V49"/>
    </x:row>
    <x:row r="50">
      <x:c r="A50" s="102" t="str">
        <x:v>DEP_00043</x:v>
      </x:c>
      <x:c r="B50" s="102" t="str">
        <x:v>COMP_HMM</x:v>
      </x:c>
      <x:c r="C50" s="102" t="str">
        <x:v>HMM</x:v>
      </x:c>
      <x:c r="D50" s="102" t="str">
        <x:v>HDMU</x:v>
      </x:c>
      <x:c r="E50" s="102" t="str">
        <x:v>HMM HARMONY</x:v>
      </x:c>
      <x:c r="F50" s="110" t="str">
        <x:v>9981142</x:v>
      </x:c>
      <x:c r="G50" s="102" t="str">
        <x:v>Carrier schedule / service deployment</x:v>
      </x:c>
      <x:c r="H50" s="102" t="str">
        <x:v>Ningbo</x:v>
      </x:c>
      <x:c r="I50" s="102" t="str">
        <x:v>Ho Chi Minh City</x:v>
      </x:c>
      <x:c r="J50" s="102"/>
      <x:c r="K50" s="102"/>
      <x:c r="L50" s="102" t="str">
        <x:v>SCHEDULED_BY / SERVICE_DEPLOYMENT</x:v>
      </x:c>
      <x:c r="M50" s="102" t="str">
        <x:v>Do not infer ownership/management from schedule</x:v>
      </x:c>
      <x:c r="N50" s="102" t="str">
        <x:v>SRC_0199</x:v>
      </x:c>
      <x:c r="O50" s="102" t="str">
        <x:v>https://www.fluentcargo.com/carriers/scac/HDMU</x:v>
      </x:c>
      <x:c r="P50" s="102" t="str">
        <x:v>2026-09-07</x:v>
      </x:c>
      <x:c r="Q50" s="102" t="str">
        <x:v>VESSEL_00227</x:v>
      </x:c>
      <x:c r="V50"/>
    </x:row>
    <x:row r="51">
      <x:c r="A51" s="102" t="str">
        <x:v>DEP_00044</x:v>
      </x:c>
      <x:c r="B51" s="102" t="str">
        <x:v>COMP_HMM</x:v>
      </x:c>
      <x:c r="C51" s="102" t="str">
        <x:v>HMM</x:v>
      </x:c>
      <x:c r="D51" s="102" t="str">
        <x:v>HDMU</x:v>
      </x:c>
      <x:c r="E51" s="102" t="str">
        <x:v>SKY RAINBOW</x:v>
      </x:c>
      <x:c r="F51" s="110" t="str">
        <x:v>9925722</x:v>
      </x:c>
      <x:c r="G51" s="102" t="str">
        <x:v>Carrier schedule / service deployment</x:v>
      </x:c>
      <x:c r="H51" s="102" t="str">
        <x:v>Ho Chi Minh City</x:v>
      </x:c>
      <x:c r="I51" s="102" t="str">
        <x:v>Incheon</x:v>
      </x:c>
      <x:c r="J51" s="102"/>
      <x:c r="K51" s="102"/>
      <x:c r="L51" s="102" t="str">
        <x:v>SCHEDULED_BY / SERVICE_DEPLOYMENT</x:v>
      </x:c>
      <x:c r="M51" s="102" t="str">
        <x:v>Do not infer ownership/management from schedule</x:v>
      </x:c>
      <x:c r="N51" s="102" t="str">
        <x:v>SRC_0199</x:v>
      </x:c>
      <x:c r="O51" s="102" t="str">
        <x:v>https://www.fluentcargo.com/carriers/scac/HDMU</x:v>
      </x:c>
      <x:c r="P51" s="102" t="str">
        <x:v>2026-09-07</x:v>
      </x:c>
      <x:c r="Q51" s="102" t="str">
        <x:v>VESSEL_00228</x:v>
      </x:c>
      <x:c r="V51"/>
    </x:row>
    <x:row r="52">
      <x:c r="A52" s="102" t="str">
        <x:v>DEP_00045</x:v>
      </x:c>
      <x:c r="B52" s="102" t="str">
        <x:v>COMP_HMM</x:v>
      </x:c>
      <x:c r="C52" s="102" t="str">
        <x:v>HMM</x:v>
      </x:c>
      <x:c r="D52" s="102" t="str">
        <x:v>HDMU</x:v>
      </x:c>
      <x:c r="E52" s="102" t="str">
        <x:v>HMM SKY</x:v>
      </x:c>
      <x:c r="F52" s="110" t="str">
        <x:v>9976599</x:v>
      </x:c>
      <x:c r="G52" s="102" t="str">
        <x:v>Carrier schedule / service deployment</x:v>
      </x:c>
      <x:c r="H52" s="102" t="str">
        <x:v>Busan</x:v>
      </x:c>
      <x:c r="I52" s="102" t="str">
        <x:v>Shanghai</x:v>
      </x:c>
      <x:c r="J52" s="102"/>
      <x:c r="K52" s="102"/>
      <x:c r="L52" s="102" t="str">
        <x:v>SCHEDULED_BY / SERVICE_DEPLOYMENT</x:v>
      </x:c>
      <x:c r="M52" s="102" t="str">
        <x:v>Do not infer ownership/management from schedule</x:v>
      </x:c>
      <x:c r="N52" s="102" t="str">
        <x:v>SRC_0199</x:v>
      </x:c>
      <x:c r="O52" s="102" t="str">
        <x:v>https://www.fluentcargo.com/carriers/scac/HDMU</x:v>
      </x:c>
      <x:c r="P52" s="102" t="str">
        <x:v>2026-09-07</x:v>
      </x:c>
      <x:c r="Q52" s="102" t="str">
        <x:v>VESSEL_00229</x:v>
      </x:c>
      <x:c r="V52"/>
    </x:row>
    <x:row r="53">
      <x:c r="A53" s="102" t="str">
        <x:v>DEP_00046</x:v>
      </x:c>
      <x:c r="B53" s="102" t="str">
        <x:v>COMP_PIL</x:v>
      </x:c>
      <x:c r="C53" s="102" t="str">
        <x:v>PIL</x:v>
      </x:c>
      <x:c r="D53" s="102" t="str">
        <x:v>PCIU</x:v>
      </x:c>
      <x:c r="E53" s="102" t="str">
        <x:v>KOTA SANTOS</x:v>
      </x:c>
      <x:c r="F53" s="110" t="str">
        <x:v>9293765</x:v>
      </x:c>
      <x:c r="G53" s="102" t="str">
        <x:v>Carrier schedule / service deployment</x:v>
      </x:c>
      <x:c r="H53" s="102" t="str">
        <x:v>Nansha</x:v>
      </x:c>
      <x:c r="I53" s="102" t="str">
        <x:v>Shekou</x:v>
      </x:c>
      <x:c r="J53" s="102"/>
      <x:c r="K53" s="102"/>
      <x:c r="L53" s="102" t="str">
        <x:v>SCHEDULED_BY / SERVICE_DEPLOYMENT</x:v>
      </x:c>
      <x:c r="M53" s="102" t="str">
        <x:v>Do not infer ownership/management from schedule</x:v>
      </x:c>
      <x:c r="N53" s="102" t="str">
        <x:v>SRC_0200</x:v>
      </x:c>
      <x:c r="O53" s="102" t="str">
        <x:v>https://www.fluentcargo.com/carriers/scac/PCIU</x:v>
      </x:c>
      <x:c r="P53" s="102" t="str">
        <x:v>2026-09-07</x:v>
      </x:c>
      <x:c r="Q53" s="102" t="str">
        <x:v>VESSEL_00230</x:v>
      </x:c>
      <x:c r="V53"/>
    </x:row>
    <x:row r="54">
      <x:c r="A54" s="102" t="str">
        <x:v>DEP_00047</x:v>
      </x:c>
      <x:c r="B54" s="102" t="str">
        <x:v>COMP_PIL</x:v>
      </x:c>
      <x:c r="C54" s="102" t="str">
        <x:v>PIL</x:v>
      </x:c>
      <x:c r="D54" s="102" t="str">
        <x:v>PCIU</x:v>
      </x:c>
      <x:c r="E54" s="102" t="str">
        <x:v>KOTA SABAS</x:v>
      </x:c>
      <x:c r="F54" s="110" t="str">
        <x:v>9645451</x:v>
      </x:c>
      <x:c r="G54" s="102" t="str">
        <x:v>Carrier schedule / service deployment</x:v>
      </x:c>
      <x:c r="H54" s="102" t="str">
        <x:v>Ningbo</x:v>
      </x:c>
      <x:c r="I54" s="102" t="str">
        <x:v>Nansha</x:v>
      </x:c>
      <x:c r="J54" s="102"/>
      <x:c r="K54" s="102"/>
      <x:c r="L54" s="102" t="str">
        <x:v>SCHEDULED_BY / SERVICE_DEPLOYMENT</x:v>
      </x:c>
      <x:c r="M54" s="102" t="str">
        <x:v>Do not infer ownership/management from schedule</x:v>
      </x:c>
      <x:c r="N54" s="102" t="str">
        <x:v>SRC_0200</x:v>
      </x:c>
      <x:c r="O54" s="102" t="str">
        <x:v>https://www.fluentcargo.com/carriers/scac/PCIU</x:v>
      </x:c>
      <x:c r="P54" s="102" t="str">
        <x:v>2026-09-07</x:v>
      </x:c>
      <x:c r="Q54" s="102" t="str">
        <x:v>VESSEL_00231</x:v>
      </x:c>
      <x:c r="V54"/>
    </x:row>
    <x:row r="55">
      <x:c r="A55" s="102" t="str">
        <x:v>DEP_00048</x:v>
      </x:c>
      <x:c r="B55" s="102" t="str">
        <x:v>COMP_PIL</x:v>
      </x:c>
      <x:c r="C55" s="102" t="str">
        <x:v>PIL</x:v>
      </x:c>
      <x:c r="D55" s="102" t="str">
        <x:v>PCIU</x:v>
      </x:c>
      <x:c r="E55" s="102" t="str">
        <x:v>KOTA GAYA</x:v>
      </x:c>
      <x:c r="F55" s="110" t="str">
        <x:v>9616802</x:v>
      </x:c>
      <x:c r="G55" s="102" t="str">
        <x:v>Carrier schedule / service deployment</x:v>
      </x:c>
      <x:c r="H55" s="102" t="str">
        <x:v>Shanghai</x:v>
      </x:c>
      <x:c r="I55" s="102" t="str">
        <x:v>Singapore</x:v>
      </x:c>
      <x:c r="J55" s="102"/>
      <x:c r="K55" s="102"/>
      <x:c r="L55" s="102" t="str">
        <x:v>SCHEDULED_BY / SERVICE_DEPLOYMENT</x:v>
      </x:c>
      <x:c r="M55" s="102" t="str">
        <x:v>Do not infer ownership/management from schedule</x:v>
      </x:c>
      <x:c r="N55" s="102" t="str">
        <x:v>SRC_0200</x:v>
      </x:c>
      <x:c r="O55" s="102" t="str">
        <x:v>https://www.fluentcargo.com/carriers/scac/PCIU</x:v>
      </x:c>
      <x:c r="P55" s="102" t="str">
        <x:v>2026-09-07</x:v>
      </x:c>
      <x:c r="Q55" s="102" t="str">
        <x:v>VESSEL_00232</x:v>
      </x:c>
      <x:c r="V55"/>
    </x:row>
    <x:row r="56">
      <x:c r="A56" s="102" t="str">
        <x:v>DEP_00049</x:v>
      </x:c>
      <x:c r="B56" s="102" t="str">
        <x:v>COMP_PIL</x:v>
      </x:c>
      <x:c r="C56" s="102" t="str">
        <x:v>PIL</x:v>
      </x:c>
      <x:c r="D56" s="102" t="str">
        <x:v>PCIU</x:v>
      </x:c>
      <x:c r="E56" s="102" t="str">
        <x:v>SINAR PANGANDARAN</x:v>
      </x:c>
      <x:c r="F56" s="110" t="str">
        <x:v>1033779</x:v>
      </x:c>
      <x:c r="G56" s="102" t="str">
        <x:v>Carrier schedule / service deployment</x:v>
      </x:c>
      <x:c r="H56" s="102" t="str">
        <x:v>Singapore</x:v>
      </x:c>
      <x:c r="I56" s="102" t="str">
        <x:v>Kuantan</x:v>
      </x:c>
      <x:c r="J56" s="102"/>
      <x:c r="K56" s="102"/>
      <x:c r="L56" s="102" t="str">
        <x:v>SCHEDULED_BY / SERVICE_DEPLOYMENT</x:v>
      </x:c>
      <x:c r="M56" s="102" t="str">
        <x:v>Do not infer ownership/management from schedule</x:v>
      </x:c>
      <x:c r="N56" s="102" t="str">
        <x:v>SRC_0200</x:v>
      </x:c>
      <x:c r="O56" s="102" t="str">
        <x:v>https://www.fluentcargo.com/carriers/scac/PCIU</x:v>
      </x:c>
      <x:c r="P56" s="102" t="str">
        <x:v>2026-09-07</x:v>
      </x:c>
      <x:c r="Q56" s="102" t="str">
        <x:v>VESSEL_00233</x:v>
      </x:c>
      <x:c r="V56"/>
    </x:row>
    <x:row r="57">
      <x:c r="A57" s="102" t="str">
        <x:v>DEP_00050</x:v>
      </x:c>
      <x:c r="B57" s="102" t="str">
        <x:v>COMP_PIL</x:v>
      </x:c>
      <x:c r="C57" s="102" t="str">
        <x:v>PIL</x:v>
      </x:c>
      <x:c r="D57" s="102" t="str">
        <x:v>PCIU</x:v>
      </x:c>
      <x:c r="E57" s="102" t="str">
        <x:v>KOTA SEMPENA</x:v>
      </x:c>
      <x:c r="F57" s="110" t="str">
        <x:v>9681273</x:v>
      </x:c>
      <x:c r="G57" s="102" t="str">
        <x:v>Carrier schedule / service deployment</x:v>
      </x:c>
      <x:c r="H57" s="102" t="str">
        <x:v>Shanghai</x:v>
      </x:c>
      <x:c r="I57" s="102" t="str">
        <x:v>Ningbo</x:v>
      </x:c>
      <x:c r="J57" s="102"/>
      <x:c r="K57" s="102"/>
      <x:c r="L57" s="102" t="str">
        <x:v>SCHEDULED_BY / SERVICE_DEPLOYMENT</x:v>
      </x:c>
      <x:c r="M57" s="102" t="str">
        <x:v>Do not infer ownership/management from schedule</x:v>
      </x:c>
      <x:c r="N57" s="102" t="str">
        <x:v>SRC_0200</x:v>
      </x:c>
      <x:c r="O57" s="102" t="str">
        <x:v>https://www.fluentcargo.com/carriers/scac/PCIU</x:v>
      </x:c>
      <x:c r="P57" s="102" t="str">
        <x:v>2026-09-07</x:v>
      </x:c>
      <x:c r="Q57" s="102" t="str">
        <x:v>VESSEL_00234</x:v>
      </x:c>
      <x:c r="V57"/>
    </x:row>
    <x:row r="58">
      <x:c r="A58" s="102" t="str">
        <x:v>DEP_00051</x:v>
      </x:c>
      <x:c r="B58" s="102" t="str">
        <x:v>COMP_WAN_HAI</x:v>
      </x:c>
      <x:c r="C58" s="102" t="str">
        <x:v>Wan Hai</x:v>
      </x:c>
      <x:c r="D58" s="102" t="str">
        <x:v>22AA</x:v>
      </x:c>
      <x:c r="E58" s="102" t="str">
        <x:v>WAN HAI 283</x:v>
      </x:c>
      <x:c r="F58" s="110" t="str">
        <x:v>9871311</x:v>
      </x:c>
      <x:c r="G58" s="102" t="str">
        <x:v>Carrier schedule / service deployment</x:v>
      </x:c>
      <x:c r="H58" s="102" t="str">
        <x:v>Kaohsiung</x:v>
      </x:c>
      <x:c r="I58" s="102" t="str">
        <x:v>Taichung</x:v>
      </x:c>
      <x:c r="J58" s="102"/>
      <x:c r="K58" s="102"/>
      <x:c r="L58" s="102" t="str">
        <x:v>SCHEDULED_BY / SERVICE_DEPLOYMENT</x:v>
      </x:c>
      <x:c r="M58" s="102" t="str">
        <x:v>Do not infer ownership/management from schedule</x:v>
      </x:c>
      <x:c r="N58" s="102" t="str">
        <x:v>SRC_0201</x:v>
      </x:c>
      <x:c r="O58" s="102" t="str">
        <x:v>https://www.fluentcargo.com/carriers/scac/22AA</x:v>
      </x:c>
      <x:c r="P58" s="102" t="str">
        <x:v>2026-09-07</x:v>
      </x:c>
      <x:c r="Q58" s="102" t="str">
        <x:v>VESSEL_00235</x:v>
      </x:c>
      <x:c r="V58"/>
    </x:row>
    <x:row r="59">
      <x:c r="A59" s="102" t="str">
        <x:v>DEP_00052</x:v>
      </x:c>
      <x:c r="B59" s="102" t="str">
        <x:v>COMP_WAN_HAI</x:v>
      </x:c>
      <x:c r="C59" s="102" t="str">
        <x:v>Wan Hai</x:v>
      </x:c>
      <x:c r="D59" s="102" t="str">
        <x:v>22AA</x:v>
      </x:c>
      <x:c r="E59" s="102" t="str">
        <x:v>WAN HAI 358</x:v>
      </x:c>
      <x:c r="F59" s="110" t="str">
        <x:v>9554080</x:v>
      </x:c>
      <x:c r="G59" s="102" t="str">
        <x:v>Carrier schedule / service deployment</x:v>
      </x:c>
      <x:c r="H59" s="102" t="str">
        <x:v>Hong Kong</x:v>
      </x:c>
      <x:c r="I59" s="102" t="str">
        <x:v>Singapore</x:v>
      </x:c>
      <x:c r="J59" s="102"/>
      <x:c r="K59" s="102"/>
      <x:c r="L59" s="102" t="str">
        <x:v>SCHEDULED_BY / SERVICE_DEPLOYMENT</x:v>
      </x:c>
      <x:c r="M59" s="102" t="str">
        <x:v>Do not infer ownership/management from schedule</x:v>
      </x:c>
      <x:c r="N59" s="102" t="str">
        <x:v>SRC_0201</x:v>
      </x:c>
      <x:c r="O59" s="102" t="str">
        <x:v>https://www.fluentcargo.com/carriers/scac/22AA</x:v>
      </x:c>
      <x:c r="P59" s="102" t="str">
        <x:v>2026-09-07</x:v>
      </x:c>
      <x:c r="Q59" s="102" t="str">
        <x:v>VESSEL_00236</x:v>
      </x:c>
      <x:c r="V59"/>
    </x:row>
    <x:row r="60">
      <x:c r="A60" s="102" t="str">
        <x:v>DEP_00053</x:v>
      </x:c>
      <x:c r="B60" s="102" t="str">
        <x:v>COMP_WAN_HAI</x:v>
      </x:c>
      <x:c r="C60" s="102" t="str">
        <x:v>Wan Hai</x:v>
      </x:c>
      <x:c r="D60" s="102" t="str">
        <x:v>22AA</x:v>
      </x:c>
      <x:c r="E60" s="102" t="str">
        <x:v>WAN HAI 177</x:v>
      </x:c>
      <x:c r="F60" s="110" t="str">
        <x:v>9555137</x:v>
      </x:c>
      <x:c r="G60" s="102" t="str">
        <x:v>Carrier schedule / service deployment</x:v>
      </x:c>
      <x:c r="H60" s="102" t="str">
        <x:v>Laem Chabang</x:v>
      </x:c>
      <x:c r="I60" s="102" t="str">
        <x:v>Bangkok</x:v>
      </x:c>
      <x:c r="J60" s="102"/>
      <x:c r="K60" s="102"/>
      <x:c r="L60" s="102" t="str">
        <x:v>SCHEDULED_BY / SERVICE_DEPLOYMENT</x:v>
      </x:c>
      <x:c r="M60" s="102" t="str">
        <x:v>Do not infer ownership/management from schedule</x:v>
      </x:c>
      <x:c r="N60" s="102" t="str">
        <x:v>SRC_0201</x:v>
      </x:c>
      <x:c r="O60" s="102" t="str">
        <x:v>https://www.fluentcargo.com/carriers/scac/22AA</x:v>
      </x:c>
      <x:c r="P60" s="102" t="str">
        <x:v>2026-09-07</x:v>
      </x:c>
      <x:c r="Q60" s="102" t="str">
        <x:v>VESSEL_00237</x:v>
      </x:c>
      <x:c r="V60"/>
    </x:row>
    <x:row r="61">
      <x:c r="A61" s="102" t="str">
        <x:v>DEP_00054</x:v>
      </x:c>
      <x:c r="B61" s="102" t="str">
        <x:v>COMP_WAN_HAI</x:v>
      </x:c>
      <x:c r="C61" s="102" t="str">
        <x:v>Wan Hai</x:v>
      </x:c>
      <x:c r="D61" s="102" t="str">
        <x:v>22AA</x:v>
      </x:c>
      <x:c r="E61" s="102" t="str">
        <x:v>WAN HAI 333</x:v>
      </x:c>
      <x:c r="F61" s="110" t="str">
        <x:v>9951379</x:v>
      </x:c>
      <x:c r="G61" s="102" t="str">
        <x:v>Carrier schedule / service deployment</x:v>
      </x:c>
      <x:c r="H61" s="102" t="str">
        <x:v>Laem Chabang</x:v>
      </x:c>
      <x:c r="I61" s="102" t="str">
        <x:v>Shekou</x:v>
      </x:c>
      <x:c r="J61" s="102"/>
      <x:c r="K61" s="102"/>
      <x:c r="L61" s="102" t="str">
        <x:v>SCHEDULED_BY / SERVICE_DEPLOYMENT</x:v>
      </x:c>
      <x:c r="M61" s="102" t="str">
        <x:v>Do not infer ownership/management from schedule</x:v>
      </x:c>
      <x:c r="N61" s="102" t="str">
        <x:v>SRC_0201</x:v>
      </x:c>
      <x:c r="O61" s="102" t="str">
        <x:v>https://www.fluentcargo.com/carriers/scac/22AA</x:v>
      </x:c>
      <x:c r="P61" s="102" t="str">
        <x:v>2026-09-07</x:v>
      </x:c>
      <x:c r="Q61" s="102" t="str">
        <x:v>VESSEL_00238</x:v>
      </x:c>
      <x:c r="V61"/>
    </x:row>
    <x:row r="62">
      <x:c r="A62" s="102" t="str">
        <x:v>DEP_00055</x:v>
      </x:c>
      <x:c r="B62" s="102" t="str">
        <x:v>COMP_WAN_HAI</x:v>
      </x:c>
      <x:c r="C62" s="102" t="str">
        <x:v>Wan Hai</x:v>
      </x:c>
      <x:c r="D62" s="102" t="str">
        <x:v>22AA</x:v>
      </x:c>
      <x:c r="E62" s="102" t="str">
        <x:v>WAN HAI 101</x:v>
      </x:c>
      <x:c r="F62" s="110" t="str">
        <x:v>9493298</x:v>
      </x:c>
      <x:c r="G62" s="102" t="str">
        <x:v>Carrier schedule / service deployment</x:v>
      </x:c>
      <x:c r="H62" s="102" t="str">
        <x:v>Port Klang</x:v>
      </x:c>
      <x:c r="I62" s="102" t="str">
        <x:v>Penang</x:v>
      </x:c>
      <x:c r="J62" s="102"/>
      <x:c r="K62" s="102"/>
      <x:c r="L62" s="102" t="str">
        <x:v>SCHEDULED_BY / SERVICE_DEPLOYMENT</x:v>
      </x:c>
      <x:c r="M62" s="102" t="str">
        <x:v>Do not infer ownership/management from schedule</x:v>
      </x:c>
      <x:c r="N62" s="102" t="str">
        <x:v>SRC_0201</x:v>
      </x:c>
      <x:c r="O62" s="102" t="str">
        <x:v>https://www.fluentcargo.com/carriers/scac/22AA</x:v>
      </x:c>
      <x:c r="P62" s="102" t="str">
        <x:v>2026-09-07</x:v>
      </x:c>
      <x:c r="Q62" s="102" t="str">
        <x:v>VESSEL_00239</x:v>
      </x:c>
      <x:c r="V62"/>
    </x:row>
    <x:row r="63">
      <x:c r="A63" s="102" t="str">
        <x:v>DEP_00056</x:v>
      </x:c>
      <x:c r="B63" s="102" t="str">
        <x:v>COMP_ZIM</x:v>
      </x:c>
      <x:c r="C63" s="102" t="str">
        <x:v>ZIM</x:v>
      </x:c>
      <x:c r="D63" s="102" t="str">
        <x:v>ZIMU</x:v>
      </x:c>
      <x:c r="E63" s="102" t="str">
        <x:v>ZIM EMERALD</x:v>
      </x:c>
      <x:c r="F63" s="110" t="str">
        <x:v>9967976</x:v>
      </x:c>
      <x:c r="G63" s="102" t="str">
        <x:v>Carrier schedule / service deployment</x:v>
      </x:c>
      <x:c r="H63" s="102" t="str">
        <x:v>Haifa</x:v>
      </x:c>
      <x:c r="I63" s="102" t="str">
        <x:v>Da Chan Bay</x:v>
      </x:c>
      <x:c r="J63" s="102"/>
      <x:c r="K63" s="102"/>
      <x:c r="L63" s="102" t="str">
        <x:v>SCHEDULED_BY / SERVICE_DEPLOYMENT</x:v>
      </x:c>
      <x:c r="M63" s="102" t="str">
        <x:v>Do not infer ownership/management from schedule</x:v>
      </x:c>
      <x:c r="N63" s="102" t="str">
        <x:v>SRC_0202</x:v>
      </x:c>
      <x:c r="O63" s="102" t="str">
        <x:v>https://www.fluentcargo.com/carriers/scac/ZIMU</x:v>
      </x:c>
      <x:c r="P63" s="102" t="str">
        <x:v>2026-09-07</x:v>
      </x:c>
      <x:c r="Q63" s="102" t="str">
        <x:v>VESSEL_00240</x:v>
      </x:c>
      <x:c r="V63"/>
    </x:row>
    <x:row r="64">
      <x:c r="A64" s="102" t="str">
        <x:v>DEP_00057</x:v>
      </x:c>
      <x:c r="B64" s="102" t="str">
        <x:v>COMP_ZIM</x:v>
      </x:c>
      <x:c r="C64" s="102" t="str">
        <x:v>ZIM</x:v>
      </x:c>
      <x:c r="D64" s="102" t="str">
        <x:v>ZIMU</x:v>
      </x:c>
      <x:c r="E64" s="102" t="str">
        <x:v>CARMEL I</x:v>
      </x:c>
      <x:c r="F64" s="110" t="str">
        <x:v>9395927</x:v>
      </x:c>
      <x:c r="G64" s="102" t="str">
        <x:v>Carrier schedule / service deployment</x:v>
      </x:c>
      <x:c r="H64" s="102" t="str">
        <x:v>New York</x:v>
      </x:c>
      <x:c r="I64" s="102" t="str">
        <x:v>Norfolk</x:v>
      </x:c>
      <x:c r="J64" s="102"/>
      <x:c r="K64" s="102"/>
      <x:c r="L64" s="102" t="str">
        <x:v>SCHEDULED_BY / SERVICE_DEPLOYMENT</x:v>
      </x:c>
      <x:c r="M64" s="102" t="str">
        <x:v>Do not infer ownership/management from schedule</x:v>
      </x:c>
      <x:c r="N64" s="102" t="str">
        <x:v>SRC_0202</x:v>
      </x:c>
      <x:c r="O64" s="102" t="str">
        <x:v>https://www.fluentcargo.com/carriers/scac/ZIMU</x:v>
      </x:c>
      <x:c r="P64" s="102" t="str">
        <x:v>2026-09-07</x:v>
      </x:c>
      <x:c r="Q64" s="102" t="str">
        <x:v>VESSEL_00241</x:v>
      </x:c>
      <x:c r="V64"/>
    </x:row>
    <x:row r="65">
      <x:c r="A65" s="102" t="str">
        <x:v>DEP_00058</x:v>
      </x:c>
      <x:c r="B65" s="102" t="str">
        <x:v>COMP_ZIM</x:v>
      </x:c>
      <x:c r="C65" s="102" t="str">
        <x:v>ZIM</x:v>
      </x:c>
      <x:c r="D65" s="102" t="str">
        <x:v>ZIMU</x:v>
      </x:c>
      <x:c r="E65" s="102" t="str">
        <x:v>MARLA BULL</x:v>
      </x:c>
      <x:c r="F65" s="110" t="str">
        <x:v>9932945</x:v>
      </x:c>
      <x:c r="G65" s="102" t="str">
        <x:v>Carrier schedule / service deployment</x:v>
      </x:c>
      <x:c r="H65" s="102" t="str">
        <x:v>Haifa</x:v>
      </x:c>
      <x:c r="I65" s="102" t="str">
        <x:v>Koper</x:v>
      </x:c>
      <x:c r="J65" s="102"/>
      <x:c r="K65" s="102"/>
      <x:c r="L65" s="102" t="str">
        <x:v>SCHEDULED_BY / SERVICE_DEPLOYMENT</x:v>
      </x:c>
      <x:c r="M65" s="102" t="str">
        <x:v>Do not infer ownership/management from schedule</x:v>
      </x:c>
      <x:c r="N65" s="102" t="str">
        <x:v>SRC_0202</x:v>
      </x:c>
      <x:c r="O65" s="102" t="str">
        <x:v>https://www.fluentcargo.com/carriers/scac/ZIMU</x:v>
      </x:c>
      <x:c r="P65" s="102" t="str">
        <x:v>2026-09-07</x:v>
      </x:c>
      <x:c r="Q65" s="102" t="str">
        <x:v>VESSEL_00242</x:v>
      </x:c>
      <x:c r="V65"/>
    </x:row>
    <x:row r="66">
      <x:c r="A66" s="102" t="str">
        <x:v>DEP_00059</x:v>
      </x:c>
      <x:c r="B66" s="102" t="str">
        <x:v>COMP_ZIM</x:v>
      </x:c>
      <x:c r="C66" s="102" t="str">
        <x:v>ZIM</x:v>
      </x:c>
      <x:c r="D66" s="102" t="str">
        <x:v>ZIMU</x:v>
      </x:c>
      <x:c r="E66" s="102" t="str">
        <x:v>ZIM CHINA</x:v>
      </x:c>
      <x:c r="F66" s="110" t="str">
        <x:v>9389382</x:v>
      </x:c>
      <x:c r="G66" s="102" t="str">
        <x:v>Carrier schedule / service deployment</x:v>
      </x:c>
      <x:c r="H66" s="102" t="str">
        <x:v>Haifa</x:v>
      </x:c>
      <x:c r="I66" s="102" t="str">
        <x:v>Piraeus</x:v>
      </x:c>
      <x:c r="J66" s="102"/>
      <x:c r="K66" s="102"/>
      <x:c r="L66" s="102" t="str">
        <x:v>SCHEDULED_BY / SERVICE_DEPLOYMENT</x:v>
      </x:c>
      <x:c r="M66" s="102" t="str">
        <x:v>Do not infer ownership/management from schedule</x:v>
      </x:c>
      <x:c r="N66" s="102" t="str">
        <x:v>SRC_0202</x:v>
      </x:c>
      <x:c r="O66" s="102" t="str">
        <x:v>https://www.fluentcargo.com/carriers/scac/ZIMU</x:v>
      </x:c>
      <x:c r="P66" s="102" t="str">
        <x:v>2026-09-07</x:v>
      </x:c>
      <x:c r="Q66" s="102" t="str">
        <x:v>VESSEL_00243</x:v>
      </x:c>
      <x:c r="V66"/>
    </x:row>
    <x:row r="67">
      <x:c r="A67" s="102" t="str">
        <x:v>DEP_00060</x:v>
      </x:c>
      <x:c r="B67" s="102" t="str">
        <x:v>COMP_ZIM</x:v>
      </x:c>
      <x:c r="C67" s="102" t="str">
        <x:v>ZIM</x:v>
      </x:c>
      <x:c r="D67" s="102" t="str">
        <x:v>ZIMU</x:v>
      </x:c>
      <x:c r="E67" s="102" t="str">
        <x:v>MTT SANDAKAN</x:v>
      </x:c>
      <x:c r="F67" s="110" t="str">
        <x:v>9872248</x:v>
      </x:c>
      <x:c r="G67" s="102" t="str">
        <x:v>Carrier schedule / service deployment</x:v>
      </x:c>
      <x:c r="H67" s="102" t="str">
        <x:v>Port Klang</x:v>
      </x:c>
      <x:c r="I67" s="102" t="str">
        <x:v>Semarang</x:v>
      </x:c>
      <x:c r="J67" s="102"/>
      <x:c r="K67" s="102"/>
      <x:c r="L67" s="102" t="str">
        <x:v>SCHEDULED_BY / SERVICE_DEPLOYMENT</x:v>
      </x:c>
      <x:c r="M67" s="102" t="str">
        <x:v>Do not infer ownership/management from schedule</x:v>
      </x:c>
      <x:c r="N67" s="102" t="str">
        <x:v>SRC_0202</x:v>
      </x:c>
      <x:c r="O67" s="102" t="str">
        <x:v>https://www.fluentcargo.com/carriers/scac/ZIMU</x:v>
      </x:c>
      <x:c r="P67" s="102" t="str">
        <x:v>2026-09-07</x:v>
      </x:c>
      <x:c r="Q67" s="102" t="str">
        <x:v>VESSEL_00244</x:v>
      </x:c>
      <x:c r="V67"/>
    </x:row>
    <x:row r="68">
      <x:c r="A68" s="102" t="str">
        <x:v>DEP_00061</x:v>
      </x:c>
      <x:c r="B68" s="102" t="str">
        <x:v>COMP_UNIFEEDER</x:v>
      </x:c>
      <x:c r="C68" s="102" t="str">
        <x:v>Unifeeder</x:v>
      </x:c>
      <x:c r="D68" s="102" t="str">
        <x:v>UFEE</x:v>
      </x:c>
      <x:c r="E68" s="102" t="str">
        <x:v>MARBURG</x:v>
      </x:c>
      <x:c r="F68" s="110" t="str">
        <x:v>9387592</x:v>
      </x:c>
      <x:c r="G68" s="102" t="str">
        <x:v>Carrier schedule / service deployment</x:v>
      </x:c>
      <x:c r="H68" s="102" t="str">
        <x:v>Bremerhaven</x:v>
      </x:c>
      <x:c r="I68" s="102" t="str">
        <x:v>Kiel Canal</x:v>
      </x:c>
      <x:c r="J68" s="102"/>
      <x:c r="K68" s="102"/>
      <x:c r="L68" s="102" t="str">
        <x:v>SCHEDULED_BY / SERVICE_DEPLOYMENT</x:v>
      </x:c>
      <x:c r="M68" s="102" t="str">
        <x:v>Do not infer ownership/management from schedule</x:v>
      </x:c>
      <x:c r="N68" s="102" t="str">
        <x:v>SRC_0203</x:v>
      </x:c>
      <x:c r="O68" s="102" t="str">
        <x:v>https://www.fluentcargo.com/carriers/scac/UFEE</x:v>
      </x:c>
      <x:c r="P68" s="102" t="str">
        <x:v>2026-09-07</x:v>
      </x:c>
      <x:c r="Q68" s="102" t="str">
        <x:v>VESSEL_00245</x:v>
      </x:c>
      <x:c r="V68"/>
    </x:row>
    <x:row r="69">
      <x:c r="A69" s="102" t="str">
        <x:v>DEP_00062</x:v>
      </x:c>
      <x:c r="B69" s="102" t="str">
        <x:v>COMP_UNIFEEDER</x:v>
      </x:c>
      <x:c r="C69" s="102" t="str">
        <x:v>Unifeeder</x:v>
      </x:c>
      <x:c r="D69" s="102" t="str">
        <x:v>UFEE</x:v>
      </x:c>
      <x:c r="E69" s="102" t="str">
        <x:v>ELBSKY</x:v>
      </x:c>
      <x:c r="F69" s="110" t="str">
        <x:v>9412531</x:v>
      </x:c>
      <x:c r="G69" s="102" t="str">
        <x:v>Carrier schedule / service deployment</x:v>
      </x:c>
      <x:c r="H69" s="102" t="str">
        <x:v>Kiel Canal</x:v>
      </x:c>
      <x:c r="I69" s="102" t="str">
        <x:v>Tallinn</x:v>
      </x:c>
      <x:c r="J69" s="102"/>
      <x:c r="K69" s="102"/>
      <x:c r="L69" s="102" t="str">
        <x:v>SCHEDULED_BY / SERVICE_DEPLOYMENT</x:v>
      </x:c>
      <x:c r="M69" s="102" t="str">
        <x:v>Do not infer ownership/management from schedule</x:v>
      </x:c>
      <x:c r="N69" s="102" t="str">
        <x:v>SRC_0203</x:v>
      </x:c>
      <x:c r="O69" s="102" t="str">
        <x:v>https://www.fluentcargo.com/carriers/scac/UFEE</x:v>
      </x:c>
      <x:c r="P69" s="102" t="str">
        <x:v>2026-09-07</x:v>
      </x:c>
      <x:c r="Q69" s="102" t="str">
        <x:v>VESSEL_00246</x:v>
      </x:c>
      <x:c r="V69"/>
    </x:row>
    <x:row r="70">
      <x:c r="A70" s="102" t="str">
        <x:v>DEP_00063</x:v>
      </x:c>
      <x:c r="B70" s="102" t="str">
        <x:v>COMP_UNIFEEDER</x:v>
      </x:c>
      <x:c r="C70" s="102" t="str">
        <x:v>Unifeeder</x:v>
      </x:c>
      <x:c r="D70" s="102" t="str">
        <x:v>UFEE</x:v>
      </x:c>
      <x:c r="E70" s="102" t="str">
        <x:v>JUDITH</x:v>
      </x:c>
      <x:c r="F70" s="110" t="str">
        <x:v>9359260</x:v>
      </x:c>
      <x:c r="G70" s="102" t="str">
        <x:v>Carrier schedule / service deployment</x:v>
      </x:c>
      <x:c r="H70" s="102" t="str">
        <x:v>Hamburg</x:v>
      </x:c>
      <x:c r="I70" s="102" t="str">
        <x:v>Kiel Canal</x:v>
      </x:c>
      <x:c r="J70" s="102"/>
      <x:c r="K70" s="102"/>
      <x:c r="L70" s="102" t="str">
        <x:v>SCHEDULED_BY / SERVICE_DEPLOYMENT</x:v>
      </x:c>
      <x:c r="M70" s="102" t="str">
        <x:v>Do not infer ownership/management from schedule</x:v>
      </x:c>
      <x:c r="N70" s="102" t="str">
        <x:v>SRC_0203</x:v>
      </x:c>
      <x:c r="O70" s="102" t="str">
        <x:v>https://www.fluentcargo.com/carriers/scac/UFEE</x:v>
      </x:c>
      <x:c r="P70" s="102" t="str">
        <x:v>2026-09-07</x:v>
      </x:c>
      <x:c r="Q70" s="102" t="str">
        <x:v>VESSEL_00247</x:v>
      </x:c>
      <x:c r="V70"/>
    </x:row>
    <x:row r="71">
      <x:c r="A71" s="102" t="str">
        <x:v>DEP_00064</x:v>
      </x:c>
      <x:c r="B71" s="102" t="str">
        <x:v>COMP_UNIFEEDER</x:v>
      </x:c>
      <x:c r="C71" s="102" t="str">
        <x:v>Unifeeder</x:v>
      </x:c>
      <x:c r="D71" s="102" t="str">
        <x:v>UFEE</x:v>
      </x:c>
      <x:c r="E71" s="102" t="str">
        <x:v>ELBSUMMER</x:v>
      </x:c>
      <x:c r="F71" s="110" t="str">
        <x:v>9386718</x:v>
      </x:c>
      <x:c r="G71" s="102" t="str">
        <x:v>Carrier schedule / service deployment</x:v>
      </x:c>
      <x:c r="H71" s="102" t="str">
        <x:v>Kiel Canal</x:v>
      </x:c>
      <x:c r="I71" s="102" t="str">
        <x:v>Klaipeda</x:v>
      </x:c>
      <x:c r="J71" s="102"/>
      <x:c r="K71" s="102"/>
      <x:c r="L71" s="102" t="str">
        <x:v>SCHEDULED_BY / SERVICE_DEPLOYMENT</x:v>
      </x:c>
      <x:c r="M71" s="102" t="str">
        <x:v>Do not infer ownership/management from schedule</x:v>
      </x:c>
      <x:c r="N71" s="102" t="str">
        <x:v>SRC_0203</x:v>
      </x:c>
      <x:c r="O71" s="102" t="str">
        <x:v>https://www.fluentcargo.com/carriers/scac/UFEE</x:v>
      </x:c>
      <x:c r="P71" s="102" t="str">
        <x:v>2026-09-07</x:v>
      </x:c>
      <x:c r="Q71" s="102" t="str">
        <x:v>VESSEL_00248</x:v>
      </x:c>
      <x:c r="V71"/>
    </x:row>
    <x:row r="72">
      <x:c r="A72" s="102" t="str">
        <x:v>DEP_00065</x:v>
      </x:c>
      <x:c r="B72" s="102" t="str">
        <x:v>COMP_SEALEAD</x:v>
      </x:c>
      <x:c r="C72" s="102" t="str">
        <x:v>SeaLead</x:v>
      </x:c>
      <x:c r="D72" s="102" t="str">
        <x:v>SLS</x:v>
      </x:c>
      <x:c r="E72" s="102" t="str">
        <x:v>SAN PEDRO</x:v>
      </x:c>
      <x:c r="F72" s="110" t="str">
        <x:v>9625281</x:v>
      </x:c>
      <x:c r="G72" s="102" t="str">
        <x:v>Carrier schedule / service deployment</x:v>
      </x:c>
      <x:c r="H72" s="102" t="str">
        <x:v>Port Klang</x:v>
      </x:c>
      <x:c r="I72" s="102" t="str">
        <x:v>Jakarta</x:v>
      </x:c>
      <x:c r="J72" s="102" t="str">
        <x:v>2026-09-05</x:v>
      </x:c>
      <x:c r="K72" s="102" t="str">
        <x:v>2026-09-07</x:v>
      </x:c>
      <x:c r="L72" s="102" t="str">
        <x:v>SCHEDULED_BY / SERVICE_DEPLOYMENT</x:v>
      </x:c>
      <x:c r="M72" s="102" t="str">
        <x:v>Do not infer ownership/management from schedule</x:v>
      </x:c>
      <x:c r="N72" s="102" t="str">
        <x:v>SRC_0204</x:v>
      </x:c>
      <x:c r="O72" s="102" t="str">
        <x:v>https://www.fluentcargo.com/carriers/sealead-shipping</x:v>
      </x:c>
      <x:c r="P72" s="102" t="str">
        <x:v>2026-09-07</x:v>
      </x:c>
      <x:c r="Q72" s="102" t="str">
        <x:v>VESSEL_00249</x:v>
      </x:c>
      <x:c r="V72"/>
    </x:row>
    <x:row r="73">
      <x:c r="A73" s="102" t="str">
        <x:v>DEP_00066</x:v>
      </x:c>
      <x:c r="B73" s="102" t="str">
        <x:v>COMP_SEALEAD</x:v>
      </x:c>
      <x:c r="C73" s="102" t="str">
        <x:v>SeaLead</x:v>
      </x:c>
      <x:c r="D73" s="102" t="str">
        <x:v>SLS</x:v>
      </x:c>
      <x:c r="E73" s="102" t="str">
        <x:v>REN JIAN 8</x:v>
      </x:c>
      <x:c r="F73" s="110" t="str">
        <x:v>9326756</x:v>
      </x:c>
      <x:c r="G73" s="102" t="str">
        <x:v>Carrier schedule / service deployment</x:v>
      </x:c>
      <x:c r="H73" s="102" t="str">
        <x:v>Shanghai</x:v>
      </x:c>
      <x:c r="I73" s="102" t="str">
        <x:v>Yokohama</x:v>
      </x:c>
      <x:c r="J73" s="102" t="str">
        <x:v>2026-09-07</x:v>
      </x:c>
      <x:c r="K73" s="102" t="str">
        <x:v>2026-09-15</x:v>
      </x:c>
      <x:c r="L73" s="102" t="str">
        <x:v>SCHEDULED_BY / SERVICE_DEPLOYMENT</x:v>
      </x:c>
      <x:c r="M73" s="102" t="str">
        <x:v>Do not infer ownership/management from schedule</x:v>
      </x:c>
      <x:c r="N73" s="102" t="str">
        <x:v>SRC_0204</x:v>
      </x:c>
      <x:c r="O73" s="102" t="str">
        <x:v>https://www.fluentcargo.com/carriers/sealead-shipping</x:v>
      </x:c>
      <x:c r="P73" s="102" t="str">
        <x:v>2026-09-07</x:v>
      </x:c>
      <x:c r="Q73" s="102" t="str">
        <x:v>VESSEL_00250</x:v>
      </x:c>
      <x:c r="V73"/>
    </x:row>
    <x:row r="74">
      <x:c r="A74" s="102" t="str">
        <x:v>DEP_00067</x:v>
      </x:c>
      <x:c r="B74" s="102" t="str">
        <x:v>COMP_SEALEAD</x:v>
      </x:c>
      <x:c r="C74" s="102" t="str">
        <x:v>SeaLead</x:v>
      </x:c>
      <x:c r="D74" s="102" t="str">
        <x:v>SLS</x:v>
      </x:c>
      <x:c r="E74" s="102" t="str">
        <x:v>ZHONG GU YIN CHUAN</x:v>
      </x:c>
      <x:c r="F74" s="110" t="str">
        <x:v>9938913</x:v>
      </x:c>
      <x:c r="G74" s="102" t="str">
        <x:v>Carrier schedule / service deployment</x:v>
      </x:c>
      <x:c r="H74" s="102" t="str">
        <x:v>Ningbo</x:v>
      </x:c>
      <x:c r="I74" s="102" t="str">
        <x:v>Nansha</x:v>
      </x:c>
      <x:c r="J74" s="102" t="str">
        <x:v>2026-09-07</x:v>
      </x:c>
      <x:c r="K74" s="102" t="str">
        <x:v>2026-09-10</x:v>
      </x:c>
      <x:c r="L74" s="102" t="str">
        <x:v>SCHEDULED_BY / SERVICE_DEPLOYMENT</x:v>
      </x:c>
      <x:c r="M74" s="102" t="str">
        <x:v>Do not infer ownership/management from schedule</x:v>
      </x:c>
      <x:c r="N74" s="102" t="str">
        <x:v>SRC_0204</x:v>
      </x:c>
      <x:c r="O74" s="102" t="str">
        <x:v>https://www.fluentcargo.com/carriers/sealead-shipping</x:v>
      </x:c>
      <x:c r="P74" s="102" t="str">
        <x:v>2026-09-07</x:v>
      </x:c>
      <x:c r="Q74" s="102" t="str">
        <x:v>VESSEL_00251</x:v>
      </x:c>
      <x:c r="V74"/>
    </x:row>
    <x:row r="75">
      <x:c r="A75" s="102" t="str">
        <x:v>DEP_00068</x:v>
      </x:c>
      <x:c r="B75" s="102" t="str">
        <x:v>COMP_SEALEAD</x:v>
      </x:c>
      <x:c r="C75" s="102" t="str">
        <x:v>SeaLead</x:v>
      </x:c>
      <x:c r="D75" s="102" t="str">
        <x:v>SLS</x:v>
      </x:c>
      <x:c r="E75" s="102" t="str">
        <x:v>MARINA VOYAGER</x:v>
      </x:c>
      <x:c r="F75" s="110" t="str">
        <x:v>9400813</x:v>
      </x:c>
      <x:c r="G75" s="102" t="str">
        <x:v>Carrier schedule / service deployment</x:v>
      </x:c>
      <x:c r="H75" s="102" t="str">
        <x:v>Visakhapatnam</x:v>
      </x:c>
      <x:c r="I75" s="102" t="str">
        <x:v>Tanjung Pelepas</x:v>
      </x:c>
      <x:c r="J75" s="102" t="str">
        <x:v>2026-09-07</x:v>
      </x:c>
      <x:c r="K75" s="102" t="str">
        <x:v>2026-09-12</x:v>
      </x:c>
      <x:c r="L75" s="102" t="str">
        <x:v>SCHEDULED_BY / SERVICE_DEPLOYMENT</x:v>
      </x:c>
      <x:c r="M75" s="102" t="str">
        <x:v>Do not infer ownership/management from schedule</x:v>
      </x:c>
      <x:c r="N75" s="102" t="str">
        <x:v>SRC_0204</x:v>
      </x:c>
      <x:c r="O75" s="102" t="str">
        <x:v>https://www.fluentcargo.com/carriers/sealead-shipping</x:v>
      </x:c>
      <x:c r="P75" s="102" t="str">
        <x:v>2026-09-07</x:v>
      </x:c>
      <x:c r="Q75" s="102" t="str">
        <x:v>VESSEL_00252</x:v>
      </x:c>
      <x:c r="V75"/>
    </x:row>
    <x:row r="76">
      <x:c r="A76" s="102" t="str">
        <x:v>DEP_00069</x:v>
      </x:c>
      <x:c r="B76" s="102" t="str">
        <x:v>COMP_ESL</x:v>
      </x:c>
      <x:c r="C76" s="102" t="str">
        <x:v>Emirates Shipping Line</x:v>
      </x:c>
      <x:c r="D76" s="102" t="str">
        <x:v>ESPU</x:v>
      </x:c>
      <x:c r="E76" s="102" t="str">
        <x:v>ESL SHEKOU</x:v>
      </x:c>
      <x:c r="F76" s="110" t="str">
        <x:v>9290945</x:v>
      </x:c>
      <x:c r="G76" s="102" t="str">
        <x:v>Carrier schedule / service deployment</x:v>
      </x:c>
      <x:c r="H76" s="102" t="str">
        <x:v>Shanghai</x:v>
      </x:c>
      <x:c r="I76" s="102" t="str">
        <x:v>Busan</x:v>
      </x:c>
      <x:c r="J76" s="102" t="str">
        <x:v>2026-09-03</x:v>
      </x:c>
      <x:c r="K76" s="102" t="str">
        <x:v>2026-09-07</x:v>
      </x:c>
      <x:c r="L76" s="102" t="str">
        <x:v>SCHEDULED_BY / SERVICE_DEPLOYMENT</x:v>
      </x:c>
      <x:c r="M76" s="102" t="str">
        <x:v>Do not infer ownership/management from schedule</x:v>
      </x:c>
      <x:c r="N76" s="102" t="str">
        <x:v>SRC_0205</x:v>
      </x:c>
      <x:c r="O76" s="102" t="str">
        <x:v>https://www.fluentcargo.com/carriers/scac/ESPU</x:v>
      </x:c>
      <x:c r="P76" s="102" t="str">
        <x:v>2026-09-07</x:v>
      </x:c>
      <x:c r="Q76" s="102" t="str">
        <x:v>VESSEL_00253</x:v>
      </x:c>
      <x:c r="V76"/>
    </x:row>
    <x:row r="77">
      <x:c r="A77" s="102" t="str">
        <x:v>DEP_00070</x:v>
      </x:c>
      <x:c r="B77" s="102" t="str">
        <x:v>COMP_ESL</x:v>
      </x:c>
      <x:c r="C77" s="102" t="str">
        <x:v>Emirates Shipping Line</x:v>
      </x:c>
      <x:c r="D77" s="102" t="str">
        <x:v>ESPU</x:v>
      </x:c>
      <x:c r="E77" s="102" t="str">
        <x:v>ESL WASL</x:v>
      </x:c>
      <x:c r="F77" s="110" t="str">
        <x:v>9400071</x:v>
      </x:c>
      <x:c r="G77" s="102" t="str">
        <x:v>Carrier schedule / service deployment</x:v>
      </x:c>
      <x:c r="H77" s="102" t="str">
        <x:v>Nhava Sheva</x:v>
      </x:c>
      <x:c r="I77" s="102" t="str">
        <x:v>Hazira</x:v>
      </x:c>
      <x:c r="J77" s="102" t="str">
        <x:v>2026-09-05</x:v>
      </x:c>
      <x:c r="K77" s="102" t="str">
        <x:v>2026-09-05</x:v>
      </x:c>
      <x:c r="L77" s="102" t="str">
        <x:v>SCHEDULED_BY / SERVICE_DEPLOYMENT</x:v>
      </x:c>
      <x:c r="M77" s="102" t="str">
        <x:v>Do not infer ownership/management from schedule</x:v>
      </x:c>
      <x:c r="N77" s="102" t="str">
        <x:v>SRC_0205</x:v>
      </x:c>
      <x:c r="O77" s="102" t="str">
        <x:v>https://www.fluentcargo.com/carriers/scac/ESPU</x:v>
      </x:c>
      <x:c r="P77" s="102" t="str">
        <x:v>2026-09-07</x:v>
      </x:c>
      <x:c r="Q77" s="102" t="str">
        <x:v>VESSEL_00254</x:v>
      </x:c>
      <x:c r="V77"/>
    </x:row>
    <x:row r="78">
      <x:c r="A78" s="102" t="str">
        <x:v>DEP_00071</x:v>
      </x:c>
      <x:c r="B78" s="102" t="str">
        <x:v>COMP_ESL</x:v>
      </x:c>
      <x:c r="C78" s="102" t="str">
        <x:v>Emirates Shipping Line</x:v>
      </x:c>
      <x:c r="D78" s="102" t="str">
        <x:v>ESPU</x:v>
      </x:c>
      <x:c r="E78" s="102" t="str">
        <x:v>ZHONG GU KUN MING</x:v>
      </x:c>
      <x:c r="F78" s="110" t="str">
        <x:v>9933858</x:v>
      </x:c>
      <x:c r="G78" s="102" t="str">
        <x:v>Carrier schedule / service deployment</x:v>
      </x:c>
      <x:c r="H78" s="102" t="str">
        <x:v>Nhava Sheva</x:v>
      </x:c>
      <x:c r="I78" s="102" t="str">
        <x:v>Salalah</x:v>
      </x:c>
      <x:c r="J78" s="102" t="str">
        <x:v>2026-09-05</x:v>
      </x:c>
      <x:c r="K78" s="102" t="str">
        <x:v>2026-09-10</x:v>
      </x:c>
      <x:c r="L78" s="102" t="str">
        <x:v>SCHEDULED_BY / SERVICE_DEPLOYMENT</x:v>
      </x:c>
      <x:c r="M78" s="102" t="str">
        <x:v>Do not infer ownership/management from schedule</x:v>
      </x:c>
      <x:c r="N78" s="102" t="str">
        <x:v>SRC_0205</x:v>
      </x:c>
      <x:c r="O78" s="102" t="str">
        <x:v>https://www.fluentcargo.com/carriers/scac/ESPU</x:v>
      </x:c>
      <x:c r="P78" s="102" t="str">
        <x:v>2026-09-07</x:v>
      </x:c>
      <x:c r="Q78" s="102" t="str">
        <x:v>VESSEL_00255</x:v>
      </x:c>
      <x:c r="V78"/>
    </x:row>
    <x:row r="79">
      <x:c r="A79" s="102" t="str">
        <x:v>DEP_00072</x:v>
      </x:c>
      <x:c r="B79" s="102" t="str">
        <x:v>COMP_ESL</x:v>
      </x:c>
      <x:c r="C79" s="102" t="str">
        <x:v>Emirates Shipping Line</x:v>
      </x:c>
      <x:c r="D79" s="102" t="str">
        <x:v>ESPU</x:v>
      </x:c>
      <x:c r="E79" s="102" t="str">
        <x:v>BRIGHT</x:v>
      </x:c>
      <x:c r="F79" s="110" t="str">
        <x:v>9778399</x:v>
      </x:c>
      <x:c r="G79" s="102" t="str">
        <x:v>Carrier schedule / service deployment</x:v>
      </x:c>
      <x:c r="H79" s="102" t="str">
        <x:v>Dar es Salaam</x:v>
      </x:c>
      <x:c r="I79" s="102" t="str">
        <x:v>Mombasa</x:v>
      </x:c>
      <x:c r="J79" s="102" t="str">
        <x:v>2026-09-06</x:v>
      </x:c>
      <x:c r="K79" s="102" t="str">
        <x:v>2026-09-09</x:v>
      </x:c>
      <x:c r="L79" s="102" t="str">
        <x:v>SCHEDULED_BY / SERVICE_DEPLOYMENT</x:v>
      </x:c>
      <x:c r="M79" s="102" t="str">
        <x:v>Do not infer ownership/management from schedule</x:v>
      </x:c>
      <x:c r="N79" s="102" t="str">
        <x:v>SRC_0205</x:v>
      </x:c>
      <x:c r="O79" s="102" t="str">
        <x:v>https://www.fluentcargo.com/carriers/scac/ESPU</x:v>
      </x:c>
      <x:c r="P79" s="102" t="str">
        <x:v>2026-09-07</x:v>
      </x:c>
      <x:c r="Q79" s="102" t="str">
        <x:v>VESSEL_00256</x:v>
      </x:c>
      <x:c r="V79"/>
    </x:row>
    <x:row r="80">
      <x:c r="A80" s="102" t="str">
        <x:v>DEP_00073</x:v>
      </x:c>
      <x:c r="B80" s="102" t="str">
        <x:v>COMP_XPRESS</x:v>
      </x:c>
      <x:c r="C80" s="102" t="str">
        <x:v>X-Press Feeders</x:v>
      </x:c>
      <x:c r="D80" s="102" t="str">
        <x:v>XPRESS</x:v>
      </x:c>
      <x:c r="E80" s="102" t="str">
        <x:v>TROUPER</x:v>
      </x:c>
      <x:c r="F80" s="110" t="str">
        <x:v>9326952</x:v>
      </x:c>
      <x:c r="G80" s="102" t="str">
        <x:v>Carrier schedule / service deployment</x:v>
      </x:c>
      <x:c r="H80" s="102" t="str">
        <x:v>Las Palmas</x:v>
      </x:c>
      <x:c r="I80" s="102" t="str">
        <x:v>Santa Cruz de Tenerife</x:v>
      </x:c>
      <x:c r="J80" s="102" t="str">
        <x:v>2026-08-27</x:v>
      </x:c>
      <x:c r="K80" s="102" t="str">
        <x:v>2026-08-27</x:v>
      </x:c>
      <x:c r="L80" s="102" t="str">
        <x:v>SCHEDULED_BY / SERVICE_DEPLOYMENT</x:v>
      </x:c>
      <x:c r="M80" s="102" t="str">
        <x:v>Do not infer ownership/management from schedule</x:v>
      </x:c>
      <x:c r="N80" s="102" t="str">
        <x:v>SRC_0206</x:v>
      </x:c>
      <x:c r="O80" s="102" t="str">
        <x:v>https://www.fluentcargo.com/carriers/x-press-feeders</x:v>
      </x:c>
      <x:c r="P80" s="102" t="str">
        <x:v>2026-09-07</x:v>
      </x:c>
      <x:c r="Q80" s="102" t="str">
        <x:v>VESSEL_00257</x:v>
      </x:c>
      <x:c r="V80"/>
    </x:row>
    <x:row r="81">
      <x:c r="A81" s="102" t="str">
        <x:v>DEP_00074</x:v>
      </x:c>
      <x:c r="B81" s="102" t="str">
        <x:v>COMP_XPRESS</x:v>
      </x:c>
      <x:c r="C81" s="102" t="str">
        <x:v>X-Press Feeders</x:v>
      </x:c>
      <x:c r="D81" s="102" t="str">
        <x:v>XPRESS</x:v>
      </x:c>
      <x:c r="E81" s="102" t="str">
        <x:v>X PRESS ANGLESEY</x:v>
      </x:c>
      <x:c r="F81" s="110" t="str">
        <x:v>9623843</x:v>
      </x:c>
      <x:c r="G81" s="102" t="str">
        <x:v>Carrier schedule / service deployment</x:v>
      </x:c>
      <x:c r="H81" s="102" t="str">
        <x:v>Singapore</x:v>
      </x:c>
      <x:c r="I81" s="102" t="str">
        <x:v>Laem Chabang</x:v>
      </x:c>
      <x:c r="J81" s="102" t="str">
        <x:v>2026-08-27</x:v>
      </x:c>
      <x:c r="K81" s="102" t="str">
        <x:v>2026-08-30</x:v>
      </x:c>
      <x:c r="L81" s="102" t="str">
        <x:v>SCHEDULED_BY / SERVICE_DEPLOYMENT</x:v>
      </x:c>
      <x:c r="M81" s="102" t="str">
        <x:v>Do not infer ownership/management from schedule</x:v>
      </x:c>
      <x:c r="N81" s="102" t="str">
        <x:v>SRC_0206</x:v>
      </x:c>
      <x:c r="O81" s="102" t="str">
        <x:v>https://www.fluentcargo.com/carriers/x-press-feeders</x:v>
      </x:c>
      <x:c r="P81" s="102" t="str">
        <x:v>2026-09-07</x:v>
      </x:c>
      <x:c r="Q81" s="102" t="str">
        <x:v>VESSEL_00258</x:v>
      </x:c>
      <x:c r="V81"/>
    </x:row>
    <x:row r="82">
      <x:c r="A82" s="102" t="str">
        <x:v>DEP_00075</x:v>
      </x:c>
      <x:c r="B82" s="102" t="str">
        <x:v>COMP_XPRESS</x:v>
      </x:c>
      <x:c r="C82" s="102" t="str">
        <x:v>X-Press Feeders</x:v>
      </x:c>
      <x:c r="D82" s="102" t="str">
        <x:v>XPRESS</x:v>
      </x:c>
      <x:c r="E82" s="102" t="str">
        <x:v>SKY LIGHT</x:v>
      </x:c>
      <x:c r="F82" s="110" t="str">
        <x:v>9118513</x:v>
      </x:c>
      <x:c r="G82" s="102" t="str">
        <x:v>Carrier schedule / service deployment</x:v>
      </x:c>
      <x:c r="H82" s="102" t="str">
        <x:v>La Guaira</x:v>
      </x:c>
      <x:c r="I82" s="102" t="str">
        <x:v>Cartagena</x:v>
      </x:c>
      <x:c r="J82" s="102" t="str">
        <x:v>2026-08-27</x:v>
      </x:c>
      <x:c r="K82" s="102" t="str">
        <x:v>2026-08-29</x:v>
      </x:c>
      <x:c r="L82" s="102" t="str">
        <x:v>SCHEDULED_BY / SERVICE_DEPLOYMENT</x:v>
      </x:c>
      <x:c r="M82" s="102" t="str">
        <x:v>Do not infer ownership/management from schedule</x:v>
      </x:c>
      <x:c r="N82" s="102" t="str">
        <x:v>SRC_0206</x:v>
      </x:c>
      <x:c r="O82" s="102" t="str">
        <x:v>https://www.fluentcargo.com/carriers/x-press-feeders</x:v>
      </x:c>
      <x:c r="P82" s="102" t="str">
        <x:v>2026-09-07</x:v>
      </x:c>
      <x:c r="Q82" s="102" t="str">
        <x:v>VESSEL_00259</x:v>
      </x:c>
      <x:c r="V82"/>
    </x:row>
    <x:row r="83">
      <x:c r="A83" s="102" t="str">
        <x:v>DEP_00076</x:v>
      </x:c>
      <x:c r="B83" s="102" t="str">
        <x:v>COMP_XPRESS</x:v>
      </x:c>
      <x:c r="C83" s="102" t="str">
        <x:v>X-Press Feeders</x:v>
      </x:c>
      <x:c r="D83" s="102" t="str">
        <x:v>XPRESS</x:v>
      </x:c>
      <x:c r="E83" s="102" t="str">
        <x:v>GOLDEN STAR 1</x:v>
      </x:c>
      <x:c r="F83" s="110" t="str">
        <x:v>8952857</x:v>
      </x:c>
      <x:c r="G83" s="102" t="str">
        <x:v>Carrier schedule / service deployment</x:v>
      </x:c>
      <x:c r="H83" s="102" t="str">
        <x:v>Johor Port</x:v>
      </x:c>
      <x:c r="I83" s="102" t="str">
        <x:v>Singapore</x:v>
      </x:c>
      <x:c r="J83" s="102" t="str">
        <x:v>2026-08-27</x:v>
      </x:c>
      <x:c r="K83" s="102" t="str">
        <x:v>2026-08-28</x:v>
      </x:c>
      <x:c r="L83" s="102" t="str">
        <x:v>SCHEDULED_BY / SERVICE_DEPLOYMENT</x:v>
      </x:c>
      <x:c r="M83" s="102" t="str">
        <x:v>Do not infer ownership/management from schedule</x:v>
      </x:c>
      <x:c r="N83" s="102" t="str">
        <x:v>SRC_0206</x:v>
      </x:c>
      <x:c r="O83" s="102" t="str">
        <x:v>https://www.fluentcargo.com/carriers/x-press-feeders</x:v>
      </x:c>
      <x:c r="P83" s="102" t="str">
        <x:v>2026-09-07</x:v>
      </x:c>
      <x:c r="Q83" s="102" t="str">
        <x:v>VESSEL_00260</x:v>
      </x:c>
      <x:c r="V83"/>
    </x:row>
    <x:row r="84">
      <x:c r="A84" s="102" t="str">
        <x:v>DEP_00077</x:v>
      </x:c>
      <x:c r="B84" s="102" t="str">
        <x:v>COMP_GFS</x:v>
      </x:c>
      <x:c r="C84" s="102" t="str">
        <x:v>Global Feeder Shipping</x:v>
      </x:c>
      <x:c r="D84" s="102" t="str">
        <x:v>GFS</x:v>
      </x:c>
      <x:c r="E84" s="102" t="str">
        <x:v>SSF VALENCE</x:v>
      </x:c>
      <x:c r="F84" s="110" t="str">
        <x:v>9304693</x:v>
      </x:c>
      <x:c r="G84" s="102" t="str">
        <x:v>Carrier schedule / service deployment</x:v>
      </x:c>
      <x:c r="H84" s="102" t="str">
        <x:v>Port Said</x:v>
      </x:c>
      <x:c r="I84" s="102" t="str">
        <x:v>Aqaba</x:v>
      </x:c>
      <x:c r="J84" s="102" t="str">
        <x:v>2026-09-05</x:v>
      </x:c>
      <x:c r="K84" s="102" t="str">
        <x:v>2026-09-11</x:v>
      </x:c>
      <x:c r="L84" s="102" t="str">
        <x:v>SCHEDULED_BY / SERVICE_DEPLOYMENT</x:v>
      </x:c>
      <x:c r="M84" s="102" t="str">
        <x:v>Do not infer ownership/management from schedule</x:v>
      </x:c>
      <x:c r="N84" s="102" t="str">
        <x:v>SRC_0207</x:v>
      </x:c>
      <x:c r="O84" s="102" t="str">
        <x:v>https://www.fluentcargo.com/carriers/global-feeder-shipping</x:v>
      </x:c>
      <x:c r="P84" s="102" t="str">
        <x:v>2026-09-07</x:v>
      </x:c>
      <x:c r="Q84" s="102" t="str">
        <x:v>VESSEL_00261</x:v>
      </x:c>
      <x:c r="V84"/>
    </x:row>
    <x:row r="85">
      <x:c r="A85" s="102" t="str">
        <x:v>DEP_00078</x:v>
      </x:c>
      <x:c r="B85" s="102" t="str">
        <x:v>COMP_GFS</x:v>
      </x:c>
      <x:c r="C85" s="102" t="str">
        <x:v>Global Feeder Shipping</x:v>
      </x:c>
      <x:c r="D85" s="102" t="str">
        <x:v>GFS</x:v>
      </x:c>
      <x:c r="E85" s="102" t="str">
        <x:v>SM MANALI</x:v>
      </x:c>
      <x:c r="F85" s="110" t="str">
        <x:v>9303742</x:v>
      </x:c>
      <x:c r="G85" s="102" t="str">
        <x:v>Carrier schedule / service deployment</x:v>
      </x:c>
      <x:c r="H85" s="102" t="str">
        <x:v>Colombo</x:v>
      </x:c>
      <x:c r="I85" s="102" t="str">
        <x:v>Visakhapatnam</x:v>
      </x:c>
      <x:c r="J85" s="102" t="str">
        <x:v>2026-09-06</x:v>
      </x:c>
      <x:c r="K85" s="102" t="str">
        <x:v>2026-09-09</x:v>
      </x:c>
      <x:c r="L85" s="102" t="str">
        <x:v>SCHEDULED_BY / SERVICE_DEPLOYMENT</x:v>
      </x:c>
      <x:c r="M85" s="102" t="str">
        <x:v>Do not infer ownership/management from schedule</x:v>
      </x:c>
      <x:c r="N85" s="102" t="str">
        <x:v>SRC_0207</x:v>
      </x:c>
      <x:c r="O85" s="102" t="str">
        <x:v>https://www.fluentcargo.com/carriers/global-feeder-shipping</x:v>
      </x:c>
      <x:c r="P85" s="102" t="str">
        <x:v>2026-09-07</x:v>
      </x:c>
      <x:c r="Q85" s="102" t="str">
        <x:v>VESSEL_00262</x:v>
      </x:c>
      <x:c r="V85"/>
    </x:row>
    <x:row r="86">
      <x:c r="A86" s="102" t="str">
        <x:v>DEP_00079</x:v>
      </x:c>
      <x:c r="B86" s="102" t="str">
        <x:v>COMP_GFS</x:v>
      </x:c>
      <x:c r="C86" s="102" t="str">
        <x:v>Global Feeder Shipping</x:v>
      </x:c>
      <x:c r="D86" s="102" t="str">
        <x:v>GFS</x:v>
      </x:c>
      <x:c r="E86" s="102" t="str">
        <x:v>REMAH</x:v>
      </x:c>
      <x:c r="F86" s="110" t="str">
        <x:v>9947720</x:v>
      </x:c>
      <x:c r="G86" s="102" t="str">
        <x:v>Carrier schedule / service deployment</x:v>
      </x:c>
      <x:c r="H86" s="102" t="str">
        <x:v>Misurata</x:v>
      </x:c>
      <x:c r="I86" s="102" t="str">
        <x:v>Khoms</x:v>
      </x:c>
      <x:c r="J86" s="102" t="str">
        <x:v>2026-09-06</x:v>
      </x:c>
      <x:c r="K86" s="102" t="str">
        <x:v>2026-09-07</x:v>
      </x:c>
      <x:c r="L86" s="102" t="str">
        <x:v>SCHEDULED_BY / SERVICE_DEPLOYMENT</x:v>
      </x:c>
      <x:c r="M86" s="102" t="str">
        <x:v>Do not infer ownership/management from schedule</x:v>
      </x:c>
      <x:c r="N86" s="102" t="str">
        <x:v>SRC_0207</x:v>
      </x:c>
      <x:c r="O86" s="102" t="str">
        <x:v>https://www.fluentcargo.com/carriers/global-feeder-shipping</x:v>
      </x:c>
      <x:c r="P86" s="102" t="str">
        <x:v>2026-09-07</x:v>
      </x:c>
      <x:c r="Q86" s="102" t="str">
        <x:v>VESSEL_00263</x:v>
      </x:c>
      <x:c r="V86"/>
    </x:row>
    <x:row r="87">
      <x:c r="A87" s="102" t="str">
        <x:v>DEP_00080</x:v>
      </x:c>
      <x:c r="B87" s="102" t="str">
        <x:v>COMP_GFS</x:v>
      </x:c>
      <x:c r="C87" s="102" t="str">
        <x:v>Global Feeder Shipping</x:v>
      </x:c>
      <x:c r="D87" s="102" t="str">
        <x:v>GFS</x:v>
      </x:c>
      <x:c r="E87" s="102" t="str">
        <x:v>ATHENA</x:v>
      </x:c>
      <x:c r="F87" s="110" t="str">
        <x:v>9187344</x:v>
      </x:c>
      <x:c r="G87" s="102" t="str">
        <x:v>Carrier schedule / service deployment</x:v>
      </x:c>
      <x:c r="H87" s="102" t="str">
        <x:v>Port Said</x:v>
      </x:c>
      <x:c r="I87" s="102" t="str">
        <x:v>Misurata</x:v>
      </x:c>
      <x:c r="J87" s="102" t="str">
        <x:v>2026-09-06</x:v>
      </x:c>
      <x:c r="K87" s="102" t="str">
        <x:v>2026-09-10</x:v>
      </x:c>
      <x:c r="L87" s="102" t="str">
        <x:v>SCHEDULED_BY / SERVICE_DEPLOYMENT</x:v>
      </x:c>
      <x:c r="M87" s="102" t="str">
        <x:v>Do not infer ownership/management from schedule</x:v>
      </x:c>
      <x:c r="N87" s="102" t="str">
        <x:v>SRC_0207</x:v>
      </x:c>
      <x:c r="O87" s="102" t="str">
        <x:v>https://www.fluentcargo.com/carriers/global-feeder-shipping</x:v>
      </x:c>
      <x:c r="P87" s="102" t="str">
        <x:v>2026-09-07</x:v>
      </x:c>
      <x:c r="Q87" s="102" t="str">
        <x:v>VESSEL_00170</x:v>
      </x:c>
      <x:c r="V87"/>
    </x:row>
    <x:row r="88">
      <x:c r="A88" s="102" t="str">
        <x:v>DEP_00081</x:v>
      </x:c>
      <x:c r="B88" s="102" t="str">
        <x:v>COMP_GFS</x:v>
      </x:c>
      <x:c r="C88" s="102" t="str">
        <x:v>Global Feeder Shipping</x:v>
      </x:c>
      <x:c r="D88" s="102" t="str">
        <x:v>GFS</x:v>
      </x:c>
      <x:c r="E88" s="102" t="str">
        <x:v>MIRROR</x:v>
      </x:c>
      <x:c r="F88" s="110" t="str">
        <x:v>9328041</x:v>
      </x:c>
      <x:c r="G88" s="102" t="str">
        <x:v>Carrier schedule / service deployment</x:v>
      </x:c>
      <x:c r="H88" s="102" t="str">
        <x:v>Rotterdam</x:v>
      </x:c>
      <x:c r="I88" s="102" t="str">
        <x:v>Helsinki</x:v>
      </x:c>
      <x:c r="J88" s="102" t="str">
        <x:v>2026-09-06</x:v>
      </x:c>
      <x:c r="K88" s="102" t="str">
        <x:v>2026-09-10</x:v>
      </x:c>
      <x:c r="L88" s="102" t="str">
        <x:v>SCHEDULED_BY / SERVICE_DEPLOYMENT</x:v>
      </x:c>
      <x:c r="M88" s="102" t="str">
        <x:v>Do not infer ownership/management from schedule</x:v>
      </x:c>
      <x:c r="N88" s="102" t="str">
        <x:v>SRC_0207</x:v>
      </x:c>
      <x:c r="O88" s="102" t="str">
        <x:v>https://www.fluentcargo.com/carriers/global-feeder-shipping</x:v>
      </x:c>
      <x:c r="P88" s="102" t="str">
        <x:v>2026-09-07</x:v>
      </x:c>
      <x:c r="Q88" s="102" t="str">
        <x:v>VESSEL_00264</x:v>
      </x:c>
      <x:c r="V88"/>
    </x:row>
    <x:row r="89">
      <x:c r="A89" s="102" t="str">
        <x:v>DEP_00082</x:v>
      </x:c>
      <x:c r="B89" s="102" t="str">
        <x:v>COMP_SAFEEN_FEEDERS</x:v>
      </x:c>
      <x:c r="C89" s="102" t="str">
        <x:v>SAFEEN Feeders</x:v>
      </x:c>
      <x:c r="D89" s="102" t="str">
        <x:v>SFN</x:v>
      </x:c>
      <x:c r="E89" s="102" t="str">
        <x:v>HUA DA 610</x:v>
      </x:c>
      <x:c r="F89" s="110" t="str">
        <x:v>1077385</x:v>
      </x:c>
      <x:c r="G89" s="102" t="str">
        <x:v>Carrier schedule / service deployment</x:v>
      </x:c>
      <x:c r="H89" s="102" t="str">
        <x:v>Saint Petersburg</x:v>
      </x:c>
      <x:c r="I89" s="102" t="str">
        <x:v>Qingdao</x:v>
      </x:c>
      <x:c r="J89" s="102" t="str">
        <x:v>2026-07-07</x:v>
      </x:c>
      <x:c r="K89" s="102" t="str">
        <x:v>2026-08-06</x:v>
      </x:c>
      <x:c r="L89" s="102" t="str">
        <x:v>SCHEDULED_BY / SERVICE_DEPLOYMENT</x:v>
      </x:c>
      <x:c r="M89" s="102" t="str">
        <x:v>Do not infer ownership/management from schedule</x:v>
      </x:c>
      <x:c r="N89" s="102" t="str">
        <x:v>SRC_0208</x:v>
      </x:c>
      <x:c r="O89" s="102" t="str">
        <x:v>https://www.fluentcargo.com/carriers/safeen-feeders</x:v>
      </x:c>
      <x:c r="P89" s="102" t="str">
        <x:v>2026-09-07</x:v>
      </x:c>
      <x:c r="Q89" s="102" t="str">
        <x:v>VESSEL_00265</x:v>
      </x:c>
      <x:c r="V89"/>
    </x:row>
    <x:row r="90">
      <x:c r="A90" s="102" t="str">
        <x:v>DEP_00083</x:v>
      </x:c>
      <x:c r="B90" s="102" t="str">
        <x:v>COMP_SAFEEN_FEEDERS</x:v>
      </x:c>
      <x:c r="C90" s="102" t="str">
        <x:v>SAFEEN Feeders</x:v>
      </x:c>
      <x:c r="D90" s="102" t="str">
        <x:v>SFN</x:v>
      </x:c>
      <x:c r="E90" s="102" t="str">
        <x:v>AL BATEEN</x:v>
      </x:c>
      <x:c r="F90" s="110" t="str">
        <x:v>9668984</x:v>
      </x:c>
      <x:c r="G90" s="102" t="str">
        <x:v>Carrier schedule / service deployment</x:v>
      </x:c>
      <x:c r="H90" s="102" t="str">
        <x:v>Tanger Med</x:v>
      </x:c>
      <x:c r="I90" s="102" t="str">
        <x:v>Nouakchott</x:v>
      </x:c>
      <x:c r="J90" s="102" t="str">
        <x:v>2026-07-07</x:v>
      </x:c>
      <x:c r="K90" s="102" t="str">
        <x:v>2026-07-14</x:v>
      </x:c>
      <x:c r="L90" s="102" t="str">
        <x:v>SCHEDULED_BY / SERVICE_DEPLOYMENT</x:v>
      </x:c>
      <x:c r="M90" s="102" t="str">
        <x:v>Do not infer ownership/management from schedule</x:v>
      </x:c>
      <x:c r="N90" s="102" t="str">
        <x:v>SRC_0208</x:v>
      </x:c>
      <x:c r="O90" s="102" t="str">
        <x:v>https://www.fluentcargo.com/carriers/safeen-feeders</x:v>
      </x:c>
      <x:c r="P90" s="102" t="str">
        <x:v>2026-09-07</x:v>
      </x:c>
      <x:c r="Q90" s="102" t="str">
        <x:v>VESSEL_00266</x:v>
      </x:c>
      <x:c r="V90"/>
    </x:row>
    <x:row r="91">
      <x:c r="A91" s="102" t="str">
        <x:v>DEP_00084</x:v>
      </x:c>
      <x:c r="B91" s="102" t="str">
        <x:v>COMP_SAFEEN_FEEDERS</x:v>
      </x:c>
      <x:c r="C91" s="102" t="str">
        <x:v>SAFEEN Feeders</x:v>
      </x:c>
      <x:c r="D91" s="102" t="str">
        <x:v>SFN</x:v>
      </x:c>
      <x:c r="E91" s="102" t="str">
        <x:v>SAFEEN PRIZE</x:v>
      </x:c>
      <x:c r="F91" s="110" t="str">
        <x:v>9603594</x:v>
      </x:c>
      <x:c r="G91" s="102" t="str">
        <x:v>Carrier schedule / service deployment</x:v>
      </x:c>
      <x:c r="H91" s="102" t="str">
        <x:v>Jeddah</x:v>
      </x:c>
      <x:c r="I91" s="102" t="str">
        <x:v>Salalah</x:v>
      </x:c>
      <x:c r="J91" s="102" t="str">
        <x:v>2026-07-07</x:v>
      </x:c>
      <x:c r="K91" s="102" t="str">
        <x:v>2026-07-13</x:v>
      </x:c>
      <x:c r="L91" s="102" t="str">
        <x:v>SCHEDULED_BY / SERVICE_DEPLOYMENT</x:v>
      </x:c>
      <x:c r="M91" s="102" t="str">
        <x:v>Do not infer ownership/management from schedule</x:v>
      </x:c>
      <x:c r="N91" s="102" t="str">
        <x:v>SRC_0208</x:v>
      </x:c>
      <x:c r="O91" s="102" t="str">
        <x:v>https://www.fluentcargo.com/carriers/safeen-feeders</x:v>
      </x:c>
      <x:c r="P91" s="102" t="str">
        <x:v>2026-09-07</x:v>
      </x:c>
      <x:c r="Q91" s="102" t="str">
        <x:v>VESSEL_00267</x:v>
      </x:c>
      <x:c r="V91"/>
    </x:row>
    <x:row r="92">
      <x:c r="A92" s="102" t="str">
        <x:v>DEP_00085</x:v>
      </x:c>
      <x:c r="B92" s="102" t="str">
        <x:v>COMP_SAFEEN_FEEDERS</x:v>
      </x:c>
      <x:c r="C92" s="102" t="str">
        <x:v>SAFEEN Feeders</x:v>
      </x:c>
      <x:c r="D92" s="102" t="str">
        <x:v>SFN</x:v>
      </x:c>
      <x:c r="E92" s="102" t="str">
        <x:v>SSF DREAM</x:v>
      </x:c>
      <x:c r="F92" s="110" t="str">
        <x:v>9346005</x:v>
      </x:c>
      <x:c r="G92" s="102" t="str">
        <x:v>Carrier schedule / service deployment</x:v>
      </x:c>
      <x:c r="H92" s="102" t="str">
        <x:v>Qingdao</x:v>
      </x:c>
      <x:c r="I92" s="102" t="str">
        <x:v>Shanghai</x:v>
      </x:c>
      <x:c r="J92" s="102" t="str">
        <x:v>2026-07-11</x:v>
      </x:c>
      <x:c r="K92" s="102" t="str">
        <x:v>2026-07-15</x:v>
      </x:c>
      <x:c r="L92" s="102" t="str">
        <x:v>SCHEDULED_BY / SERVICE_DEPLOYMENT</x:v>
      </x:c>
      <x:c r="M92" s="102" t="str">
        <x:v>Do not infer ownership/management from schedule</x:v>
      </x:c>
      <x:c r="N92" s="102" t="str">
        <x:v>SRC_0208</x:v>
      </x:c>
      <x:c r="O92" s="102" t="str">
        <x:v>https://www.fluentcargo.com/carriers/safeen-feeders</x:v>
      </x:c>
      <x:c r="P92" s="102" t="str">
        <x:v>2026-09-07</x:v>
      </x:c>
      <x:c r="Q92" s="102" t="str">
        <x:v>VESSEL_00268</x:v>
      </x:c>
      <x:c r="V92"/>
    </x:row>
  </x:sheetData>
  <x:mergeCells>
    <x:mergeCell ref="A1:Q1"/>
    <x:mergeCell ref="A5:Q5"/>
  </x:mergeCells>
  <x:conditionalFormatting sqref="C8:C92">
    <x:cfRule type="expression" dxfId="3" priority="1">
      <x:formula>OR(C8="Global Feeder Shipping",C8="SAFEEN Feeders")</x:formula>
    </x:cfRule>
  </x:conditionalFormatting>
  <x:pageMargins left="0.7" right="0.7" top="0.75" bottom="0.75" header="0.3" footer="0.3"/>
  <x:tableParts count="1">
    <x:tablePart xmlns:r="http://schemas.openxmlformats.org/officeDocument/2006/relationships" r:id="Rba36988555e4471e"/>
  </x:tableParts>
</x:worksheet>
</file>

<file path=xl/worksheets/sheet39.xml><?xml version="1.0" encoding="utf-8"?>
<x:worksheet xmlns:x="http://schemas.openxmlformats.org/spreadsheetml/2006/main">
  <x:sheetFormatPr defaultRowHeight="15"/>
  <x:cols>
    <x:col min="1" max="1" width="22" hidden="0" customWidth="1"/>
    <x:col min="2" max="2" width="12" hidden="0" customWidth="1"/>
    <x:col min="3" max="3" width="20" hidden="0" customWidth="1"/>
    <x:col min="4" max="4" width="26" hidden="0" customWidth="1"/>
    <x:col min="5" max="5" width="12" hidden="0" customWidth="1"/>
    <x:col min="6" max="6" width="28" hidden="0" customWidth="1"/>
    <x:col min="7" max="7" width="20" hidden="0" customWidth="1"/>
    <x:col min="8" max="8" width="18" hidden="0" customWidth="1"/>
    <x:col min="9" max="9" width="16" hidden="0" customWidth="1"/>
    <x:col min="10" max="10" width="12" hidden="0" customWidth="1"/>
    <x:col min="11" max="11" width="12" hidden="0" customWidth="1"/>
    <x:col min="12" max="12" width="48" hidden="0" customWidth="1"/>
    <x:col min="14" max="14" width="26" hidden="0" customWidth="1"/>
    <x:col min="15" max="15" width="12" hidden="0" customWidth="1"/>
  </x:cols>
  <x:sheetData>
    <x:row r="1" ht="28" customHeight="1">
      <x:c r="A1" s="149" t="str">
        <x:v>VLCC Fleet Ranking Snapshots — Methodology-Aware Benchmark</x:v>
      </x:c>
      <x:c r="B1" s="149"/>
      <x:c r="C1" s="149"/>
      <x:c r="D1" s="149"/>
      <x:c r="E1" s="149"/>
      <x:c r="F1" s="149"/>
      <x:c r="G1" s="149"/>
      <x:c r="H1" s="149"/>
      <x:c r="I1" s="149"/>
      <x:c r="J1" s="149"/>
      <x:c r="K1" s="149"/>
      <x:c r="L1" s="149"/>
    </x:row>
    <x:row r="2">
      <x:c r="A2" s="153" t="str">
        <x:v>World VLCC Fleet</x:v>
      </x:c>
      <x:c r="B2" s="153"/>
      <x:c r="C2" s="153" t="str">
        <x:v>Sanctioned / Excluded</x:v>
      </x:c>
      <x:c r="D2" s="153"/>
      <x:c r="E2" s="153" t="str">
        <x:v>Free to Trade</x:v>
      </x:c>
      <x:c r="F2" s="153"/>
      <x:c r="G2" s="153" t="str">
        <x:v>Top 10 Count</x:v>
      </x:c>
      <x:c r="H2" s="153"/>
      <x:c r="I2" s="153" t="str">
        <x:v>Top 10 Share of Tradeable</x:v>
      </x:c>
      <x:c r="J2" s="153"/>
      <x:c r="N2" s="160" t="str">
        <x:v>Company</x:v>
      </x:c>
      <x:c r="O2" s="160" t="str">
        <x:v>VLCC Count</x:v>
      </x:c>
    </x:row>
    <x:row r="3">
      <x:c r="A3" s="122" t="n">
        <x:v>907</x:v>
      </x:c>
      <x:c r="B3" s="122"/>
      <x:c r="C3" s="122" t="n">
        <x:v>167</x:v>
      </x:c>
      <x:c r="D3" s="122"/>
      <x:c r="E3" s="122"/>
      <x:c r="F3" s="122" t="n">
        <x:f>A3-C3</x:f>
        <x:v>740</x:v>
      </x:c>
      <x:c r="G3" s="122"/>
      <x:c r="H3" s="122" t="n">
        <x:f>SUM(E9:E18)</x:f>
        <x:v>393</x:v>
      </x:c>
      <x:c r="I3" s="122"/>
      <x:c r="J3" s="154" t="n">
        <x:f>H3/F3</x:f>
        <x:v>0.5310810810810811</x:v>
      </x:c>
      <x:c r="N3" t="str">
        <x:v>SINOKOR</x:v>
      </x:c>
      <x:c r="O3" t="n">
        <x:v>93</x:v>
      </x:c>
    </x:row>
    <x:row r="4">
      <x:c r="N4" t="str">
        <x:v>China Merchants Energy Shipping</x:v>
      </x:c>
      <x:c r="O4" t="n">
        <x:v>51</x:v>
      </x:c>
    </x:row>
    <x:row r="5" ht="48" customHeight="1">
      <x:c r="A5" s="158" t="str">
        <x:v>Ranking rule: preserve the source methodology. A fleet ranking may count owned, operated, beneficially controlled or commercially controlled tonnage differently. Sanctions and other restrictions are filters, not ownership attributes. The same company can therefore have different valid fleet counts at different dates or under different definitions.</x:v>
      </x:c>
      <x:c r="B5" s="158"/>
      <x:c r="C5" s="158"/>
      <x:c r="D5" s="158"/>
      <x:c r="E5" s="158"/>
      <x:c r="F5" s="158"/>
      <x:c r="G5" s="158"/>
      <x:c r="H5" s="158"/>
      <x:c r="I5" s="158"/>
      <x:c r="J5" s="158"/>
      <x:c r="K5" s="158"/>
      <x:c r="L5" s="158"/>
      <x:c r="N5" t="str">
        <x:v>Bahri</x:v>
      </x:c>
      <x:c r="O5" t="n">
        <x:v>49</x:v>
      </x:c>
    </x:row>
    <x:row r="6">
      <x:c r="N6" t="str">
        <x:v>COSCO SHIPPING Energy</x:v>
      </x:c>
      <x:c r="O6" t="n">
        <x:v>41</x:v>
      </x:c>
    </x:row>
    <x:row r="7">
      <x:c r="N7" t="str">
        <x:v>Frontline</x:v>
      </x:c>
      <x:c r="O7" t="n">
        <x:v>37</x:v>
      </x:c>
    </x:row>
    <x:row r="8">
      <x:c r="A8" s="161" t="str">
        <x:v>Ranking ID</x:v>
      </x:c>
      <x:c r="B8" s="161" t="str">
        <x:v>Published Rank</x:v>
      </x:c>
      <x:c r="C8" s="161" t="str">
        <x:v>Company ID</x:v>
      </x:c>
      <x:c r="D8" s="161" t="str">
        <x:v>Company</x:v>
      </x:c>
      <x:c r="E8" s="161" t="str">
        <x:v>VLCC Count</x:v>
      </x:c>
      <x:c r="F8" s="161" t="str">
        <x:v>Metric / Scope</x:v>
      </x:c>
      <x:c r="G8" s="161" t="str">
        <x:v>Included in Tradeable Ranking</x:v>
      </x:c>
      <x:c r="H8" s="161" t="str">
        <x:v>Hypothetical Rank if Included</x:v>
      </x:c>
      <x:c r="I8" s="161" t="str">
        <x:v>As Of</x:v>
      </x:c>
      <x:c r="J8" s="161" t="str">
        <x:v>Source ID</x:v>
      </x:c>
      <x:c r="K8" s="161" t="str">
        <x:v>Confidence</x:v>
      </x:c>
      <x:c r="L8" s="161" t="str">
        <x:v>Notes</x:v>
      </x:c>
      <x:c r="N8" t="str">
        <x:v>Maran Tankers</x:v>
      </x:c>
      <x:c r="O8" t="n">
        <x:v>33</x:v>
      </x:c>
    </x:row>
    <x:row r="9">
      <x:c r="A9" s="102" t="str">
        <x:v>RANK_VLCC_202609_01</x:v>
      </x:c>
      <x:c r="B9" s="102" t="n">
        <x:v>1</x:v>
      </x:c>
      <x:c r="C9" s="102" t="str">
        <x:v>COMP_SINOKOR</x:v>
      </x:c>
      <x:c r="D9" s="102" t="str">
        <x:v>SINOKOR</x:v>
      </x:c>
      <x:c r="E9" s="102" t="n">
        <x:v>93</x:v>
      </x:c>
      <x:c r="F9" s="102" t="str">
        <x:v>Controlled / ranking-defined VLCC fleet</x:v>
      </x:c>
      <x:c r="G9" s="102" t="str">
        <x:v>Yes</x:v>
      </x:c>
      <x:c r="H9" s="102"/>
      <x:c r="I9" s="102" t="str">
        <x:v>2026-09</x:v>
      </x:c>
      <x:c r="J9" s="102" t="str">
        <x:v>SRC_0213</x:v>
      </x:c>
      <x:c r="K9" s="102" t="str">
        <x:v>Medium</x:v>
      </x:c>
      <x:c r="L9" s="102" t="str">
        <x:v>Benchmark graphic; reconcile operating company, registered owners and beneficial-control entities vessel by vessel.</x:v>
      </x:c>
      <x:c r="N9" t="str">
        <x:v>Mitsui O.S.K. Lines</x:v>
      </x:c>
      <x:c r="O9" t="n">
        <x:v>30</x:v>
      </x:c>
    </x:row>
    <x:row r="10">
      <x:c r="A10" s="102" t="str">
        <x:v>RANK_VLCC_202609_02</x:v>
      </x:c>
      <x:c r="B10" s="102" t="n">
        <x:v>2</x:v>
      </x:c>
      <x:c r="C10" s="102" t="str">
        <x:v>COMP_CMES</x:v>
      </x:c>
      <x:c r="D10" s="102" t="str">
        <x:v>China Merchants Energy Shipping</x:v>
      </x:c>
      <x:c r="E10" s="102" t="n">
        <x:v>51</x:v>
      </x:c>
      <x:c r="F10" s="102" t="str">
        <x:v>VLCC fleet</x:v>
      </x:c>
      <x:c r="G10" s="102" t="str">
        <x:v>Yes</x:v>
      </x:c>
      <x:c r="H10" s="102"/>
      <x:c r="I10" s="102" t="str">
        <x:v>2026-H1 / Sep ranking</x:v>
      </x:c>
      <x:c r="J10" s="102" t="str">
        <x:v>SRC_0213</x:v>
      </x:c>
      <x:c r="K10" s="102" t="str">
        <x:v>Medium</x:v>
      </x:c>
      <x:c r="L10" s="102" t="str">
        <x:v>Benchmark count; Reuters independently confirms CMES and COSCO Energy together deploy more than 100 VLCCs in Middle East crude trades.</x:v>
      </x:c>
      <x:c r="N10" t="str">
        <x:v>DHT Holdings</x:v>
      </x:c>
      <x:c r="O10" t="n">
        <x:v>23</x:v>
      </x:c>
    </x:row>
    <x:row r="11">
      <x:c r="A11" s="102" t="str">
        <x:v>RANK_VLCC_202609_03</x:v>
      </x:c>
      <x:c r="B11" s="102" t="n">
        <x:v>3</x:v>
      </x:c>
      <x:c r="C11" s="102" t="str">
        <x:v>COMP_BAHRI</x:v>
      </x:c>
      <x:c r="D11" s="102" t="str">
        <x:v>Bahri</x:v>
      </x:c>
      <x:c r="E11" s="102" t="n">
        <x:v>49</x:v>
      </x:c>
      <x:c r="F11" s="102" t="str">
        <x:v>Ranking-source VLCC count</x:v>
      </x:c>
      <x:c r="G11" s="102" t="str">
        <x:v>Yes</x:v>
      </x:c>
      <x:c r="H11" s="102"/>
      <x:c r="I11" s="102" t="str">
        <x:v>2026-H1 / Sep ranking</x:v>
      </x:c>
      <x:c r="J11" s="102" t="str">
        <x:v>SRC_0213</x:v>
      </x:c>
      <x:c r="K11" s="102" t="str">
        <x:v>Medium</x:v>
      </x:c>
      <x:c r="L11" s="102" t="str">
        <x:v>Benchmark graphic shows 49; current Bahri corporate site shows 50 VLCCs, demonstrating date/methodology drift.</x:v>
      </x:c>
      <x:c r="N11" t="str">
        <x:v>NYK Line</x:v>
      </x:c>
      <x:c r="O11" t="n">
        <x:v>22</x:v>
      </x:c>
    </x:row>
    <x:row r="12">
      <x:c r="A12" s="102" t="str">
        <x:v>RANK_VLCC_202609_04</x:v>
      </x:c>
      <x:c r="B12" s="102" t="n">
        <x:v>4</x:v>
      </x:c>
      <x:c r="C12" s="102" t="str">
        <x:v>COMP_COSCO_ENERGY</x:v>
      </x:c>
      <x:c r="D12" s="102" t="str">
        <x:v>COSCO SHIPPING Energy</x:v>
      </x:c>
      <x:c r="E12" s="102" t="n">
        <x:v>41</x:v>
      </x:c>
      <x:c r="F12" s="102" t="str">
        <x:v>VLCC fleet</x:v>
      </x:c>
      <x:c r="G12" s="102" t="str">
        <x:v>Yes</x:v>
      </x:c>
      <x:c r="H12" s="102"/>
      <x:c r="I12" s="102" t="str">
        <x:v>2026-H1 / Sep ranking</x:v>
      </x:c>
      <x:c r="J12" s="102" t="str">
        <x:v>SRC_0213</x:v>
      </x:c>
      <x:c r="K12" s="102" t="str">
        <x:v>Medium</x:v>
      </x:c>
      <x:c r="L12" s="102" t="str">
        <x:v>Benchmark count; separate COSCO Shipping Energy from COSCO Shipping Lines and parent COSCO SHIPPING.</x:v>
      </x:c>
      <x:c r="N12" t="str">
        <x:v>Asyad Shipping</x:v>
      </x:c>
      <x:c r="O12" t="n">
        <x:v>14</x:v>
      </x:c>
    </x:row>
    <x:row r="13">
      <x:c r="A13" s="102" t="str">
        <x:v>RANK_VLCC_202609_05</x:v>
      </x:c>
      <x:c r="B13" s="102" t="n">
        <x:v>5</x:v>
      </x:c>
      <x:c r="C13" s="102" t="str">
        <x:v>COMP_FRONTLINE</x:v>
      </x:c>
      <x:c r="D13" s="102" t="str">
        <x:v>Frontline</x:v>
      </x:c>
      <x:c r="E13" s="102" t="n">
        <x:v>37</x:v>
      </x:c>
      <x:c r="F13" s="102" t="str">
        <x:v>Ranking-source VLCC count</x:v>
      </x:c>
      <x:c r="G13" s="102" t="str">
        <x:v>Yes</x:v>
      </x:c>
      <x:c r="H13" s="102"/>
      <x:c r="I13" s="102" t="str">
        <x:v>2026-Q2 / Aug ranking</x:v>
      </x:c>
      <x:c r="J13" s="102" t="str">
        <x:v>SRC_0213</x:v>
      </x:c>
      <x:c r="K13" s="102" t="str">
        <x:v>Medium</x:v>
      </x:c>
      <x:c r="L13" s="102" t="str">
        <x:v>Benchmark graphic shows 37; Frontline later disclosed a pro-forma 40-VLCC fleet after announced sales/newbuilding deliveries.</x:v>
      </x:c>
    </x:row>
    <x:row r="14">
      <x:c r="A14" s="102" t="str">
        <x:v>RANK_VLCC_202609_06</x:v>
      </x:c>
      <x:c r="B14" s="102" t="n">
        <x:v>6</x:v>
      </x:c>
      <x:c r="C14" s="102" t="str">
        <x:v>COMP_MARAN_TANKERS</x:v>
      </x:c>
      <x:c r="D14" s="102" t="str">
        <x:v>Maran Tankers</x:v>
      </x:c>
      <x:c r="E14" s="102" t="n">
        <x:v>33</x:v>
      </x:c>
      <x:c r="F14" s="102" t="str">
        <x:v>VLCC fleet</x:v>
      </x:c>
      <x:c r="G14" s="102" t="str">
        <x:v>Yes</x:v>
      </x:c>
      <x:c r="H14" s="102"/>
      <x:c r="I14" s="102" t="str">
        <x:v>2026-06 / Sep ranking</x:v>
      </x:c>
      <x:c r="J14" s="102" t="str">
        <x:v>SRC_0213</x:v>
      </x:c>
      <x:c r="K14" s="102" t="str">
        <x:v>Medium</x:v>
      </x:c>
      <x:c r="L14" s="102" t="str">
        <x:v>Benchmark count; named-vessel public directory supports a large crude-tanker fleet but exact current VLCC total needs IMO-level reconciliation.</x:v>
      </x:c>
    </x:row>
    <x:row r="15">
      <x:c r="A15" s="102" t="str">
        <x:v>RANK_VLCC_202609_07</x:v>
      </x:c>
      <x:c r="B15" s="102" t="n">
        <x:v>7</x:v>
      </x:c>
      <x:c r="C15" s="102" t="str">
        <x:v>COMP_MOL</x:v>
      </x:c>
      <x:c r="D15" s="102" t="str">
        <x:v>Mitsui O.S.K. Lines</x:v>
      </x:c>
      <x:c r="E15" s="102" t="n">
        <x:v>30</x:v>
      </x:c>
      <x:c r="F15" s="102" t="str">
        <x:v>Operated VLCC fleet</x:v>
      </x:c>
      <x:c r="G15" s="102" t="str">
        <x:v>Yes</x:v>
      </x:c>
      <x:c r="H15" s="102"/>
      <x:c r="I15" s="102" t="str">
        <x:v>2026 guidebook / Sep ranking</x:v>
      </x:c>
      <x:c r="J15" s="102" t="str">
        <x:v>SRC_0213</x:v>
      </x:c>
      <x:c r="K15" s="102" t="str">
        <x:v>Medium</x:v>
      </x:c>
      <x:c r="L15" s="102" t="str">
        <x:v>MOL fleet is diversified; ranking should retain 'operated VLCC' definition.</x:v>
      </x:c>
    </x:row>
    <x:row r="16">
      <x:c r="A16" s="102" t="str">
        <x:v>RANK_VLCC_202609_08</x:v>
      </x:c>
      <x:c r="B16" s="102" t="n">
        <x:v>8</x:v>
      </x:c>
      <x:c r="C16" s="102" t="str">
        <x:v>COMP_DHT</x:v>
      </x:c>
      <x:c r="D16" s="102" t="str">
        <x:v>DHT Holdings</x:v>
      </x:c>
      <x:c r="E16" s="102" t="n">
        <x:v>23</x:v>
      </x:c>
      <x:c r="F16" s="102" t="str">
        <x:v>VLCC fleet</x:v>
      </x:c>
      <x:c r="G16" s="102" t="str">
        <x:v>Yes</x:v>
      </x:c>
      <x:c r="H16" s="102"/>
      <x:c r="I16" s="102" t="str">
        <x:v>2026-Q2 / Sep ranking</x:v>
      </x:c>
      <x:c r="J16" s="102" t="str">
        <x:v>SRC_0213</x:v>
      </x:c>
      <x:c r="K16" s="102" t="str">
        <x:v>Medium</x:v>
      </x:c>
      <x:c r="L16" s="102" t="str">
        <x:v>DHT is a pure-play VLCC company; exact count should be refreshed from fleet register after 2026 deliveries and disposals.</x:v>
      </x:c>
    </x:row>
    <x:row r="17">
      <x:c r="A17" s="102" t="str">
        <x:v>RANK_VLCC_202609_09</x:v>
      </x:c>
      <x:c r="B17" s="102" t="n">
        <x:v>9</x:v>
      </x:c>
      <x:c r="C17" s="102" t="str">
        <x:v>COMP_NYK</x:v>
      </x:c>
      <x:c r="D17" s="102" t="str">
        <x:v>NYK Line</x:v>
      </x:c>
      <x:c r="E17" s="102" t="n">
        <x:v>22</x:v>
      </x:c>
      <x:c r="F17" s="102" t="str">
        <x:v>Operated VLCC fleet</x:v>
      </x:c>
      <x:c r="G17" s="102" t="str">
        <x:v>Yes</x:v>
      </x:c>
      <x:c r="H17" s="102"/>
      <x:c r="I17" s="102" t="str">
        <x:v>2025 operated / Sep ranking</x:v>
      </x:c>
      <x:c r="J17" s="102" t="str">
        <x:v>SRC_0213</x:v>
      </x:c>
      <x:c r="K17" s="102" t="str">
        <x:v>Medium</x:v>
      </x:c>
      <x:c r="L17" s="102" t="str">
        <x:v>NYK reports 106 tankers overall as of March 2026; VLCC subset needs individual-vessel reconciliation.</x:v>
      </x:c>
    </x:row>
    <x:row r="18">
      <x:c r="A18" s="102" t="str">
        <x:v>RANK_VLCC_202609_10</x:v>
      </x:c>
      <x:c r="B18" s="102" t="n">
        <x:v>10</x:v>
      </x:c>
      <x:c r="C18" s="102" t="str">
        <x:v>COMP_ASYAD_SHIPPING</x:v>
      </x:c>
      <x:c r="D18" s="102" t="str">
        <x:v>Asyad Shipping</x:v>
      </x:c>
      <x:c r="E18" s="102" t="n">
        <x:v>14</x:v>
      </x:c>
      <x:c r="F18" s="102" t="str">
        <x:v>Ranking-source VLCC count</x:v>
      </x:c>
      <x:c r="G18" s="102" t="str">
        <x:v>Yes</x:v>
      </x:c>
      <x:c r="H18" s="102"/>
      <x:c r="I18" s="102" t="str">
        <x:v>2026-Q1 / Sep ranking</x:v>
      </x:c>
      <x:c r="J18" s="102" t="str">
        <x:v>SRC_0213</x:v>
      </x:c>
      <x:c r="K18" s="102" t="str">
        <x:v>Medium</x:v>
      </x:c>
      <x:c r="L18" s="102" t="str">
        <x:v>Asyad official disclosures show 14 owned crude vessels at end-2025, but crude segment is not synonymous with VLCC; verify ship class individually.</x:v>
      </x:c>
    </x:row>
    <x:row r="19">
      <x:c r="A19" s="102" t="str">
        <x:v>RANK_VLCC_202609_NITC</x:v>
      </x:c>
      <x:c r="B19" s="102"/>
      <x:c r="C19" s="102" t="str">
        <x:v>COMP_NITC</x:v>
      </x:c>
      <x:c r="D19" s="102" t="str">
        <x:v>National Iranian Tanker Company</x:v>
      </x:c>
      <x:c r="E19" s="102" t="n">
        <x:v>37</x:v>
      </x:c>
      <x:c r="F19" s="102" t="str">
        <x:v>VLCC fleet</x:v>
      </x:c>
      <x:c r="G19" s="102" t="str">
        <x:v>No</x:v>
      </x:c>
      <x:c r="H19" s="102" t="n">
        <x:v>5</x:v>
      </x:c>
      <x:c r="I19" s="102" t="str">
        <x:v>2026-09</x:v>
      </x:c>
      <x:c r="J19" s="102" t="str">
        <x:v>SRC_0213</x:v>
      </x:c>
      <x:c r="K19" s="102" t="str">
        <x:v>Medium</x:v>
      </x:c>
      <x:c r="L19" s="102" t="str">
        <x:v>Excluded by benchmark methodology because fleet is sanctioned; should remain in canonical fleet universe with restriction status attached separately.</x:v>
      </x:c>
    </x:row>
  </x:sheetData>
  <x:mergeCells>
    <x:mergeCell ref="A1:L1"/>
    <x:mergeCell ref="A5:L5"/>
  </x:mergeCells>
  <x:pageMargins left="0.7" right="0.7" top="0.75" bottom="0.75" header="0.3" footer="0.3"/>
  <x:drawing xmlns:r="http://schemas.openxmlformats.org/officeDocument/2006/relationships" r:id="Ra49ba134a0304225"/>
  <x:tableParts count="1">
    <x:tablePart xmlns:r="http://schemas.openxmlformats.org/officeDocument/2006/relationships" r:id="Rfaf48deec35d473c"/>
  </x:tableParts>
</x:worksheet>
</file>

<file path=xl/worksheets/sheet40.xml><?xml version="1.0" encoding="utf-8"?>
<x:worksheet xmlns:x="http://schemas.openxmlformats.org/spreadsheetml/2006/main">
  <x:sheetFormatPr defaultRowHeight="15"/>
  <x:cols>
    <x:col min="1" max="1" width="14" hidden="0" customWidth="1"/>
    <x:col min="2" max="2" width="20" hidden="0" customWidth="1"/>
    <x:col min="3" max="3" width="26" hidden="0" customWidth="1"/>
    <x:col min="4" max="4" width="22" hidden="0" customWidth="1"/>
    <x:col min="5" max="5" width="20" hidden="0" customWidth="1"/>
    <x:col min="6" max="6" width="32" hidden="0" customWidth="1"/>
    <x:col min="7" max="7" width="12" hidden="0" customWidth="1"/>
    <x:col min="8" max="8" width="12" hidden="0" customWidth="1"/>
    <x:col min="9" max="9" width="18" hidden="0" customWidth="1"/>
    <x:col min="10" max="10" width="14" hidden="0" customWidth="1"/>
    <x:col min="11" max="11" width="28" hidden="0" customWidth="1"/>
    <x:col min="12" max="12" width="22" hidden="0" customWidth="1"/>
    <x:col min="13" max="13" width="24" hidden="0" customWidth="1"/>
    <x:col min="14" max="14" width="16" hidden="0" customWidth="1"/>
    <x:col min="15" max="15" width="12" hidden="0" customWidth="1"/>
    <x:col min="16" max="16" width="12" hidden="0" customWidth="1"/>
    <x:col min="17" max="17" width="50" hidden="0" customWidth="1"/>
    <x:col min="18" max="18" width="52" hidden="0" customWidth="1"/>
  </x:cols>
  <x:sheetData>
    <x:row r="1">
      <x:c r="A1" s="148" t="str">
        <x:v>Tanker Fleet Universe — Ownership, Control, Tradeability &amp; Orderbook</x:v>
      </x:c>
      <x:c r="B1" s="148"/>
      <x:c r="C1" s="148"/>
      <x:c r="D1" s="148"/>
      <x:c r="E1" s="148"/>
      <x:c r="F1" s="148"/>
      <x:c r="G1" s="148"/>
      <x:c r="H1" s="148"/>
      <x:c r="I1" s="148"/>
      <x:c r="J1" s="148"/>
      <x:c r="K1" s="148"/>
      <x:c r="L1" s="148"/>
      <x:c r="M1" s="148"/>
      <x:c r="N1" s="148"/>
      <x:c r="O1" s="148"/>
      <x:c r="P1" s="148"/>
      <x:c r="Q1" s="148"/>
      <x:c r="R1" s="148"/>
    </x:row>
    <x:row r="3" ht="44" customHeight="1">
      <x:c r="A3" s="157" t="str">
        <x:v>Model rule: fleet count is time- and methodology-bounded. Record owned, operated, beneficially controlled, technically managed, chartered and commercially deployed fleets separately; attach sanctions/restrictions at vessel level rather than deleting restricted vessels from the canonical universe.</x:v>
      </x:c>
      <x:c r="B3" s="157"/>
      <x:c r="C3" s="157"/>
      <x:c r="D3" s="157"/>
      <x:c r="E3" s="157"/>
      <x:c r="F3" s="157"/>
      <x:c r="G3" s="157"/>
      <x:c r="H3" s="157"/>
      <x:c r="I3" s="157"/>
      <x:c r="J3" s="157"/>
      <x:c r="K3" s="157"/>
      <x:c r="L3" s="157"/>
      <x:c r="M3" s="157"/>
      <x:c r="N3" s="157"/>
      <x:c r="O3" s="157"/>
      <x:c r="P3" s="157"/>
      <x:c r="Q3" s="157"/>
      <x:c r="R3" s="157"/>
    </x:row>
    <x:row r="5">
      <x:c r="A5" s="161" t="str">
        <x:v>Universe ID</x:v>
      </x:c>
      <x:c r="B5" s="161" t="str">
        <x:v>Company ID</x:v>
      </x:c>
      <x:c r="C5" s="161" t="str">
        <x:v>Company</x:v>
      </x:c>
      <x:c r="D5" s="161" t="str">
        <x:v>Parent / Group</x:v>
      </x:c>
      <x:c r="E5" s="161" t="str">
        <x:v>Segment</x:v>
      </x:c>
      <x:c r="F5" s="161" t="str">
        <x:v>Relationship Basis</x:v>
      </x:c>
      <x:c r="G5" s="161" t="str">
        <x:v>Fleet Count</x:v>
      </x:c>
      <x:c r="H5" s="161" t="str">
        <x:v>Owned Count</x:v>
      </x:c>
      <x:c r="I5" s="161" t="str">
        <x:v>Chartered / Managed Count</x:v>
      </x:c>
      <x:c r="J5" s="161" t="str">
        <x:v>Orderbook Count</x:v>
      </x:c>
      <x:c r="K5" s="161" t="str">
        <x:v>Metric Scope</x:v>
      </x:c>
      <x:c r="L5" s="161" t="str">
        <x:v>Tradeability Scope</x:v>
      </x:c>
      <x:c r="M5" s="161" t="str">
        <x:v>Sanctions Treatment</x:v>
      </x:c>
      <x:c r="N5" s="161" t="str">
        <x:v>As Of</x:v>
      </x:c>
      <x:c r="O5" s="161" t="str">
        <x:v>Confidence</x:v>
      </x:c>
      <x:c r="P5" s="161" t="str">
        <x:v>Source ID</x:v>
      </x:c>
      <x:c r="Q5" s="161" t="str">
        <x:v>Source URL</x:v>
      </x:c>
      <x:c r="R5" s="161" t="str">
        <x:v>Notes</x:v>
      </x:c>
    </x:row>
    <x:row r="6">
      <x:c r="A6" s="102" t="str">
        <x:v>TFU_0001</x:v>
      </x:c>
      <x:c r="B6" s="102" t="str">
        <x:v>COMP_SINOKOR</x:v>
      </x:c>
      <x:c r="C6" s="102" t="str">
        <x:v>SINOKOR Merchant Marine</x:v>
      </x:c>
      <x:c r="D6" s="102"/>
      <x:c r="E6" s="102" t="str">
        <x:v>VLCC / crude tanker</x:v>
      </x:c>
      <x:c r="F6" s="102" t="str">
        <x:v>Ranking-defined beneficial/commercial control</x:v>
      </x:c>
      <x:c r="G6" s="102" t="n">
        <x:v>93</x:v>
      </x:c>
      <x:c r="H6" s="102"/>
      <x:c r="I6" s="102"/>
      <x:c r="J6" s="102"/>
      <x:c r="K6" s="102" t="str">
        <x:v>Benchmark VLCC count</x:v>
      </x:c>
      <x:c r="L6" s="102" t="str">
        <x:v>Tradeable ranking</x:v>
      </x:c>
      <x:c r="M6" s="102" t="str">
        <x:v>Excluded if sanctioned vessel</x:v>
      </x:c>
      <x:c r="N6" s="102" t="str">
        <x:v>2026-09</x:v>
      </x:c>
      <x:c r="O6" s="102" t="str">
        <x:v>Medium</x:v>
      </x:c>
      <x:c r="P6" s="102" t="str">
        <x:v>SRC_0213</x:v>
      </x:c>
      <x:c r="Q6" s="102" t="str">
        <x:v>https://www.gosships.com/</x:v>
      </x:c>
      <x:c r="R6" s="102" t="str">
        <x:v>Large gap versus earlier operating-fleet headline demonstrates need to reconcile legal owner, commercial operator and beneficial-control entities.</x:v>
      </x:c>
    </x:row>
    <x:row r="7">
      <x:c r="A7" s="102" t="str">
        <x:v>TFU_0002</x:v>
      </x:c>
      <x:c r="B7" s="102" t="str">
        <x:v>COMP_CMES</x:v>
      </x:c>
      <x:c r="C7" s="102" t="str">
        <x:v>China Merchants Energy Shipping</x:v>
      </x:c>
      <x:c r="D7" s="102" t="str">
        <x:v>China Merchants Group</x:v>
      </x:c>
      <x:c r="E7" s="102" t="str">
        <x:v>VLCC / crude tanker</x:v>
      </x:c>
      <x:c r="F7" s="102" t="str">
        <x:v>Owned/operated fleet</x:v>
      </x:c>
      <x:c r="G7" s="102" t="n">
        <x:v>51</x:v>
      </x:c>
      <x:c r="H7" s="102"/>
      <x:c r="I7" s="102"/>
      <x:c r="J7" s="102" t="n">
        <x:v>10</x:v>
      </x:c>
      <x:c r="K7" s="102" t="str">
        <x:v>Benchmark VLCC count</x:v>
      </x:c>
      <x:c r="L7" s="102" t="str">
        <x:v>Tradeable ranking</x:v>
      </x:c>
      <x:c r="M7" s="102" t="str">
        <x:v>Sanctioned tonnage excluded by ranking methodology</x:v>
      </x:c>
      <x:c r="N7" s="102" t="str">
        <x:v>2026-H1</x:v>
      </x:c>
      <x:c r="O7" s="102" t="str">
        <x:v>Medium</x:v>
      </x:c>
      <x:c r="P7" s="102" t="str">
        <x:v>SRC_0213</x:v>
      </x:c>
      <x:c r="Q7" s="102" t="str">
        <x:v>https://www.gosships.com/</x:v>
      </x:c>
      <x:c r="R7" s="102" t="str">
        <x:v>2026 H1 reporting also notes 10 newly ordered VLCCs among broader order activity; vessel-level orderbook to populate.</x:v>
      </x:c>
    </x:row>
    <x:row r="8">
      <x:c r="A8" s="102" t="str">
        <x:v>TFU_0003</x:v>
      </x:c>
      <x:c r="B8" s="102" t="str">
        <x:v>COMP_BAHRI</x:v>
      </x:c>
      <x:c r="C8" s="102" t="str">
        <x:v>Bahri</x:v>
      </x:c>
      <x:c r="D8" s="102"/>
      <x:c r="E8" s="102" t="str">
        <x:v>VLCC / crude tanker</x:v>
      </x:c>
      <x:c r="F8" s="102" t="str">
        <x:v>Owned and operated</x:v>
      </x:c>
      <x:c r="G8" s="102" t="n">
        <x:v>50</x:v>
      </x:c>
      <x:c r="H8" s="102" t="n">
        <x:v>50</x:v>
      </x:c>
      <x:c r="I8" s="102"/>
      <x:c r="J8" s="102"/>
      <x:c r="K8" s="102" t="str">
        <x:v>Current corporate fleet fact</x:v>
      </x:c>
      <x:c r="L8" s="102" t="str">
        <x:v>All canonical vessels</x:v>
      </x:c>
      <x:c r="M8" s="102" t="str">
        <x:v>Restrictions modeled separately</x:v>
      </x:c>
      <x:c r="N8" s="102" t="str">
        <x:v>2026-09-07</x:v>
      </x:c>
      <x:c r="O8" s="102" t="str">
        <x:v>High</x:v>
      </x:c>
      <x:c r="P8" s="102" t="str">
        <x:v>SRC_0214</x:v>
      </x:c>
      <x:c r="Q8" s="102" t="str">
        <x:v>https://www.bahri.sa/en/</x:v>
      </x:c>
      <x:c r="R8" s="102" t="str">
        <x:v>Official current site shows 50 VLCCs; benchmark graphic showed 49 at its source date.</x:v>
      </x:c>
    </x:row>
    <x:row r="9">
      <x:c r="A9" s="102" t="str">
        <x:v>TFU_0004</x:v>
      </x:c>
      <x:c r="B9" s="102" t="str">
        <x:v>COMP_COSCO_ENERGY</x:v>
      </x:c>
      <x:c r="C9" s="102" t="str">
        <x:v>COSCO SHIPPING Energy</x:v>
      </x:c>
      <x:c r="D9" s="102" t="str">
        <x:v>COSCO SHIPPING</x:v>
      </x:c>
      <x:c r="E9" s="102" t="str">
        <x:v>VLCC / crude tanker</x:v>
      </x:c>
      <x:c r="F9" s="102" t="str">
        <x:v>Owned/operated fleet</x:v>
      </x:c>
      <x:c r="G9" s="102" t="n">
        <x:v>41</x:v>
      </x:c>
      <x:c r="H9" s="102"/>
      <x:c r="I9" s="102"/>
      <x:c r="J9" s="102"/>
      <x:c r="K9" s="102" t="str">
        <x:v>Benchmark VLCC count</x:v>
      </x:c>
      <x:c r="L9" s="102" t="str">
        <x:v>Tradeable ranking</x:v>
      </x:c>
      <x:c r="M9" s="102" t="str">
        <x:v>Sanctioned tonnage excluded by ranking methodology</x:v>
      </x:c>
      <x:c r="N9" s="102" t="str">
        <x:v>2026-H1</x:v>
      </x:c>
      <x:c r="O9" s="102" t="str">
        <x:v>Medium</x:v>
      </x:c>
      <x:c r="P9" s="102" t="str">
        <x:v>SRC_0213</x:v>
      </x:c>
      <x:c r="Q9" s="102" t="str">
        <x:v>https://www.gosships.com/</x:v>
      </x:c>
      <x:c r="R9" s="102" t="str">
        <x:v>Reuters says COSCO Energy and CMES together deployed more than 100 VLCCs in Middle East crude trade.</x:v>
      </x:c>
    </x:row>
    <x:row r="10">
      <x:c r="A10" s="102" t="str">
        <x:v>TFU_0005</x:v>
      </x:c>
      <x:c r="B10" s="102" t="str">
        <x:v>COMP_FRONTLINE</x:v>
      </x:c>
      <x:c r="C10" s="102" t="str">
        <x:v>Frontline plc</x:v>
      </x:c>
      <x:c r="D10" s="102"/>
      <x:c r="E10" s="102" t="str">
        <x:v>VLCC / crude tanker</x:v>
      </x:c>
      <x:c r="F10" s="102" t="str">
        <x:v>Owned fleet / pro-forma after announced transactions</x:v>
      </x:c>
      <x:c r="G10" s="102" t="n">
        <x:v>40</x:v>
      </x:c>
      <x:c r="H10" s="102" t="n">
        <x:v>40</x:v>
      </x:c>
      <x:c r="I10" s="102"/>
      <x:c r="J10" s="102"/>
      <x:c r="K10" s="102" t="str">
        <x:v>Pro-forma current fleet</x:v>
      </x:c>
      <x:c r="L10" s="102" t="str">
        <x:v>All canonical vessels</x:v>
      </x:c>
      <x:c r="M10" s="102" t="str">
        <x:v>Restrictions modeled separately</x:v>
      </x:c>
      <x:c r="N10" s="102" t="str">
        <x:v>2026-08</x:v>
      </x:c>
      <x:c r="O10" s="102" t="str">
        <x:v>High</x:v>
      </x:c>
      <x:c r="P10" s="102" t="str">
        <x:v>SRC_0215</x:v>
      </x:c>
      <x:c r="Q10" s="102" t="str">
        <x:v>https://www.sec.gov/Archives/edgar/data/913290/000091957426005942/p15060813_ex-1.htm</x:v>
      </x:c>
      <x:c r="R10" s="102" t="str">
        <x:v>Benchmark ranking showed 37; SEC update indicates 40 VLCCs after remaining announced sales and deliveries.</x:v>
      </x:c>
    </x:row>
    <x:row r="11">
      <x:c r="A11" s="102" t="str">
        <x:v>TFU_0006</x:v>
      </x:c>
      <x:c r="B11" s="102" t="str">
        <x:v>COMP_MARAN_TANKERS</x:v>
      </x:c>
      <x:c r="C11" s="102" t="str">
        <x:v>Maran Tankers Management</x:v>
      </x:c>
      <x:c r="D11" s="102" t="str">
        <x:v>Angelicoussis Group</x:v>
      </x:c>
      <x:c r="E11" s="102" t="str">
        <x:v>VLCC / crude tanker</x:v>
      </x:c>
      <x:c r="F11" s="102" t="str">
        <x:v>Managed/operated fleet</x:v>
      </x:c>
      <x:c r="G11" s="102" t="n">
        <x:v>33</x:v>
      </x:c>
      <x:c r="H11" s="102"/>
      <x:c r="I11" s="102"/>
      <x:c r="J11" s="102"/>
      <x:c r="K11" s="102" t="str">
        <x:v>Benchmark VLCC count</x:v>
      </x:c>
      <x:c r="L11" s="102" t="str">
        <x:v>Tradeable ranking</x:v>
      </x:c>
      <x:c r="M11" s="102" t="str">
        <x:v>Restrictions modeled separately</x:v>
      </x:c>
      <x:c r="N11" s="102" t="str">
        <x:v>2026-09</x:v>
      </x:c>
      <x:c r="O11" s="102" t="str">
        <x:v>Medium</x:v>
      </x:c>
      <x:c r="P11" s="102" t="str">
        <x:v>SRC_0213</x:v>
      </x:c>
      <x:c r="Q11" s="102" t="str">
        <x:v>https://www.gosships.com/</x:v>
      </x:c>
      <x:c r="R11" s="102" t="str">
        <x:v>Named public fleet directory exists; exact IMO-level VLCC count to reconcile.</x:v>
      </x:c>
    </x:row>
    <x:row r="12">
      <x:c r="A12" s="102" t="str">
        <x:v>TFU_0007</x:v>
      </x:c>
      <x:c r="B12" s="102" t="str">
        <x:v>COMP_MOL</x:v>
      </x:c>
      <x:c r="C12" s="102" t="str">
        <x:v>Mitsui O.S.K. Lines</x:v>
      </x:c>
      <x:c r="D12" s="102"/>
      <x:c r="E12" s="102" t="str">
        <x:v>VLCC / crude tanker</x:v>
      </x:c>
      <x:c r="F12" s="102" t="str">
        <x:v>Operated fleet</x:v>
      </x:c>
      <x:c r="G12" s="102" t="n">
        <x:v>30</x:v>
      </x:c>
      <x:c r="H12" s="102"/>
      <x:c r="I12" s="102"/>
      <x:c r="J12" s="102"/>
      <x:c r="K12" s="102" t="str">
        <x:v>Ranking-source operated VLCC count</x:v>
      </x:c>
      <x:c r="L12" s="102" t="str">
        <x:v>Tradeable ranking</x:v>
      </x:c>
      <x:c r="M12" s="102" t="str">
        <x:v>Restrictions modeled separately</x:v>
      </x:c>
      <x:c r="N12" s="102" t="str">
        <x:v>2026-09</x:v>
      </x:c>
      <x:c r="O12" s="102" t="str">
        <x:v>Medium</x:v>
      </x:c>
      <x:c r="P12" s="102" t="str">
        <x:v>SRC_0213</x:v>
      </x:c>
      <x:c r="Q12" s="102" t="str">
        <x:v>https://www.gosships.com/</x:v>
      </x:c>
      <x:c r="R12" s="102" t="str">
        <x:v>MOL is a diversified owner/operator; operated VLCC subset must remain distinct from owned tanker fleet.</x:v>
      </x:c>
    </x:row>
    <x:row r="13">
      <x:c r="A13" s="102" t="str">
        <x:v>TFU_0008</x:v>
      </x:c>
      <x:c r="B13" s="102" t="str">
        <x:v>COMP_DHT</x:v>
      </x:c>
      <x:c r="C13" s="102" t="str">
        <x:v>DHT Holdings</x:v>
      </x:c>
      <x:c r="D13" s="102"/>
      <x:c r="E13" s="102" t="str">
        <x:v>VLCC / crude tanker</x:v>
      </x:c>
      <x:c r="F13" s="102" t="str">
        <x:v>Owned/operated fleet</x:v>
      </x:c>
      <x:c r="G13" s="102" t="n">
        <x:v>23</x:v>
      </x:c>
      <x:c r="H13" s="102"/>
      <x:c r="I13" s="102"/>
      <x:c r="J13" s="102" t="n">
        <x:v>1</x:v>
      </x:c>
      <x:c r="K13" s="102" t="str">
        <x:v>Benchmark VLCC count + active renewal</x:v>
      </x:c>
      <x:c r="L13" s="102" t="str">
        <x:v>All canonical vessels</x:v>
      </x:c>
      <x:c r="M13" s="102" t="str">
        <x:v>Restrictions modeled separately</x:v>
      </x:c>
      <x:c r="N13" s="102" t="str">
        <x:v>2026-09</x:v>
      </x:c>
      <x:c r="O13" s="102" t="str">
        <x:v>Medium</x:v>
      </x:c>
      <x:c r="P13" s="102" t="str">
        <x:v>SRC_0216</x:v>
      </x:c>
      <x:c r="Q13" s="102" t="str">
        <x:v>https://www.dhtankers.com/dht-holdings-inc-announces-fleet-update/</x:v>
      </x:c>
      <x:c r="R13" s="102" t="str">
        <x:v>DHT fleet consists only of VLCCs; exact live count to refresh from individual fleet register.</x:v>
      </x:c>
    </x:row>
    <x:row r="14">
      <x:c r="A14" s="102" t="str">
        <x:v>TFU_0009</x:v>
      </x:c>
      <x:c r="B14" s="102" t="str">
        <x:v>COMP_NYK</x:v>
      </x:c>
      <x:c r="C14" s="102" t="str">
        <x:v>NYK Line</x:v>
      </x:c>
      <x:c r="D14" s="102"/>
      <x:c r="E14" s="102" t="str">
        <x:v>VLCC / crude tanker</x:v>
      </x:c>
      <x:c r="F14" s="102" t="str">
        <x:v>Operated fleet</x:v>
      </x:c>
      <x:c r="G14" s="102" t="n">
        <x:v>22</x:v>
      </x:c>
      <x:c r="H14" s="102"/>
      <x:c r="I14" s="102"/>
      <x:c r="J14" s="102"/>
      <x:c r="K14" s="102" t="str">
        <x:v>Ranking-source operated VLCC count</x:v>
      </x:c>
      <x:c r="L14" s="102" t="str">
        <x:v>Tradeable ranking</x:v>
      </x:c>
      <x:c r="M14" s="102" t="str">
        <x:v>Restrictions modeled separately</x:v>
      </x:c>
      <x:c r="N14" s="102" t="str">
        <x:v>2026-09</x:v>
      </x:c>
      <x:c r="O14" s="102" t="str">
        <x:v>Medium</x:v>
      </x:c>
      <x:c r="P14" s="102" t="str">
        <x:v>SRC_0220</x:v>
      </x:c>
      <x:c r="Q14" s="102" t="str">
        <x:v>https://www.nyk.com/english/ir/library/result/2025/__icsFiles/afieldfile/2026/05/11/260511_ppt_en.pdf</x:v>
      </x:c>
      <x:c r="R14" s="102" t="str">
        <x:v>NYK reported 106 tankers overall as of March 2026; VLCC subset needs IMO-level classification.</x:v>
      </x:c>
    </x:row>
    <x:row r="15">
      <x:c r="A15" s="102" t="str">
        <x:v>TFU_0010</x:v>
      </x:c>
      <x:c r="B15" s="102" t="str">
        <x:v>COMP_ASYAD_SHIPPING</x:v>
      </x:c>
      <x:c r="C15" s="102" t="str">
        <x:v>Asyad Shipping</x:v>
      </x:c>
      <x:c r="D15" s="102" t="str">
        <x:v>Asyad Group</x:v>
      </x:c>
      <x:c r="E15" s="102" t="str">
        <x:v>VLCC / crude tanker</x:v>
      </x:c>
      <x:c r="F15" s="102" t="str">
        <x:v>Owned crude segment / ranking-defined VLCC subset</x:v>
      </x:c>
      <x:c r="G15" s="102" t="n">
        <x:v>14</x:v>
      </x:c>
      <x:c r="H15" s="102" t="n">
        <x:v>14</x:v>
      </x:c>
      <x:c r="I15" s="102" t="n">
        <x:v>3</x:v>
      </x:c>
      <x:c r="J15" s="102" t="n">
        <x:v>7</x:v>
      </x:c>
      <x:c r="K15" s="102" t="str">
        <x:v>Benchmark VLCC count; official crude-segment overlay</x:v>
      </x:c>
      <x:c r="L15" s="102" t="str">
        <x:v>All canonical vessels</x:v>
      </x:c>
      <x:c r="M15" s="102" t="str">
        <x:v>Restrictions modeled separately</x:v>
      </x:c>
      <x:c r="N15" s="102" t="str">
        <x:v>2025-12 / 2026 ranking</x:v>
      </x:c>
      <x:c r="O15" s="102" t="str">
        <x:v>Medium</x:v>
      </x:c>
      <x:c r="P15" s="102" t="str">
        <x:v>SRC_0218</x:v>
      </x:c>
      <x:c r="Q15" s="102" t="str">
        <x:v>https://www.asyadshipping.com/assets/frontend/uploads/ir/FY2025Resultsprsentation25Feb.pdf</x:v>
      </x:c>
      <x:c r="R15" s="102" t="str">
        <x:v>Official disclosure shows 14 owned crude vessels, 3 chartered-in and VLCC orderbook; classify each vessel before treating entire crude fleet as VLCC.</x:v>
      </x:c>
    </x:row>
    <x:row r="16">
      <x:c r="A16" s="102" t="str">
        <x:v>TFU_0011</x:v>
      </x:c>
      <x:c r="B16" s="102" t="str">
        <x:v>COMP_NITC</x:v>
      </x:c>
      <x:c r="C16" s="102" t="str">
        <x:v>National Iranian Tanker Company</x:v>
      </x:c>
      <x:c r="D16" s="102"/>
      <x:c r="E16" s="102" t="str">
        <x:v>VLCC / crude tanker</x:v>
      </x:c>
      <x:c r="F16" s="102" t="str">
        <x:v>Owned/controlled fleet</x:v>
      </x:c>
      <x:c r="G16" s="102" t="n">
        <x:v>37</x:v>
      </x:c>
      <x:c r="H16" s="102"/>
      <x:c r="I16" s="102"/>
      <x:c r="J16" s="102"/>
      <x:c r="K16" s="102" t="str">
        <x:v>Benchmark VLCC count</x:v>
      </x:c>
      <x:c r="L16" s="102" t="str">
        <x:v>Restricted / sanctioned universe</x:v>
      </x:c>
      <x:c r="M16" s="102" t="str">
        <x:v>Sanctioned fleet retained, excluded only from tradeable ranking view</x:v>
      </x:c>
      <x:c r="N16" s="102" t="str">
        <x:v>2026-09</x:v>
      </x:c>
      <x:c r="O16" s="102" t="str">
        <x:v>Medium</x:v>
      </x:c>
      <x:c r="P16" s="102" t="str">
        <x:v>SRC_0213</x:v>
      </x:c>
      <x:c r="Q16" s="102" t="str">
        <x:v>https://www.gosships.com/</x:v>
      </x:c>
      <x:c r="R16" s="102" t="str">
        <x:v>Important control case: canonical model retains fleet even when ranking view excludes it.</x:v>
      </x:c>
    </x:row>
    <x:row r="17">
      <x:c r="A17" s="102" t="str">
        <x:v>TFU_0012</x:v>
      </x:c>
      <x:c r="B17" s="102" t="str">
        <x:v>COMP_ADNOC_LS</x:v>
      </x:c>
      <x:c r="C17" s="102" t="str">
        <x:v>ADNOC Logistics &amp; Services</x:v>
      </x:c>
      <x:c r="D17" s="102" t="str">
        <x:v>ADNOC</x:v>
      </x:c>
      <x:c r="E17" s="102" t="str">
        <x:v>Crude / products / gas</x:v>
      </x:c>
      <x:c r="F17" s="102" t="str">
        <x:v>Owned + operated + chartered fleet</x:v>
      </x:c>
      <x:c r="G17" s="102"/>
      <x:c r="H17" s="102"/>
      <x:c r="I17" s="102"/>
      <x:c r="J17" s="102"/>
      <x:c r="K17" s="102" t="str">
        <x:v>Tanker subset to resolve</x:v>
      </x:c>
      <x:c r="L17" s="102" t="str">
        <x:v>All canonical vessels</x:v>
      </x:c>
      <x:c r="M17" s="102" t="str">
        <x:v>Restrictions modeled separately</x:v>
      </x:c>
      <x:c r="N17" s="102" t="str">
        <x:v>2026-09</x:v>
      </x:c>
      <x:c r="O17" s="102" t="str">
        <x:v>In progress</x:v>
      </x:c>
      <x:c r="P17" s="102" t="str">
        <x:v>SRC_0110</x:v>
      </x:c>
      <x:c r="Q17" s="102"/>
      <x:c r="R17" s="102" t="str">
        <x:v>Priority Gulf tanker workstream because Hormuz exposure and Navig8 integration make fleet-control mapping analytically valuable.</x:v>
      </x:c>
    </x:row>
    <x:row r="18">
      <x:c r="A18" s="102" t="str">
        <x:v>TFU_0013</x:v>
      </x:c>
      <x:c r="B18" s="102" t="str">
        <x:v>COMP_NAVIG8</x:v>
      </x:c>
      <x:c r="C18" s="102" t="str">
        <x:v>Navig8</x:v>
      </x:c>
      <x:c r="D18" s="102" t="str">
        <x:v>ADNOC L&amp;S</x:v>
      </x:c>
      <x:c r="E18" s="102" t="str">
        <x:v>Tankers</x:v>
      </x:c>
      <x:c r="F18" s="102" t="str">
        <x:v>Owned/operated fleet</x:v>
      </x:c>
      <x:c r="G18" s="102" t="n">
        <x:v>32</x:v>
      </x:c>
      <x:c r="H18" s="102"/>
      <x:c r="I18" s="102"/>
      <x:c r="J18" s="102"/>
      <x:c r="K18" s="102" t="str">
        <x:v>Integrated fleet baseline</x:v>
      </x:c>
      <x:c r="L18" s="102" t="str">
        <x:v>All canonical vessels</x:v>
      </x:c>
      <x:c r="M18" s="102" t="str">
        <x:v>Restrictions modeled separately</x:v>
      </x:c>
      <x:c r="N18" s="102" t="str">
        <x:v>2026-09</x:v>
      </x:c>
      <x:c r="O18" s="102" t="str">
        <x:v>High</x:v>
      </x:c>
      <x:c r="P18" s="102" t="str">
        <x:v>SRC_0110</x:v>
      </x:c>
      <x:c r="Q18" s="102"/>
      <x:c r="R18" s="102" t="str">
        <x:v>Existing canonical tanker fleet should be reclassified by tanker segment including VLCC/Suezmax/Aframax/MR where applicable.</x:v>
      </x:c>
    </x:row>
  </x:sheetData>
  <x:mergeCells>
    <x:mergeCell ref="A1:R1"/>
    <x:mergeCell ref="A3:R3"/>
  </x:mergeCells>
  <x:pageMargins left="0.7" right="0.7" top="0.75" bottom="0.75" header="0.3" footer="0.3"/>
  <x:tableParts count="1">
    <x:tablePart xmlns:r="http://schemas.openxmlformats.org/officeDocument/2006/relationships" r:id="Rdf39fbd845f84f6a"/>
  </x:tableParts>
</x:worksheet>
</file>

<file path=xl/worksheets/sheet41.xml><?xml version="1.0" encoding="utf-8"?>
<x:worksheet xmlns:x="http://schemas.openxmlformats.org/spreadsheetml/2006/main">
  <x:sheetFormatPr defaultRowHeight="15"/>
  <x:cols>
    <x:col min="1" max="1" width="16" hidden="0" customWidth="1"/>
    <x:col min="2" max="2" width="16" hidden="0" customWidth="1"/>
    <x:col min="3" max="3" width="12" hidden="0" customWidth="1"/>
    <x:col min="4" max="4" width="24" hidden="0" customWidth="1"/>
    <x:col min="5" max="5" width="22" hidden="0" customWidth="1"/>
    <x:col min="6" max="6" width="22" hidden="0" customWidth="1"/>
    <x:col min="7" max="7" width="14" hidden="0" customWidth="1"/>
    <x:col min="8" max="8" width="14" hidden="0" customWidth="1"/>
    <x:col min="9" max="9" width="14" hidden="0" customWidth="1"/>
    <x:col min="10" max="10" width="16" hidden="0" customWidth="1"/>
    <x:col min="11" max="11" width="32" hidden="0" customWidth="1"/>
    <x:col min="12" max="12" width="12" hidden="0" customWidth="1"/>
    <x:col min="13" max="13" width="45" hidden="0" customWidth="1"/>
    <x:col min="14" max="14" width="14" hidden="0" customWidth="1"/>
    <x:col min="15" max="15" width="45" hidden="0" customWidth="1"/>
  </x:cols>
  <x:sheetData>
    <x:row r="1">
      <x:c r="A1" s="161" t="str">
        <x:v>Restriction ID</x:v>
      </x:c>
      <x:c r="B1" s="161" t="str">
        <x:v>Vessel ID</x:v>
      </x:c>
      <x:c r="C1" s="161" t="str">
        <x:v>IMO</x:v>
      </x:c>
      <x:c r="D1" s="161" t="str">
        <x:v>Vessel Name</x:v>
      </x:c>
      <x:c r="E1" s="161" t="str">
        <x:v>Authority / Regime</x:v>
      </x:c>
      <x:c r="F1" s="161" t="str">
        <x:v>Restriction Type</x:v>
      </x:c>
      <x:c r="G1" s="161" t="str">
        <x:v>Status</x:v>
      </x:c>
      <x:c r="H1" s="161" t="str">
        <x:v>Effective Date</x:v>
      </x:c>
      <x:c r="I1" s="161" t="str">
        <x:v>End Date</x:v>
      </x:c>
      <x:c r="J1" s="161" t="str">
        <x:v>Direct / Indirect</x:v>
      </x:c>
      <x:c r="K1" s="161" t="str">
        <x:v>Basis</x:v>
      </x:c>
      <x:c r="L1" s="161" t="str">
        <x:v>Source ID</x:v>
      </x:c>
      <x:c r="M1" s="161" t="str">
        <x:v>Source URL</x:v>
      </x:c>
      <x:c r="N1" s="161" t="str">
        <x:v>Last Verified</x:v>
      </x:c>
      <x:c r="O1" s="161" t="str">
        <x:v>Notes</x:v>
      </x:c>
    </x:row>
    <x:row r="2">
      <x:c r="A2" s="102" t="str">
        <x:v>VR_TEMPLATE</x:v>
      </x:c>
      <x:c r="B2" s="102"/>
      <x:c r="C2" s="102"/>
      <x:c r="D2" s="102"/>
      <x:c r="E2" s="102" t="str">
        <x:v>OFAC / EU / UK / UN / PGSA / Port State / Other</x:v>
      </x:c>
      <x:c r="F2" s="102" t="str">
        <x:v>Sanction / blacklist / port ban / detention / insurance / flag / class</x:v>
      </x:c>
      <x:c r="G2" s="102" t="str">
        <x:v>Template</x:v>
      </x:c>
      <x:c r="H2" s="102"/>
      <x:c r="I2" s="102"/>
      <x:c r="J2" s="102"/>
      <x:c r="K2" s="102" t="str">
        <x:v>Do not infer tradeability from company nationality alone.</x:v>
      </x:c>
      <x:c r="L2" s="102"/>
      <x:c r="M2" s="102"/>
      <x:c r="N2" s="102" t="str">
        <x:v>2026-09-07</x:v>
      </x:c>
      <x:c r="O2" s="102" t="str">
        <x:v>Populate one row per vessel, authority and time-bounded restriction.</x:v>
      </x:c>
    </x:row>
  </x:sheetData>
  <x:pageMargins left="0.7" right="0.7" top="0.75" bottom="0.75" header="0.3" footer="0.3"/>
</x:worksheet>
</file>

<file path=xl/worksheets/sheet42.xml><?xml version="1.0" encoding="utf-8"?>
<x:worksheet xmlns:x="http://schemas.openxmlformats.org/spreadsheetml/2006/main">
  <x:sheetFormatPr defaultRowHeight="15"/>
  <x:cols>
    <x:col min="1" max="1" width="16" hidden="0" customWidth="1"/>
    <x:col min="2" max="2" width="16" hidden="0" customWidth="1"/>
    <x:col min="3" max="3" width="12" hidden="0" customWidth="1"/>
    <x:col min="4" max="4" width="14" hidden="0" customWidth="1"/>
    <x:col min="5" max="5" width="16" hidden="0" customWidth="1"/>
    <x:col min="6" max="6" width="20" hidden="0" customWidth="1"/>
    <x:col min="7" max="7" width="16" hidden="0" customWidth="1"/>
    <x:col min="8" max="8" width="16" hidden="0" customWidth="1"/>
    <x:col min="9" max="9" width="20" hidden="0" customWidth="1"/>
    <x:col min="10" max="10" width="16" hidden="0" customWidth="1"/>
    <x:col min="11" max="11" width="12" hidden="0" customWidth="1"/>
    <x:col min="12" max="12" width="24" hidden="0" customWidth="1"/>
    <x:col min="13" max="13" width="22" hidden="0" customWidth="1"/>
    <x:col min="14" max="14" width="48" hidden="0" customWidth="1"/>
  </x:cols>
  <x:sheetData>
    <x:row r="1">
      <x:c r="A1" s="161" t="str">
        <x:v>Assessment ID</x:v>
      </x:c>
      <x:c r="B1" s="161" t="str">
        <x:v>Vessel ID</x:v>
      </x:c>
      <x:c r="C1" s="161" t="str">
        <x:v>IMO</x:v>
      </x:c>
      <x:c r="D1" s="161" t="str">
        <x:v>As Of</x:v>
      </x:c>
      <x:c r="E1" s="161" t="str">
        <x:v>Sanctions Flag</x:v>
      </x:c>
      <x:c r="F1" s="161" t="str">
        <x:v>Other Restriction Flag</x:v>
      </x:c>
      <x:c r="G1" s="161" t="str">
        <x:v>Flag Validity</x:v>
      </x:c>
      <x:c r="H1" s="161" t="str">
        <x:v>Class Status</x:v>
      </x:c>
      <x:c r="I1" s="161" t="str">
        <x:v>Insurance / P&amp;I Status</x:v>
      </x:c>
      <x:c r="J1" s="161" t="str">
        <x:v>Tradeability</x:v>
      </x:c>
      <x:c r="K1" s="161" t="str">
        <x:v>Confidence</x:v>
      </x:c>
      <x:c r="L1" s="161" t="str">
        <x:v>Restriction IDs</x:v>
      </x:c>
      <x:c r="M1" s="161" t="str">
        <x:v>Source IDs</x:v>
      </x:c>
      <x:c r="N1" s="161" t="str">
        <x:v>Analyst Note</x:v>
      </x:c>
    </x:row>
    <x:row r="2">
      <x:c r="A2" s="102" t="str">
        <x:v>TA_TEMPLATE</x:v>
      </x:c>
      <x:c r="B2" s="102"/>
      <x:c r="C2" s="102"/>
      <x:c r="D2" s="102" t="str">
        <x:v>2026-09-07</x:v>
      </x:c>
      <x:c r="E2" s="102" t="str">
        <x:v>Unknown</x:v>
      </x:c>
      <x:c r="F2" s="102" t="str">
        <x:v>Unknown</x:v>
      </x:c>
      <x:c r="G2" s="102" t="str">
        <x:v>Unknown</x:v>
      </x:c>
      <x:c r="H2" s="102" t="str">
        <x:v>Unknown</x:v>
      </x:c>
      <x:c r="I2" s="102" t="str">
        <x:v>Unknown</x:v>
      </x:c>
      <x:c r="J2" s="102" t="str">
        <x:v>Uncertain</x:v>
      </x:c>
      <x:c r="K2" s="102" t="str">
        <x:v>Template</x:v>
      </x:c>
      <x:c r="L2" s="102"/>
      <x:c r="M2" s="102"/>
      <x:c r="N2" s="102" t="str">
        <x:v>Tradeability is an assessment layer. Sanctions status, flag validity, class, insurance and other restrictions remain separate evidence fields.</x:v>
      </x:c>
    </x:row>
  </x:sheetData>
  <x:pageMargins left="0.7" right="0.7" top="0.75" bottom="0.75" header="0.3" footer="0.3"/>
</x:worksheet>
</file>

<file path=xl/worksheets/sheet43.xml><?xml version="1.0" encoding="utf-8"?>
<x:worksheet xmlns:x="http://schemas.openxmlformats.org/spreadsheetml/2006/main">
  <x:sheetFormatPr defaultRowHeight="15"/>
  <x:cols>
    <x:col min="1" max="1" width="16" hidden="0" customWidth="1"/>
    <x:col min="2" max="2" width="16" hidden="0" customWidth="1"/>
    <x:col min="3" max="3" width="12" hidden="0" customWidth="1"/>
    <x:col min="4" max="4" width="24" hidden="0" customWidth="1"/>
    <x:col min="5" max="5" width="20" hidden="0" customWidth="1"/>
    <x:col min="6" max="6" width="20" hidden="0" customWidth="1"/>
    <x:col min="7" max="7" width="22" hidden="0" customWidth="1"/>
    <x:col min="8" max="8" width="14" hidden="0" customWidth="1"/>
    <x:col min="9" max="9" width="18" hidden="0" customWidth="1"/>
    <x:col min="10" max="10" width="14" hidden="0" customWidth="1"/>
    <x:col min="11" max="11" width="16" hidden="0" customWidth="1"/>
    <x:col min="12" max="12" width="14" hidden="0" customWidth="1"/>
    <x:col min="13" max="13" width="12" hidden="0" customWidth="1"/>
    <x:col min="14" max="14" width="48" hidden="0" customWidth="1"/>
    <x:col min="15" max="15" width="48" hidden="0" customWidth="1"/>
  </x:cols>
  <x:sheetData>
    <x:row r="1">
      <x:c r="A1" s="161" t="str">
        <x:v>Transaction ID</x:v>
      </x:c>
      <x:c r="B1" s="161" t="str">
        <x:v>Vessel ID</x:v>
      </x:c>
      <x:c r="C1" s="161" t="str">
        <x:v>IMO</x:v>
      </x:c>
      <x:c r="D1" s="161" t="str">
        <x:v>Vessel Name</x:v>
      </x:c>
      <x:c r="E1" s="161" t="str">
        <x:v>Buyer Company ID</x:v>
      </x:c>
      <x:c r="F1" s="161" t="str">
        <x:v>Seller Company ID</x:v>
      </x:c>
      <x:c r="G1" s="161" t="str">
        <x:v>Transaction Type</x:v>
      </x:c>
      <x:c r="H1" s="161" t="str">
        <x:v>Announced Date</x:v>
      </x:c>
      <x:c r="I1" s="161" t="str">
        <x:v>Closed / Delivered Date</x:v>
      </x:c>
      <x:c r="J1" s="161" t="str">
        <x:v>Price USD</x:v>
      </x:c>
      <x:c r="K1" s="161" t="str">
        <x:v>Vessel Age at Sale</x:v>
      </x:c>
      <x:c r="L1" s="161" t="str">
        <x:v>Status</x:v>
      </x:c>
      <x:c r="M1" s="161" t="str">
        <x:v>Source ID</x:v>
      </x:c>
      <x:c r="N1" s="161" t="str">
        <x:v>Source URL</x:v>
      </x:c>
      <x:c r="O1" s="161" t="str">
        <x:v>Notes</x:v>
      </x:c>
    </x:row>
    <x:row r="2">
      <x:c r="A2" s="102" t="str">
        <x:v>VTX_TEMPLATE</x:v>
      </x:c>
      <x:c r="B2" s="102"/>
      <x:c r="C2" s="102"/>
      <x:c r="D2" s="102"/>
      <x:c r="E2" s="102"/>
      <x:c r="F2" s="102"/>
      <x:c r="G2" s="102" t="str">
        <x:v>Purchase / sale / sale-leaseback / fleet acquisition</x:v>
      </x:c>
      <x:c r="H2" s="102"/>
      <x:c r="I2" s="102"/>
      <x:c r="J2" s="102"/>
      <x:c r="K2" s="102"/>
      <x:c r="L2" s="102" t="str">
        <x:v>Template</x:v>
      </x:c>
      <x:c r="M2" s="102"/>
      <x:c r="N2" s="102"/>
      <x:c r="O2" s="102" t="str">
        <x:v>Use this table to measure second-hand accumulation, divestment and fleet renewal without changing historical ownership relationships.</x:v>
      </x:c>
    </x:row>
  </x:sheetData>
  <x:pageMargins left="0.7" right="0.7" top="0.75" bottom="0.75" header="0.3" footer="0.3"/>
</x:worksheet>
</file>

<file path=xl/worksheets/sheet44.xml><?xml version="1.0" encoding="utf-8"?>
<x:worksheet xmlns:x="http://schemas.openxmlformats.org/spreadsheetml/2006/main">
  <x:sheetFormatPr defaultRowHeight="15"/>
  <x:cols>
    <x:col min="1" max="1" width="14" hidden="0" customWidth="1"/>
    <x:col min="2" max="2" width="20" hidden="0" customWidth="1"/>
    <x:col min="3" max="3" width="26" hidden="0" customWidth="1"/>
    <x:col min="4" max="4" width="20" hidden="0" customWidth="1"/>
    <x:col min="5" max="5" width="18" hidden="0" customWidth="1"/>
    <x:col min="6" max="6" width="28" hidden="0" customWidth="1"/>
    <x:col min="7" max="7" width="28" hidden="0" customWidth="1"/>
    <x:col min="8" max="8" width="30" hidden="0" customWidth="1"/>
    <x:col min="9" max="9" width="40" hidden="0" customWidth="1"/>
    <x:col min="10" max="10" width="20" hidden="0" customWidth="1"/>
    <x:col min="11" max="11" width="14" hidden="0" customWidth="1"/>
    <x:col min="12" max="12" width="12" hidden="0" customWidth="1"/>
    <x:col min="13" max="13" width="12" hidden="0" customWidth="1"/>
    <x:col min="14" max="14" width="50" hidden="0" customWidth="1"/>
    <x:col min="15" max="15" width="48" hidden="0" customWidth="1"/>
  </x:cols>
  <x:sheetData>
    <x:row r="1">
      <x:c r="A1" s="161" t="str">
        <x:v>Exposure ID</x:v>
      </x:c>
      <x:c r="B1" s="161" t="str">
        <x:v>Company ID</x:v>
      </x:c>
      <x:c r="C1" s="161" t="str">
        <x:v>Company</x:v>
      </x:c>
      <x:c r="D1" s="161" t="str">
        <x:v>Vessel Segment</x:v>
      </x:c>
      <x:c r="E1" s="161" t="str">
        <x:v>Commodity</x:v>
      </x:c>
      <x:c r="F1" s="161" t="str">
        <x:v>Origin / Supply System</x:v>
      </x:c>
      <x:c r="G1" s="161" t="str">
        <x:v>Destination / Demand System</x:v>
      </x:c>
      <x:c r="H1" s="161" t="str">
        <x:v>Chokepoints / Transfer Zones</x:v>
      </x:c>
      <x:c r="I1" s="161" t="str">
        <x:v>Operating Pattern</x:v>
      </x:c>
      <x:c r="J1" s="161" t="str">
        <x:v>Exposure Type</x:v>
      </x:c>
      <x:c r="K1" s="161" t="str">
        <x:v>As Of</x:v>
      </x:c>
      <x:c r="L1" s="161" t="str">
        <x:v>Confidence</x:v>
      </x:c>
      <x:c r="M1" s="161" t="str">
        <x:v>Source ID</x:v>
      </x:c>
      <x:c r="N1" s="161" t="str">
        <x:v>Source URL</x:v>
      </x:c>
      <x:c r="O1" s="161" t="str">
        <x:v>Notes</x:v>
      </x:c>
    </x:row>
    <x:row r="2">
      <x:c r="A2" s="102" t="str">
        <x:v>TCE_0001</x:v>
      </x:c>
      <x:c r="B2" s="102" t="str">
        <x:v>COMP_CMES</x:v>
      </x:c>
      <x:c r="C2" s="102" t="str">
        <x:v>China Merchants Energy Shipping</x:v>
      </x:c>
      <x:c r="D2" s="102" t="str">
        <x:v>VLCC</x:v>
      </x:c>
      <x:c r="E2" s="102" t="str">
        <x:v>Crude oil</x:v>
      </x:c>
      <x:c r="F2" s="102" t="str">
        <x:v>Middle East / Gulf producers</x:v>
      </x:c>
      <x:c r="G2" s="102" t="str">
        <x:v>China</x:v>
      </x:c>
      <x:c r="H2" s="102" t="str">
        <x:v>Strait of Hormuz; Gulf of Oman STS zones</x:v>
      </x:c>
      <x:c r="I2" s="102" t="str">
        <x:v>Direct Gulf loading plus STS transfers outside chokepoints during elevated risk</x:v>
      </x:c>
      <x:c r="J2" s="102" t="str">
        <x:v>Operational / corridor</x:v>
      </x:c>
      <x:c r="K2" s="102" t="str">
        <x:v>2026-08</x:v>
      </x:c>
      <x:c r="L2" s="102" t="str">
        <x:v>High</x:v>
      </x:c>
      <x:c r="M2" s="102" t="str">
        <x:v>SRC_0219</x:v>
      </x:c>
      <x:c r="N2" s="102" t="str">
        <x:v>https://www.reuters.com/business/energy/chinas-state-shippers-deploy-oil-tankers-outside-gulf-avoid-chokepoints-sources-2026-08-18/</x:v>
      </x:c>
      <x:c r="O2" s="102" t="str">
        <x:v>Reuters reported CMES and COSCO Energy shifting tanker deployment to reduce chokepoint exposure.</x:v>
      </x:c>
    </x:row>
    <x:row r="3">
      <x:c r="A3" s="102" t="str">
        <x:v>TCE_0002</x:v>
      </x:c>
      <x:c r="B3" s="102" t="str">
        <x:v>COMP_COSCO_ENERGY</x:v>
      </x:c>
      <x:c r="C3" s="102" t="str">
        <x:v>COSCO SHIPPING Energy</x:v>
      </x:c>
      <x:c r="D3" s="102" t="str">
        <x:v>VLCC</x:v>
      </x:c>
      <x:c r="E3" s="102" t="str">
        <x:v>Crude oil</x:v>
      </x:c>
      <x:c r="F3" s="102" t="str">
        <x:v>Middle East / Gulf producers</x:v>
      </x:c>
      <x:c r="G3" s="102" t="str">
        <x:v>China</x:v>
      </x:c>
      <x:c r="H3" s="102" t="str">
        <x:v>Strait of Hormuz; Gulf of Oman STS zones</x:v>
      </x:c>
      <x:c r="I3" s="102" t="str">
        <x:v>Direct Gulf loading plus STS transfers outside chokepoints during elevated risk</x:v>
      </x:c>
      <x:c r="J3" s="102" t="str">
        <x:v>Operational / corridor</x:v>
      </x:c>
      <x:c r="K3" s="102" t="str">
        <x:v>2026-08</x:v>
      </x:c>
      <x:c r="L3" s="102" t="str">
        <x:v>High</x:v>
      </x:c>
      <x:c r="M3" s="102" t="str">
        <x:v>SRC_0219</x:v>
      </x:c>
      <x:c r="N3" s="102" t="str">
        <x:v>https://www.reuters.com/business/energy/chinas-state-shippers-deploy-oil-tankers-outside-gulf-avoid-chokepoints-sources-2026-08-18/</x:v>
      </x:c>
      <x:c r="O3" s="102" t="str">
        <x:v>Strategic linkage between Chinese tanker control and Middle East supply security.</x:v>
      </x:c>
    </x:row>
    <x:row r="4">
      <x:c r="A4" s="102" t="str">
        <x:v>TCE_0003</x:v>
      </x:c>
      <x:c r="B4" s="102" t="str">
        <x:v>COMP_BAHRI</x:v>
      </x:c>
      <x:c r="C4" s="102" t="str">
        <x:v>Bahri</x:v>
      </x:c>
      <x:c r="D4" s="102" t="str">
        <x:v>VLCC</x:v>
      </x:c>
      <x:c r="E4" s="102" t="str">
        <x:v>Saudi crude oil</x:v>
      </x:c>
      <x:c r="F4" s="102" t="str">
        <x:v>Saudi export terminals / Saudi Aramco CIF sales</x:v>
      </x:c>
      <x:c r="G4" s="102" t="str">
        <x:v>Global refinery markets</x:v>
      </x:c>
      <x:c r="H4" s="102" t="str">
        <x:v>Strait of Hormuz; Red Sea routes; Cape alternatives</x:v>
      </x:c>
      <x:c r="I4" s="102" t="str">
        <x:v>Exclusive VLCC transportation provider for Saudi Aramco CIF sales</x:v>
      </x:c>
      <x:c r="J4" s="102" t="str">
        <x:v>Strategic / contractual</x:v>
      </x:c>
      <x:c r="K4" s="102" t="str">
        <x:v>2026-09</x:v>
      </x:c>
      <x:c r="L4" s="102" t="str">
        <x:v>High</x:v>
      </x:c>
      <x:c r="M4" s="102" t="str">
        <x:v>SRC_0214</x:v>
      </x:c>
      <x:c r="N4" s="102" t="str">
        <x:v>https://www.bahri.sa/en/fleet/vlcc/</x:v>
      </x:c>
      <x:c r="O4" s="102" t="str">
        <x:v>Connect fleet to Saudi crude export system and route-risk analysis.</x:v>
      </x:c>
    </x:row>
    <x:row r="5">
      <x:c r="A5" s="102" t="str">
        <x:v>TCE_0004</x:v>
      </x:c>
      <x:c r="B5" s="102" t="str">
        <x:v>COMP_ASYAD_SHIPPING</x:v>
      </x:c>
      <x:c r="C5" s="102" t="str">
        <x:v>Asyad Shipping</x:v>
      </x:c>
      <x:c r="D5" s="102" t="str">
        <x:v>VLCC / crude</x:v>
      </x:c>
      <x:c r="E5" s="102" t="str">
        <x:v>Crude oil</x:v>
      </x:c>
      <x:c r="F5" s="102" t="str">
        <x:v>Oman / Gulf / global loading systems</x:v>
      </x:c>
      <x:c r="G5" s="102" t="str">
        <x:v>Asia and global markets</x:v>
      </x:c>
      <x:c r="H5" s="102" t="str">
        <x:v>Strait of Hormuz; Arabian Sea; Indian Ocean</x:v>
      </x:c>
      <x:c r="I5" s="102" t="str">
        <x:v>Owned and chartered crude fleet serving regional and global trades</x:v>
      </x:c>
      <x:c r="J5" s="102" t="str">
        <x:v>Strategic / operating</x:v>
      </x:c>
      <x:c r="K5" s="102" t="str">
        <x:v>2026-09</x:v>
      </x:c>
      <x:c r="L5" s="102" t="str">
        <x:v>Medium</x:v>
      </x:c>
      <x:c r="M5" s="102" t="str">
        <x:v>SRC_0217</x:v>
      </x:c>
      <x:c r="N5" s="102" t="str">
        <x:v>https://www.asyad.com/maritime/transport/our-fleet</x:v>
      </x:c>
      <x:c r="O5" s="102" t="str">
        <x:v>Connect Asyad fleet to Oman port/corridor alternatives including Sohar, Duqm and Salalah at asset layer.</x:v>
      </x:c>
    </x:row>
    <x:row r="6">
      <x:c r="A6" s="102" t="str">
        <x:v>TCE_0005</x:v>
      </x:c>
      <x:c r="B6" s="102" t="str">
        <x:v>COMP_SINOKOR</x:v>
      </x:c>
      <x:c r="C6" s="102" t="str">
        <x:v>SINOKOR Merchant Marine</x:v>
      </x:c>
      <x:c r="D6" s="102" t="str">
        <x:v>VLCC</x:v>
      </x:c>
      <x:c r="E6" s="102" t="str">
        <x:v>Crude oil</x:v>
      </x:c>
      <x:c r="F6" s="102" t="str">
        <x:v>Abu Dhabi / Gulf supply</x:v>
      </x:c>
      <x:c r="G6" s="102" t="str">
        <x:v>Gulf of Oman transfer chain / onward global markets</x:v>
      </x:c>
      <x:c r="H6" s="102" t="str">
        <x:v>Strait of Hormuz; Gulf of Oman STS</x:v>
      </x:c>
      <x:c r="I6" s="102" t="str">
        <x:v>Benchmark intelligence indicates large controlled VLCC fleet and high Gulf operational relevance</x:v>
      </x:c>
      <x:c r="J6" s="102" t="str">
        <x:v>Strategic / operating</x:v>
      </x:c>
      <x:c r="K6" s="102" t="str">
        <x:v>2026-09</x:v>
      </x:c>
      <x:c r="L6" s="102" t="str">
        <x:v>Medium</x:v>
      </x:c>
      <x:c r="M6" s="102" t="str">
        <x:v>SRC_0213</x:v>
      </x:c>
      <x:c r="N6" s="102" t="str">
        <x:v>https://www.gosships.com/</x:v>
      </x:c>
      <x:c r="O6" s="102" t="str">
        <x:v>Requires vessel-level verification before quantifying shuttle/STF exposure.</x:v>
      </x:c>
    </x:row>
  </x:sheetData>
  <x:pageMargins left="0.7" right="0.7" top="0.75" bottom="0.75" header="0.3" footer="0.3"/>
  <x:tableParts count="1">
    <x:tablePart xmlns:r="http://schemas.openxmlformats.org/officeDocument/2006/relationships" r:id="Rf7fc08c383cb43a1"/>
  </x:tableParts>
</x:worksheet>
</file>

<file path=xl/worksheets/sheet45.xml><?xml version="1.0" encoding="utf-8"?>
<x:worksheet xmlns:x="http://schemas.openxmlformats.org/spreadsheetml/2006/main">
  <x:sheetFormatPr defaultRowHeight="15"/>
  <x:sheetData>
    <x:row r="1">
      <x:c r="A1" s="165" t="str">
        <x:v>Vessel ID</x:v>
      </x:c>
      <x:c r="B1" s="165" t="str">
        <x:v>Vessel Name</x:v>
      </x:c>
      <x:c r="C1" s="165" t="str">
        <x:v>IMO</x:v>
      </x:c>
      <x:c r="D1" s="165" t="str">
        <x:v>MMSI</x:v>
      </x:c>
      <x:c r="E1" s="165" t="str">
        <x:v>USCG Official Number</x:v>
      </x:c>
      <x:c r="F1" s="165" t="str">
        <x:v>Canadian Official Number</x:v>
      </x:c>
      <x:c r="G1" s="165" t="str">
        <x:v>National Registry Number</x:v>
      </x:c>
      <x:c r="H1" s="165" t="str">
        <x:v>Call Sign</x:v>
      </x:c>
      <x:c r="I1" s="165" t="str">
        <x:v>Radio / Other Identifier</x:v>
      </x:c>
      <x:c r="J1" s="165" t="str">
        <x:v>Flag</x:v>
      </x:c>
      <x:c r="K1" s="165" t="str">
        <x:v>Identifier Status</x:v>
      </x:c>
      <x:c r="L1" s="165" t="str">
        <x:v>Verified As Of</x:v>
      </x:c>
      <x:c r="M1" s="165" t="str">
        <x:v>Source ID</x:v>
      </x:c>
      <x:c r="N1" s="165" t="str">
        <x:v>Notes</x:v>
      </x:c>
      <x:c r="O1" s="165"/>
      <x:c r="P1" s="165"/>
      <x:c r="Q1" s="165"/>
      <x:c r="R1" s="165"/>
      <x:c r="S1" s="165"/>
      <x:c r="T1" s="165"/>
      <x:c r="U1" s="165"/>
      <x:c r="V1" s="165"/>
      <x:c r="W1" s="165"/>
      <x:c r="X1" s="165"/>
      <x:c r="Y1" s="165"/>
      <x:c r="Z1" s="165"/>
      <x:c r="AA1" s="165"/>
      <x:c r="AB1" s="165"/>
      <x:c r="AC1" s="165"/>
      <x:c r="AD1" s="165"/>
      <x:c r="AE1" s="165"/>
      <x:c r="AF1" s="165"/>
      <x:c r="AG1" s="165"/>
      <x:c r="AH1" s="165"/>
      <x:c r="AI1" s="165"/>
      <x:c r="AJ1" s="165"/>
      <x:c r="AK1" s="165"/>
      <x:c r="AL1" s="165"/>
      <x:c r="AM1" s="165"/>
      <x:c r="AN1" s="165"/>
      <x:c r="AO1" s="165"/>
      <x:c r="AP1" s="165"/>
      <x:c r="AQ1" s="165"/>
      <x:c r="AR1" s="165"/>
      <x:c r="AS1" s="165"/>
      <x:c r="AT1" s="165"/>
      <x:c r="AU1" s="165"/>
      <x:c r="AV1" s="165"/>
      <x:c r="AW1" s="165"/>
      <x:c r="AX1" s="165"/>
      <x:c r="AY1" s="165"/>
      <x:c r="AZ1" s="165"/>
    </x:row>
    <x:row r="2">
      <x:c r="A2" s="102" t="str">
        <x:v>VESSEL_00001</x:v>
      </x:c>
      <x:c r="B2" s="102" t="str">
        <x:v>UGR Al Samha</x:v>
      </x:c>
      <x:c r="C2" s="110" t="str">
        <x:v>9973444</x:v>
      </x:c>
      <x:c r="D2" s="110"/>
      <x:c r="E2" s="102"/>
      <x:c r="F2" s="102"/>
      <x:c r="G2" s="102"/>
      <x:c r="H2" s="102"/>
      <x:c r="I2" s="102"/>
      <x:c r="J2" s="102" t="str">
        <x:v>IMO populated</x:v>
      </x:c>
      <x:c r="K2" s="102" t="str">
        <x:v>2026-09-07</x:v>
      </x:c>
      <x:c r="L2" s="102" t="str">
        <x:v>SRC_0060</x:v>
      </x:c>
      <x:c r="M2" s="102" t="str">
        <x:v>Primary IMO retained in canonical Vessels; additional national identifiers to be populated for ferry and domestic fleets.</x:v>
      </x:c>
      <x:c r="N2" s="102"/>
    </x:row>
    <x:row r="3">
      <x:c r="A3" s="102" t="str">
        <x:v>VESSEL_00002</x:v>
      </x:c>
      <x:c r="B3" s="102" t="str">
        <x:v>UGR Zakher</x:v>
      </x:c>
      <x:c r="C3" s="110" t="str">
        <x:v>9980411</x:v>
      </x:c>
      <x:c r="D3" s="110"/>
      <x:c r="E3" s="102"/>
      <x:c r="F3" s="102"/>
      <x:c r="G3" s="102"/>
      <x:c r="H3" s="102"/>
      <x:c r="I3" s="102"/>
      <x:c r="J3" s="102" t="str">
        <x:v>IMO populated</x:v>
      </x:c>
      <x:c r="K3" s="102" t="str">
        <x:v>2026-09-07</x:v>
      </x:c>
      <x:c r="L3" s="102" t="str">
        <x:v>SRC_0060</x:v>
      </x:c>
      <x:c r="M3" s="102" t="str">
        <x:v>Primary IMO retained in canonical Vessels; additional national identifiers to be populated for ferry and domestic fleets.</x:v>
      </x:c>
      <x:c r="N3" s="102"/>
    </x:row>
    <x:row r="4">
      <x:c r="A4" s="102" t="str">
        <x:v>VESSEL_00003</x:v>
      </x:c>
      <x:c r="B4" s="102" t="str">
        <x:v>UGR Al Reef</x:v>
      </x:c>
      <x:c r="C4" s="110" t="str">
        <x:v>9448138</x:v>
      </x:c>
      <x:c r="D4" s="110"/>
      <x:c r="E4" s="102"/>
      <x:c r="F4" s="102"/>
      <x:c r="G4" s="102"/>
      <x:c r="H4" s="102"/>
      <x:c r="I4" s="102"/>
      <x:c r="J4" s="102" t="str">
        <x:v>IMO populated</x:v>
      </x:c>
      <x:c r="K4" s="102" t="str">
        <x:v>2026-09-07</x:v>
      </x:c>
      <x:c r="L4" s="102" t="str">
        <x:v>SRC_0060</x:v>
      </x:c>
      <x:c r="M4" s="102" t="str">
        <x:v>Primary IMO retained in canonical Vessels; additional national identifiers to be populated for ferry and domestic fleets.</x:v>
      </x:c>
      <x:c r="N4" s="102"/>
    </x:row>
    <x:row r="5">
      <x:c r="A5" s="102" t="str">
        <x:v>VESSEL_00004</x:v>
      </x:c>
      <x:c r="B5" s="102" t="str">
        <x:v>Al Jubail</x:v>
      </x:c>
      <x:c r="C5" s="110" t="str">
        <x:v>9547219</x:v>
      </x:c>
      <x:c r="D5" s="110"/>
      <x:c r="E5" s="102"/>
      <x:c r="F5" s="102"/>
      <x:c r="G5" s="102"/>
      <x:c r="H5" s="102"/>
      <x:c r="I5" s="102"/>
      <x:c r="J5" s="102" t="str">
        <x:v>IMO populated</x:v>
      </x:c>
      <x:c r="K5" s="102" t="str">
        <x:v>2026-09-07</x:v>
      </x:c>
      <x:c r="L5" s="102" t="str">
        <x:v>SRC_0060</x:v>
      </x:c>
      <x:c r="M5" s="102" t="str">
        <x:v>Primary IMO retained in canonical Vessels; additional national identifiers to be populated for ferry and domestic fleets.</x:v>
      </x:c>
      <x:c r="N5" s="102"/>
    </x:row>
    <x:row r="6">
      <x:c r="A6" s="102" t="str">
        <x:v>VESSEL_00005</x:v>
      </x:c>
      <x:c r="B6" s="102" t="str">
        <x:v>Ramhan</x:v>
      </x:c>
      <x:c r="C6" s="110" t="str">
        <x:v>9668960</x:v>
      </x:c>
      <x:c r="D6" s="110"/>
      <x:c r="E6" s="102"/>
      <x:c r="F6" s="102"/>
      <x:c r="G6" s="102"/>
      <x:c r="H6" s="102"/>
      <x:c r="I6" s="102"/>
      <x:c r="J6" s="102" t="str">
        <x:v>IMO populated</x:v>
      </x:c>
      <x:c r="K6" s="102" t="str">
        <x:v>2026-09-07</x:v>
      </x:c>
      <x:c r="L6" s="102" t="str">
        <x:v>SRC_0060</x:v>
      </x:c>
      <x:c r="M6" s="102" t="str">
        <x:v>Primary IMO retained in canonical Vessels; additional national identifiers to be populated for ferry and domestic fleets.</x:v>
      </x:c>
      <x:c r="N6" s="102"/>
    </x:row>
    <x:row r="7">
      <x:c r="A7" s="102" t="str">
        <x:v>VESSEL_00006</x:v>
      </x:c>
      <x:c r="B7" s="102" t="str">
        <x:v>UGR Arabian Gulf</x:v>
      </x:c>
      <x:c r="C7" s="110" t="str">
        <x:v>9431836</x:v>
      </x:c>
      <x:c r="D7" s="110"/>
      <x:c r="E7" s="102"/>
      <x:c r="F7" s="102"/>
      <x:c r="G7" s="102"/>
      <x:c r="H7" s="102"/>
      <x:c r="I7" s="102"/>
      <x:c r="J7" s="102" t="str">
        <x:v>IMO populated</x:v>
      </x:c>
      <x:c r="K7" s="102" t="str">
        <x:v>2026-09-07</x:v>
      </x:c>
      <x:c r="L7" s="102" t="str">
        <x:v>SRC_0060</x:v>
      </x:c>
      <x:c r="M7" s="102" t="str">
        <x:v>Primary IMO retained in canonical Vessels; additional national identifiers to be populated for ferry and domestic fleets.</x:v>
      </x:c>
      <x:c r="N7" s="102"/>
    </x:row>
    <x:row r="8">
      <x:c r="A8" s="102" t="str">
        <x:v>VESSEL_00007</x:v>
      </x:c>
      <x:c r="B8" s="102" t="str">
        <x:v>Erk İzmir</x:v>
      </x:c>
      <x:c r="C8" s="110" t="str">
        <x:v>9179983</x:v>
      </x:c>
      <x:c r="D8" s="110"/>
      <x:c r="E8" s="102"/>
      <x:c r="F8" s="102"/>
      <x:c r="G8" s="102"/>
      <x:c r="H8" s="102"/>
      <x:c r="I8" s="102"/>
      <x:c r="J8" s="102" t="str">
        <x:v>IMO populated</x:v>
      </x:c>
      <x:c r="K8" s="102" t="str">
        <x:v>2026-09-07</x:v>
      </x:c>
      <x:c r="L8" s="102" t="str">
        <x:v>SRC_0060</x:v>
      </x:c>
      <x:c r="M8" s="102" t="str">
        <x:v>Primary IMO retained in canonical Vessels; additional national identifiers to be populated for ferry and domestic fleets.</x:v>
      </x:c>
      <x:c r="N8" s="102"/>
    </x:row>
    <x:row r="9">
      <x:c r="A9" s="102" t="str">
        <x:v>VESSEL_00008</x:v>
      </x:c>
      <x:c r="B9" s="102" t="str">
        <x:v>Abu Samrah</x:v>
      </x:c>
      <x:c r="C9" s="110" t="str">
        <x:v>9925655</x:v>
      </x:c>
      <x:c r="D9" s="110"/>
      <x:c r="E9" s="102"/>
      <x:c r="F9" s="102"/>
      <x:c r="G9" s="102"/>
      <x:c r="H9" s="102"/>
      <x:c r="I9" s="102"/>
      <x:c r="J9" s="102" t="str">
        <x:v>IMO populated</x:v>
      </x:c>
      <x:c r="K9" s="102" t="str">
        <x:v>2026-09-07</x:v>
      </x:c>
      <x:c r="L9" s="102" t="str">
        <x:v>SRC_0060</x:v>
      </x:c>
      <x:c r="M9" s="102" t="str">
        <x:v>Primary IMO retained in canonical Vessels; additional national identifiers to be populated for ferry and domestic fleets.</x:v>
      </x:c>
      <x:c r="N9" s="102"/>
    </x:row>
    <x:row r="10">
      <x:c r="A10" s="102" t="str">
        <x:v>VESSEL_00009</x:v>
      </x:c>
      <x:c r="B10" s="102" t="str">
        <x:v>UGR İstanbul</x:v>
      </x:c>
      <x:c r="C10" s="110" t="str">
        <x:v>9179995</x:v>
      </x:c>
      <x:c r="D10" s="110"/>
      <x:c r="E10" s="102"/>
      <x:c r="F10" s="102"/>
      <x:c r="G10" s="102"/>
      <x:c r="H10" s="102"/>
      <x:c r="I10" s="102"/>
      <x:c r="J10" s="102" t="str">
        <x:v>IMO populated</x:v>
      </x:c>
      <x:c r="K10" s="102" t="str">
        <x:v>2026-09-07</x:v>
      </x:c>
      <x:c r="L10" s="102" t="str">
        <x:v>SRC_0060</x:v>
      </x:c>
      <x:c r="M10" s="102" t="str">
        <x:v>Primary IMO retained in canonical Vessels; additional national identifiers to be populated for ferry and domestic fleets.</x:v>
      </x:c>
      <x:c r="N10" s="102"/>
    </x:row>
    <x:row r="11">
      <x:c r="A11" s="102" t="str">
        <x:v>VESSEL_00010</x:v>
      </x:c>
      <x:c r="B11" s="102" t="str">
        <x:v>Saffet Bey</x:v>
      </x:c>
      <x:c r="C11" s="110" t="str">
        <x:v>8417118</x:v>
      </x:c>
      <x:c r="D11" s="110"/>
      <x:c r="E11" s="102"/>
      <x:c r="F11" s="102"/>
      <x:c r="G11" s="102"/>
      <x:c r="H11" s="102"/>
      <x:c r="I11" s="102"/>
      <x:c r="J11" s="102" t="str">
        <x:v>IMO populated</x:v>
      </x:c>
      <x:c r="K11" s="102" t="str">
        <x:v>2026-09-07</x:v>
      </x:c>
      <x:c r="L11" s="102" t="str">
        <x:v>SRC_0060</x:v>
      </x:c>
      <x:c r="M11" s="102" t="str">
        <x:v>Primary IMO retained in canonical Vessels; additional national identifiers to be populated for ferry and domestic fleets.</x:v>
      </x:c>
      <x:c r="N11" s="102"/>
    </x:row>
    <x:row r="12">
      <x:c r="A12" s="102" t="str">
        <x:v>VESSEL_00011</x:v>
      </x:c>
      <x:c r="B12" s="102" t="str">
        <x:v>Super Fast Baleares</x:v>
      </x:c>
      <x:c r="C12" s="110" t="str">
        <x:v>9398527</x:v>
      </x:c>
      <x:c r="D12" s="110"/>
      <x:c r="E12" s="102"/>
      <x:c r="F12" s="102"/>
      <x:c r="G12" s="102"/>
      <x:c r="H12" s="102"/>
      <x:c r="I12" s="102"/>
      <x:c r="J12" s="102" t="str">
        <x:v>IMO populated</x:v>
      </x:c>
      <x:c r="K12" s="102" t="str">
        <x:v>2026-09-07</x:v>
      </x:c>
      <x:c r="L12" s="102" t="str">
        <x:v>SRC_0060</x:v>
      </x:c>
      <x:c r="M12" s="102" t="str">
        <x:v>Primary IMO retained in canonical Vessels; additional national identifiers to be populated for ferry and domestic fleets.</x:v>
      </x:c>
      <x:c r="N12" s="102"/>
    </x:row>
    <x:row r="13">
      <x:c r="A13" s="102" t="str">
        <x:v>VESSEL_00012</x:v>
      </x:c>
      <x:c r="B13" s="102" t="str">
        <x:v>Chang Sheng Hong</x:v>
      </x:c>
      <x:c r="C13" s="110" t="str">
        <x:v>9177040</x:v>
      </x:c>
      <x:c r="D13" s="110"/>
      <x:c r="E13" s="102"/>
      <x:c r="F13" s="102"/>
      <x:c r="G13" s="102"/>
      <x:c r="H13" s="102"/>
      <x:c r="I13" s="102"/>
      <x:c r="J13" s="102" t="str">
        <x:v>IMO populated</x:v>
      </x:c>
      <x:c r="K13" s="102" t="str">
        <x:v>2026-09-07</x:v>
      </x:c>
      <x:c r="L13" s="102" t="str">
        <x:v>SRC_0060</x:v>
      </x:c>
      <x:c r="M13" s="102" t="str">
        <x:v>Primary IMO retained in canonical Vessels; additional national identifiers to be populated for ferry and domestic fleets.</x:v>
      </x:c>
      <x:c r="N13" s="102"/>
    </x:row>
    <x:row r="14">
      <x:c r="A14" s="102" t="str">
        <x:v>VESSEL_00013</x:v>
      </x:c>
      <x:c r="B14" s="102" t="str">
        <x:v>JINANAH</x:v>
      </x:c>
      <x:c r="C14" s="110" t="str">
        <x:v>9395343</x:v>
      </x:c>
      <x:c r="D14" s="110"/>
      <x:c r="E14" s="102"/>
      <x:c r="F14" s="102"/>
      <x:c r="G14" s="102"/>
      <x:c r="H14" s="102"/>
      <x:c r="I14" s="102"/>
      <x:c r="J14" s="102" t="str">
        <x:v>IMO populated</x:v>
      </x:c>
      <x:c r="K14" s="102" t="str">
        <x:v>2026-09-07</x:v>
      </x:c>
      <x:c r="L14" s="102" t="str">
        <x:v>SRC_0060</x:v>
      </x:c>
      <x:c r="M14" s="102" t="str">
        <x:v>Primary IMO retained in canonical Vessels; additional national identifiers to be populated for ferry and domestic fleets.</x:v>
      </x:c>
      <x:c r="N14" s="102"/>
    </x:row>
    <x:row r="15">
      <x:c r="A15" s="102" t="str">
        <x:v>VESSEL_00014</x:v>
      </x:c>
      <x:c r="B15" s="102" t="str">
        <x:v>SDERIA</x:v>
      </x:c>
      <x:c r="C15" s="110" t="str">
        <x:v>9395355</x:v>
      </x:c>
      <x:c r="D15" s="110"/>
      <x:c r="E15" s="102"/>
      <x:c r="F15" s="102"/>
      <x:c r="G15" s="102"/>
      <x:c r="H15" s="102"/>
      <x:c r="I15" s="102"/>
      <x:c r="J15" s="102" t="str">
        <x:v>IMO populated</x:v>
      </x:c>
      <x:c r="K15" s="102" t="str">
        <x:v>2026-09-07</x:v>
      </x:c>
      <x:c r="L15" s="102" t="str">
        <x:v>SRC_0060</x:v>
      </x:c>
      <x:c r="M15" s="102" t="str">
        <x:v>Primary IMO retained in canonical Vessels; additional national identifiers to be populated for ferry and domestic fleets.</x:v>
      </x:c>
      <x:c r="N15" s="102"/>
    </x:row>
    <x:row r="16">
      <x:c r="A16" s="102" t="str">
        <x:v>VESSEL_00015</x:v>
      </x:c>
      <x:c r="B16" s="102" t="str">
        <x:v>CMA CGM MONTE CRISTO</x:v>
      </x:c>
      <x:c r="C16" s="110" t="str">
        <x:v>1021051</x:v>
      </x:c>
      <x:c r="D16" s="110"/>
      <x:c r="E16" s="102"/>
      <x:c r="F16" s="102"/>
      <x:c r="G16" s="102"/>
      <x:c r="H16" s="102"/>
      <x:c r="I16" s="102"/>
      <x:c r="J16" s="102" t="str">
        <x:v>IMO populated</x:v>
      </x:c>
      <x:c r="K16" s="102" t="str">
        <x:v>2026-09-07</x:v>
      </x:c>
      <x:c r="L16" s="102" t="str">
        <x:v>SRC_0045</x:v>
      </x:c>
      <x:c r="M16" s="102" t="str">
        <x:v>Primary IMO retained in canonical Vessels; additional national identifiers to be populated for ferry and domestic fleets.</x:v>
      </x:c>
      <x:c r="N16" s="102"/>
    </x:row>
    <x:row r="17">
      <x:c r="A17" s="102" t="str">
        <x:v>VESSEL_00016</x:v>
      </x:c>
      <x:c r="B17" s="102" t="str">
        <x:v>Al Sadaf</x:v>
      </x:c>
      <x:c r="C17" s="110" t="str">
        <x:v>9972957</x:v>
      </x:c>
      <x:c r="D17" s="110"/>
      <x:c r="E17" s="102"/>
      <x:c r="F17" s="102"/>
      <x:c r="G17" s="102"/>
      <x:c r="H17" s="102"/>
      <x:c r="I17" s="102"/>
      <x:c r="J17" s="102" t="str">
        <x:v>IMO populated</x:v>
      </x:c>
      <x:c r="K17" s="102" t="str">
        <x:v>2026-09-07</x:v>
      </x:c>
      <x:c r="L17" s="102" t="str">
        <x:v>SRC_0066</x:v>
      </x:c>
      <x:c r="M17" s="102" t="str">
        <x:v>Primary IMO retained in canonical Vessels; additional national identifiers to be populated for ferry and domestic fleets.</x:v>
      </x:c>
      <x:c r="N17" s="102"/>
    </x:row>
    <x:row r="18">
      <x:c r="A18" s="102" t="str">
        <x:v>VESSEL_00017</x:v>
      </x:c>
      <x:c r="B18" s="102" t="str">
        <x:v>Arada</x:v>
      </x:c>
      <x:c r="C18" s="110" t="str">
        <x:v>9972969</x:v>
      </x:c>
      <x:c r="D18" s="110"/>
      <x:c r="E18" s="102"/>
      <x:c r="F18" s="102"/>
      <x:c r="G18" s="102"/>
      <x:c r="H18" s="102"/>
      <x:c r="I18" s="102"/>
      <x:c r="J18" s="102" t="str">
        <x:v>IMO populated</x:v>
      </x:c>
      <x:c r="K18" s="102" t="str">
        <x:v>2026-09-07</x:v>
      </x:c>
      <x:c r="L18" s="102" t="str">
        <x:v>SRC_0066</x:v>
      </x:c>
      <x:c r="M18" s="102" t="str">
        <x:v>Primary IMO retained in canonical Vessels; additional national identifiers to be populated for ferry and domestic fleets.</x:v>
      </x:c>
      <x:c r="N18" s="102"/>
    </x:row>
    <x:row r="19">
      <x:c r="A19" s="102" t="str">
        <x:v>VESSEL_00018</x:v>
      </x:c>
      <x:c r="B19" s="102" t="str">
        <x:v>Al Taweelah</x:v>
      </x:c>
      <x:c r="C19" s="110" t="str">
        <x:v>9972971</x:v>
      </x:c>
      <x:c r="D19" s="110"/>
      <x:c r="E19" s="102"/>
      <x:c r="F19" s="102"/>
      <x:c r="G19" s="102"/>
      <x:c r="H19" s="102"/>
      <x:c r="I19" s="102"/>
      <x:c r="J19" s="102" t="str">
        <x:v>IMO populated</x:v>
      </x:c>
      <x:c r="K19" s="102" t="str">
        <x:v>2026-09-07</x:v>
      </x:c>
      <x:c r="L19" s="102" t="str">
        <x:v>SRC_0066</x:v>
      </x:c>
      <x:c r="M19" s="102" t="str">
        <x:v>Primary IMO retained in canonical Vessels; additional national identifiers to be populated for ferry and domestic fleets.</x:v>
      </x:c>
      <x:c r="N19" s="102"/>
    </x:row>
    <x:row r="20">
      <x:c r="A20" s="102" t="str">
        <x:v>VESSEL_00019</x:v>
      </x:c>
      <x:c r="B20" s="102" t="str">
        <x:v>Al Hamra</x:v>
      </x:c>
      <x:c r="C20" s="110" t="str">
        <x:v>9074640</x:v>
      </x:c>
      <x:c r="D20" s="110"/>
      <x:c r="E20" s="102"/>
      <x:c r="F20" s="102"/>
      <x:c r="G20" s="102"/>
      <x:c r="H20" s="102"/>
      <x:c r="I20" s="102"/>
      <x:c r="J20" s="102" t="str">
        <x:v>IMO populated</x:v>
      </x:c>
      <x:c r="K20" s="102" t="str">
        <x:v>2026-09-07</x:v>
      </x:c>
      <x:c r="L20" s="102" t="str">
        <x:v>SRC_0066</x:v>
      </x:c>
      <x:c r="M20" s="102" t="str">
        <x:v>Primary IMO retained in canonical Vessels; additional national identifiers to be populated for ferry and domestic fleets.</x:v>
      </x:c>
      <x:c r="N20" s="102"/>
    </x:row>
    <x:row r="21">
      <x:c r="A21" s="102" t="str">
        <x:v>VESSEL_00020</x:v>
      </x:c>
      <x:c r="B21" s="102" t="str">
        <x:v>Al Rahba</x:v>
      </x:c>
      <x:c r="C21" s="110" t="str">
        <x:v>9965435</x:v>
      </x:c>
      <x:c r="D21" s="110"/>
      <x:c r="E21" s="102"/>
      <x:c r="F21" s="102"/>
      <x:c r="G21" s="102"/>
      <x:c r="H21" s="102"/>
      <x:c r="I21" s="102"/>
      <x:c r="J21" s="102" t="str">
        <x:v>IMO populated</x:v>
      </x:c>
      <x:c r="K21" s="102" t="str">
        <x:v>2026-09-07</x:v>
      </x:c>
      <x:c r="L21" s="102" t="str">
        <x:v>SRC_0066</x:v>
      </x:c>
      <x:c r="M21" s="102" t="str">
        <x:v>Primary IMO retained in canonical Vessels; additional national identifiers to be populated for ferry and domestic fleets.</x:v>
      </x:c>
      <x:c r="N21" s="102"/>
    </x:row>
    <x:row r="22">
      <x:c r="A22" s="102" t="str">
        <x:v>VESSEL_00021</x:v>
      </x:c>
      <x:c r="B22" s="102" t="str">
        <x:v>Al Reef</x:v>
      </x:c>
      <x:c r="C22" s="110" t="str">
        <x:v>9972945</x:v>
      </x:c>
      <x:c r="D22" s="110"/>
      <x:c r="E22" s="102"/>
      <x:c r="F22" s="102"/>
      <x:c r="G22" s="102"/>
      <x:c r="H22" s="102"/>
      <x:c r="I22" s="102"/>
      <x:c r="J22" s="102" t="str">
        <x:v>IMO populated</x:v>
      </x:c>
      <x:c r="K22" s="102" t="str">
        <x:v>2026-09-07</x:v>
      </x:c>
      <x:c r="L22" s="102" t="str">
        <x:v>SRC_0066</x:v>
      </x:c>
      <x:c r="M22" s="102" t="str">
        <x:v>Primary IMO retained in canonical Vessels; additional national identifiers to be populated for ferry and domestic fleets.</x:v>
      </x:c>
      <x:c r="N22" s="102"/>
    </x:row>
    <x:row r="23">
      <x:c r="A23" s="102" t="str">
        <x:v>VESSEL_00022</x:v>
      </x:c>
      <x:c r="B23" s="102" t="str">
        <x:v>Al Shelila</x:v>
      </x:c>
      <x:c r="C23" s="110" t="str">
        <x:v>9965423</x:v>
      </x:c>
      <x:c r="D23" s="110"/>
      <x:c r="E23" s="102"/>
      <x:c r="F23" s="102"/>
      <x:c r="G23" s="102"/>
      <x:c r="H23" s="102"/>
      <x:c r="I23" s="102"/>
      <x:c r="J23" s="102" t="str">
        <x:v>IMO populated</x:v>
      </x:c>
      <x:c r="K23" s="102" t="str">
        <x:v>2026-09-07</x:v>
      </x:c>
      <x:c r="L23" s="102" t="str">
        <x:v>SRC_0066</x:v>
      </x:c>
      <x:c r="M23" s="102" t="str">
        <x:v>Primary IMO retained in canonical Vessels; additional national identifiers to be populated for ferry and domestic fleets.</x:v>
      </x:c>
      <x:c r="N23" s="102"/>
    </x:row>
    <x:row r="24">
      <x:c r="A24" s="102" t="str">
        <x:v>VESSEL_00023</x:v>
      </x:c>
      <x:c r="B24" s="102" t="str">
        <x:v>Ish (FSU)</x:v>
      </x:c>
      <x:c r="C24" s="110" t="str">
        <x:v>9035864</x:v>
      </x:c>
      <x:c r="D24" s="110"/>
      <x:c r="E24" s="102"/>
      <x:c r="F24" s="102"/>
      <x:c r="G24" s="102"/>
      <x:c r="H24" s="102"/>
      <x:c r="I24" s="102"/>
      <x:c r="J24" s="102" t="str">
        <x:v>IMO populated</x:v>
      </x:c>
      <x:c r="K24" s="102" t="str">
        <x:v>2026-09-07</x:v>
      </x:c>
      <x:c r="L24" s="102" t="str">
        <x:v>SRC_0066</x:v>
      </x:c>
      <x:c r="M24" s="102" t="str">
        <x:v>Primary IMO retained in canonical Vessels; additional national identifiers to be populated for ferry and domestic fleets.</x:v>
      </x:c>
      <x:c r="N24" s="102"/>
    </x:row>
    <x:row r="25">
      <x:c r="A25" s="102" t="str">
        <x:v>VESSEL_00024</x:v>
      </x:c>
      <x:c r="B25" s="102" t="str">
        <x:v>Mraweh</x:v>
      </x:c>
      <x:c r="C25" s="110" t="str">
        <x:v>9074638</x:v>
      </x:c>
      <x:c r="D25" s="110"/>
      <x:c r="E25" s="102"/>
      <x:c r="F25" s="102"/>
      <x:c r="G25" s="102"/>
      <x:c r="H25" s="102"/>
      <x:c r="I25" s="102"/>
      <x:c r="J25" s="102" t="str">
        <x:v>IMO populated</x:v>
      </x:c>
      <x:c r="K25" s="102" t="str">
        <x:v>2026-09-07</x:v>
      </x:c>
      <x:c r="L25" s="102" t="str">
        <x:v>SRC_0066</x:v>
      </x:c>
      <x:c r="M25" s="102" t="str">
        <x:v>Primary IMO retained in canonical Vessels; additional national identifiers to be populated for ferry and domestic fleets.</x:v>
      </x:c>
      <x:c r="N25" s="102"/>
    </x:row>
    <x:row r="26">
      <x:c r="A26" s="102" t="str">
        <x:v>VESSEL_00025</x:v>
      </x:c>
      <x:c r="B26" s="102" t="str">
        <x:v>Mubaraz</x:v>
      </x:c>
      <x:c r="C26" s="110" t="str">
        <x:v>9074626</x:v>
      </x:c>
      <x:c r="D26" s="110"/>
      <x:c r="E26" s="102"/>
      <x:c r="F26" s="102"/>
      <x:c r="G26" s="102"/>
      <x:c r="H26" s="102"/>
      <x:c r="I26" s="102"/>
      <x:c r="J26" s="102" t="str">
        <x:v>IMO populated</x:v>
      </x:c>
      <x:c r="K26" s="102" t="str">
        <x:v>2026-09-07</x:v>
      </x:c>
      <x:c r="L26" s="102" t="str">
        <x:v>SRC_0066</x:v>
      </x:c>
      <x:c r="M26" s="102" t="str">
        <x:v>Primary IMO retained in canonical Vessels; additional national identifiers to be populated for ferry and domestic fleets.</x:v>
      </x:c>
      <x:c r="N26" s="102"/>
    </x:row>
    <x:row r="27">
      <x:c r="A27" s="102" t="str">
        <x:v>VESSEL_00026</x:v>
      </x:c>
      <x:c r="B27" s="102" t="str">
        <x:v>Shahamah</x:v>
      </x:c>
      <x:c r="C27" s="110" t="str">
        <x:v>9035852</x:v>
      </x:c>
      <x:c r="D27" s="110"/>
      <x:c r="E27" s="102"/>
      <x:c r="F27" s="102"/>
      <x:c r="G27" s="102"/>
      <x:c r="H27" s="102"/>
      <x:c r="I27" s="102"/>
      <x:c r="J27" s="102" t="str">
        <x:v>IMO populated</x:v>
      </x:c>
      <x:c r="K27" s="102" t="str">
        <x:v>2026-09-07</x:v>
      </x:c>
      <x:c r="L27" s="102" t="str">
        <x:v>SRC_0066</x:v>
      </x:c>
      <x:c r="M27" s="102" t="str">
        <x:v>Primary IMO retained in canonical Vessels; additional national identifiers to be populated for ferry and domestic fleets.</x:v>
      </x:c>
      <x:c r="N27" s="102"/>
    </x:row>
    <x:row r="28">
      <x:c r="A28" s="102" t="str">
        <x:v>VESSEL_00027</x:v>
      </x:c>
      <x:c r="B28" s="102" t="str">
        <x:v>Umm Al Ashtan</x:v>
      </x:c>
      <x:c r="C28" s="110" t="str">
        <x:v>9074652</x:v>
      </x:c>
      <x:c r="D28" s="110"/>
      <x:c r="E28" s="102"/>
      <x:c r="F28" s="102"/>
      <x:c r="G28" s="102"/>
      <x:c r="H28" s="102"/>
      <x:c r="I28" s="102"/>
      <x:c r="J28" s="102" t="str">
        <x:v>IMO populated</x:v>
      </x:c>
      <x:c r="K28" s="102" t="str">
        <x:v>2026-09-07</x:v>
      </x:c>
      <x:c r="L28" s="102" t="str">
        <x:v>SRC_0066</x:v>
      </x:c>
      <x:c r="M28" s="102" t="str">
        <x:v>Primary IMO retained in canonical Vessels; additional national identifiers to be populated for ferry and domestic fleets.</x:v>
      </x:c>
      <x:c r="N28" s="102"/>
    </x:row>
    <x:row r="29">
      <x:c r="A29" s="102" t="str">
        <x:v>VESSEL_00028</x:v>
      </x:c>
      <x:c r="B29" s="102" t="str">
        <x:v>Ruwais LNG H2711</x:v>
      </x:c>
      <x:c r="C29" s="110"/>
      <x:c r="D29" s="110"/>
      <x:c r="E29" s="102"/>
      <x:c r="F29" s="102"/>
      <x:c r="G29" s="102"/>
      <x:c r="H29" s="102"/>
      <x:c r="I29" s="102"/>
      <x:c r="J29" s="102" t="str">
        <x:v>IMO pending</x:v>
      </x:c>
      <x:c r="K29" s="102" t="str">
        <x:v>2026-09-07</x:v>
      </x:c>
      <x:c r="L29" s="102" t="str">
        <x:v>SRC_0066</x:v>
      </x:c>
      <x:c r="M29" s="102" t="str">
        <x:v>Primary IMO retained in canonical Vessels; additional national identifiers to be populated for ferry and domestic fleets.</x:v>
      </x:c>
      <x:c r="N29" s="102"/>
    </x:row>
    <x:row r="30">
      <x:c r="A30" s="102" t="str">
        <x:v>VESSEL_00029</x:v>
      </x:c>
      <x:c r="B30" s="102" t="str">
        <x:v>Ruwais LNG H2712</x:v>
      </x:c>
      <x:c r="C30" s="110"/>
      <x:c r="D30" s="110"/>
      <x:c r="E30" s="102"/>
      <x:c r="F30" s="102"/>
      <x:c r="G30" s="102"/>
      <x:c r="H30" s="102"/>
      <x:c r="I30" s="102"/>
      <x:c r="J30" s="102" t="str">
        <x:v>IMO pending</x:v>
      </x:c>
      <x:c r="K30" s="102" t="str">
        <x:v>2026-09-07</x:v>
      </x:c>
      <x:c r="L30" s="102" t="str">
        <x:v>SRC_0066</x:v>
      </x:c>
      <x:c r="M30" s="102" t="str">
        <x:v>Primary IMO retained in canonical Vessels; additional national identifiers to be populated for ferry and domestic fleets.</x:v>
      </x:c>
      <x:c r="N30" s="102"/>
    </x:row>
    <x:row r="31">
      <x:c r="A31" s="102" t="str">
        <x:v>VESSEL_00030</x:v>
      </x:c>
      <x:c r="B31" s="102" t="str">
        <x:v>Ruwais LNG H2713</x:v>
      </x:c>
      <x:c r="C31" s="110"/>
      <x:c r="D31" s="110"/>
      <x:c r="E31" s="102"/>
      <x:c r="F31" s="102"/>
      <x:c r="G31" s="102"/>
      <x:c r="H31" s="102"/>
      <x:c r="I31" s="102"/>
      <x:c r="J31" s="102" t="str">
        <x:v>IMO pending</x:v>
      </x:c>
      <x:c r="K31" s="102" t="str">
        <x:v>2026-09-07</x:v>
      </x:c>
      <x:c r="L31" s="102" t="str">
        <x:v>SRC_0066</x:v>
      </x:c>
      <x:c r="M31" s="102" t="str">
        <x:v>Primary IMO retained in canonical Vessels; additional national identifiers to be populated for ferry and domestic fleets.</x:v>
      </x:c>
      <x:c r="N31" s="102"/>
    </x:row>
    <x:row r="32">
      <x:c r="A32" s="102" t="str">
        <x:v>VESSEL_00031</x:v>
      </x:c>
      <x:c r="B32" s="102" t="str">
        <x:v>Ruwais LNG H2714</x:v>
      </x:c>
      <x:c r="C32" s="110"/>
      <x:c r="D32" s="110"/>
      <x:c r="E32" s="102"/>
      <x:c r="F32" s="102"/>
      <x:c r="G32" s="102"/>
      <x:c r="H32" s="102"/>
      <x:c r="I32" s="102"/>
      <x:c r="J32" s="102" t="str">
        <x:v>IMO pending</x:v>
      </x:c>
      <x:c r="K32" s="102" t="str">
        <x:v>2026-09-07</x:v>
      </x:c>
      <x:c r="L32" s="102" t="str">
        <x:v>SRC_0066</x:v>
      </x:c>
      <x:c r="M32" s="102" t="str">
        <x:v>Primary IMO retained in canonical Vessels; additional national identifiers to be populated for ferry and domestic fleets.</x:v>
      </x:c>
      <x:c r="N32" s="102"/>
    </x:row>
    <x:row r="33">
      <x:c r="A33" s="102" t="str">
        <x:v>VESSEL_00032</x:v>
      </x:c>
      <x:c r="B33" s="102" t="str">
        <x:v>Ruwais LNG H2598</x:v>
      </x:c>
      <x:c r="C33" s="110"/>
      <x:c r="D33" s="110"/>
      <x:c r="E33" s="102"/>
      <x:c r="F33" s="102"/>
      <x:c r="G33" s="102"/>
      <x:c r="H33" s="102"/>
      <x:c r="I33" s="102"/>
      <x:c r="J33" s="102" t="str">
        <x:v>IMO pending</x:v>
      </x:c>
      <x:c r="K33" s="102" t="str">
        <x:v>2026-09-07</x:v>
      </x:c>
      <x:c r="L33" s="102" t="str">
        <x:v>SRC_0066</x:v>
      </x:c>
      <x:c r="M33" s="102" t="str">
        <x:v>Primary IMO retained in canonical Vessels; additional national identifiers to be populated for ferry and domestic fleets.</x:v>
      </x:c>
      <x:c r="N33" s="102"/>
    </x:row>
    <x:row r="34">
      <x:c r="A34" s="102" t="str">
        <x:v>VESSEL_00033</x:v>
      </x:c>
      <x:c r="B34" s="102" t="str">
        <x:v>Ruwais LNG H2599</x:v>
      </x:c>
      <x:c r="C34" s="110"/>
      <x:c r="D34" s="110"/>
      <x:c r="E34" s="102"/>
      <x:c r="F34" s="102"/>
      <x:c r="G34" s="102"/>
      <x:c r="H34" s="102"/>
      <x:c r="I34" s="102"/>
      <x:c r="J34" s="102" t="str">
        <x:v>IMO pending</x:v>
      </x:c>
      <x:c r="K34" s="102" t="str">
        <x:v>2026-09-07</x:v>
      </x:c>
      <x:c r="L34" s="102" t="str">
        <x:v>SRC_0066</x:v>
      </x:c>
      <x:c r="M34" s="102" t="str">
        <x:v>Primary IMO retained in canonical Vessels; additional national identifiers to be populated for ferry and domestic fleets.</x:v>
      </x:c>
      <x:c r="N34" s="102"/>
    </x:row>
    <x:row r="35">
      <x:c r="A35" s="102" t="str">
        <x:v>VESSEL_00034</x:v>
      </x:c>
      <x:c r="B35" s="102" t="str">
        <x:v>Ruwais LNG H2600</x:v>
      </x:c>
      <x:c r="C35" s="110"/>
      <x:c r="D35" s="110"/>
      <x:c r="E35" s="102"/>
      <x:c r="F35" s="102"/>
      <x:c r="G35" s="102"/>
      <x:c r="H35" s="102"/>
      <x:c r="I35" s="102"/>
      <x:c r="J35" s="102" t="str">
        <x:v>IMO pending</x:v>
      </x:c>
      <x:c r="K35" s="102" t="str">
        <x:v>2026-09-07</x:v>
      </x:c>
      <x:c r="L35" s="102" t="str">
        <x:v>SRC_0066</x:v>
      </x:c>
      <x:c r="M35" s="102" t="str">
        <x:v>Primary IMO retained in canonical Vessels; additional national identifiers to be populated for ferry and domestic fleets.</x:v>
      </x:c>
      <x:c r="N35" s="102"/>
    </x:row>
    <x:row r="36">
      <x:c r="A36" s="102" t="str">
        <x:v>VESSEL_00035</x:v>
      </x:c>
      <x:c r="B36" s="102" t="str">
        <x:v>Ruwais LNG H2601</x:v>
      </x:c>
      <x:c r="C36" s="110"/>
      <x:c r="D36" s="110"/>
      <x:c r="E36" s="102"/>
      <x:c r="F36" s="102"/>
      <x:c r="G36" s="102"/>
      <x:c r="H36" s="102"/>
      <x:c r="I36" s="102"/>
      <x:c r="J36" s="102" t="str">
        <x:v>IMO pending</x:v>
      </x:c>
      <x:c r="K36" s="102" t="str">
        <x:v>2026-09-07</x:v>
      </x:c>
      <x:c r="L36" s="102" t="str">
        <x:v>SRC_0066</x:v>
      </x:c>
      <x:c r="M36" s="102" t="str">
        <x:v>Primary IMO retained in canonical Vessels; additional national identifiers to be populated for ferry and domestic fleets.</x:v>
      </x:c>
      <x:c r="N36" s="102"/>
    </x:row>
    <x:row r="37">
      <x:c r="A37" s="102" t="str">
        <x:v>VESSEL_00036</x:v>
      </x:c>
      <x:c r="B37" s="102" t="str">
        <x:v>Al Maryah</x:v>
      </x:c>
      <x:c r="C37" s="110" t="str">
        <x:v>9393682</x:v>
      </x:c>
      <x:c r="D37" s="110"/>
      <x:c r="E37" s="102"/>
      <x:c r="F37" s="102"/>
      <x:c r="G37" s="102"/>
      <x:c r="H37" s="102"/>
      <x:c r="I37" s="102"/>
      <x:c r="J37" s="102" t="str">
        <x:v>IMO populated</x:v>
      </x:c>
      <x:c r="K37" s="102" t="str">
        <x:v>2026-09-07</x:v>
      </x:c>
      <x:c r="L37" s="102" t="str">
        <x:v>SRC_0066</x:v>
      </x:c>
      <x:c r="M37" s="102" t="str">
        <x:v>Primary IMO retained in canonical Vessels; additional national identifiers to be populated for ferry and domestic fleets.</x:v>
      </x:c>
      <x:c r="N37" s="102"/>
    </x:row>
    <x:row r="38">
      <x:c r="A38" s="102" t="str">
        <x:v>VESSEL_00037</x:v>
      </x:c>
      <x:c r="B38" s="102" t="str">
        <x:v>AWS-Delma</x:v>
      </x:c>
      <x:c r="C38" s="110" t="str">
        <x:v>9719408</x:v>
      </x:c>
      <x:c r="D38" s="110"/>
      <x:c r="E38" s="102"/>
      <x:c r="F38" s="102"/>
      <x:c r="G38" s="102"/>
      <x:c r="H38" s="102"/>
      <x:c r="I38" s="102"/>
      <x:c r="J38" s="102" t="str">
        <x:v>IMO populated</x:v>
      </x:c>
      <x:c r="K38" s="102" t="str">
        <x:v>2026-09-07</x:v>
      </x:c>
      <x:c r="L38" s="102" t="str">
        <x:v>SRC_0066</x:v>
      </x:c>
      <x:c r="M38" s="102" t="str">
        <x:v>Primary IMO retained in canonical Vessels; additional national identifiers to be populated for ferry and domestic fleets.</x:v>
      </x:c>
      <x:c r="N38" s="102"/>
    </x:row>
    <x:row r="39">
      <x:c r="A39" s="102" t="str">
        <x:v>VESSEL_00038</x:v>
      </x:c>
      <x:c r="B39" s="102" t="str">
        <x:v>AWS-Al Ain</x:v>
      </x:c>
      <x:c r="C39" s="110" t="str">
        <x:v>9916812</x:v>
      </x:c>
      <x:c r="D39" s="110"/>
      <x:c r="E39" s="102"/>
      <x:c r="F39" s="102"/>
      <x:c r="G39" s="102"/>
      <x:c r="H39" s="102"/>
      <x:c r="I39" s="102"/>
      <x:c r="J39" s="102" t="str">
        <x:v>IMO populated</x:v>
      </x:c>
      <x:c r="K39" s="102" t="str">
        <x:v>2026-09-07</x:v>
      </x:c>
      <x:c r="L39" s="102" t="str">
        <x:v>SRC_0066</x:v>
      </x:c>
      <x:c r="M39" s="102" t="str">
        <x:v>Primary IMO retained in canonical Vessels; additional national identifiers to be populated for ferry and domestic fleets.</x:v>
      </x:c>
      <x:c r="N39" s="102"/>
    </x:row>
    <x:row r="40">
      <x:c r="A40" s="102" t="str">
        <x:v>VESSEL_00039</x:v>
      </x:c>
      <x:c r="B40" s="102" t="str">
        <x:v>AWS-Zakher</x:v>
      </x:c>
      <x:c r="C40" s="110" t="str">
        <x:v>9916824</x:v>
      </x:c>
      <x:c r="D40" s="110"/>
      <x:c r="E40" s="102"/>
      <x:c r="F40" s="102"/>
      <x:c r="G40" s="102"/>
      <x:c r="H40" s="102"/>
      <x:c r="I40" s="102"/>
      <x:c r="J40" s="102" t="str">
        <x:v>IMO populated</x:v>
      </x:c>
      <x:c r="K40" s="102" t="str">
        <x:v>2026-09-07</x:v>
      </x:c>
      <x:c r="L40" s="102" t="str">
        <x:v>SRC_0066</x:v>
      </x:c>
      <x:c r="M40" s="102" t="str">
        <x:v>Primary IMO retained in canonical Vessels; additional national identifiers to be populated for ferry and domestic fleets.</x:v>
      </x:c>
      <x:c r="N40" s="102"/>
    </x:row>
    <x:row r="41">
      <x:c r="A41" s="102" t="str">
        <x:v>VESSEL_00040</x:v>
      </x:c>
      <x:c r="B41" s="102" t="str">
        <x:v>AWS-Rabdan</x:v>
      </x:c>
      <x:c r="C41" s="110" t="str">
        <x:v>9916836</x:v>
      </x:c>
      <x:c r="D41" s="110"/>
      <x:c r="E41" s="102"/>
      <x:c r="F41" s="102"/>
      <x:c r="G41" s="102"/>
      <x:c r="H41" s="102"/>
      <x:c r="I41" s="102"/>
      <x:c r="J41" s="102" t="str">
        <x:v>IMO populated</x:v>
      </x:c>
      <x:c r="K41" s="102" t="str">
        <x:v>2026-09-07</x:v>
      </x:c>
      <x:c r="L41" s="102" t="str">
        <x:v>SRC_0066</x:v>
      </x:c>
      <x:c r="M41" s="102" t="str">
        <x:v>Primary IMO retained in canonical Vessels; additional national identifiers to be populated for ferry and domestic fleets.</x:v>
      </x:c>
      <x:c r="N41" s="102"/>
    </x:row>
    <x:row r="42">
      <x:c r="A42" s="102" t="str">
        <x:v>VESSEL_00041</x:v>
      </x:c>
      <x:c r="B42" s="102" t="str">
        <x:v>AWS-Al Salam</x:v>
      </x:c>
      <x:c r="C42" s="110" t="str">
        <x:v>9923085</x:v>
      </x:c>
      <x:c r="D42" s="110"/>
      <x:c r="E42" s="102"/>
      <x:c r="F42" s="102"/>
      <x:c r="G42" s="102"/>
      <x:c r="H42" s="102"/>
      <x:c r="I42" s="102"/>
      <x:c r="J42" s="102" t="str">
        <x:v>IMO populated</x:v>
      </x:c>
      <x:c r="K42" s="102" t="str">
        <x:v>2026-09-07</x:v>
      </x:c>
      <x:c r="L42" s="102" t="str">
        <x:v>SRC_0066</x:v>
      </x:c>
      <x:c r="M42" s="102" t="str">
        <x:v>Primary IMO retained in canonical Vessels; additional national identifiers to be populated for ferry and domestic fleets.</x:v>
      </x:c>
      <x:c r="N42" s="102"/>
    </x:row>
    <x:row r="43">
      <x:c r="A43" s="102" t="str">
        <x:v>VESSEL_00042</x:v>
      </x:c>
      <x:c r="B43" s="102" t="str">
        <x:v>AWS-Baynounah</x:v>
      </x:c>
      <x:c r="C43" s="110" t="str">
        <x:v>9923097</x:v>
      </x:c>
      <x:c r="D43" s="110"/>
      <x:c r="E43" s="102"/>
      <x:c r="F43" s="102"/>
      <x:c r="G43" s="102"/>
      <x:c r="H43" s="102"/>
      <x:c r="I43" s="102"/>
      <x:c r="J43" s="102" t="str">
        <x:v>IMO populated</x:v>
      </x:c>
      <x:c r="K43" s="102" t="str">
        <x:v>2026-09-07</x:v>
      </x:c>
      <x:c r="L43" s="102" t="str">
        <x:v>SRC_0066</x:v>
      </x:c>
      <x:c r="M43" s="102" t="str">
        <x:v>Primary IMO retained in canonical Vessels; additional national identifiers to be populated for ferry and domestic fleets.</x:v>
      </x:c>
      <x:c r="N43" s="102"/>
    </x:row>
    <x:row r="44">
      <x:c r="A44" s="102" t="str">
        <x:v>VESSEL_00043</x:v>
      </x:c>
      <x:c r="B44" s="102" t="str">
        <x:v>Meera</x:v>
      </x:c>
      <x:c r="C44" s="110" t="str">
        <x:v>1066908</x:v>
      </x:c>
      <x:c r="D44" s="110"/>
      <x:c r="E44" s="102"/>
      <x:c r="F44" s="102"/>
      <x:c r="G44" s="102"/>
      <x:c r="H44" s="102"/>
      <x:c r="I44" s="102"/>
      <x:c r="J44" s="102" t="str">
        <x:v>IMO populated</x:v>
      </x:c>
      <x:c r="K44" s="102" t="str">
        <x:v>2026-09-07</x:v>
      </x:c>
      <x:c r="L44" s="102" t="str">
        <x:v>SRC_0066</x:v>
      </x:c>
      <x:c r="M44" s="102" t="str">
        <x:v>Primary IMO retained in canonical Vessels; additional national identifiers to be populated for ferry and domestic fleets.</x:v>
      </x:c>
      <x:c r="N44" s="102"/>
    </x:row>
    <x:row r="45">
      <x:c r="A45" s="102" t="str">
        <x:v>VESSEL_00044</x:v>
      </x:c>
      <x:c r="B45" s="102" t="str">
        <x:v>Dana</x:v>
      </x:c>
      <x:c r="C45" s="110"/>
      <x:c r="D45" s="110"/>
      <x:c r="E45" s="102"/>
      <x:c r="F45" s="102"/>
      <x:c r="G45" s="102"/>
      <x:c r="H45" s="102"/>
      <x:c r="I45" s="102"/>
      <x:c r="J45" s="102" t="str">
        <x:v>IMO pending</x:v>
      </x:c>
      <x:c r="K45" s="102" t="str">
        <x:v>2026-09-07</x:v>
      </x:c>
      <x:c r="L45" s="102" t="str">
        <x:v>SRC_0066</x:v>
      </x:c>
      <x:c r="M45" s="102" t="str">
        <x:v>Primary IMO retained in canonical Vessels; additional national identifiers to be populated for ferry and domestic fleets.</x:v>
      </x:c>
      <x:c r="N45" s="102"/>
    </x:row>
    <x:row r="46">
      <x:c r="A46" s="102" t="str">
        <x:v>VESSEL_00045</x:v>
      </x:c>
      <x:c r="B46" s="102" t="str">
        <x:v>Al Ghadeer</x:v>
      </x:c>
      <x:c r="C46" s="110"/>
      <x:c r="D46" s="110"/>
      <x:c r="E46" s="102"/>
      <x:c r="F46" s="102"/>
      <x:c r="G46" s="102"/>
      <x:c r="H46" s="102"/>
      <x:c r="I46" s="102"/>
      <x:c r="J46" s="102" t="str">
        <x:v>IMO pending</x:v>
      </x:c>
      <x:c r="K46" s="102" t="str">
        <x:v>2026-09-07</x:v>
      </x:c>
      <x:c r="L46" s="102" t="str">
        <x:v>SRC_0066</x:v>
      </x:c>
      <x:c r="M46" s="102" t="str">
        <x:v>Primary IMO retained in canonical Vessels; additional national identifiers to be populated for ferry and domestic fleets.</x:v>
      </x:c>
      <x:c r="N46" s="102"/>
    </x:row>
    <x:row r="47">
      <x:c r="A47" s="102" t="str">
        <x:v>VESSEL_00046</x:v>
      </x:c>
      <x:c r="B47" s="102" t="str">
        <x:v>Rimah</x:v>
      </x:c>
      <x:c r="C47" s="110"/>
      <x:c r="D47" s="110"/>
      <x:c r="E47" s="102"/>
      <x:c r="F47" s="102"/>
      <x:c r="G47" s="102"/>
      <x:c r="H47" s="102"/>
      <x:c r="I47" s="102"/>
      <x:c r="J47" s="102" t="str">
        <x:v>IMO pending</x:v>
      </x:c>
      <x:c r="K47" s="102" t="str">
        <x:v>2026-09-07</x:v>
      </x:c>
      <x:c r="L47" s="102" t="str">
        <x:v>SRC_0066</x:v>
      </x:c>
      <x:c r="M47" s="102" t="str">
        <x:v>Primary IMO retained in canonical Vessels; additional national identifiers to be populated for ferry and domestic fleets.</x:v>
      </x:c>
      <x:c r="N47" s="102"/>
    </x:row>
    <x:row r="48">
      <x:c r="A48" s="102" t="str">
        <x:v>VESSEL_00047</x:v>
      </x:c>
      <x:c r="B48" s="102" t="str">
        <x:v>Umm Al Lulu I</x:v>
      </x:c>
      <x:c r="C48" s="110" t="str">
        <x:v>9494204</x:v>
      </x:c>
      <x:c r="D48" s="110"/>
      <x:c r="E48" s="102"/>
      <x:c r="F48" s="102"/>
      <x:c r="G48" s="102"/>
      <x:c r="H48" s="102"/>
      <x:c r="I48" s="102"/>
      <x:c r="J48" s="102" t="str">
        <x:v>IMO populated</x:v>
      </x:c>
      <x:c r="K48" s="102" t="str">
        <x:v>2026-09-07</x:v>
      </x:c>
      <x:c r="L48" s="102" t="str">
        <x:v>SRC_0066</x:v>
      </x:c>
      <x:c r="M48" s="102" t="str">
        <x:v>Primary IMO retained in canonical Vessels; additional national identifiers to be populated for ferry and domestic fleets.</x:v>
      </x:c>
      <x:c r="N48" s="102"/>
    </x:row>
    <x:row r="49">
      <x:c r="A49" s="102" t="str">
        <x:v>VESSEL_00048</x:v>
      </x:c>
      <x:c r="B49" s="102" t="str">
        <x:v>Al Samha</x:v>
      </x:c>
      <x:c r="C49" s="110" t="str">
        <x:v>9380324</x:v>
      </x:c>
      <x:c r="D49" s="110"/>
      <x:c r="E49" s="102"/>
      <x:c r="F49" s="102"/>
      <x:c r="G49" s="102"/>
      <x:c r="H49" s="102"/>
      <x:c r="I49" s="102"/>
      <x:c r="J49" s="102" t="str">
        <x:v>IMO populated</x:v>
      </x:c>
      <x:c r="K49" s="102" t="str">
        <x:v>2026-09-07</x:v>
      </x:c>
      <x:c r="L49" s="102" t="str">
        <x:v>SRC_0066</x:v>
      </x:c>
      <x:c r="M49" s="102" t="str">
        <x:v>Primary IMO retained in canonical Vessels; additional national identifiers to be populated for ferry and domestic fleets.</x:v>
      </x:c>
      <x:c r="N49" s="102"/>
    </x:row>
    <x:row r="50">
      <x:c r="A50" s="102" t="str">
        <x:v>VESSEL_00049</x:v>
      </x:c>
      <x:c r="B50" s="102" t="str">
        <x:v>Bani Yas</x:v>
      </x:c>
      <x:c r="C50" s="110" t="str">
        <x:v>9487249</x:v>
      </x:c>
      <x:c r="D50" s="110"/>
      <x:c r="E50" s="102"/>
      <x:c r="F50" s="102"/>
      <x:c r="G50" s="102"/>
      <x:c r="H50" s="102"/>
      <x:c r="I50" s="102"/>
      <x:c r="J50" s="102" t="str">
        <x:v>IMO populated</x:v>
      </x:c>
      <x:c r="K50" s="102" t="str">
        <x:v>2026-09-07</x:v>
      </x:c>
      <x:c r="L50" s="102" t="str">
        <x:v>SRC_0066</x:v>
      </x:c>
      <x:c r="M50" s="102" t="str">
        <x:v>Primary IMO retained in canonical Vessels; additional national identifiers to be populated for ferry and domestic fleets.</x:v>
      </x:c>
      <x:c r="N50" s="102"/>
    </x:row>
    <x:row r="51">
      <x:c r="A51" s="102" t="str">
        <x:v>VESSEL_00050</x:v>
      </x:c>
      <x:c r="B51" s="102" t="str">
        <x:v>Diyyinah I</x:v>
      </x:c>
      <x:c r="C51" s="110" t="str">
        <x:v>9487251</x:v>
      </x:c>
      <x:c r="D51" s="110"/>
      <x:c r="E51" s="102"/>
      <x:c r="F51" s="102"/>
      <x:c r="G51" s="102"/>
      <x:c r="H51" s="102"/>
      <x:c r="I51" s="102"/>
      <x:c r="J51" s="102" t="str">
        <x:v>IMO populated</x:v>
      </x:c>
      <x:c r="K51" s="102" t="str">
        <x:v>2026-09-07</x:v>
      </x:c>
      <x:c r="L51" s="102" t="str">
        <x:v>SRC_0066</x:v>
      </x:c>
      <x:c r="M51" s="102" t="str">
        <x:v>Primary IMO retained in canonical Vessels; additional national identifiers to be populated for ferry and domestic fleets.</x:v>
      </x:c>
      <x:c r="N51" s="102"/>
    </x:row>
    <x:row r="52">
      <x:c r="A52" s="102" t="str">
        <x:v>VESSEL_00051</x:v>
      </x:c>
      <x:c r="B52" s="102" t="str">
        <x:v>Mezaira'a</x:v>
      </x:c>
      <x:c r="C52" s="110" t="str">
        <x:v>9487275</x:v>
      </x:c>
      <x:c r="D52" s="110"/>
      <x:c r="E52" s="102"/>
      <x:c r="F52" s="102"/>
      <x:c r="G52" s="102"/>
      <x:c r="H52" s="102"/>
      <x:c r="I52" s="102"/>
      <x:c r="J52" s="102" t="str">
        <x:v>IMO populated</x:v>
      </x:c>
      <x:c r="K52" s="102" t="str">
        <x:v>2026-09-07</x:v>
      </x:c>
      <x:c r="L52" s="102" t="str">
        <x:v>SRC_0066</x:v>
      </x:c>
      <x:c r="M52" s="102" t="str">
        <x:v>Primary IMO retained in canonical Vessels; additional national identifiers to be populated for ferry and domestic fleets.</x:v>
      </x:c>
      <x:c r="N52" s="102"/>
    </x:row>
    <x:row r="53">
      <x:c r="A53" s="102" t="str">
        <x:v>VESSEL_00052</x:v>
      </x:c>
      <x:c r="B53" s="102" t="str">
        <x:v>Yamilah-III</x:v>
      </x:c>
      <x:c r="C53" s="110" t="str">
        <x:v>9487263</x:v>
      </x:c>
      <x:c r="D53" s="110"/>
      <x:c r="E53" s="102"/>
      <x:c r="F53" s="102"/>
      <x:c r="G53" s="102"/>
      <x:c r="H53" s="102"/>
      <x:c r="I53" s="102"/>
      <x:c r="J53" s="102" t="str">
        <x:v>IMO populated</x:v>
      </x:c>
      <x:c r="K53" s="102" t="str">
        <x:v>2026-09-07</x:v>
      </x:c>
      <x:c r="L53" s="102" t="str">
        <x:v>SRC_0066</x:v>
      </x:c>
      <x:c r="M53" s="102" t="str">
        <x:v>Primary IMO retained in canonical Vessels; additional national identifiers to be populated for ferry and domestic fleets.</x:v>
      </x:c>
      <x:c r="N53" s="102"/>
    </x:row>
    <x:row r="54">
      <x:c r="A54" s="102" t="str">
        <x:v>VESSEL_00053</x:v>
      </x:c>
      <x:c r="B54" s="102" t="str">
        <x:v>Navig8 Honor</x:v>
      </x:c>
      <x:c r="C54" s="110" t="str">
        <x:v>9556181</x:v>
      </x:c>
      <x:c r="D54" s="110"/>
      <x:c r="E54" s="102"/>
      <x:c r="F54" s="102"/>
      <x:c r="G54" s="102"/>
      <x:c r="H54" s="102"/>
      <x:c r="I54" s="102"/>
      <x:c r="J54" s="102" t="str">
        <x:v>IMO populated</x:v>
      </x:c>
      <x:c r="K54" s="102" t="str">
        <x:v>2026-09-07</x:v>
      </x:c>
      <x:c r="L54" s="102" t="str">
        <x:v>SRC_0066</x:v>
      </x:c>
      <x:c r="M54" s="102" t="str">
        <x:v>Primary IMO retained in canonical Vessels; additional national identifiers to be populated for ferry and domestic fleets.</x:v>
      </x:c>
      <x:c r="N54" s="102"/>
    </x:row>
    <x:row r="55">
      <x:c r="A55" s="102" t="str">
        <x:v>VESSEL_00054</x:v>
      </x:c>
      <x:c r="B55" s="102" t="str">
        <x:v>Navig8 Martinez</x:v>
      </x:c>
      <x:c r="C55" s="110" t="str">
        <x:v>9482847</x:v>
      </x:c>
      <x:c r="D55" s="110"/>
      <x:c r="E55" s="102"/>
      <x:c r="F55" s="102"/>
      <x:c r="G55" s="102"/>
      <x:c r="H55" s="102"/>
      <x:c r="I55" s="102"/>
      <x:c r="J55" s="102" t="str">
        <x:v>IMO populated</x:v>
      </x:c>
      <x:c r="K55" s="102" t="str">
        <x:v>2026-09-07</x:v>
      </x:c>
      <x:c r="L55" s="102" t="str">
        <x:v>SRC_0066</x:v>
      </x:c>
      <x:c r="M55" s="102" t="str">
        <x:v>Primary IMO retained in canonical Vessels; additional national identifiers to be populated for ferry and domestic fleets.</x:v>
      </x:c>
      <x:c r="N55" s="102"/>
    </x:row>
    <x:row r="56">
      <x:c r="A56" s="102" t="str">
        <x:v>VESSEL_00055</x:v>
      </x:c>
      <x:c r="B56" s="102" t="str">
        <x:v>Navig8 Messi</x:v>
      </x:c>
      <x:c r="C56" s="110" t="str">
        <x:v>9482859</x:v>
      </x:c>
      <x:c r="D56" s="110"/>
      <x:c r="E56" s="102"/>
      <x:c r="F56" s="102"/>
      <x:c r="G56" s="102"/>
      <x:c r="H56" s="102"/>
      <x:c r="I56" s="102"/>
      <x:c r="J56" s="102" t="str">
        <x:v>IMO populated</x:v>
      </x:c>
      <x:c r="K56" s="102" t="str">
        <x:v>2026-09-07</x:v>
      </x:c>
      <x:c r="L56" s="102" t="str">
        <x:v>SRC_0066</x:v>
      </x:c>
      <x:c r="M56" s="102" t="str">
        <x:v>Primary IMO retained in canonical Vessels; additional national identifiers to be populated for ferry and domestic fleets.</x:v>
      </x:c>
      <x:c r="N56" s="102"/>
    </x:row>
    <x:row r="57">
      <x:c r="A57" s="102" t="str">
        <x:v>VESSEL_00056</x:v>
      </x:c>
      <x:c r="B57" s="102" t="str">
        <x:v>Navig8 Montiel</x:v>
      </x:c>
      <x:c r="C57" s="110" t="str">
        <x:v>9482861</x:v>
      </x:c>
      <x:c r="D57" s="110"/>
      <x:c r="E57" s="102"/>
      <x:c r="F57" s="102"/>
      <x:c r="G57" s="102"/>
      <x:c r="H57" s="102"/>
      <x:c r="I57" s="102"/>
      <x:c r="J57" s="102" t="str">
        <x:v>IMO populated</x:v>
      </x:c>
      <x:c r="K57" s="102" t="str">
        <x:v>2026-09-07</x:v>
      </x:c>
      <x:c r="L57" s="102" t="str">
        <x:v>SRC_0066</x:v>
      </x:c>
      <x:c r="M57" s="102" t="str">
        <x:v>Primary IMO retained in canonical Vessels; additional national identifiers to be populated for ferry and domestic fleets.</x:v>
      </x:c>
      <x:c r="N57" s="102"/>
    </x:row>
    <x:row r="58">
      <x:c r="A58" s="102" t="str">
        <x:v>VESSEL_00057</x:v>
      </x:c>
      <x:c r="B58" s="102" t="str">
        <x:v>Abu Dhabi-III</x:v>
      </x:c>
      <x:c r="C58" s="110" t="str">
        <x:v>9489027</x:v>
      </x:c>
      <x:c r="D58" s="110"/>
      <x:c r="E58" s="102"/>
      <x:c r="F58" s="102"/>
      <x:c r="G58" s="102"/>
      <x:c r="H58" s="102"/>
      <x:c r="I58" s="102"/>
      <x:c r="J58" s="102" t="str">
        <x:v>IMO populated</x:v>
      </x:c>
      <x:c r="K58" s="102" t="str">
        <x:v>2026-09-07</x:v>
      </x:c>
      <x:c r="L58" s="102" t="str">
        <x:v>SRC_0066</x:v>
      </x:c>
      <x:c r="M58" s="102" t="str">
        <x:v>Primary IMO retained in canonical Vessels; additional national identifiers to be populated for ferry and domestic fleets.</x:v>
      </x:c>
      <x:c r="N58" s="102"/>
    </x:row>
    <x:row r="59">
      <x:c r="A59" s="102" t="str">
        <x:v>VESSEL_00058</x:v>
      </x:c>
      <x:c r="B59" s="102" t="str">
        <x:v>Liwa V</x:v>
      </x:c>
      <x:c r="C59" s="110" t="str">
        <x:v>9489039</x:v>
      </x:c>
      <x:c r="D59" s="110"/>
      <x:c r="E59" s="102"/>
      <x:c r="F59" s="102"/>
      <x:c r="G59" s="102"/>
      <x:c r="H59" s="102"/>
      <x:c r="I59" s="102"/>
      <x:c r="J59" s="102" t="str">
        <x:v>IMO populated</x:v>
      </x:c>
      <x:c r="K59" s="102" t="str">
        <x:v>2026-09-07</x:v>
      </x:c>
      <x:c r="L59" s="102" t="str">
        <x:v>SRC_0066</x:v>
      </x:c>
      <x:c r="M59" s="102" t="str">
        <x:v>Primary IMO retained in canonical Vessels; additional national identifiers to be populated for ferry and domestic fleets.</x:v>
      </x:c>
      <x:c r="N59" s="102"/>
    </x:row>
    <x:row r="60">
      <x:c r="A60" s="102" t="str">
        <x:v>VESSEL_00059</x:v>
      </x:c>
      <x:c r="B60" s="102" t="str">
        <x:v>Al Bateen</x:v>
      </x:c>
      <x:c r="C60" s="110" t="str">
        <x:v>9828376</x:v>
      </x:c>
      <x:c r="D60" s="110"/>
      <x:c r="E60" s="102"/>
      <x:c r="F60" s="102"/>
      <x:c r="G60" s="102"/>
      <x:c r="H60" s="102"/>
      <x:c r="I60" s="102"/>
      <x:c r="J60" s="102" t="str">
        <x:v>IMO populated</x:v>
      </x:c>
      <x:c r="K60" s="102" t="str">
        <x:v>2026-09-07</x:v>
      </x:c>
      <x:c r="L60" s="102" t="str">
        <x:v>SRC_0066</x:v>
      </x:c>
      <x:c r="M60" s="102" t="str">
        <x:v>Primary IMO retained in canonical Vessels; additional national identifiers to be populated for ferry and domestic fleets.</x:v>
      </x:c>
      <x:c r="N60" s="102"/>
    </x:row>
    <x:row r="61">
      <x:c r="A61" s="102" t="str">
        <x:v>VESSEL_00060</x:v>
      </x:c>
      <x:c r="B61" s="102" t="str">
        <x:v>Al Falah</x:v>
      </x:c>
      <x:c r="C61" s="110" t="str">
        <x:v>9828388</x:v>
      </x:c>
      <x:c r="D61" s="110"/>
      <x:c r="E61" s="102"/>
      <x:c r="F61" s="102"/>
      <x:c r="G61" s="102"/>
      <x:c r="H61" s="102"/>
      <x:c r="I61" s="102"/>
      <x:c r="J61" s="102" t="str">
        <x:v>IMO populated</x:v>
      </x:c>
      <x:c r="K61" s="102" t="str">
        <x:v>2026-09-07</x:v>
      </x:c>
      <x:c r="L61" s="102" t="str">
        <x:v>SRC_0066</x:v>
      </x:c>
      <x:c r="M61" s="102" t="str">
        <x:v>Primary IMO retained in canonical Vessels; additional national identifiers to be populated for ferry and domestic fleets.</x:v>
      </x:c>
      <x:c r="N61" s="102"/>
    </x:row>
    <x:row r="62">
      <x:c r="A62" s="102" t="str">
        <x:v>VESSEL_00061</x:v>
      </x:c>
      <x:c r="B62" s="102" t="str">
        <x:v>Al Ruwais</x:v>
      </x:c>
      <x:c r="C62" s="110" t="str">
        <x:v>9828405</x:v>
      </x:c>
      <x:c r="D62" s="110"/>
      <x:c r="E62" s="102"/>
      <x:c r="F62" s="102"/>
      <x:c r="G62" s="102"/>
      <x:c r="H62" s="102"/>
      <x:c r="I62" s="102"/>
      <x:c r="J62" s="102" t="str">
        <x:v>IMO populated</x:v>
      </x:c>
      <x:c r="K62" s="102" t="str">
        <x:v>2026-09-07</x:v>
      </x:c>
      <x:c r="L62" s="102" t="str">
        <x:v>SRC_0066</x:v>
      </x:c>
      <x:c r="M62" s="102" t="str">
        <x:v>Primary IMO retained in canonical Vessels; additional national identifiers to be populated for ferry and domestic fleets.</x:v>
      </x:c>
      <x:c r="N62" s="102"/>
    </x:row>
    <x:row r="63">
      <x:c r="A63" s="102" t="str">
        <x:v>VESSEL_00062</x:v>
      </x:c>
      <x:c r="B63" s="102" t="str">
        <x:v>Al Khtam</x:v>
      </x:c>
      <x:c r="C63" s="110" t="str">
        <x:v>9823534</x:v>
      </x:c>
      <x:c r="D63" s="110"/>
      <x:c r="E63" s="102"/>
      <x:c r="F63" s="102"/>
      <x:c r="G63" s="102"/>
      <x:c r="H63" s="102"/>
      <x:c r="I63" s="102"/>
      <x:c r="J63" s="102" t="str">
        <x:v>IMO populated</x:v>
      </x:c>
      <x:c r="K63" s="102" t="str">
        <x:v>2026-09-07</x:v>
      </x:c>
      <x:c r="L63" s="102" t="str">
        <x:v>SRC_0066</x:v>
      </x:c>
      <x:c r="M63" s="102" t="str">
        <x:v>Primary IMO retained in canonical Vessels; additional national identifiers to be populated for ferry and domestic fleets.</x:v>
      </x:c>
      <x:c r="N63" s="102"/>
    </x:row>
    <x:row r="64">
      <x:c r="A64" s="102" t="str">
        <x:v>VESSEL_00063</x:v>
      </x:c>
      <x:c r="B64" s="102" t="str">
        <x:v>Yong Jiang (Gas Yongjiang)</x:v>
      </x:c>
      <x:c r="C64" s="110" t="str">
        <x:v>1013834</x:v>
      </x:c>
      <x:c r="D64" s="110"/>
      <x:c r="E64" s="102"/>
      <x:c r="F64" s="102"/>
      <x:c r="G64" s="102"/>
      <x:c r="H64" s="102"/>
      <x:c r="I64" s="102"/>
      <x:c r="J64" s="102" t="str">
        <x:v>IMO populated</x:v>
      </x:c>
      <x:c r="K64" s="102" t="str">
        <x:v>2026-09-07</x:v>
      </x:c>
      <x:c r="L64" s="102" t="str">
        <x:v>SRC_0066</x:v>
      </x:c>
      <x:c r="M64" s="102" t="str">
        <x:v>Primary IMO retained in canonical Vessels; additional national identifiers to be populated for ferry and domestic fleets.</x:v>
      </x:c>
      <x:c r="N64" s="102"/>
    </x:row>
    <x:row r="65">
      <x:c r="A65" s="102" t="str">
        <x:v>VESSEL_00064</x:v>
      </x:c>
      <x:c r="B65" s="102" t="str">
        <x:v>Min Jiang</x:v>
      </x:c>
      <x:c r="C65" s="110" t="str">
        <x:v>1013846</x:v>
      </x:c>
      <x:c r="D65" s="110"/>
      <x:c r="E65" s="102"/>
      <x:c r="F65" s="102"/>
      <x:c r="G65" s="102"/>
      <x:c r="H65" s="102"/>
      <x:c r="I65" s="102"/>
      <x:c r="J65" s="102" t="str">
        <x:v>IMO populated</x:v>
      </x:c>
      <x:c r="K65" s="102" t="str">
        <x:v>2026-09-07</x:v>
      </x:c>
      <x:c r="L65" s="102" t="str">
        <x:v>SRC_0066</x:v>
      </x:c>
      <x:c r="M65" s="102" t="str">
        <x:v>Primary IMO retained in canonical Vessels; additional national identifiers to be populated for ferry and domestic fleets.</x:v>
      </x:c>
      <x:c r="N65" s="102"/>
    </x:row>
    <x:row r="66">
      <x:c r="A66" s="102" t="str">
        <x:v>VESSEL_00065</x:v>
      </x:c>
      <x:c r="B66" s="102" t="str">
        <x:v>Al Bayraq</x:v>
      </x:c>
      <x:c r="C66" s="110"/>
      <x:c r="D66" s="110"/>
      <x:c r="E66" s="102"/>
      <x:c r="F66" s="102"/>
      <x:c r="G66" s="102"/>
      <x:c r="H66" s="102"/>
      <x:c r="I66" s="102"/>
      <x:c r="J66" s="102" t="str">
        <x:v>IMO pending</x:v>
      </x:c>
      <x:c r="K66" s="102" t="str">
        <x:v>2026-09-07</x:v>
      </x:c>
      <x:c r="L66" s="102" t="str">
        <x:v>SRC_0066</x:v>
      </x:c>
      <x:c r="M66" s="102" t="str">
        <x:v>Primary IMO retained in canonical Vessels; additional national identifiers to be populated for ferry and domestic fleets.</x:v>
      </x:c>
      <x:c r="N66" s="102"/>
    </x:row>
    <x:row r="67">
      <x:c r="A67" s="102" t="str">
        <x:v>VESSEL_00066</x:v>
      </x:c>
      <x:c r="B67" s="102" t="str">
        <x:v>Alhosn</x:v>
      </x:c>
      <x:c r="C67" s="110"/>
      <x:c r="D67" s="110"/>
      <x:c r="E67" s="102"/>
      <x:c r="F67" s="102"/>
      <x:c r="G67" s="102"/>
      <x:c r="H67" s="102"/>
      <x:c r="I67" s="102"/>
      <x:c r="J67" s="102" t="str">
        <x:v>IMO pending</x:v>
      </x:c>
      <x:c r="K67" s="102" t="str">
        <x:v>2026-09-07</x:v>
      </x:c>
      <x:c r="L67" s="102" t="str">
        <x:v>SRC_0066</x:v>
      </x:c>
      <x:c r="M67" s="102" t="str">
        <x:v>Primary IMO retained in canonical Vessels; additional national identifiers to be populated for ferry and domestic fleets.</x:v>
      </x:c>
      <x:c r="N67" s="102"/>
    </x:row>
    <x:row r="68">
      <x:c r="A68" s="102" t="str">
        <x:v>VESSEL_00067</x:v>
      </x:c>
      <x:c r="B68" s="102" t="str">
        <x:v>Al Aryam</x:v>
      </x:c>
      <x:c r="C68" s="110"/>
      <x:c r="D68" s="110"/>
      <x:c r="E68" s="102"/>
      <x:c r="F68" s="102"/>
      <x:c r="G68" s="102"/>
      <x:c r="H68" s="102"/>
      <x:c r="I68" s="102"/>
      <x:c r="J68" s="102" t="str">
        <x:v>IMO pending</x:v>
      </x:c>
      <x:c r="K68" s="102" t="str">
        <x:v>2026-09-07</x:v>
      </x:c>
      <x:c r="L68" s="102" t="str">
        <x:v>SRC_0066</x:v>
      </x:c>
      <x:c r="M68" s="102" t="str">
        <x:v>Primary IMO retained in canonical Vessels; additional national identifiers to be populated for ferry and domestic fleets.</x:v>
      </x:c>
      <x:c r="N68" s="102"/>
    </x:row>
    <x:row r="69">
      <x:c r="A69" s="102" t="str">
        <x:v>VESSEL_00068</x:v>
      </x:c>
      <x:c r="B69" s="102" t="str">
        <x:v>Al Saad</x:v>
      </x:c>
      <x:c r="C69" s="110"/>
      <x:c r="D69" s="110"/>
      <x:c r="E69" s="102"/>
      <x:c r="F69" s="102"/>
      <x:c r="G69" s="102"/>
      <x:c r="H69" s="102"/>
      <x:c r="I69" s="102"/>
      <x:c r="J69" s="102" t="str">
        <x:v>IMO pending</x:v>
      </x:c>
      <x:c r="K69" s="102" t="str">
        <x:v>2026-09-07</x:v>
      </x:c>
      <x:c r="L69" s="102" t="str">
        <x:v>SRC_0066</x:v>
      </x:c>
      <x:c r="M69" s="102" t="str">
        <x:v>Primary IMO retained in canonical Vessels; additional national identifiers to be populated for ferry and domestic fleets.</x:v>
      </x:c>
      <x:c r="N69" s="102"/>
    </x:row>
    <x:row r="70">
      <x:c r="A70" s="102" t="str">
        <x:v>VESSEL_00069</x:v>
      </x:c>
      <x:c r="B70" s="102" t="str">
        <x:v>Al Muzn</x:v>
      </x:c>
      <x:c r="C70" s="110"/>
      <x:c r="D70" s="110"/>
      <x:c r="E70" s="102"/>
      <x:c r="F70" s="102"/>
      <x:c r="G70" s="102"/>
      <x:c r="H70" s="102"/>
      <x:c r="I70" s="102"/>
      <x:c r="J70" s="102" t="str">
        <x:v>IMO pending</x:v>
      </x:c>
      <x:c r="K70" s="102" t="str">
        <x:v>2026-09-07</x:v>
      </x:c>
      <x:c r="L70" s="102" t="str">
        <x:v>SRC_0066</x:v>
      </x:c>
      <x:c r="M70" s="102" t="str">
        <x:v>Primary IMO retained in canonical Vessels; additional national identifiers to be populated for ferry and domestic fleets.</x:v>
      </x:c>
      <x:c r="N70" s="102"/>
    </x:row>
    <x:row r="71">
      <x:c r="A71" s="102" t="str">
        <x:v>VESSEL_00070</x:v>
      </x:c>
      <x:c r="B71" s="102" t="str">
        <x:v>Al Taair</x:v>
      </x:c>
      <x:c r="C71" s="110"/>
      <x:c r="D71" s="110"/>
      <x:c r="E71" s="102"/>
      <x:c r="F71" s="102"/>
      <x:c r="G71" s="102"/>
      <x:c r="H71" s="102"/>
      <x:c r="I71" s="102"/>
      <x:c r="J71" s="102" t="str">
        <x:v>IMO pending</x:v>
      </x:c>
      <x:c r="K71" s="102" t="str">
        <x:v>2026-09-07</x:v>
      </x:c>
      <x:c r="L71" s="102" t="str">
        <x:v>SRC_0066</x:v>
      </x:c>
      <x:c r="M71" s="102" t="str">
        <x:v>Primary IMO retained in canonical Vessels; additional national identifiers to be populated for ferry and domestic fleets.</x:v>
      </x:c>
      <x:c r="N71" s="102"/>
    </x:row>
    <x:row r="72">
      <x:c r="A72" s="102" t="str">
        <x:v>VESSEL_00071</x:v>
      </x:c>
      <x:c r="B72" s="102" t="str">
        <x:v>Al Sila</x:v>
      </x:c>
      <x:c r="C72" s="110"/>
      <x:c r="D72" s="110"/>
      <x:c r="E72" s="102"/>
      <x:c r="F72" s="102"/>
      <x:c r="G72" s="102"/>
      <x:c r="H72" s="102"/>
      <x:c r="I72" s="102"/>
      <x:c r="J72" s="102" t="str">
        <x:v>IMO pending</x:v>
      </x:c>
      <x:c r="K72" s="102" t="str">
        <x:v>2026-09-07</x:v>
      </x:c>
      <x:c r="L72" s="102" t="str">
        <x:v>SRC_0066</x:v>
      </x:c>
      <x:c r="M72" s="102" t="str">
        <x:v>Primary IMO retained in canonical Vessels; additional national identifiers to be populated for ferry and domestic fleets.</x:v>
      </x:c>
      <x:c r="N72" s="102"/>
    </x:row>
    <x:row r="73">
      <x:c r="A73" s="102" t="str">
        <x:v>VESSEL_00072</x:v>
      </x:c>
      <x:c r="B73" s="102" t="str">
        <x:v>Janana</x:v>
      </x:c>
      <x:c r="C73" s="110" t="str">
        <x:v>9034236</x:v>
      </x:c>
      <x:c r="D73" s="110"/>
      <x:c r="E73" s="102"/>
      <x:c r="F73" s="102"/>
      <x:c r="G73" s="102"/>
      <x:c r="H73" s="102"/>
      <x:c r="I73" s="102"/>
      <x:c r="J73" s="102" t="str">
        <x:v>IMO populated</x:v>
      </x:c>
      <x:c r="K73" s="102" t="str">
        <x:v>2026-09-07</x:v>
      </x:c>
      <x:c r="L73" s="102" t="str">
        <x:v>SRC_0066</x:v>
      </x:c>
      <x:c r="M73" s="102" t="str">
        <x:v>Primary IMO retained in canonical Vessels; additional national identifiers to be populated for ferry and domestic fleets.</x:v>
      </x:c>
      <x:c r="N73" s="102"/>
    </x:row>
    <x:row r="74">
      <x:c r="A74" s="102" t="str">
        <x:v>VESSEL_00073</x:v>
      </x:c>
      <x:c r="B74" s="102" t="str">
        <x:v>ADNOC L&amp;S molten sulphur newbuild</x:v>
      </x:c>
      <x:c r="C74" s="110"/>
      <x:c r="D74" s="110"/>
      <x:c r="E74" s="102"/>
      <x:c r="F74" s="102"/>
      <x:c r="G74" s="102"/>
      <x:c r="H74" s="102"/>
      <x:c r="I74" s="102"/>
      <x:c r="J74" s="102" t="str">
        <x:v>IMO pending</x:v>
      </x:c>
      <x:c r="K74" s="102" t="str">
        <x:v>2026-09-07</x:v>
      </x:c>
      <x:c r="L74" s="102" t="str">
        <x:v>SRC_0066</x:v>
      </x:c>
      <x:c r="M74" s="102" t="str">
        <x:v>Primary IMO retained in canonical Vessels; additional national identifiers to be populated for ferry and domestic fleets.</x:v>
      </x:c>
      <x:c r="N74" s="102"/>
    </x:row>
    <x:row r="75">
      <x:c r="A75" s="102" t="str">
        <x:v>VESSEL_00074</x:v>
      </x:c>
      <x:c r="B75" s="102" t="str">
        <x:v>Jarnain</x:v>
      </x:c>
      <x:c r="C75" s="110" t="str">
        <x:v>9823546</x:v>
      </x:c>
      <x:c r="D75" s="110"/>
      <x:c r="E75" s="102"/>
      <x:c r="F75" s="102"/>
      <x:c r="G75" s="102"/>
      <x:c r="H75" s="102"/>
      <x:c r="I75" s="102"/>
      <x:c r="J75" s="102" t="str">
        <x:v>IMO populated</x:v>
      </x:c>
      <x:c r="K75" s="102" t="str">
        <x:v>2026-09-07</x:v>
      </x:c>
      <x:c r="L75" s="102" t="str">
        <x:v>SRC_0066</x:v>
      </x:c>
      <x:c r="M75" s="102" t="str">
        <x:v>Primary IMO retained in canonical Vessels; additional national identifiers to be populated for ferry and domestic fleets.</x:v>
      </x:c>
      <x:c r="N75" s="102"/>
    </x:row>
    <x:row r="76">
      <x:c r="A76" s="102" t="str">
        <x:v>VESSEL_00075</x:v>
      </x:c>
      <x:c r="B76" s="102" t="str">
        <x:v>Tarif</x:v>
      </x:c>
      <x:c r="C76" s="110" t="str">
        <x:v>9828390</x:v>
      </x:c>
      <x:c r="D76" s="110"/>
      <x:c r="E76" s="102"/>
      <x:c r="F76" s="102"/>
      <x:c r="G76" s="102"/>
      <x:c r="H76" s="102"/>
      <x:c r="I76" s="102"/>
      <x:c r="J76" s="102" t="str">
        <x:v>IMO populated</x:v>
      </x:c>
      <x:c r="K76" s="102" t="str">
        <x:v>2026-09-07</x:v>
      </x:c>
      <x:c r="L76" s="102" t="str">
        <x:v>SRC_0066</x:v>
      </x:c>
      <x:c r="M76" s="102" t="str">
        <x:v>Primary IMO retained in canonical Vessels; additional national identifiers to be populated for ferry and domestic fleets.</x:v>
      </x:c>
      <x:c r="N76" s="102"/>
    </x:row>
    <x:row r="77">
      <x:c r="A77" s="102" t="str">
        <x:v>VESSEL_00076</x:v>
      </x:c>
      <x:c r="B77" s="102" t="str">
        <x:v>Navig8 Precision</x:v>
      </x:c>
      <x:c r="C77" s="110" t="str">
        <x:v>9831294</x:v>
      </x:c>
      <x:c r="D77" s="110"/>
      <x:c r="E77" s="102"/>
      <x:c r="F77" s="102"/>
      <x:c r="G77" s="102"/>
      <x:c r="H77" s="102"/>
      <x:c r="I77" s="102"/>
      <x:c r="J77" s="102" t="str">
        <x:v>IMO populated</x:v>
      </x:c>
      <x:c r="K77" s="102" t="str">
        <x:v>2026-09-07</x:v>
      </x:c>
      <x:c r="L77" s="102" t="str">
        <x:v>SRC_0066</x:v>
      </x:c>
      <x:c r="M77" s="102" t="str">
        <x:v>Primary IMO retained in canonical Vessels; additional national identifiers to be populated for ferry and domestic fleets.</x:v>
      </x:c>
      <x:c r="N77" s="102"/>
    </x:row>
    <x:row r="78">
      <x:c r="A78" s="102" t="str">
        <x:v>VESSEL_00077</x:v>
      </x:c>
      <x:c r="B78" s="102" t="str">
        <x:v>Navig8 Prestige</x:v>
      </x:c>
      <x:c r="C78" s="110" t="str">
        <x:v>9831309</x:v>
      </x:c>
      <x:c r="D78" s="110"/>
      <x:c r="E78" s="102"/>
      <x:c r="F78" s="102"/>
      <x:c r="G78" s="102"/>
      <x:c r="H78" s="102"/>
      <x:c r="I78" s="102"/>
      <x:c r="J78" s="102" t="str">
        <x:v>IMO populated</x:v>
      </x:c>
      <x:c r="K78" s="102" t="str">
        <x:v>2026-09-07</x:v>
      </x:c>
      <x:c r="L78" s="102" t="str">
        <x:v>SRC_0066</x:v>
      </x:c>
      <x:c r="M78" s="102" t="str">
        <x:v>Primary IMO retained in canonical Vessels; additional national identifiers to be populated for ferry and domestic fleets.</x:v>
      </x:c>
      <x:c r="N78" s="102"/>
    </x:row>
    <x:row r="79">
      <x:c r="A79" s="102" t="str">
        <x:v>VESSEL_00078</x:v>
      </x:c>
      <x:c r="B79" s="102" t="str">
        <x:v>Navig8 Perseverance</x:v>
      </x:c>
      <x:c r="C79" s="110" t="str">
        <x:v>9853266</x:v>
      </x:c>
      <x:c r="D79" s="110"/>
      <x:c r="E79" s="102"/>
      <x:c r="F79" s="102"/>
      <x:c r="G79" s="102"/>
      <x:c r="H79" s="102"/>
      <x:c r="I79" s="102"/>
      <x:c r="J79" s="102" t="str">
        <x:v>IMO populated</x:v>
      </x:c>
      <x:c r="K79" s="102" t="str">
        <x:v>2026-09-07</x:v>
      </x:c>
      <x:c r="L79" s="102" t="str">
        <x:v>SRC_0066</x:v>
      </x:c>
      <x:c r="M79" s="102" t="str">
        <x:v>Primary IMO retained in canonical Vessels; additional national identifiers to be populated for ferry and domestic fleets.</x:v>
      </x:c>
      <x:c r="N79" s="102"/>
    </x:row>
    <x:row r="80">
      <x:c r="A80" s="102" t="str">
        <x:v>VESSEL_00079</x:v>
      </x:c>
      <x:c r="B80" s="102" t="str">
        <x:v>Navig8 Passion</x:v>
      </x:c>
      <x:c r="C80" s="110" t="str">
        <x:v>9853278</x:v>
      </x:c>
      <x:c r="D80" s="110"/>
      <x:c r="E80" s="102"/>
      <x:c r="F80" s="102"/>
      <x:c r="G80" s="102"/>
      <x:c r="H80" s="102"/>
      <x:c r="I80" s="102"/>
      <x:c r="J80" s="102" t="str">
        <x:v>IMO populated</x:v>
      </x:c>
      <x:c r="K80" s="102" t="str">
        <x:v>2026-09-07</x:v>
      </x:c>
      <x:c r="L80" s="102" t="str">
        <x:v>SRC_0066</x:v>
      </x:c>
      <x:c r="M80" s="102" t="str">
        <x:v>Primary IMO retained in canonical Vessels; additional national identifiers to be populated for ferry and domestic fleets.</x:v>
      </x:c>
      <x:c r="N80" s="102"/>
    </x:row>
    <x:row r="81">
      <x:c r="A81" s="102" t="str">
        <x:v>VESSEL_00080</x:v>
      </x:c>
      <x:c r="B81" s="102" t="str">
        <x:v>Navig8 Promise</x:v>
      </x:c>
      <x:c r="C81" s="110" t="str">
        <x:v>9791298</x:v>
      </x:c>
      <x:c r="D81" s="110"/>
      <x:c r="E81" s="102"/>
      <x:c r="F81" s="102"/>
      <x:c r="G81" s="102"/>
      <x:c r="H81" s="102"/>
      <x:c r="I81" s="102"/>
      <x:c r="J81" s="102" t="str">
        <x:v>IMO populated</x:v>
      </x:c>
      <x:c r="K81" s="102" t="str">
        <x:v>2026-09-07</x:v>
      </x:c>
      <x:c r="L81" s="102" t="str">
        <x:v>SRC_0066</x:v>
      </x:c>
      <x:c r="M81" s="102" t="str">
        <x:v>Primary IMO retained in canonical Vessels; additional national identifiers to be populated for ferry and domestic fleets.</x:v>
      </x:c>
      <x:c r="N81" s="102"/>
    </x:row>
    <x:row r="82">
      <x:c r="A82" s="102" t="str">
        <x:v>VESSEL_00081</x:v>
      </x:c>
      <x:c r="B82" s="102" t="str">
        <x:v>Navig8 Prosperity</x:v>
      </x:c>
      <x:c r="C82" s="110" t="str">
        <x:v>9855496</x:v>
      </x:c>
      <x:c r="D82" s="110"/>
      <x:c r="E82" s="102"/>
      <x:c r="F82" s="102"/>
      <x:c r="G82" s="102"/>
      <x:c r="H82" s="102"/>
      <x:c r="I82" s="102"/>
      <x:c r="J82" s="102" t="str">
        <x:v>IMO populated</x:v>
      </x:c>
      <x:c r="K82" s="102" t="str">
        <x:v>2026-09-07</x:v>
      </x:c>
      <x:c r="L82" s="102" t="str">
        <x:v>SRC_0066</x:v>
      </x:c>
      <x:c r="M82" s="102" t="str">
        <x:v>Primary IMO retained in canonical Vessels; additional national identifiers to be populated for ferry and domestic fleets.</x:v>
      </x:c>
      <x:c r="N82" s="102"/>
    </x:row>
    <x:row r="83">
      <x:c r="A83" s="102" t="str">
        <x:v>VESSEL_00082</x:v>
      </x:c>
      <x:c r="B83" s="102" t="str">
        <x:v>Navig8 Pride LHJ</x:v>
      </x:c>
      <x:c r="C83" s="110" t="str">
        <x:v>9947366</x:v>
      </x:c>
      <x:c r="D83" s="110"/>
      <x:c r="E83" s="102"/>
      <x:c r="F83" s="102"/>
      <x:c r="G83" s="102"/>
      <x:c r="H83" s="102"/>
      <x:c r="I83" s="102"/>
      <x:c r="J83" s="102" t="str">
        <x:v>IMO populated</x:v>
      </x:c>
      <x:c r="K83" s="102" t="str">
        <x:v>2026-09-07</x:v>
      </x:c>
      <x:c r="L83" s="102" t="str">
        <x:v>SRC_0066</x:v>
      </x:c>
      <x:c r="M83" s="102" t="str">
        <x:v>Primary IMO retained in canonical Vessels; additional national identifiers to be populated for ferry and domestic fleets.</x:v>
      </x:c>
      <x:c r="N83" s="102"/>
    </x:row>
    <x:row r="84">
      <x:c r="A84" s="102" t="str">
        <x:v>VESSEL_00083</x:v>
      </x:c>
      <x:c r="B84" s="102" t="str">
        <x:v>Navig8 Wolf</x:v>
      </x:c>
      <x:c r="C84" s="110" t="str">
        <x:v>9935301</x:v>
      </x:c>
      <x:c r="D84" s="110"/>
      <x:c r="E84" s="102"/>
      <x:c r="F84" s="102"/>
      <x:c r="G84" s="102"/>
      <x:c r="H84" s="102"/>
      <x:c r="I84" s="102"/>
      <x:c r="J84" s="102" t="str">
        <x:v>IMO populated</x:v>
      </x:c>
      <x:c r="K84" s="102" t="str">
        <x:v>2026-09-07</x:v>
      </x:c>
      <x:c r="L84" s="102" t="str">
        <x:v>SRC_0066</x:v>
      </x:c>
      <x:c r="M84" s="102" t="str">
        <x:v>Primary IMO retained in canonical Vessels; additional national identifiers to be populated for ferry and domestic fleets.</x:v>
      </x:c>
      <x:c r="N84" s="102"/>
    </x:row>
    <x:row r="85">
      <x:c r="A85" s="102" t="str">
        <x:v>VESSEL_00084</x:v>
      </x:c>
      <x:c r="B85" s="102" t="str">
        <x:v>Navig8 Providence</x:v>
      </x:c>
      <x:c r="C85" s="110" t="str">
        <x:v>9947378</x:v>
      </x:c>
      <x:c r="D85" s="110"/>
      <x:c r="E85" s="102"/>
      <x:c r="F85" s="102"/>
      <x:c r="G85" s="102"/>
      <x:c r="H85" s="102"/>
      <x:c r="I85" s="102"/>
      <x:c r="J85" s="102" t="str">
        <x:v>IMO populated</x:v>
      </x:c>
      <x:c r="K85" s="102" t="str">
        <x:v>2026-09-07</x:v>
      </x:c>
      <x:c r="L85" s="102" t="str">
        <x:v>SRC_0066</x:v>
      </x:c>
      <x:c r="M85" s="102" t="str">
        <x:v>Primary IMO retained in canonical Vessels; additional national identifiers to be populated for ferry and domestic fleets.</x:v>
      </x:c>
      <x:c r="N85" s="102"/>
    </x:row>
    <x:row r="86">
      <x:c r="A86" s="102" t="str">
        <x:v>VESSEL_00085</x:v>
      </x:c>
      <x:c r="B86" s="102" t="str">
        <x:v>Leicester</x:v>
      </x:c>
      <x:c r="C86" s="110" t="str">
        <x:v>9792266</x:v>
      </x:c>
      <x:c r="D86" s="110"/>
      <x:c r="E86" s="102"/>
      <x:c r="F86" s="102"/>
      <x:c r="G86" s="102"/>
      <x:c r="H86" s="102"/>
      <x:c r="I86" s="102"/>
      <x:c r="J86" s="102" t="str">
        <x:v>IMO populated</x:v>
      </x:c>
      <x:c r="K86" s="102" t="str">
        <x:v>2026-09-07</x:v>
      </x:c>
      <x:c r="L86" s="102" t="str">
        <x:v>SRC_0066</x:v>
      </x:c>
      <x:c r="M86" s="102" t="str">
        <x:v>Primary IMO retained in canonical Vessels; additional national identifiers to be populated for ferry and domestic fleets.</x:v>
      </x:c>
      <x:c r="N86" s="102"/>
    </x:row>
    <x:row r="87">
      <x:c r="A87" s="102" t="str">
        <x:v>VESSEL_00086</x:v>
      </x:c>
      <x:c r="B87" s="102" t="str">
        <x:v>Hili</x:v>
      </x:c>
      <x:c r="C87" s="110" t="str">
        <x:v>9851830</x:v>
      </x:c>
      <x:c r="D87" s="110"/>
      <x:c r="E87" s="102"/>
      <x:c r="F87" s="102"/>
      <x:c r="G87" s="102"/>
      <x:c r="H87" s="102"/>
      <x:c r="I87" s="102"/>
      <x:c r="J87" s="102" t="str">
        <x:v>IMO populated</x:v>
      </x:c>
      <x:c r="K87" s="102" t="str">
        <x:v>2026-09-07</x:v>
      </x:c>
      <x:c r="L87" s="102" t="str">
        <x:v>SRC_0066</x:v>
      </x:c>
      <x:c r="M87" s="102" t="str">
        <x:v>Primary IMO retained in canonical Vessels; additional national identifiers to be populated for ferry and domestic fleets.</x:v>
      </x:c>
      <x:c r="N87" s="102"/>
    </x:row>
    <x:row r="88">
      <x:c r="A88" s="102" t="str">
        <x:v>VESSEL_00087</x:v>
      </x:c>
      <x:c r="B88" s="102" t="str">
        <x:v>Zakum</x:v>
      </x:c>
      <x:c r="C88" s="110" t="str">
        <x:v>9851842</x:v>
      </x:c>
      <x:c r="D88" s="110"/>
      <x:c r="E88" s="102"/>
      <x:c r="F88" s="102"/>
      <x:c r="G88" s="102"/>
      <x:c r="H88" s="102"/>
      <x:c r="I88" s="102"/>
      <x:c r="J88" s="102" t="str">
        <x:v>IMO populated</x:v>
      </x:c>
      <x:c r="K88" s="102" t="str">
        <x:v>2026-09-07</x:v>
      </x:c>
      <x:c r="L88" s="102" t="str">
        <x:v>SRC_0066</x:v>
      </x:c>
      <x:c r="M88" s="102" t="str">
        <x:v>Primary IMO retained in canonical Vessels; additional national identifiers to be populated for ferry and domestic fleets.</x:v>
      </x:c>
      <x:c r="N88" s="102"/>
    </x:row>
    <x:row r="89">
      <x:c r="A89" s="102" t="str">
        <x:v>VESSEL_00088</x:v>
      </x:c>
      <x:c r="B89" s="102" t="str">
        <x:v>Barakah</x:v>
      </x:c>
      <x:c r="C89" s="110" t="str">
        <x:v>9902615</x:v>
      </x:c>
      <x:c r="D89" s="110"/>
      <x:c r="E89" s="102"/>
      <x:c r="F89" s="102"/>
      <x:c r="G89" s="102"/>
      <x:c r="H89" s="102"/>
      <x:c r="I89" s="102"/>
      <x:c r="J89" s="102" t="str">
        <x:v>IMO populated</x:v>
      </x:c>
      <x:c r="K89" s="102" t="str">
        <x:v>2026-09-07</x:v>
      </x:c>
      <x:c r="L89" s="102" t="str">
        <x:v>SRC_0066</x:v>
      </x:c>
      <x:c r="M89" s="102" t="str">
        <x:v>Primary IMO retained in canonical Vessels; additional national identifiers to be populated for ferry and domestic fleets.</x:v>
      </x:c>
      <x:c r="N89" s="102"/>
    </x:row>
    <x:row r="90">
      <x:c r="A90" s="102" t="str">
        <x:v>VESSEL_00089</x:v>
      </x:c>
      <x:c r="B90" s="102" t="str">
        <x:v>Hafeet</x:v>
      </x:c>
      <x:c r="C90" s="110" t="str">
        <x:v>9928009</x:v>
      </x:c>
      <x:c r="D90" s="110"/>
      <x:c r="E90" s="102"/>
      <x:c r="F90" s="102"/>
      <x:c r="G90" s="102"/>
      <x:c r="H90" s="102"/>
      <x:c r="I90" s="102"/>
      <x:c r="J90" s="102" t="str">
        <x:v>IMO populated</x:v>
      </x:c>
      <x:c r="K90" s="102" t="str">
        <x:v>2026-09-07</x:v>
      </x:c>
      <x:c r="L90" s="102" t="str">
        <x:v>SRC_0066</x:v>
      </x:c>
      <x:c r="M90" s="102" t="str">
        <x:v>Primary IMO retained in canonical Vessels; additional national identifiers to be populated for ferry and domestic fleets.</x:v>
      </x:c>
      <x:c r="N90" s="102"/>
    </x:row>
    <x:row r="91">
      <x:c r="A91" s="102" t="str">
        <x:v>VESSEL_00090</x:v>
      </x:c>
      <x:c r="B91" s="102" t="str">
        <x:v>Habshan</x:v>
      </x:c>
      <x:c r="C91" s="110" t="str">
        <x:v>9928011</x:v>
      </x:c>
      <x:c r="D91" s="110"/>
      <x:c r="E91" s="102"/>
      <x:c r="F91" s="102"/>
      <x:c r="G91" s="102"/>
      <x:c r="H91" s="102"/>
      <x:c r="I91" s="102"/>
      <x:c r="J91" s="102" t="str">
        <x:v>IMO populated</x:v>
      </x:c>
      <x:c r="K91" s="102" t="str">
        <x:v>2026-09-07</x:v>
      </x:c>
      <x:c r="L91" s="102" t="str">
        <x:v>SRC_0066</x:v>
      </x:c>
      <x:c r="M91" s="102" t="str">
        <x:v>Primary IMO retained in canonical Vessels; additional national identifiers to be populated for ferry and domestic fleets.</x:v>
      </x:c>
      <x:c r="N91" s="102"/>
    </x:row>
    <x:row r="92">
      <x:c r="A92" s="102" t="str">
        <x:v>VESSEL_00091</x:v>
      </x:c>
      <x:c r="B92" s="102" t="str">
        <x:v>Arzanah</x:v>
      </x:c>
      <x:c r="C92" s="110" t="str">
        <x:v>9928023</x:v>
      </x:c>
      <x:c r="D92" s="110"/>
      <x:c r="E92" s="102"/>
      <x:c r="F92" s="102"/>
      <x:c r="G92" s="102"/>
      <x:c r="H92" s="102"/>
      <x:c r="I92" s="102"/>
      <x:c r="J92" s="102" t="str">
        <x:v>IMO populated</x:v>
      </x:c>
      <x:c r="K92" s="102" t="str">
        <x:v>2026-09-07</x:v>
      </x:c>
      <x:c r="L92" s="102" t="str">
        <x:v>SRC_0066</x:v>
      </x:c>
      <x:c r="M92" s="102" t="str">
        <x:v>Primary IMO retained in canonical Vessels; additional national identifiers to be populated for ferry and domestic fleets.</x:v>
      </x:c>
      <x:c r="N92" s="102"/>
    </x:row>
    <x:row r="93">
      <x:c r="A93" s="102" t="str">
        <x:v>VESSEL_00092</x:v>
      </x:c>
      <x:c r="B93" s="102" t="str">
        <x:v>Al Bahyah</x:v>
      </x:c>
      <x:c r="C93" s="110" t="str">
        <x:v>9937799</x:v>
      </x:c>
      <x:c r="D93" s="110"/>
      <x:c r="E93" s="102"/>
      <x:c r="F93" s="102"/>
      <x:c r="G93" s="102"/>
      <x:c r="H93" s="102"/>
      <x:c r="I93" s="102"/>
      <x:c r="J93" s="102" t="str">
        <x:v>IMO populated</x:v>
      </x:c>
      <x:c r="K93" s="102" t="str">
        <x:v>2026-09-07</x:v>
      </x:c>
      <x:c r="L93" s="102" t="str">
        <x:v>SRC_0066</x:v>
      </x:c>
      <x:c r="M93" s="102" t="str">
        <x:v>Primary IMO retained in canonical Vessels; additional national identifiers to be populated for ferry and domestic fleets.</x:v>
      </x:c>
      <x:c r="N93" s="102"/>
    </x:row>
    <x:row r="94">
      <x:c r="A94" s="102" t="str">
        <x:v>VESSEL_00093</x:v>
      </x:c>
      <x:c r="B94" s="102" t="str">
        <x:v>Navig8 Universe</x:v>
      </x:c>
      <x:c r="C94" s="110" t="str">
        <x:v>9489106</x:v>
      </x:c>
      <x:c r="D94" s="110"/>
      <x:c r="E94" s="102"/>
      <x:c r="F94" s="102"/>
      <x:c r="G94" s="102"/>
      <x:c r="H94" s="102"/>
      <x:c r="I94" s="102"/>
      <x:c r="J94" s="102" t="str">
        <x:v>IMO populated</x:v>
      </x:c>
      <x:c r="K94" s="102" t="str">
        <x:v>2026-09-07</x:v>
      </x:c>
      <x:c r="L94" s="102" t="str">
        <x:v>SRC_0066</x:v>
      </x:c>
      <x:c r="M94" s="102" t="str">
        <x:v>Primary IMO retained in canonical Vessels; additional national identifiers to be populated for ferry and domestic fleets.</x:v>
      </x:c>
      <x:c r="N94" s="102"/>
    </x:row>
    <x:row r="95">
      <x:c r="A95" s="102" t="str">
        <x:v>VESSEL_00094</x:v>
      </x:c>
      <x:c r="B95" s="102" t="str">
        <x:v>Navig8 Constellation</x:v>
      </x:c>
      <x:c r="C95" s="110" t="str">
        <x:v>9489118</x:v>
      </x:c>
      <x:c r="D95" s="110"/>
      <x:c r="E95" s="102"/>
      <x:c r="F95" s="102"/>
      <x:c r="G95" s="102"/>
      <x:c r="H95" s="102"/>
      <x:c r="I95" s="102"/>
      <x:c r="J95" s="102" t="str">
        <x:v>IMO populated</x:v>
      </x:c>
      <x:c r="K95" s="102" t="str">
        <x:v>2026-09-07</x:v>
      </x:c>
      <x:c r="L95" s="102" t="str">
        <x:v>SRC_0066</x:v>
      </x:c>
      <x:c r="M95" s="102" t="str">
        <x:v>Primary IMO retained in canonical Vessels; additional national identifiers to be populated for ferry and domestic fleets.</x:v>
      </x:c>
      <x:c r="N95" s="102"/>
    </x:row>
    <x:row r="96">
      <x:c r="A96" s="102" t="str">
        <x:v>VESSEL_00095</x:v>
      </x:c>
      <x:c r="B96" s="102" t="str">
        <x:v>Navig8 Grace</x:v>
      </x:c>
      <x:c r="C96" s="110" t="str">
        <x:v>9833656</x:v>
      </x:c>
      <x:c r="D96" s="110"/>
      <x:c r="E96" s="102"/>
      <x:c r="F96" s="102"/>
      <x:c r="G96" s="102"/>
      <x:c r="H96" s="102"/>
      <x:c r="I96" s="102"/>
      <x:c r="J96" s="102" t="str">
        <x:v>IMO populated</x:v>
      </x:c>
      <x:c r="K96" s="102" t="str">
        <x:v>2026-09-07</x:v>
      </x:c>
      <x:c r="L96" s="102" t="str">
        <x:v>SRC_0066</x:v>
      </x:c>
      <x:c r="M96" s="102" t="str">
        <x:v>Primary IMO retained in canonical Vessels; additional national identifiers to be populated for ferry and domestic fleets.</x:v>
      </x:c>
      <x:c r="N96" s="102"/>
    </x:row>
    <x:row r="97">
      <x:c r="A97" s="102" t="str">
        <x:v>VESSEL_00096</x:v>
      </x:c>
      <x:c r="B97" s="102" t="str">
        <x:v>Navig8 Gallantry</x:v>
      </x:c>
      <x:c r="C97" s="110" t="str">
        <x:v>9833668</x:v>
      </x:c>
      <x:c r="D97" s="110"/>
      <x:c r="E97" s="102"/>
      <x:c r="F97" s="102"/>
      <x:c r="G97" s="102"/>
      <x:c r="H97" s="102"/>
      <x:c r="I97" s="102"/>
      <x:c r="J97" s="102" t="str">
        <x:v>IMO populated</x:v>
      </x:c>
      <x:c r="K97" s="102" t="str">
        <x:v>2026-09-07</x:v>
      </x:c>
      <x:c r="L97" s="102" t="str">
        <x:v>SRC_0066</x:v>
      </x:c>
      <x:c r="M97" s="102" t="str">
        <x:v>Primary IMO retained in canonical Vessels; additional national identifiers to be populated for ferry and domestic fleets.</x:v>
      </x:c>
      <x:c r="N97" s="102"/>
    </x:row>
    <x:row r="98">
      <x:c r="A98" s="102" t="str">
        <x:v>VESSEL_00097</x:v>
      </x:c>
      <x:c r="B98" s="102" t="str">
        <x:v>Navig8 Guard</x:v>
      </x:c>
      <x:c r="C98" s="110" t="str">
        <x:v>9833670</x:v>
      </x:c>
      <x:c r="D98" s="110"/>
      <x:c r="E98" s="102"/>
      <x:c r="F98" s="102"/>
      <x:c r="G98" s="102"/>
      <x:c r="H98" s="102"/>
      <x:c r="I98" s="102"/>
      <x:c r="J98" s="102" t="str">
        <x:v>IMO populated</x:v>
      </x:c>
      <x:c r="K98" s="102" t="str">
        <x:v>2026-09-07</x:v>
      </x:c>
      <x:c r="L98" s="102" t="str">
        <x:v>SRC_0066</x:v>
      </x:c>
      <x:c r="M98" s="102" t="str">
        <x:v>Primary IMO retained in canonical Vessels; additional national identifiers to be populated for ferry and domestic fleets.</x:v>
      </x:c>
      <x:c r="N98" s="102"/>
    </x:row>
    <x:row r="99">
      <x:c r="A99" s="102" t="str">
        <x:v>VESSEL_00098</x:v>
      </x:c>
      <x:c r="B99" s="102" t="str">
        <x:v>Navig8 Guide</x:v>
      </x:c>
      <x:c r="C99" s="110" t="str">
        <x:v>9833682</x:v>
      </x:c>
      <x:c r="D99" s="110"/>
      <x:c r="E99" s="102"/>
      <x:c r="F99" s="102"/>
      <x:c r="G99" s="102"/>
      <x:c r="H99" s="102"/>
      <x:c r="I99" s="102"/>
      <x:c r="J99" s="102" t="str">
        <x:v>IMO populated</x:v>
      </x:c>
      <x:c r="K99" s="102" t="str">
        <x:v>2026-09-07</x:v>
      </x:c>
      <x:c r="L99" s="102" t="str">
        <x:v>SRC_0066</x:v>
      </x:c>
      <x:c r="M99" s="102" t="str">
        <x:v>Primary IMO retained in canonical Vessels; additional national identifiers to be populated for ferry and domestic fleets.</x:v>
      </x:c>
      <x:c r="N99" s="102"/>
    </x:row>
    <x:row r="100">
      <x:c r="A100" s="102" t="str">
        <x:v>VESSEL_00099</x:v>
      </x:c>
      <x:c r="B100" s="102" t="str">
        <x:v>Navig8 Goal</x:v>
      </x:c>
      <x:c r="C100" s="110" t="str">
        <x:v>9853216</x:v>
      </x:c>
      <x:c r="D100" s="110"/>
      <x:c r="E100" s="102"/>
      <x:c r="F100" s="102"/>
      <x:c r="G100" s="102"/>
      <x:c r="H100" s="102"/>
      <x:c r="I100" s="102"/>
      <x:c r="J100" s="102" t="str">
        <x:v>IMO populated</x:v>
      </x:c>
      <x:c r="K100" s="102" t="str">
        <x:v>2026-09-07</x:v>
      </x:c>
      <x:c r="L100" s="102" t="str">
        <x:v>SRC_0066</x:v>
      </x:c>
      <x:c r="M100" s="102" t="str">
        <x:v>Primary IMO retained in canonical Vessels; additional national identifiers to be populated for ferry and domestic fleets.</x:v>
      </x:c>
      <x:c r="N100" s="102"/>
    </x:row>
    <x:row r="101">
      <x:c r="A101" s="102" t="str">
        <x:v>VESSEL_00100</x:v>
      </x:c>
      <x:c r="B101" s="102" t="str">
        <x:v>Navig8 Gauntlet</x:v>
      </x:c>
      <x:c r="C101" s="110" t="str">
        <x:v>9853228</x:v>
      </x:c>
      <x:c r="D101" s="110"/>
      <x:c r="E101" s="102"/>
      <x:c r="F101" s="102"/>
      <x:c r="G101" s="102"/>
      <x:c r="H101" s="102"/>
      <x:c r="I101" s="102"/>
      <x:c r="J101" s="102" t="str">
        <x:v>IMO populated</x:v>
      </x:c>
      <x:c r="K101" s="102" t="str">
        <x:v>2026-09-07</x:v>
      </x:c>
      <x:c r="L101" s="102" t="str">
        <x:v>SRC_0066</x:v>
      </x:c>
      <x:c r="M101" s="102" t="str">
        <x:v>Primary IMO retained in canonical Vessels; additional national identifiers to be populated for ferry and domestic fleets.</x:v>
      </x:c>
      <x:c r="N101" s="102"/>
    </x:row>
    <x:row r="102">
      <x:c r="A102" s="102" t="str">
        <x:v>VESSEL_00101</x:v>
      </x:c>
      <x:c r="B102" s="102" t="str">
        <x:v>Navig8 Gladiator</x:v>
      </x:c>
      <x:c r="C102" s="110" t="str">
        <x:v>9853230</x:v>
      </x:c>
      <x:c r="D102" s="110"/>
      <x:c r="E102" s="102"/>
      <x:c r="F102" s="102"/>
      <x:c r="G102" s="102"/>
      <x:c r="H102" s="102"/>
      <x:c r="I102" s="102"/>
      <x:c r="J102" s="102" t="str">
        <x:v>IMO populated</x:v>
      </x:c>
      <x:c r="K102" s="102" t="str">
        <x:v>2026-09-07</x:v>
      </x:c>
      <x:c r="L102" s="102" t="str">
        <x:v>SRC_0066</x:v>
      </x:c>
      <x:c r="M102" s="102" t="str">
        <x:v>Primary IMO retained in canonical Vessels; additional national identifiers to be populated for ferry and domestic fleets.</x:v>
      </x:c>
      <x:c r="N102" s="102"/>
    </x:row>
    <x:row r="103">
      <x:c r="A103" s="102" t="str">
        <x:v>VESSEL_00102</x:v>
      </x:c>
      <x:c r="B103" s="102" t="str">
        <x:v>Navig8 Gratitude</x:v>
      </x:c>
      <x:c r="C103" s="110" t="str">
        <x:v>9853242</x:v>
      </x:c>
      <x:c r="D103" s="110"/>
      <x:c r="E103" s="102"/>
      <x:c r="F103" s="102"/>
      <x:c r="G103" s="102"/>
      <x:c r="H103" s="102"/>
      <x:c r="I103" s="102"/>
      <x:c r="J103" s="102" t="str">
        <x:v>IMO populated</x:v>
      </x:c>
      <x:c r="K103" s="102" t="str">
        <x:v>2026-09-07</x:v>
      </x:c>
      <x:c r="L103" s="102" t="str">
        <x:v>SRC_0066</x:v>
      </x:c>
      <x:c r="M103" s="102" t="str">
        <x:v>Primary IMO retained in canonical Vessels; additional national identifiers to be populated for ferry and domestic fleets.</x:v>
      </x:c>
      <x:c r="N103" s="102"/>
    </x:row>
    <x:row r="104">
      <x:c r="A104" s="102" t="str">
        <x:v>VESSEL_00103</x:v>
      </x:c>
      <x:c r="B104" s="102" t="str">
        <x:v>Navig8 Excel</x:v>
      </x:c>
      <x:c r="C104" s="110" t="str">
        <x:v>9973901</x:v>
      </x:c>
      <x:c r="D104" s="110"/>
      <x:c r="E104" s="102"/>
      <x:c r="F104" s="102"/>
      <x:c r="G104" s="102"/>
      <x:c r="H104" s="102"/>
      <x:c r="I104" s="102"/>
      <x:c r="J104" s="102" t="str">
        <x:v>IMO populated</x:v>
      </x:c>
      <x:c r="K104" s="102" t="str">
        <x:v>2026-09-07</x:v>
      </x:c>
      <x:c r="L104" s="102" t="str">
        <x:v>SRC_0066</x:v>
      </x:c>
      <x:c r="M104" s="102" t="str">
        <x:v>Primary IMO retained in canonical Vessels; additional national identifiers to be populated for ferry and domestic fleets.</x:v>
      </x:c>
      <x:c r="N104" s="102"/>
    </x:row>
    <x:row r="105">
      <x:c r="A105" s="102" t="str">
        <x:v>VESSEL_00104</x:v>
      </x:c>
      <x:c r="B105" s="102" t="str">
        <x:v>Navig8 Exceed</x:v>
      </x:c>
      <x:c r="C105" s="110" t="str">
        <x:v>9973913</x:v>
      </x:c>
      <x:c r="D105" s="110"/>
      <x:c r="E105" s="102"/>
      <x:c r="F105" s="102"/>
      <x:c r="G105" s="102"/>
      <x:c r="H105" s="102"/>
      <x:c r="I105" s="102"/>
      <x:c r="J105" s="102" t="str">
        <x:v>IMO populated</x:v>
      </x:c>
      <x:c r="K105" s="102" t="str">
        <x:v>2026-09-07</x:v>
      </x:c>
      <x:c r="L105" s="102" t="str">
        <x:v>SRC_0066</x:v>
      </x:c>
      <x:c r="M105" s="102" t="str">
        <x:v>Primary IMO retained in canonical Vessels; additional national identifiers to be populated for ferry and domestic fleets.</x:v>
      </x:c>
      <x:c r="N105" s="102"/>
    </x:row>
    <x:row r="106">
      <x:c r="A106" s="102" t="str">
        <x:v>VESSEL_00105</x:v>
      </x:c>
      <x:c r="B106" s="102" t="str">
        <x:v>Navig8 Express</x:v>
      </x:c>
      <x:c r="C106" s="110" t="str">
        <x:v>9976874</x:v>
      </x:c>
      <x:c r="D106" s="110"/>
      <x:c r="E106" s="102"/>
      <x:c r="F106" s="102"/>
      <x:c r="G106" s="102"/>
      <x:c r="H106" s="102"/>
      <x:c r="I106" s="102"/>
      <x:c r="J106" s="102" t="str">
        <x:v>IMO populated</x:v>
      </x:c>
      <x:c r="K106" s="102" t="str">
        <x:v>2026-09-07</x:v>
      </x:c>
      <x:c r="L106" s="102" t="str">
        <x:v>SRC_0066</x:v>
      </x:c>
      <x:c r="M106" s="102" t="str">
        <x:v>Primary IMO retained in canonical Vessels; additional national identifiers to be populated for ferry and domestic fleets.</x:v>
      </x:c>
      <x:c r="N106" s="102"/>
    </x:row>
    <x:row r="107">
      <x:c r="A107" s="102" t="str">
        <x:v>VESSEL_00106</x:v>
      </x:c>
      <x:c r="B107" s="102" t="str">
        <x:v>Navig8 Excellence</x:v>
      </x:c>
      <x:c r="C107" s="110" t="str">
        <x:v>9976886</x:v>
      </x:c>
      <x:c r="D107" s="110"/>
      <x:c r="E107" s="102"/>
      <x:c r="F107" s="102"/>
      <x:c r="G107" s="102"/>
      <x:c r="H107" s="102"/>
      <x:c r="I107" s="102"/>
      <x:c r="J107" s="102" t="str">
        <x:v>IMO populated</x:v>
      </x:c>
      <x:c r="K107" s="102" t="str">
        <x:v>2026-09-07</x:v>
      </x:c>
      <x:c r="L107" s="102" t="str">
        <x:v>SRC_0066</x:v>
      </x:c>
      <x:c r="M107" s="102" t="str">
        <x:v>Primary IMO retained in canonical Vessels; additional national identifiers to be populated for ferry and domestic fleets.</x:v>
      </x:c>
      <x:c r="N107" s="102"/>
    </x:row>
    <x:row r="108">
      <x:c r="A108" s="102" t="str">
        <x:v>VESSEL_00107</x:v>
      </x:c>
      <x:c r="B108" s="102" t="str">
        <x:v>Navig8 Estelle</x:v>
      </x:c>
      <x:c r="C108" s="110" t="str">
        <x:v>9973925</x:v>
      </x:c>
      <x:c r="D108" s="110"/>
      <x:c r="E108" s="102"/>
      <x:c r="F108" s="102"/>
      <x:c r="G108" s="102"/>
      <x:c r="H108" s="102"/>
      <x:c r="I108" s="102"/>
      <x:c r="J108" s="102" t="str">
        <x:v>IMO populated</x:v>
      </x:c>
      <x:c r="K108" s="102" t="str">
        <x:v>2026-09-07</x:v>
      </x:c>
      <x:c r="L108" s="102" t="str">
        <x:v>SRC_0066</x:v>
      </x:c>
      <x:c r="M108" s="102" t="str">
        <x:v>Primary IMO retained in canonical Vessels; additional national identifiers to be populated for ferry and domestic fleets.</x:v>
      </x:c>
      <x:c r="N108" s="102"/>
    </x:row>
    <x:row r="109">
      <x:c r="A109" s="102" t="str">
        <x:v>VESSEL_00108</x:v>
      </x:c>
      <x:c r="B109" s="102" t="str">
        <x:v>Navig8 Executive</x:v>
      </x:c>
      <x:c r="C109" s="110" t="str">
        <x:v>9973937</x:v>
      </x:c>
      <x:c r="D109" s="110"/>
      <x:c r="E109" s="102"/>
      <x:c r="F109" s="102"/>
      <x:c r="G109" s="102"/>
      <x:c r="H109" s="102"/>
      <x:c r="I109" s="102"/>
      <x:c r="J109" s="102" t="str">
        <x:v>IMO populated</x:v>
      </x:c>
      <x:c r="K109" s="102" t="str">
        <x:v>2026-09-07</x:v>
      </x:c>
      <x:c r="L109" s="102" t="str">
        <x:v>SRC_0066</x:v>
      </x:c>
      <x:c r="M109" s="102" t="str">
        <x:v>Primary IMO retained in canonical Vessels; additional national identifiers to be populated for ferry and domestic fleets.</x:v>
      </x:c>
      <x:c r="N109" s="102"/>
    </x:row>
    <x:row r="110">
      <x:c r="A110" s="102" t="str">
        <x:v>VESSEL_00109</x:v>
      </x:c>
      <x:c r="B110" s="102" t="str">
        <x:v>BYD Explorer No.1</x:v>
      </x:c>
      <x:c r="C110" s="110" t="str">
        <x:v>9955181</x:v>
      </x:c>
      <x:c r="D110" s="110"/>
      <x:c r="E110" s="102"/>
      <x:c r="F110" s="102"/>
      <x:c r="G110" s="102"/>
      <x:c r="H110" s="102"/>
      <x:c r="I110" s="102"/>
      <x:c r="J110" s="102" t="str">
        <x:v>IMO populated</x:v>
      </x:c>
      <x:c r="K110" s="102" t="str">
        <x:v>2026-09-07</x:v>
      </x:c>
      <x:c r="L110" s="102" t="str">
        <x:v>SRC_0091</x:v>
      </x:c>
      <x:c r="M110" s="102" t="str">
        <x:v>Primary IMO retained in canonical Vessels; additional national identifiers to be populated for ferry and domestic fleets.</x:v>
      </x:c>
      <x:c r="N110" s="102"/>
    </x:row>
    <x:row r="111">
      <x:c r="A111" s="102" t="str">
        <x:v>VESSEL_00110</x:v>
      </x:c>
      <x:c r="B111" s="102" t="str">
        <x:v>BYD Changzhou</x:v>
      </x:c>
      <x:c r="C111" s="110" t="str">
        <x:v>9955076</x:v>
      </x:c>
      <x:c r="D111" s="110"/>
      <x:c r="E111" s="102"/>
      <x:c r="F111" s="102"/>
      <x:c r="G111" s="102"/>
      <x:c r="H111" s="102"/>
      <x:c r="I111" s="102"/>
      <x:c r="J111" s="102" t="str">
        <x:v>IMO populated</x:v>
      </x:c>
      <x:c r="K111" s="102" t="str">
        <x:v>2026-09-07</x:v>
      </x:c>
      <x:c r="L111" s="102" t="str">
        <x:v>SRC_0091</x:v>
      </x:c>
      <x:c r="M111" s="102" t="str">
        <x:v>Primary IMO retained in canonical Vessels; additional national identifiers to be populated for ferry and domestic fleets.</x:v>
      </x:c>
      <x:c r="N111" s="102"/>
    </x:row>
    <x:row r="112">
      <x:c r="A112" s="102" t="str">
        <x:v>VESSEL_00111</x:v>
      </x:c>
      <x:c r="B112" s="102" t="str">
        <x:v>BYD Hefei</x:v>
      </x:c>
      <x:c r="C112" s="110" t="str">
        <x:v>9999565</x:v>
      </x:c>
      <x:c r="D112" s="110"/>
      <x:c r="E112" s="102"/>
      <x:c r="F112" s="102"/>
      <x:c r="G112" s="102"/>
      <x:c r="H112" s="102"/>
      <x:c r="I112" s="102"/>
      <x:c r="J112" s="102" t="str">
        <x:v>IMO populated</x:v>
      </x:c>
      <x:c r="K112" s="102" t="str">
        <x:v>2026-09-07</x:v>
      </x:c>
      <x:c r="L112" s="102" t="str">
        <x:v>SRC_0091</x:v>
      </x:c>
      <x:c r="M112" s="102" t="str">
        <x:v>Primary IMO retained in canonical Vessels; additional national identifiers to be populated for ferry and domestic fleets.</x:v>
      </x:c>
      <x:c r="N112" s="102"/>
    </x:row>
    <x:row r="113">
      <x:c r="A113" s="102" t="str">
        <x:v>VESSEL_00112</x:v>
      </x:c>
      <x:c r="B113" s="102" t="str">
        <x:v>BYD Zhengzhou</x:v>
      </x:c>
      <x:c r="C113" s="110" t="str">
        <x:v>9999577</x:v>
      </x:c>
      <x:c r="D113" s="110"/>
      <x:c r="E113" s="102"/>
      <x:c r="F113" s="102"/>
      <x:c r="G113" s="102"/>
      <x:c r="H113" s="102"/>
      <x:c r="I113" s="102"/>
      <x:c r="J113" s="102" t="str">
        <x:v>IMO populated</x:v>
      </x:c>
      <x:c r="K113" s="102" t="str">
        <x:v>2026-09-07</x:v>
      </x:c>
      <x:c r="L113" s="102" t="str">
        <x:v>SRC_0091</x:v>
      </x:c>
      <x:c r="M113" s="102" t="str">
        <x:v>Primary IMO retained in canonical Vessels; additional national identifiers to be populated for ferry and domestic fleets.</x:v>
      </x:c>
      <x:c r="N113" s="102"/>
    </x:row>
    <x:row r="114">
      <x:c r="A114" s="102" t="str">
        <x:v>VESSEL_00113</x:v>
      </x:c>
      <x:c r="B114" s="102" t="str">
        <x:v>BYD Shenzhen</x:v>
      </x:c>
      <x:c r="C114" s="110" t="str">
        <x:v>9993963</x:v>
      </x:c>
      <x:c r="D114" s="110"/>
      <x:c r="E114" s="102"/>
      <x:c r="F114" s="102"/>
      <x:c r="G114" s="102"/>
      <x:c r="H114" s="102"/>
      <x:c r="I114" s="102"/>
      <x:c r="J114" s="102" t="str">
        <x:v>IMO populated</x:v>
      </x:c>
      <x:c r="K114" s="102" t="str">
        <x:v>2026-09-07</x:v>
      </x:c>
      <x:c r="L114" s="102" t="str">
        <x:v>SRC_0092</x:v>
      </x:c>
      <x:c r="M114" s="102" t="str">
        <x:v>Primary IMO retained in canonical Vessels; additional national identifiers to be populated for ferry and domestic fleets.</x:v>
      </x:c>
      <x:c r="N114" s="102"/>
    </x:row>
    <x:row r="115">
      <x:c r="A115" s="102" t="str">
        <x:v>VESSEL_00114</x:v>
      </x:c>
      <x:c r="B115" s="102" t="str">
        <x:v>BYD Xi'an</x:v>
      </x:c>
      <x:c r="C115" s="110" t="str">
        <x:v>9993975</x:v>
      </x:c>
      <x:c r="D115" s="110"/>
      <x:c r="E115" s="102"/>
      <x:c r="F115" s="102"/>
      <x:c r="G115" s="102"/>
      <x:c r="H115" s="102"/>
      <x:c r="I115" s="102"/>
      <x:c r="J115" s="102" t="str">
        <x:v>IMO populated</x:v>
      </x:c>
      <x:c r="K115" s="102" t="str">
        <x:v>2026-09-07</x:v>
      </x:c>
      <x:c r="L115" s="102" t="str">
        <x:v>SRC_0095</x:v>
      </x:c>
      <x:c r="M115" s="102" t="str">
        <x:v>Primary IMO retained in canonical Vessels; additional national identifiers to be populated for ferry and domestic fleets.</x:v>
      </x:c>
      <x:c r="N115" s="102"/>
    </x:row>
    <x:row r="116">
      <x:c r="A116" s="102" t="str">
        <x:v>VESSEL_00115</x:v>
      </x:c>
      <x:c r="B116" s="102" t="str">
        <x:v>BYD Changsha</x:v>
      </x:c>
      <x:c r="C116" s="110" t="str">
        <x:v>9993949</x:v>
      </x:c>
      <x:c r="D116" s="110"/>
      <x:c r="E116" s="102"/>
      <x:c r="F116" s="102"/>
      <x:c r="G116" s="102"/>
      <x:c r="H116" s="102"/>
      <x:c r="I116" s="102"/>
      <x:c r="J116" s="102" t="str">
        <x:v>IMO populated</x:v>
      </x:c>
      <x:c r="K116" s="102" t="str">
        <x:v>2026-09-07</x:v>
      </x:c>
      <x:c r="L116" s="102" t="str">
        <x:v>SRC_0093</x:v>
      </x:c>
      <x:c r="M116" s="102" t="str">
        <x:v>Primary IMO retained in canonical Vessels; additional national identifiers to be populated for ferry and domestic fleets.</x:v>
      </x:c>
      <x:c r="N116" s="102"/>
    </x:row>
    <x:row r="117">
      <x:c r="A117" s="102" t="str">
        <x:v>VESSEL_00116</x:v>
      </x:c>
      <x:c r="B117" s="102" t="str">
        <x:v>BYD Jinan</x:v>
      </x:c>
      <x:c r="C117" s="110" t="str">
        <x:v>9993951</x:v>
      </x:c>
      <x:c r="D117" s="110"/>
      <x:c r="E117" s="102"/>
      <x:c r="F117" s="102"/>
      <x:c r="G117" s="102"/>
      <x:c r="H117" s="102"/>
      <x:c r="I117" s="102"/>
      <x:c r="J117" s="102" t="str">
        <x:v>IMO populated</x:v>
      </x:c>
      <x:c r="K117" s="102" t="str">
        <x:v>2026-09-07</x:v>
      </x:c>
      <x:c r="L117" s="102" t="str">
        <x:v>SRC_0094</x:v>
      </x:c>
      <x:c r="M117" s="102" t="str">
        <x:v>Primary IMO retained in canonical Vessels; additional national identifiers to be populated for ferry and domestic fleets.</x:v>
      </x:c>
      <x:c r="N117" s="102"/>
    </x:row>
    <x:row r="118">
      <x:c r="A118" s="102" t="str">
        <x:v>VESSEL_00117</x:v>
      </x:c>
      <x:c r="B118" s="102" t="str">
        <x:v>SINOKOR NIIGATA</x:v>
      </x:c>
      <x:c r="C118" s="110" t="str">
        <x:v>9209908</x:v>
      </x:c>
      <x:c r="D118" s="110"/>
      <x:c r="E118" s="102"/>
      <x:c r="F118" s="102"/>
      <x:c r="G118" s="102"/>
      <x:c r="H118" s="102"/>
      <x:c r="I118" s="102" t="str">
        <x:v>Korea</x:v>
      </x:c>
      <x:c r="J118" s="102" t="str">
        <x:v>Korea</x:v>
      </x:c>
      <x:c r="K118" s="102" t="str">
        <x:v>2026-09-07</x:v>
      </x:c>
      <x:c r="L118" s="102" t="str">
        <x:v>SRC_0102</x:v>
      </x:c>
      <x:c r="M118" s="102" t="str">
        <x:v>Primary IMO retained in canonical Vessels; additional national identifiers to be populated for ferry and domestic fleets.</x:v>
      </x:c>
      <x:c r="N118" s="102"/>
    </x:row>
    <x:row r="119">
      <x:c r="A119" s="102" t="str">
        <x:v>VESSEL_00118</x:v>
      </x:c>
      <x:c r="B119" s="102" t="str">
        <x:v>MEREDITH VICTORY</x:v>
      </x:c>
      <x:c r="C119" s="110" t="str">
        <x:v>9455959</x:v>
      </x:c>
      <x:c r="D119" s="110"/>
      <x:c r="E119" s="102"/>
      <x:c r="F119" s="102"/>
      <x:c r="G119" s="102"/>
      <x:c r="H119" s="102"/>
      <x:c r="I119" s="102" t="str">
        <x:v>Korea</x:v>
      </x:c>
      <x:c r="J119" s="102" t="str">
        <x:v>Korea</x:v>
      </x:c>
      <x:c r="K119" s="102" t="str">
        <x:v>2026-09-07</x:v>
      </x:c>
      <x:c r="L119" s="102" t="str">
        <x:v>SRC_0102</x:v>
      </x:c>
      <x:c r="M119" s="102" t="str">
        <x:v>Primary IMO retained in canonical Vessels; additional national identifiers to be populated for ferry and domestic fleets.</x:v>
      </x:c>
      <x:c r="N119" s="102"/>
    </x:row>
    <x:row r="120">
      <x:c r="A120" s="102" t="str">
        <x:v>VESSEL_00119</x:v>
      </x:c>
      <x:c r="B120" s="102" t="str">
        <x:v>KOOKYANG SINGAPORE</x:v>
      </x:c>
      <x:c r="C120" s="110" t="str">
        <x:v>9354234</x:v>
      </x:c>
      <x:c r="D120" s="110"/>
      <x:c r="E120" s="102"/>
      <x:c r="F120" s="102"/>
      <x:c r="G120" s="102"/>
      <x:c r="H120" s="102"/>
      <x:c r="I120" s="102"/>
      <x:c r="J120" s="102" t="str">
        <x:v>IMO populated</x:v>
      </x:c>
      <x:c r="K120" s="102" t="str">
        <x:v>2026-09-07</x:v>
      </x:c>
      <x:c r="L120" s="102" t="str">
        <x:v>SRC_0102</x:v>
      </x:c>
      <x:c r="M120" s="102" t="str">
        <x:v>Primary IMO retained in canonical Vessels; additional national identifiers to be populated for ferry and domestic fleets.</x:v>
      </x:c>
      <x:c r="N120" s="102"/>
    </x:row>
    <x:row r="121">
      <x:c r="A121" s="102" t="str">
        <x:v>VESSEL_00120</x:v>
      </x:c>
      <x:c r="B121" s="102" t="str">
        <x:v>GENEVA QUEEN</x:v>
      </x:c>
      <x:c r="C121" s="110" t="str">
        <x:v>9638642</x:v>
      </x:c>
      <x:c r="D121" s="110"/>
      <x:c r="E121" s="102"/>
      <x:c r="F121" s="102"/>
      <x:c r="G121" s="102"/>
      <x:c r="H121" s="102"/>
      <x:c r="I121" s="102"/>
      <x:c r="J121" s="102" t="str">
        <x:v>IMO populated</x:v>
      </x:c>
      <x:c r="K121" s="102" t="str">
        <x:v>2026-09-07</x:v>
      </x:c>
      <x:c r="L121" s="102" t="str">
        <x:v>SRC_0102</x:v>
      </x:c>
      <x:c r="M121" s="102" t="str">
        <x:v>Primary IMO retained in canonical Vessels; additional national identifiers to be populated for ferry and domestic fleets.</x:v>
      </x:c>
      <x:c r="N121" s="102"/>
    </x:row>
    <x:row r="122">
      <x:c r="A122" s="102" t="str">
        <x:v>VESSEL_00121</x:v>
      </x:c>
      <x:c r="B122" s="102" t="str">
        <x:v>Hakata Voyager</x:v>
      </x:c>
      <x:c r="C122" s="110" t="str">
        <x:v>9329588</x:v>
      </x:c>
      <x:c r="D122" s="110"/>
      <x:c r="E122" s="102"/>
      <x:c r="F122" s="102"/>
      <x:c r="G122" s="102"/>
      <x:c r="H122" s="102"/>
      <x:c r="I122" s="102"/>
      <x:c r="J122" s="102" t="str">
        <x:v>IMO populated</x:v>
      </x:c>
      <x:c r="K122" s="102" t="str">
        <x:v>2026-09-07</x:v>
      </x:c>
      <x:c r="L122" s="102" t="str">
        <x:v>SRC_0102</x:v>
      </x:c>
      <x:c r="M122" s="102" t="str">
        <x:v>Primary IMO retained in canonical Vessels; additional national identifiers to be populated for ferry and domestic fleets.</x:v>
      </x:c>
      <x:c r="N122" s="102"/>
    </x:row>
    <x:row r="123">
      <x:c r="A123" s="102" t="str">
        <x:v>VESSEL_00122</x:v>
      </x:c>
      <x:c r="B123" s="102" t="str">
        <x:v>Vostochny Voyager</x:v>
      </x:c>
      <x:c r="C123" s="110" t="str">
        <x:v>9329590</x:v>
      </x:c>
      <x:c r="D123" s="110"/>
      <x:c r="E123" s="102"/>
      <x:c r="F123" s="102"/>
      <x:c r="G123" s="102"/>
      <x:c r="H123" s="102"/>
      <x:c r="I123" s="102"/>
      <x:c r="J123" s="102" t="str">
        <x:v>IMO populated</x:v>
      </x:c>
      <x:c r="K123" s="102" t="str">
        <x:v>2026-09-07</x:v>
      </x:c>
      <x:c r="L123" s="102" t="str">
        <x:v>SRC_0102</x:v>
      </x:c>
      <x:c r="M123" s="102" t="str">
        <x:v>Primary IMO retained in canonical Vessels; additional national identifiers to be populated for ferry and domestic fleets.</x:v>
      </x:c>
      <x:c r="N123" s="102"/>
    </x:row>
    <x:row r="124">
      <x:c r="A124" s="102" t="str">
        <x:v>VESSEL_00123</x:v>
      </x:c>
      <x:c r="B124" s="102" t="str">
        <x:v>HongKong Voyager</x:v>
      </x:c>
      <x:c r="C124" s="110" t="str">
        <x:v>9402500</x:v>
      </x:c>
      <x:c r="D124" s="110"/>
      <x:c r="E124" s="102"/>
      <x:c r="F124" s="102"/>
      <x:c r="G124" s="102"/>
      <x:c r="H124" s="102"/>
      <x:c r="I124" s="102"/>
      <x:c r="J124" s="102" t="str">
        <x:v>IMO populated</x:v>
      </x:c>
      <x:c r="K124" s="102" t="str">
        <x:v>2026-09-07</x:v>
      </x:c>
      <x:c r="L124" s="102" t="str">
        <x:v>SRC_0102</x:v>
      </x:c>
      <x:c r="M124" s="102" t="str">
        <x:v>Primary IMO retained in canonical Vessels; additional national identifiers to be populated for ferry and domestic fleets.</x:v>
      </x:c>
      <x:c r="N124" s="102"/>
    </x:row>
    <x:row r="125">
      <x:c r="A125" s="102" t="str">
        <x:v>VESSEL_00124</x:v>
      </x:c>
      <x:c r="B125" s="102" t="str">
        <x:v>Osaka Voyager</x:v>
      </x:c>
      <x:c r="C125" s="110" t="str">
        <x:v>9329576</x:v>
      </x:c>
      <x:c r="D125" s="110"/>
      <x:c r="E125" s="102"/>
      <x:c r="F125" s="102"/>
      <x:c r="G125" s="102"/>
      <x:c r="H125" s="102"/>
      <x:c r="I125" s="102"/>
      <x:c r="J125" s="102" t="str">
        <x:v>IMO populated</x:v>
      </x:c>
      <x:c r="K125" s="102" t="str">
        <x:v>2026-09-07</x:v>
      </x:c>
      <x:c r="L125" s="102" t="str">
        <x:v>SRC_0102</x:v>
      </x:c>
      <x:c r="M125" s="102" t="str">
        <x:v>Primary IMO retained in canonical Vessels; additional national identifiers to be populated for ferry and domestic fleets.</x:v>
      </x:c>
      <x:c r="N125" s="102"/>
    </x:row>
    <x:row r="126">
      <x:c r="A126" s="102" t="str">
        <x:v>VESSEL_00125</x:v>
      </x:c>
      <x:c r="B126" s="102" t="str">
        <x:v>NAGOYA TRADER</x:v>
      </x:c>
      <x:c r="C126" s="110" t="str">
        <x:v>9517628</x:v>
      </x:c>
      <x:c r="D126" s="110"/>
      <x:c r="E126" s="102"/>
      <x:c r="F126" s="102"/>
      <x:c r="G126" s="102"/>
      <x:c r="H126" s="102"/>
      <x:c r="I126" s="102"/>
      <x:c r="J126" s="102" t="str">
        <x:v>IMO populated</x:v>
      </x:c>
      <x:c r="K126" s="102" t="str">
        <x:v>2026-09-07</x:v>
      </x:c>
      <x:c r="L126" s="102" t="str">
        <x:v>SRC_0102</x:v>
      </x:c>
      <x:c r="M126" s="102" t="str">
        <x:v>Primary IMO retained in canonical Vessels; additional national identifiers to be populated for ferry and domestic fleets.</x:v>
      </x:c>
      <x:c r="N126" s="102"/>
    </x:row>
    <x:row r="127">
      <x:c r="A127" s="102" t="str">
        <x:v>VESSEL_00126</x:v>
      </x:c>
      <x:c r="B127" s="102" t="str">
        <x:v>SAWASDEE PACIFIC</x:v>
      </x:c>
      <x:c r="C127" s="110" t="str">
        <x:v>9879363</x:v>
      </x:c>
      <x:c r="D127" s="110"/>
      <x:c r="E127" s="102"/>
      <x:c r="F127" s="102"/>
      <x:c r="G127" s="102"/>
      <x:c r="H127" s="102"/>
      <x:c r="I127" s="102"/>
      <x:c r="J127" s="102" t="str">
        <x:v>IMO populated</x:v>
      </x:c>
      <x:c r="K127" s="102" t="str">
        <x:v>2026-09-07</x:v>
      </x:c>
      <x:c r="L127" s="102" t="str">
        <x:v>SRC_0102</x:v>
      </x:c>
      <x:c r="M127" s="102" t="str">
        <x:v>Primary IMO retained in canonical Vessels; additional national identifiers to be populated for ferry and domestic fleets.</x:v>
      </x:c>
      <x:c r="N127" s="102"/>
    </x:row>
    <x:row r="128">
      <x:c r="A128" s="102" t="str">
        <x:v>VESSEL_00127</x:v>
      </x:c>
      <x:c r="B128" s="102" t="str">
        <x:v>SAWASDEE ATLANTIC</x:v>
      </x:c>
      <x:c r="C128" s="110" t="str">
        <x:v>9879375</x:v>
      </x:c>
      <x:c r="D128" s="110"/>
      <x:c r="E128" s="102"/>
      <x:c r="F128" s="102"/>
      <x:c r="G128" s="102"/>
      <x:c r="H128" s="102"/>
      <x:c r="I128" s="102"/>
      <x:c r="J128" s="102" t="str">
        <x:v>IMO populated</x:v>
      </x:c>
      <x:c r="K128" s="102" t="str">
        <x:v>2026-09-07</x:v>
      </x:c>
      <x:c r="L128" s="102" t="str">
        <x:v>SRC_0102</x:v>
      </x:c>
      <x:c r="M128" s="102" t="str">
        <x:v>Primary IMO retained in canonical Vessels; additional national identifiers to be populated for ferry and domestic fleets.</x:v>
      </x:c>
      <x:c r="N128" s="102"/>
    </x:row>
    <x:row r="129">
      <x:c r="A129" s="102" t="str">
        <x:v>VESSEL_00128</x:v>
      </x:c>
      <x:c r="B129" s="102" t="str">
        <x:v>SAWASDEE BALTIC</x:v>
      </x:c>
      <x:c r="C129" s="110" t="str">
        <x:v>9886067</x:v>
      </x:c>
      <x:c r="D129" s="110"/>
      <x:c r="E129" s="102"/>
      <x:c r="F129" s="102"/>
      <x:c r="G129" s="102"/>
      <x:c r="H129" s="102"/>
      <x:c r="I129" s="102"/>
      <x:c r="J129" s="102" t="str">
        <x:v>IMO populated</x:v>
      </x:c>
      <x:c r="K129" s="102" t="str">
        <x:v>2026-09-07</x:v>
      </x:c>
      <x:c r="L129" s="102" t="str">
        <x:v>SRC_0102</x:v>
      </x:c>
      <x:c r="M129" s="102" t="str">
        <x:v>Primary IMO retained in canonical Vessels; additional national identifiers to be populated for ferry and domestic fleets.</x:v>
      </x:c>
      <x:c r="N129" s="102"/>
    </x:row>
    <x:row r="130">
      <x:c r="A130" s="102" t="str">
        <x:v>VESSEL_00129</x:v>
      </x:c>
      <x:c r="B130" s="102" t="str">
        <x:v>SAWASDEE SUNRISE</x:v>
      </x:c>
      <x:c r="C130" s="110" t="str">
        <x:v>9886079</x:v>
      </x:c>
      <x:c r="D130" s="110"/>
      <x:c r="E130" s="102"/>
      <x:c r="F130" s="102"/>
      <x:c r="G130" s="102"/>
      <x:c r="H130" s="102"/>
      <x:c r="I130" s="102"/>
      <x:c r="J130" s="102" t="str">
        <x:v>IMO populated</x:v>
      </x:c>
      <x:c r="K130" s="102" t="str">
        <x:v>2026-09-07</x:v>
      </x:c>
      <x:c r="L130" s="102" t="str">
        <x:v>SRC_0102</x:v>
      </x:c>
      <x:c r="M130" s="102" t="str">
        <x:v>Primary IMO retained in canonical Vessels; additional national identifiers to be populated for ferry and domestic fleets.</x:v>
      </x:c>
      <x:c r="N130" s="102"/>
    </x:row>
    <x:row r="131">
      <x:c r="A131" s="102" t="str">
        <x:v>VESSEL_00130</x:v>
      </x:c>
      <x:c r="B131" s="102" t="str">
        <x:v>HOCHIMINH VOYAGER</x:v>
      </x:c>
      <x:c r="C131" s="110" t="str">
        <x:v>9532276</x:v>
      </x:c>
      <x:c r="D131" s="110"/>
      <x:c r="E131" s="102"/>
      <x:c r="F131" s="102"/>
      <x:c r="G131" s="102"/>
      <x:c r="H131" s="102"/>
      <x:c r="I131" s="102"/>
      <x:c r="J131" s="102" t="str">
        <x:v>IMO populated</x:v>
      </x:c>
      <x:c r="K131" s="102" t="str">
        <x:v>2026-09-07</x:v>
      </x:c>
      <x:c r="L131" s="102" t="str">
        <x:v>SRC_0102</x:v>
      </x:c>
      <x:c r="M131" s="102" t="str">
        <x:v>Primary IMO retained in canonical Vessels; additional national identifiers to be populated for ferry and domestic fleets.</x:v>
      </x:c>
      <x:c r="N131" s="102"/>
    </x:row>
    <x:row r="132">
      <x:c r="A132" s="102" t="str">
        <x:v>VESSEL_00131</x:v>
      </x:c>
      <x:c r="B132" s="102" t="str">
        <x:v>JAKARTA VOYAGER</x:v>
      </x:c>
      <x:c r="C132" s="110" t="str">
        <x:v>9532288</x:v>
      </x:c>
      <x:c r="D132" s="110"/>
      <x:c r="E132" s="102"/>
      <x:c r="F132" s="102"/>
      <x:c r="G132" s="102"/>
      <x:c r="H132" s="102"/>
      <x:c r="I132" s="102"/>
      <x:c r="J132" s="102" t="str">
        <x:v>IMO populated</x:v>
      </x:c>
      <x:c r="K132" s="102" t="str">
        <x:v>2026-09-07</x:v>
      </x:c>
      <x:c r="L132" s="102" t="str">
        <x:v>SRC_0102</x:v>
      </x:c>
      <x:c r="M132" s="102" t="str">
        <x:v>Primary IMO retained in canonical Vessels; additional national identifiers to be populated for ferry and domestic fleets.</x:v>
      </x:c>
      <x:c r="N132" s="102"/>
    </x:row>
    <x:row r="133">
      <x:c r="A133" s="102" t="str">
        <x:v>VESSEL_00132</x:v>
      </x:c>
      <x:c r="B133" s="102" t="str">
        <x:v>SHANGHAI VOYAGER</x:v>
      </x:c>
      <x:c r="C133" s="110" t="str">
        <x:v>9536973</x:v>
      </x:c>
      <x:c r="D133" s="110"/>
      <x:c r="E133" s="102"/>
      <x:c r="F133" s="102"/>
      <x:c r="G133" s="102"/>
      <x:c r="H133" s="102"/>
      <x:c r="I133" s="102"/>
      <x:c r="J133" s="102" t="str">
        <x:v>IMO populated</x:v>
      </x:c>
      <x:c r="K133" s="102" t="str">
        <x:v>2026-09-07</x:v>
      </x:c>
      <x:c r="L133" s="102" t="str">
        <x:v>SRC_0102</x:v>
      </x:c>
      <x:c r="M133" s="102" t="str">
        <x:v>Primary IMO retained in canonical Vessels; additional national identifiers to be populated for ferry and domestic fleets.</x:v>
      </x:c>
      <x:c r="N133" s="102"/>
    </x:row>
    <x:row r="134">
      <x:c r="A134" s="102" t="str">
        <x:v>VESSEL_00133</x:v>
      </x:c>
      <x:c r="B134" s="102" t="str">
        <x:v>NINGBO TRADER</x:v>
      </x:c>
      <x:c r="C134" s="110" t="str">
        <x:v>9347968</x:v>
      </x:c>
      <x:c r="D134" s="110"/>
      <x:c r="E134" s="102"/>
      <x:c r="F134" s="102"/>
      <x:c r="G134" s="102"/>
      <x:c r="H134" s="102"/>
      <x:c r="I134" s="102"/>
      <x:c r="J134" s="102" t="str">
        <x:v>IMO populated</x:v>
      </x:c>
      <x:c r="K134" s="102" t="str">
        <x:v>2026-09-07</x:v>
      </x:c>
      <x:c r="L134" s="102" t="str">
        <x:v>SRC_0102</x:v>
      </x:c>
      <x:c r="M134" s="102" t="str">
        <x:v>Primary IMO retained in canonical Vessels; additional national identifiers to be populated for ferry and domestic fleets.</x:v>
      </x:c>
      <x:c r="N134" s="102"/>
    </x:row>
    <x:row r="135">
      <x:c r="A135" s="102" t="str">
        <x:v>VESSEL_00134</x:v>
      </x:c>
      <x:c r="B135" s="102" t="str">
        <x:v>YOKOHAMA TRADER</x:v>
      </x:c>
      <x:c r="C135" s="110" t="str">
        <x:v>9915961</x:v>
      </x:c>
      <x:c r="D135" s="110"/>
      <x:c r="E135" s="102"/>
      <x:c r="F135" s="102"/>
      <x:c r="G135" s="102"/>
      <x:c r="H135" s="102"/>
      <x:c r="I135" s="102"/>
      <x:c r="J135" s="102" t="str">
        <x:v>IMO populated</x:v>
      </x:c>
      <x:c r="K135" s="102" t="str">
        <x:v>2026-09-07</x:v>
      </x:c>
      <x:c r="L135" s="102" t="str">
        <x:v>SRC_0102</x:v>
      </x:c>
      <x:c r="M135" s="102" t="str">
        <x:v>Primary IMO retained in canonical Vessels; additional national identifiers to be populated for ferry and domestic fleets.</x:v>
      </x:c>
      <x:c r="N135" s="102"/>
    </x:row>
    <x:row r="136">
      <x:c r="A136" s="102" t="str">
        <x:v>VESSEL_00135</x:v>
      </x:c>
      <x:c r="B136" s="102" t="str">
        <x:v>SURABAYA VOYAGER</x:v>
      </x:c>
      <x:c r="C136" s="110" t="str">
        <x:v>9137703</x:v>
      </x:c>
      <x:c r="D136" s="110"/>
      <x:c r="E136" s="102"/>
      <x:c r="F136" s="102"/>
      <x:c r="G136" s="102"/>
      <x:c r="H136" s="102"/>
      <x:c r="I136" s="102"/>
      <x:c r="J136" s="102" t="str">
        <x:v>IMO populated</x:v>
      </x:c>
      <x:c r="K136" s="102" t="str">
        <x:v>2026-09-07</x:v>
      </x:c>
      <x:c r="L136" s="102" t="str">
        <x:v>SRC_0102</x:v>
      </x:c>
      <x:c r="M136" s="102" t="str">
        <x:v>Primary IMO retained in canonical Vessels; additional national identifiers to be populated for ferry and domestic fleets.</x:v>
      </x:c>
      <x:c r="N136" s="102"/>
    </x:row>
    <x:row r="137">
      <x:c r="A137" s="102" t="str">
        <x:v>VESSEL_00136</x:v>
      </x:c>
      <x:c r="B137" s="102" t="str">
        <x:v>KOBE TRADER</x:v>
      </x:c>
      <x:c r="C137" s="110" t="str">
        <x:v>9915973</x:v>
      </x:c>
      <x:c r="D137" s="110"/>
      <x:c r="E137" s="102"/>
      <x:c r="F137" s="102"/>
      <x:c r="G137" s="102"/>
      <x:c r="H137" s="102"/>
      <x:c r="I137" s="102"/>
      <x:c r="J137" s="102" t="str">
        <x:v>IMO populated</x:v>
      </x:c>
      <x:c r="K137" s="102" t="str">
        <x:v>2026-09-07</x:v>
      </x:c>
      <x:c r="L137" s="102" t="str">
        <x:v>SRC_0102</x:v>
      </x:c>
      <x:c r="M137" s="102" t="str">
        <x:v>Primary IMO retained in canonical Vessels; additional national identifiers to be populated for ferry and domestic fleets.</x:v>
      </x:c>
      <x:c r="N137" s="102"/>
    </x:row>
    <x:row r="138">
      <x:c r="A138" s="102" t="str">
        <x:v>VESSEL_00137</x:v>
      </x:c>
      <x:c r="B138" s="102" t="str">
        <x:v>CHENNAI VOYAGER</x:v>
      </x:c>
      <x:c r="C138" s="110" t="str">
        <x:v>9153410</x:v>
      </x:c>
      <x:c r="D138" s="110"/>
      <x:c r="E138" s="102"/>
      <x:c r="F138" s="102"/>
      <x:c r="G138" s="102"/>
      <x:c r="H138" s="102"/>
      <x:c r="I138" s="102" t="str">
        <x:v>Panama</x:v>
      </x:c>
      <x:c r="J138" s="102" t="str">
        <x:v>Panama</x:v>
      </x:c>
      <x:c r="K138" s="102" t="str">
        <x:v>2026-09-07</x:v>
      </x:c>
      <x:c r="L138" s="102" t="str">
        <x:v>SRC_0102</x:v>
      </x:c>
      <x:c r="M138" s="102" t="str">
        <x:v>Primary IMO retained in canonical Vessels; additional national identifiers to be populated for ferry and domestic fleets.</x:v>
      </x:c>
      <x:c r="N138" s="102"/>
    </x:row>
    <x:row r="139">
      <x:c r="A139" s="102" t="str">
        <x:v>VESSEL_00138</x:v>
      </x:c>
      <x:c r="B139" s="102" t="str">
        <x:v>SENDAI TRADER</x:v>
      </x:c>
      <x:c r="C139" s="110" t="str">
        <x:v>9397107</x:v>
      </x:c>
      <x:c r="D139" s="110"/>
      <x:c r="E139" s="102"/>
      <x:c r="F139" s="102"/>
      <x:c r="G139" s="102"/>
      <x:c r="H139" s="102"/>
      <x:c r="I139" s="102" t="str">
        <x:v>Korea</x:v>
      </x:c>
      <x:c r="J139" s="102" t="str">
        <x:v>Korea</x:v>
      </x:c>
      <x:c r="K139" s="102" t="str">
        <x:v>2026-09-07</x:v>
      </x:c>
      <x:c r="L139" s="102" t="str">
        <x:v>SRC_0102</x:v>
      </x:c>
      <x:c r="M139" s="102" t="str">
        <x:v>Primary IMO retained in canonical Vessels; additional national identifiers to be populated for ferry and domestic fleets.</x:v>
      </x:c>
      <x:c r="N139" s="102"/>
    </x:row>
    <x:row r="140">
      <x:c r="A140" s="102" t="str">
        <x:v>VESSEL_00139</x:v>
      </x:c>
      <x:c r="B140" s="102" t="str">
        <x:v>QINGDAO TRADER</x:v>
      </x:c>
      <x:c r="C140" s="110" t="str">
        <x:v>9915985</x:v>
      </x:c>
      <x:c r="D140" s="110"/>
      <x:c r="E140" s="102"/>
      <x:c r="F140" s="102"/>
      <x:c r="G140" s="102"/>
      <x:c r="H140" s="102"/>
      <x:c r="I140" s="102"/>
      <x:c r="J140" s="102" t="str">
        <x:v>IMO populated</x:v>
      </x:c>
      <x:c r="K140" s="102" t="str">
        <x:v>2026-09-07</x:v>
      </x:c>
      <x:c r="L140" s="102" t="str">
        <x:v>SRC_0102</x:v>
      </x:c>
      <x:c r="M140" s="102" t="str">
        <x:v>Primary IMO retained in canonical Vessels; additional national identifiers to be populated for ferry and domestic fleets.</x:v>
      </x:c>
      <x:c r="N140" s="102"/>
    </x:row>
    <x:row r="141">
      <x:c r="A141" s="102" t="str">
        <x:v>VESSEL_00140</x:v>
      </x:c>
      <x:c r="B141" s="102" t="str">
        <x:v>YANGTZE TRADER</x:v>
      </x:c>
      <x:c r="C141" s="110" t="str">
        <x:v>9915997</x:v>
      </x:c>
      <x:c r="D141" s="110"/>
      <x:c r="E141" s="102"/>
      <x:c r="F141" s="102"/>
      <x:c r="G141" s="102"/>
      <x:c r="H141" s="102"/>
      <x:c r="I141" s="102"/>
      <x:c r="J141" s="102" t="str">
        <x:v>IMO populated</x:v>
      </x:c>
      <x:c r="K141" s="102" t="str">
        <x:v>2026-09-07</x:v>
      </x:c>
      <x:c r="L141" s="102" t="str">
        <x:v>SRC_0102</x:v>
      </x:c>
      <x:c r="M141" s="102" t="str">
        <x:v>Primary IMO retained in canonical Vessels; additional national identifiers to be populated for ferry and domestic fleets.</x:v>
      </x:c>
      <x:c r="N141" s="102"/>
    </x:row>
    <x:row r="142">
      <x:c r="A142" s="102" t="str">
        <x:v>VESSEL_00141</x:v>
      </x:c>
      <x:c r="B142" s="102" t="str">
        <x:v>NO.2 OCEAN PIONEER</x:v>
      </x:c>
      <x:c r="C142" s="110" t="str">
        <x:v>9340439</x:v>
      </x:c>
      <x:c r="D142" s="110"/>
      <x:c r="E142" s="102"/>
      <x:c r="F142" s="102"/>
      <x:c r="G142" s="102"/>
      <x:c r="H142" s="102"/>
      <x:c r="I142" s="102"/>
      <x:c r="J142" s="102" t="str">
        <x:v>IMO populated</x:v>
      </x:c>
      <x:c r="K142" s="102" t="str">
        <x:v>2026-09-07</x:v>
      </x:c>
      <x:c r="L142" s="102" t="str">
        <x:v>SRC_0102</x:v>
      </x:c>
      <x:c r="M142" s="102" t="str">
        <x:v>Primary IMO retained in canonical Vessels; additional national identifiers to be populated for ferry and domestic fleets.</x:v>
      </x:c>
      <x:c r="N142" s="102"/>
    </x:row>
    <x:row r="143">
      <x:c r="A143" s="102" t="str">
        <x:v>VESSEL_00142</x:v>
      </x:c>
      <x:c r="B143" s="102" t="str">
        <x:v>OCEAN PIONEER</x:v>
      </x:c>
      <x:c r="C143" s="110" t="str">
        <x:v>9347152</x:v>
      </x:c>
      <x:c r="D143" s="110"/>
      <x:c r="E143" s="102"/>
      <x:c r="F143" s="102"/>
      <x:c r="G143" s="102"/>
      <x:c r="H143" s="102"/>
      <x:c r="I143" s="102"/>
      <x:c r="J143" s="102" t="str">
        <x:v>IMO populated</x:v>
      </x:c>
      <x:c r="K143" s="102" t="str">
        <x:v>2026-09-07</x:v>
      </x:c>
      <x:c r="L143" s="102" t="str">
        <x:v>SRC_0102</x:v>
      </x:c>
      <x:c r="M143" s="102" t="str">
        <x:v>Primary IMO retained in canonical Vessels; additional national identifiers to be populated for ferry and domestic fleets.</x:v>
      </x:c>
      <x:c r="N143" s="102"/>
    </x:row>
    <x:row r="144">
      <x:c r="A144" s="102" t="str">
        <x:v>VESSEL_00143</x:v>
      </x:c>
      <x:c r="B144" s="102" t="str">
        <x:v>SAWASDEE CHITTAGONG</x:v>
      </x:c>
      <x:c r="C144" s="110" t="str">
        <x:v>9940758</x:v>
      </x:c>
      <x:c r="D144" s="110"/>
      <x:c r="E144" s="102"/>
      <x:c r="F144" s="102"/>
      <x:c r="G144" s="102"/>
      <x:c r="H144" s="102"/>
      <x:c r="I144" s="102"/>
      <x:c r="J144" s="102" t="str">
        <x:v>IMO populated</x:v>
      </x:c>
      <x:c r="K144" s="102" t="str">
        <x:v>2026-09-07</x:v>
      </x:c>
      <x:c r="L144" s="102" t="str">
        <x:v>SRC_0102</x:v>
      </x:c>
      <x:c r="M144" s="102" t="str">
        <x:v>Primary IMO retained in canonical Vessels; additional national identifiers to be populated for ferry and domestic fleets.</x:v>
      </x:c>
      <x:c r="N144" s="102"/>
    </x:row>
    <x:row r="145">
      <x:c r="A145" s="102" t="str">
        <x:v>VESSEL_00144</x:v>
      </x:c>
      <x:c r="B145" s="102" t="str">
        <x:v>SAWASDEE SHANGHAI</x:v>
      </x:c>
      <x:c r="C145" s="110" t="str">
        <x:v>9940760</x:v>
      </x:c>
      <x:c r="D145" s="110"/>
      <x:c r="E145" s="102"/>
      <x:c r="F145" s="102"/>
      <x:c r="G145" s="102"/>
      <x:c r="H145" s="102"/>
      <x:c r="I145" s="102"/>
      <x:c r="J145" s="102" t="str">
        <x:v>IMO populated</x:v>
      </x:c>
      <x:c r="K145" s="102" t="str">
        <x:v>2026-09-07</x:v>
      </x:c>
      <x:c r="L145" s="102" t="str">
        <x:v>SRC_0102</x:v>
      </x:c>
      <x:c r="M145" s="102" t="str">
        <x:v>Primary IMO retained in canonical Vessels; additional national identifiers to be populated for ferry and domestic fleets.</x:v>
      </x:c>
      <x:c r="N145" s="102"/>
    </x:row>
    <x:row r="146">
      <x:c r="A146" s="102" t="str">
        <x:v>VESSEL_00145</x:v>
      </x:c>
      <x:c r="B146" s="102" t="str">
        <x:v>SAWASDEE XIAMEN</x:v>
      </x:c>
      <x:c r="C146" s="110" t="str">
        <x:v>9940772</x:v>
      </x:c>
      <x:c r="D146" s="110"/>
      <x:c r="E146" s="102"/>
      <x:c r="F146" s="102"/>
      <x:c r="G146" s="102"/>
      <x:c r="H146" s="102"/>
      <x:c r="I146" s="102"/>
      <x:c r="J146" s="102" t="str">
        <x:v>IMO populated</x:v>
      </x:c>
      <x:c r="K146" s="102" t="str">
        <x:v>2026-09-07</x:v>
      </x:c>
      <x:c r="L146" s="102" t="str">
        <x:v>SRC_0102</x:v>
      </x:c>
      <x:c r="M146" s="102" t="str">
        <x:v>Primary IMO retained in canonical Vessels; additional national identifiers to be populated for ferry and domestic fleets.</x:v>
      </x:c>
      <x:c r="N146" s="102"/>
    </x:row>
    <x:row r="147">
      <x:c r="A147" s="102" t="str">
        <x:v>VESSEL_00146</x:v>
      </x:c>
      <x:c r="B147" s="102" t="str">
        <x:v>SAWASDEE INCHEON</x:v>
      </x:c>
      <x:c r="C147" s="110" t="str">
        <x:v>9940784</x:v>
      </x:c>
      <x:c r="D147" s="110"/>
      <x:c r="E147" s="102"/>
      <x:c r="F147" s="102"/>
      <x:c r="G147" s="102"/>
      <x:c r="H147" s="102"/>
      <x:c r="I147" s="102"/>
      <x:c r="J147" s="102" t="str">
        <x:v>IMO populated</x:v>
      </x:c>
      <x:c r="K147" s="102" t="str">
        <x:v>2026-09-07</x:v>
      </x:c>
      <x:c r="L147" s="102" t="str">
        <x:v>SRC_0102</x:v>
      </x:c>
      <x:c r="M147" s="102" t="str">
        <x:v>Primary IMO retained in canonical Vessels; additional national identifiers to be populated for ferry and domestic fleets.</x:v>
      </x:c>
      <x:c r="N147" s="102"/>
    </x:row>
    <x:row r="148">
      <x:c r="A148" s="102" t="str">
        <x:v>VESSEL_00147</x:v>
      </x:c>
      <x:c r="B148" s="102" t="str">
        <x:v>SAWASDEE SIRIUS</x:v>
      </x:c>
      <x:c r="C148" s="110" t="str">
        <x:v>9943774</x:v>
      </x:c>
      <x:c r="D148" s="110"/>
      <x:c r="E148" s="102"/>
      <x:c r="F148" s="102"/>
      <x:c r="G148" s="102"/>
      <x:c r="H148" s="102"/>
      <x:c r="I148" s="102"/>
      <x:c r="J148" s="102" t="str">
        <x:v>IMO populated</x:v>
      </x:c>
      <x:c r="K148" s="102" t="str">
        <x:v>2026-09-07</x:v>
      </x:c>
      <x:c r="L148" s="102" t="str">
        <x:v>SRC_0102</x:v>
      </x:c>
      <x:c r="M148" s="102" t="str">
        <x:v>Primary IMO retained in canonical Vessels; additional national identifiers to be populated for ferry and domestic fleets.</x:v>
      </x:c>
      <x:c r="N148" s="102"/>
    </x:row>
    <x:row r="149">
      <x:c r="A149" s="102" t="str">
        <x:v>VESSEL_00148</x:v>
      </x:c>
      <x:c r="B149" s="102" t="str">
        <x:v>SAWASDEE VEGA</x:v>
      </x:c>
      <x:c r="C149" s="110" t="str">
        <x:v>9943786</x:v>
      </x:c>
      <x:c r="D149" s="110"/>
      <x:c r="E149" s="102"/>
      <x:c r="F149" s="102"/>
      <x:c r="G149" s="102"/>
      <x:c r="H149" s="102"/>
      <x:c r="I149" s="102"/>
      <x:c r="J149" s="102" t="str">
        <x:v>IMO populated</x:v>
      </x:c>
      <x:c r="K149" s="102" t="str">
        <x:v>2026-09-07</x:v>
      </x:c>
      <x:c r="L149" s="102" t="str">
        <x:v>SRC_0102</x:v>
      </x:c>
      <x:c r="M149" s="102" t="str">
        <x:v>Primary IMO retained in canonical Vessels; additional national identifiers to be populated for ferry and domestic fleets.</x:v>
      </x:c>
      <x:c r="N149" s="102"/>
    </x:row>
    <x:row r="150">
      <x:c r="A150" s="102" t="str">
        <x:v>VESSEL_00149</x:v>
      </x:c>
      <x:c r="B150" s="102" t="str">
        <x:v>SAWASDEE CAPELLA</x:v>
      </x:c>
      <x:c r="C150" s="110" t="str">
        <x:v>9943798</x:v>
      </x:c>
      <x:c r="D150" s="110"/>
      <x:c r="E150" s="102"/>
      <x:c r="F150" s="102"/>
      <x:c r="G150" s="102"/>
      <x:c r="H150" s="102"/>
      <x:c r="I150" s="102"/>
      <x:c r="J150" s="102" t="str">
        <x:v>IMO populated</x:v>
      </x:c>
      <x:c r="K150" s="102" t="str">
        <x:v>2026-09-07</x:v>
      </x:c>
      <x:c r="L150" s="102" t="str">
        <x:v>SRC_0102</x:v>
      </x:c>
      <x:c r="M150" s="102" t="str">
        <x:v>Primary IMO retained in canonical Vessels; additional national identifiers to be populated for ferry and domestic fleets.</x:v>
      </x:c>
      <x:c r="N150" s="102"/>
    </x:row>
    <x:row r="151">
      <x:c r="A151" s="102" t="str">
        <x:v>VESSEL_00150</x:v>
      </x:c>
      <x:c r="B151" s="102" t="str">
        <x:v>SAWASDEE RIGEL</x:v>
      </x:c>
      <x:c r="C151" s="110" t="str">
        <x:v>9943803</x:v>
      </x:c>
      <x:c r="D151" s="110"/>
      <x:c r="E151" s="102"/>
      <x:c r="F151" s="102"/>
      <x:c r="G151" s="102"/>
      <x:c r="H151" s="102"/>
      <x:c r="I151" s="102"/>
      <x:c r="J151" s="102" t="str">
        <x:v>IMO populated</x:v>
      </x:c>
      <x:c r="K151" s="102" t="str">
        <x:v>2026-09-07</x:v>
      </x:c>
      <x:c r="L151" s="102" t="str">
        <x:v>SRC_0102</x:v>
      </x:c>
      <x:c r="M151" s="102" t="str">
        <x:v>Primary IMO retained in canonical Vessels; additional national identifiers to be populated for ferry and domestic fleets.</x:v>
      </x:c>
      <x:c r="N151" s="102"/>
    </x:row>
    <x:row r="152">
      <x:c r="A152" s="102" t="str">
        <x:v>VESSEL_00151</x:v>
      </x:c>
      <x:c r="B152" s="102" t="str">
        <x:v>SAWASDEE ALTAIR</x:v>
      </x:c>
      <x:c r="C152" s="110" t="str">
        <x:v>9946635</x:v>
      </x:c>
      <x:c r="D152" s="110"/>
      <x:c r="E152" s="102"/>
      <x:c r="F152" s="102"/>
      <x:c r="G152" s="102"/>
      <x:c r="H152" s="102"/>
      <x:c r="I152" s="102"/>
      <x:c r="J152" s="102" t="str">
        <x:v>IMO populated</x:v>
      </x:c>
      <x:c r="K152" s="102" t="str">
        <x:v>2026-09-07</x:v>
      </x:c>
      <x:c r="L152" s="102" t="str">
        <x:v>SRC_0102</x:v>
      </x:c>
      <x:c r="M152" s="102" t="str">
        <x:v>Primary IMO retained in canonical Vessels; additional national identifiers to be populated for ferry and domestic fleets.</x:v>
      </x:c>
      <x:c r="N152" s="102"/>
    </x:row>
    <x:row r="153">
      <x:c r="A153" s="102" t="str">
        <x:v>VESSEL_00152</x:v>
      </x:c>
      <x:c r="B153" s="102" t="str">
        <x:v>SAWASDEE SPICA</x:v>
      </x:c>
      <x:c r="C153" s="110" t="str">
        <x:v>9946647</x:v>
      </x:c>
      <x:c r="D153" s="110"/>
      <x:c r="E153" s="102"/>
      <x:c r="F153" s="102"/>
      <x:c r="G153" s="102"/>
      <x:c r="H153" s="102"/>
      <x:c r="I153" s="102"/>
      <x:c r="J153" s="102" t="str">
        <x:v>IMO populated</x:v>
      </x:c>
      <x:c r="K153" s="102" t="str">
        <x:v>2026-09-07</x:v>
      </x:c>
      <x:c r="L153" s="102" t="str">
        <x:v>SRC_0102</x:v>
      </x:c>
      <x:c r="M153" s="102" t="str">
        <x:v>Primary IMO retained in canonical Vessels; additional national identifiers to be populated for ferry and domestic fleets.</x:v>
      </x:c>
      <x:c r="N153" s="102"/>
    </x:row>
    <x:row r="154">
      <x:c r="A154" s="102" t="str">
        <x:v>VESSEL_00153</x:v>
      </x:c>
      <x:c r="B154" s="102" t="str">
        <x:v>SAWASDEE DENEB</x:v>
      </x:c>
      <x:c r="C154" s="110" t="str">
        <x:v>9946659</x:v>
      </x:c>
      <x:c r="D154" s="110"/>
      <x:c r="E154" s="102"/>
      <x:c r="F154" s="102"/>
      <x:c r="G154" s="102"/>
      <x:c r="H154" s="102"/>
      <x:c r="I154" s="102"/>
      <x:c r="J154" s="102" t="str">
        <x:v>IMO populated</x:v>
      </x:c>
      <x:c r="K154" s="102" t="str">
        <x:v>2026-09-07</x:v>
      </x:c>
      <x:c r="L154" s="102" t="str">
        <x:v>SRC_0102</x:v>
      </x:c>
      <x:c r="M154" s="102" t="str">
        <x:v>Primary IMO retained in canonical Vessels; additional national identifiers to be populated for ferry and domestic fleets.</x:v>
      </x:c>
      <x:c r="N154" s="102"/>
    </x:row>
    <x:row r="155">
      <x:c r="A155" s="102" t="str">
        <x:v>VESSEL_00154</x:v>
      </x:c>
      <x:c r="B155" s="102" t="str">
        <x:v>YEOSU VOYAGER</x:v>
      </x:c>
      <x:c r="C155" s="110" t="str">
        <x:v>9963138</x:v>
      </x:c>
      <x:c r="D155" s="110"/>
      <x:c r="E155" s="102"/>
      <x:c r="F155" s="102"/>
      <x:c r="G155" s="102"/>
      <x:c r="H155" s="102"/>
      <x:c r="I155" s="102" t="str">
        <x:v>Panama</x:v>
      </x:c>
      <x:c r="J155" s="102" t="str">
        <x:v>Panama</x:v>
      </x:c>
      <x:c r="K155" s="102" t="str">
        <x:v>2026-09-07</x:v>
      </x:c>
      <x:c r="L155" s="102" t="str">
        <x:v>SRC_0102</x:v>
      </x:c>
      <x:c r="M155" s="102" t="str">
        <x:v>Primary IMO retained in canonical Vessels; additional national identifiers to be populated for ferry and domestic fleets.</x:v>
      </x:c>
      <x:c r="N155" s="102"/>
    </x:row>
    <x:row r="156">
      <x:c r="A156" s="102" t="str">
        <x:v>VESSEL_00155</x:v>
      </x:c>
      <x:c r="B156" s="102" t="str">
        <x:v>INCHEON VOYAGER</x:v>
      </x:c>
      <x:c r="C156" s="110" t="str">
        <x:v>9963140</x:v>
      </x:c>
      <x:c r="D156" s="110"/>
      <x:c r="E156" s="102"/>
      <x:c r="F156" s="102"/>
      <x:c r="G156" s="102"/>
      <x:c r="H156" s="102"/>
      <x:c r="I156" s="102" t="str">
        <x:v>Panama</x:v>
      </x:c>
      <x:c r="J156" s="102" t="str">
        <x:v>Panama</x:v>
      </x:c>
      <x:c r="K156" s="102" t="str">
        <x:v>2026-09-07</x:v>
      </x:c>
      <x:c r="L156" s="102" t="str">
        <x:v>SRC_0102</x:v>
      </x:c>
      <x:c r="M156" s="102" t="str">
        <x:v>Primary IMO retained in canonical Vessels; additional national identifiers to be populated for ferry and domestic fleets.</x:v>
      </x:c>
      <x:c r="N156" s="102"/>
    </x:row>
    <x:row r="157">
      <x:c r="A157" s="102" t="str">
        <x:v>VESSEL_00156</x:v>
      </x:c>
      <x:c r="B157" s="102" t="str">
        <x:v>ULSAN VOYAGER</x:v>
      </x:c>
      <x:c r="C157" s="110" t="str">
        <x:v>9963152</x:v>
      </x:c>
      <x:c r="D157" s="110"/>
      <x:c r="E157" s="102"/>
      <x:c r="F157" s="102"/>
      <x:c r="G157" s="102"/>
      <x:c r="H157" s="102"/>
      <x:c r="I157" s="102" t="str">
        <x:v>Panama</x:v>
      </x:c>
      <x:c r="J157" s="102" t="str">
        <x:v>Panama</x:v>
      </x:c>
      <x:c r="K157" s="102" t="str">
        <x:v>2026-09-07</x:v>
      </x:c>
      <x:c r="L157" s="102" t="str">
        <x:v>SRC_0102</x:v>
      </x:c>
      <x:c r="M157" s="102" t="str">
        <x:v>Primary IMO retained in canonical Vessels; additional national identifiers to be populated for ferry and domestic fleets.</x:v>
      </x:c>
      <x:c r="N157" s="102"/>
    </x:row>
    <x:row r="158">
      <x:c r="A158" s="102" t="str">
        <x:v>VESSEL_00157</x:v>
      </x:c>
      <x:c r="B158" s="102" t="str">
        <x:v>SAWASDEE MIMOSA</x:v>
      </x:c>
      <x:c r="C158" s="110" t="str">
        <x:v>9946661</x:v>
      </x:c>
      <x:c r="D158" s="110"/>
      <x:c r="E158" s="102"/>
      <x:c r="F158" s="102"/>
      <x:c r="G158" s="102"/>
      <x:c r="H158" s="102"/>
      <x:c r="I158" s="102"/>
      <x:c r="J158" s="102" t="str">
        <x:v>IMO populated</x:v>
      </x:c>
      <x:c r="K158" s="102" t="str">
        <x:v>2026-09-07</x:v>
      </x:c>
      <x:c r="L158" s="102" t="str">
        <x:v>SRC_0102</x:v>
      </x:c>
      <x:c r="M158" s="102" t="str">
        <x:v>Primary IMO retained in canonical Vessels; additional national identifiers to be populated for ferry and domestic fleets.</x:v>
      </x:c>
      <x:c r="N158" s="102"/>
    </x:row>
    <x:row r="159">
      <x:c r="A159" s="102" t="str">
        <x:v>VESSEL_00158</x:v>
      </x:c>
      <x:c r="B159" s="102" t="str">
        <x:v>TOYAMA TRADER</x:v>
      </x:c>
      <x:c r="C159" s="110" t="str">
        <x:v>9968114</x:v>
      </x:c>
      <x:c r="D159" s="110"/>
      <x:c r="E159" s="102"/>
      <x:c r="F159" s="102"/>
      <x:c r="G159" s="102"/>
      <x:c r="H159" s="102"/>
      <x:c r="I159" s="102"/>
      <x:c r="J159" s="102" t="str">
        <x:v>IMO populated</x:v>
      </x:c>
      <x:c r="K159" s="102" t="str">
        <x:v>2026-09-07</x:v>
      </x:c>
      <x:c r="L159" s="102" t="str">
        <x:v>SRC_0102</x:v>
      </x:c>
      <x:c r="M159" s="102" t="str">
        <x:v>Primary IMO retained in canonical Vessels; additional national identifiers to be populated for ferry and domestic fleets.</x:v>
      </x:c>
      <x:c r="N159" s="102"/>
    </x:row>
    <x:row r="160">
      <x:c r="A160" s="102" t="str">
        <x:v>VESSEL_00159</x:v>
      </x:c>
      <x:c r="B160" s="102" t="str">
        <x:v>KWANGYANG VOYAGER</x:v>
      </x:c>
      <x:c r="C160" s="110" t="str">
        <x:v>9963164</x:v>
      </x:c>
      <x:c r="D160" s="110"/>
      <x:c r="E160" s="102"/>
      <x:c r="F160" s="102"/>
      <x:c r="G160" s="102"/>
      <x:c r="H160" s="102"/>
      <x:c r="I160" s="102" t="str">
        <x:v>Panama</x:v>
      </x:c>
      <x:c r="J160" s="102" t="str">
        <x:v>Panama</x:v>
      </x:c>
      <x:c r="K160" s="102" t="str">
        <x:v>2026-09-07</x:v>
      </x:c>
      <x:c r="L160" s="102" t="str">
        <x:v>SRC_0102</x:v>
      </x:c>
      <x:c r="M160" s="102" t="str">
        <x:v>Primary IMO retained in canonical Vessels; additional national identifiers to be populated for ferry and domestic fleets.</x:v>
      </x:c>
      <x:c r="N160" s="102"/>
    </x:row>
    <x:row r="161">
      <x:c r="A161" s="102" t="str">
        <x:v>VESSEL_00160</x:v>
      </x:c>
      <x:c r="B161" s="102" t="str">
        <x:v>AKITA TRADER</x:v>
      </x:c>
      <x:c r="C161" s="110" t="str">
        <x:v>9968126</x:v>
      </x:c>
      <x:c r="D161" s="110"/>
      <x:c r="E161" s="102"/>
      <x:c r="F161" s="102"/>
      <x:c r="G161" s="102"/>
      <x:c r="H161" s="102"/>
      <x:c r="I161" s="102" t="str">
        <x:v>Liberia</x:v>
      </x:c>
      <x:c r="J161" s="102" t="str">
        <x:v>Liberia</x:v>
      </x:c>
      <x:c r="K161" s="102" t="str">
        <x:v>2026-09-07</x:v>
      </x:c>
      <x:c r="L161" s="102" t="str">
        <x:v>SRC_0102</x:v>
      </x:c>
      <x:c r="M161" s="102" t="str">
        <x:v>Primary IMO retained in canonical Vessels; additional national identifiers to be populated for ferry and domestic fleets.</x:v>
      </x:c>
      <x:c r="N161" s="102"/>
    </x:row>
    <x:row r="162">
      <x:c r="A162" s="102" t="str">
        <x:v>VESSEL_00161</x:v>
      </x:c>
      <x:c r="B162" s="102" t="str">
        <x:v>MELBOURNE BRIDGE</x:v>
      </x:c>
      <x:c r="C162" s="110" t="str">
        <x:v>9967287</x:v>
      </x:c>
      <x:c r="D162" s="110"/>
      <x:c r="E162" s="102"/>
      <x:c r="F162" s="102"/>
      <x:c r="G162" s="102"/>
      <x:c r="H162" s="102"/>
      <x:c r="I162" s="102" t="str">
        <x:v>Liberia</x:v>
      </x:c>
      <x:c r="J162" s="102" t="str">
        <x:v>Liberia</x:v>
      </x:c>
      <x:c r="K162" s="102" t="str">
        <x:v>2026-09-07</x:v>
      </x:c>
      <x:c r="L162" s="102" t="str">
        <x:v>SRC_0102</x:v>
      </x:c>
      <x:c r="M162" s="102" t="str">
        <x:v>Primary IMO retained in canonical Vessels; additional national identifiers to be populated for ferry and domestic fleets.</x:v>
      </x:c>
      <x:c r="N162" s="102"/>
    </x:row>
    <x:row r="163">
      <x:c r="A163" s="102" t="str">
        <x:v>VESSEL_00162</x:v>
      </x:c>
      <x:c r="B163" s="102" t="str">
        <x:v>SYDNEY BRIDGE</x:v>
      </x:c>
      <x:c r="C163" s="110" t="str">
        <x:v>9967304</x:v>
      </x:c>
      <x:c r="D163" s="110"/>
      <x:c r="E163" s="102"/>
      <x:c r="F163" s="102"/>
      <x:c r="G163" s="102"/>
      <x:c r="H163" s="102"/>
      <x:c r="I163" s="102"/>
      <x:c r="J163" s="102" t="str">
        <x:v>IMO populated</x:v>
      </x:c>
      <x:c r="K163" s="102" t="str">
        <x:v>2026-09-07</x:v>
      </x:c>
      <x:c r="L163" s="102" t="str">
        <x:v>SRC_0102</x:v>
      </x:c>
      <x:c r="M163" s="102" t="str">
        <x:v>Primary IMO retained in canonical Vessels; additional national identifiers to be populated for ferry and domestic fleets.</x:v>
      </x:c>
      <x:c r="N163" s="102"/>
    </x:row>
    <x:row r="164">
      <x:c r="A164" s="102" t="str">
        <x:v>VESSEL_00163</x:v>
      </x:c>
      <x:c r="B164" s="102" t="str">
        <x:v>MOJI EXPRESS</x:v>
      </x:c>
      <x:c r="C164" s="110" t="str">
        <x:v>1056032</x:v>
      </x:c>
      <x:c r="D164" s="110"/>
      <x:c r="E164" s="102"/>
      <x:c r="F164" s="102"/>
      <x:c r="G164" s="102"/>
      <x:c r="H164" s="102"/>
      <x:c r="I164" s="102"/>
      <x:c r="J164" s="102" t="str">
        <x:v>IMO populated</x:v>
      </x:c>
      <x:c r="K164" s="102" t="str">
        <x:v>2026-09-07</x:v>
      </x:c>
      <x:c r="L164" s="102" t="str">
        <x:v>SRC_0102</x:v>
      </x:c>
      <x:c r="M164" s="102" t="str">
        <x:v>Primary IMO retained in canonical Vessels; additional national identifiers to be populated for ferry and domestic fleets.</x:v>
      </x:c>
      <x:c r="N164" s="102"/>
    </x:row>
    <x:row r="165">
      <x:c r="A165" s="102" t="str">
        <x:v>VESSEL_00164</x:v>
      </x:c>
      <x:c r="B165" s="102" t="str">
        <x:v>Asia Excellence</x:v>
      </x:c>
      <x:c r="C165" s="110" t="str">
        <x:v>9610767</x:v>
      </x:c>
      <x:c r="D165" s="110"/>
      <x:c r="E165" s="102"/>
      <x:c r="F165" s="102"/>
      <x:c r="G165" s="102"/>
      <x:c r="H165" s="102"/>
      <x:c r="I165" s="102"/>
      <x:c r="J165" s="102" t="str">
        <x:v>IMO populated</x:v>
      </x:c>
      <x:c r="K165" s="102" t="str">
        <x:v>2026-09-07</x:v>
      </x:c>
      <x:c r="L165" s="102" t="str">
        <x:v>SRC_0105</x:v>
      </x:c>
      <x:c r="M165" s="102" t="str">
        <x:v>Primary IMO retained in canonical Vessels; additional national identifiers to be populated for ferry and domestic fleets.</x:v>
      </x:c>
      <x:c r="N165" s="102"/>
    </x:row>
    <x:row r="166">
      <x:c r="A166" s="102" t="str">
        <x:v>VESSEL_00165</x:v>
      </x:c>
      <x:c r="B166" s="102" t="str">
        <x:v>P. Long Beach</x:v>
      </x:c>
      <x:c r="C166" s="110" t="str">
        <x:v>9656890</x:v>
      </x:c>
      <x:c r="D166" s="110"/>
      <x:c r="E166" s="102"/>
      <x:c r="F166" s="102"/>
      <x:c r="G166" s="102"/>
      <x:c r="H166" s="102"/>
      <x:c r="I166" s="102"/>
      <x:c r="J166" s="102" t="str">
        <x:v>IMO populated</x:v>
      </x:c>
      <x:c r="K166" s="102" t="str">
        <x:v>2026-09-07</x:v>
      </x:c>
      <x:c r="L166" s="102" t="str">
        <x:v>SRC_0109</x:v>
      </x:c>
      <x:c r="M166" s="102" t="str">
        <x:v>Primary IMO retained in canonical Vessels; additional national identifiers to be populated for ferry and domestic fleets.</x:v>
      </x:c>
      <x:c r="N166" s="102"/>
    </x:row>
    <x:row r="167">
      <x:c r="A167" s="102" t="str">
        <x:v>VESSEL_00166</x:v>
      </x:c>
      <x:c r="B167" s="102" t="str">
        <x:v>Largo Eagle</x:v>
      </x:c>
      <x:c r="C167" s="110" t="str">
        <x:v>9935911</x:v>
      </x:c>
      <x:c r="D167" s="110"/>
      <x:c r="E167" s="102"/>
      <x:c r="F167" s="102"/>
      <x:c r="G167" s="102"/>
      <x:c r="H167" s="102"/>
      <x:c r="I167" s="102"/>
      <x:c r="J167" s="102" t="str">
        <x:v>IMO populated</x:v>
      </x:c>
      <x:c r="K167" s="102" t="str">
        <x:v>2026-09-07</x:v>
      </x:c>
      <x:c r="L167" s="102" t="str">
        <x:v>SRC_0110</x:v>
      </x:c>
      <x:c r="M167" s="102" t="str">
        <x:v>Primary IMO retained in canonical Vessels; additional national identifiers to be populated for ferry and domestic fleets.</x:v>
      </x:c>
      <x:c r="N167" s="102"/>
    </x:row>
    <x:row r="168">
      <x:c r="A168" s="102" t="str">
        <x:v>VESSEL_00167</x:v>
      </x:c>
      <x:c r="B168" s="102" t="str">
        <x:v>Nord Ventura</x:v>
      </x:c>
      <x:c r="C168" s="110" t="str">
        <x:v>9910337</x:v>
      </x:c>
      <x:c r="D168" s="110"/>
      <x:c r="E168" s="102"/>
      <x:c r="F168" s="102"/>
      <x:c r="G168" s="102"/>
      <x:c r="H168" s="102"/>
      <x:c r="I168" s="102"/>
      <x:c r="J168" s="102" t="str">
        <x:v>IMO populated</x:v>
      </x:c>
      <x:c r="K168" s="102" t="str">
        <x:v>2026-09-07</x:v>
      </x:c>
      <x:c r="L168" s="102" t="str">
        <x:v>SRC_0110</x:v>
      </x:c>
      <x:c r="M168" s="102" t="str">
        <x:v>Primary IMO retained in canonical Vessels; additional national identifiers to be populated for ferry and domestic fleets.</x:v>
      </x:c>
      <x:c r="N168" s="102"/>
    </x:row>
    <x:row r="169">
      <x:c r="A169" s="102" t="str">
        <x:v>VESSEL_00168</x:v>
      </x:c>
      <x:c r="B169" s="102" t="str">
        <x:v>Rex Tillerson</x:v>
      </x:c>
      <x:c r="C169" s="110" t="str">
        <x:v>9953248</x:v>
      </x:c>
      <x:c r="D169" s="110"/>
      <x:c r="E169" s="102"/>
      <x:c r="F169" s="102"/>
      <x:c r="G169" s="102"/>
      <x:c r="H169" s="102"/>
      <x:c r="I169" s="102"/>
      <x:c r="J169" s="102" t="str">
        <x:v>IMO populated</x:v>
      </x:c>
      <x:c r="K169" s="102" t="str">
        <x:v>2026-09-07</x:v>
      </x:c>
      <x:c r="L169" s="102" t="str">
        <x:v>SRC_0086</x:v>
      </x:c>
      <x:c r="M169" s="102" t="str">
        <x:v>Primary IMO retained in canonical Vessels; additional national identifiers to be populated for ferry and domestic fleets.</x:v>
      </x:c>
      <x:c r="N169" s="102"/>
    </x:row>
    <x:row r="170">
      <x:c r="A170" s="102" t="str">
        <x:v>VESSEL_00169</x:v>
      </x:c>
      <x:c r="B170" s="102" t="str">
        <x:v>CAPT. KATTELMANN</x:v>
      </x:c>
      <x:c r="C170" s="110" t="str">
        <x:v>9330915</x:v>
      </x:c>
      <x:c r="D170" s="110" t="str">
        <x:v>249831000</x:v>
      </x:c>
      <x:c r="E170" s="102"/>
      <x:c r="F170" s="102"/>
      <x:c r="G170" s="102"/>
      <x:c r="H170" s="102" t="str">
        <x:v>9HA6400</x:v>
      </x:c>
      <x:c r="I170" s="102"/>
      <x:c r="J170" s="102" t="str">
        <x:v>Malta</x:v>
      </x:c>
      <x:c r="K170" s="102" t="str">
        <x:v>IMO populated</x:v>
      </x:c>
      <x:c r="L170" s="102" t="str">
        <x:v>2026-09-07</x:v>
      </x:c>
      <x:c r="M170" s="102" t="str">
        <x:v>SRC_0179</x:v>
      </x:c>
      <x:c r="N170" s="102" t="str">
        <x:v>Generated from unified canonical vessel record during v1.9 merge.</x:v>
      </x:c>
    </x:row>
    <x:row r="171">
      <x:c r="A171" s="102" t="str">
        <x:v>VESSEL_00170</x:v>
      </x:c>
      <x:c r="B171" s="102" t="str">
        <x:v>ATHENA</x:v>
      </x:c>
      <x:c r="C171" s="110" t="str">
        <x:v>9187344</x:v>
      </x:c>
      <x:c r="D171" s="110" t="str">
        <x:v>377074000</x:v>
      </x:c>
      <x:c r="E171" s="102"/>
      <x:c r="F171" s="102"/>
      <x:c r="G171" s="102"/>
      <x:c r="H171" s="102" t="str">
        <x:v>J8B5445</x:v>
      </x:c>
      <x:c r="I171" s="102"/>
      <x:c r="J171" s="102" t="str">
        <x:v>St Vincent &amp; Grenadines</x:v>
      </x:c>
      <x:c r="K171" s="102" t="str">
        <x:v>IMO populated</x:v>
      </x:c>
      <x:c r="L171" s="102" t="str">
        <x:v>2026-09-07</x:v>
      </x:c>
      <x:c r="M171" s="102" t="str">
        <x:v>SRC_0179</x:v>
      </x:c>
      <x:c r="N171" s="102" t="str">
        <x:v>Generated from unified canonical vessel record during v1.9 merge.</x:v>
      </x:c>
    </x:row>
    <x:row r="172">
      <x:c r="A172" s="102" t="str">
        <x:v>VESSEL_00171</x:v>
      </x:c>
      <x:c r="B172" s="102" t="str">
        <x:v>GFS GALAXY</x:v>
      </x:c>
      <x:c r="C172" s="110" t="str">
        <x:v>9401271</x:v>
      </x:c>
      <x:c r="D172" s="110" t="str">
        <x:v>210154000</x:v>
      </x:c>
      <x:c r="E172" s="102"/>
      <x:c r="F172" s="102"/>
      <x:c r="G172" s="102"/>
      <x:c r="H172" s="102" t="str">
        <x:v>5BWV6</x:v>
      </x:c>
      <x:c r="I172" s="102"/>
      <x:c r="J172" s="102" t="str">
        <x:v>Cyprus</x:v>
      </x:c>
      <x:c r="K172" s="102" t="str">
        <x:v>IMO populated</x:v>
      </x:c>
      <x:c r="L172" s="102" t="str">
        <x:v>2026-09-07</x:v>
      </x:c>
      <x:c r="M172" s="102" t="str">
        <x:v>SRC_0179</x:v>
      </x:c>
      <x:c r="N172" s="102" t="str">
        <x:v>Generated from unified canonical vessel record during v1.9 merge.</x:v>
      </x:c>
    </x:row>
    <x:row r="173">
      <x:c r="A173" s="102" t="str">
        <x:v>VESSEL_00172</x:v>
      </x:c>
      <x:c r="B173" s="102" t="str">
        <x:v>GFS GENESIS</x:v>
      </x:c>
      <x:c r="C173" s="110" t="str">
        <x:v>9704659</x:v>
      </x:c>
      <x:c r="D173" s="110" t="str">
        <x:v>566446000</x:v>
      </x:c>
      <x:c r="E173" s="102"/>
      <x:c r="F173" s="102"/>
      <x:c r="G173" s="102"/>
      <x:c r="H173" s="102"/>
      <x:c r="I173" s="102"/>
      <x:c r="J173" s="102" t="str">
        <x:v>Singapore</x:v>
      </x:c>
      <x:c r="K173" s="102" t="str">
        <x:v>IMO populated</x:v>
      </x:c>
      <x:c r="L173" s="102" t="str">
        <x:v>2026-09-07</x:v>
      </x:c>
      <x:c r="M173" s="102" t="str">
        <x:v>SRC_0179</x:v>
      </x:c>
      <x:c r="N173" s="102" t="str">
        <x:v>Generated from unified canonical vessel record during v1.9 merge.</x:v>
      </x:c>
    </x:row>
    <x:row r="174">
      <x:c r="A174" s="102" t="str">
        <x:v>VESSEL_00173</x:v>
      </x:c>
      <x:c r="B174" s="102" t="str">
        <x:v>GFS PRECIOUS</x:v>
      </x:c>
      <x:c r="C174" s="110" t="str">
        <x:v>9436434</x:v>
      </x:c>
      <x:c r="D174" s="110" t="str">
        <x:v>563164800</x:v>
      </x:c>
      <x:c r="E174" s="102"/>
      <x:c r="F174" s="102"/>
      <x:c r="G174" s="102"/>
      <x:c r="H174" s="102" t="str">
        <x:v>9V8223</x:v>
      </x:c>
      <x:c r="I174" s="102"/>
      <x:c r="J174" s="102" t="str">
        <x:v>Singapore</x:v>
      </x:c>
      <x:c r="K174" s="102" t="str">
        <x:v>IMO populated</x:v>
      </x:c>
      <x:c r="L174" s="102" t="str">
        <x:v>2026-09-07</x:v>
      </x:c>
      <x:c r="M174" s="102" t="str">
        <x:v>SRC_0179</x:v>
      </x:c>
      <x:c r="N174" s="102" t="str">
        <x:v>Generated from unified canonical vessel record during v1.9 merge.</x:v>
      </x:c>
    </x:row>
    <x:row r="175">
      <x:c r="A175" s="102" t="str">
        <x:v>VESSEL_00174</x:v>
      </x:c>
      <x:c r="B175" s="102" t="str">
        <x:v>GFS GISELLE</x:v>
      </x:c>
      <x:c r="C175" s="110" t="str">
        <x:v>9704661</x:v>
      </x:c>
      <x:c r="D175" s="110" t="str">
        <x:v>566456000</x:v>
      </x:c>
      <x:c r="E175" s="102"/>
      <x:c r="F175" s="102"/>
      <x:c r="G175" s="102"/>
      <x:c r="H175" s="102"/>
      <x:c r="I175" s="102"/>
      <x:c r="J175" s="102" t="str">
        <x:v>Singapore</x:v>
      </x:c>
      <x:c r="K175" s="102" t="str">
        <x:v>IMO populated</x:v>
      </x:c>
      <x:c r="L175" s="102" t="str">
        <x:v>2026-09-07</x:v>
      </x:c>
      <x:c r="M175" s="102" t="str">
        <x:v>SRC_0179</x:v>
      </x:c>
      <x:c r="N175" s="102" t="str">
        <x:v>Generated from unified canonical vessel record during v1.9 merge.</x:v>
      </x:c>
    </x:row>
    <x:row r="176">
      <x:c r="A176" s="102" t="str">
        <x:v>VESSEL_00175</x:v>
      </x:c>
      <x:c r="B176" s="102" t="str">
        <x:v>GFS RUBY</x:v>
      </x:c>
      <x:c r="C176" s="110" t="str">
        <x:v>9455909</x:v>
      </x:c>
      <x:c r="D176" s="110" t="str">
        <x:v>563115300</x:v>
      </x:c>
      <x:c r="E176" s="102"/>
      <x:c r="F176" s="102"/>
      <x:c r="G176" s="102"/>
      <x:c r="H176" s="102"/>
      <x:c r="I176" s="102"/>
      <x:c r="J176" s="102" t="str">
        <x:v>Singapore</x:v>
      </x:c>
      <x:c r="K176" s="102" t="str">
        <x:v>IMO populated</x:v>
      </x:c>
      <x:c r="L176" s="102" t="str">
        <x:v>2026-09-07</x:v>
      </x:c>
      <x:c r="M176" s="102" t="str">
        <x:v>SRC_0179</x:v>
      </x:c>
      <x:c r="N176" s="102" t="str">
        <x:v>Generated from unified canonical vessel record during v1.9 merge.</x:v>
      </x:c>
    </x:row>
    <x:row r="177">
      <x:c r="A177" s="102" t="str">
        <x:v>VESSEL_00176</x:v>
      </x:c>
      <x:c r="B177" s="102" t="str">
        <x:v>GFS PRESTIGE</x:v>
      </x:c>
      <x:c r="C177" s="110" t="str">
        <x:v>9303819</x:v>
      </x:c>
      <x:c r="D177" s="110" t="str">
        <x:v>563115900</x:v>
      </x:c>
      <x:c r="E177" s="102"/>
      <x:c r="F177" s="102"/>
      <x:c r="G177" s="102"/>
      <x:c r="H177" s="102" t="str">
        <x:v>9V5726</x:v>
      </x:c>
      <x:c r="I177" s="102"/>
      <x:c r="J177" s="102" t="str">
        <x:v>Singapore</x:v>
      </x:c>
      <x:c r="K177" s="102" t="str">
        <x:v>IMO populated</x:v>
      </x:c>
      <x:c r="L177" s="102" t="str">
        <x:v>2026-09-07</x:v>
      </x:c>
      <x:c r="M177" s="102" t="str">
        <x:v>SRC_0179</x:v>
      </x:c>
      <x:c r="N177" s="102" t="str">
        <x:v>Generated from unified canonical vessel record during v1.9 merge.</x:v>
      </x:c>
    </x:row>
    <x:row r="178">
      <x:c r="A178" s="102" t="str">
        <x:v>VESSEL_00177</x:v>
      </x:c>
      <x:c r="B178" s="102" t="str">
        <x:v>GFS PRIDE</x:v>
      </x:c>
      <x:c r="C178" s="110" t="str">
        <x:v>9349045</x:v>
      </x:c>
      <x:c r="D178" s="110" t="str">
        <x:v>563115400</x:v>
      </x:c>
      <x:c r="E178" s="102"/>
      <x:c r="F178" s="102"/>
      <x:c r="G178" s="102"/>
      <x:c r="H178" s="102" t="str">
        <x:v>9V6902</x:v>
      </x:c>
      <x:c r="I178" s="102"/>
      <x:c r="J178" s="102" t="str">
        <x:v>Singapore</x:v>
      </x:c>
      <x:c r="K178" s="102" t="str">
        <x:v>IMO populated</x:v>
      </x:c>
      <x:c r="L178" s="102" t="str">
        <x:v>2026-09-07</x:v>
      </x:c>
      <x:c r="M178" s="102" t="str">
        <x:v>SRC_0179</x:v>
      </x:c>
      <x:c r="N178" s="102" t="str">
        <x:v>Generated from unified canonical vessel record during v1.9 merge.</x:v>
      </x:c>
    </x:row>
    <x:row r="179">
      <x:c r="A179" s="102" t="str">
        <x:v>VESSEL_00178</x:v>
      </x:c>
      <x:c r="B179" s="102" t="str">
        <x:v>GFS RANNA</x:v>
      </x:c>
      <x:c r="C179" s="110" t="str">
        <x:v>9137569</x:v>
      </x:c>
      <x:c r="D179" s="110" t="str">
        <x:v>377751000</x:v>
      </x:c>
      <x:c r="E179" s="102"/>
      <x:c r="F179" s="102"/>
      <x:c r="G179" s="102"/>
      <x:c r="H179" s="102" t="str">
        <x:v>J8B5561</x:v>
      </x:c>
      <x:c r="I179" s="102"/>
      <x:c r="J179" s="102" t="str">
        <x:v>St Vincent &amp; Grenadines</x:v>
      </x:c>
      <x:c r="K179" s="102" t="str">
        <x:v>IMO populated</x:v>
      </x:c>
      <x:c r="L179" s="102" t="str">
        <x:v>2026-09-07</x:v>
      </x:c>
      <x:c r="M179" s="102" t="str">
        <x:v>SRC_0179</x:v>
      </x:c>
      <x:c r="N179" s="102" t="str">
        <x:v>Generated from unified canonical vessel record during v1.9 merge.</x:v>
      </x:c>
    </x:row>
    <x:row r="180">
      <x:c r="A180" s="102" t="str">
        <x:v>VESSEL_00179</x:v>
      </x:c>
      <x:c r="B180" s="102" t="str">
        <x:v>GFS JADE</x:v>
      </x:c>
      <x:c r="C180" s="110" t="str">
        <x:v>9187863</x:v>
      </x:c>
      <x:c r="D180" s="110" t="str">
        <x:v>377311000</x:v>
      </x:c>
      <x:c r="E180" s="102"/>
      <x:c r="F180" s="102"/>
      <x:c r="G180" s="102"/>
      <x:c r="H180" s="102" t="str">
        <x:v>J8B6169</x:v>
      </x:c>
      <x:c r="I180" s="102"/>
      <x:c r="J180" s="102" t="str">
        <x:v>St Vincent &amp; Grenadines</x:v>
      </x:c>
      <x:c r="K180" s="102" t="str">
        <x:v>IMO populated</x:v>
      </x:c>
      <x:c r="L180" s="102" t="str">
        <x:v>2026-09-07</x:v>
      </x:c>
      <x:c r="M180" s="102" t="str">
        <x:v>SRC_0179</x:v>
      </x:c>
      <x:c r="N180" s="102" t="str">
        <x:v>Generated from unified canonical vessel record during v1.9 merge.</x:v>
      </x:c>
    </x:row>
    <x:row r="181">
      <x:c r="A181" s="102" t="str">
        <x:v>VESSEL_00180</x:v>
      </x:c>
      <x:c r="B181" s="102" t="str">
        <x:v>GFS PERFECT</x:v>
      </x:c>
      <x:c r="C181" s="110" t="str">
        <x:v>9308039</x:v>
      </x:c>
      <x:c r="D181" s="110" t="str">
        <x:v>563127400</x:v>
      </x:c>
      <x:c r="E181" s="102"/>
      <x:c r="F181" s="102"/>
      <x:c r="G181" s="102"/>
      <x:c r="H181" s="102" t="str">
        <x:v>9V7054</x:v>
      </x:c>
      <x:c r="I181" s="102"/>
      <x:c r="J181" s="102" t="str">
        <x:v>Singapore</x:v>
      </x:c>
      <x:c r="K181" s="102" t="str">
        <x:v>IMO populated</x:v>
      </x:c>
      <x:c r="L181" s="102" t="str">
        <x:v>2026-09-07</x:v>
      </x:c>
      <x:c r="M181" s="102" t="str">
        <x:v>SRC_0179</x:v>
      </x:c>
      <x:c r="N181" s="102" t="str">
        <x:v>Generated from unified canonical vessel record during v1.9 merge.</x:v>
      </x:c>
    </x:row>
    <x:row r="182">
      <x:c r="A182" s="102" t="str">
        <x:v>VESSEL_00181</x:v>
      </x:c>
      <x:c r="B182" s="102" t="str">
        <x:v>GFS PEARL</x:v>
      </x:c>
      <x:c r="C182" s="110" t="str">
        <x:v>9320051</x:v>
      </x:c>
      <x:c r="D182" s="110" t="str">
        <x:v>210142000</x:v>
      </x:c>
      <x:c r="E182" s="102"/>
      <x:c r="F182" s="102"/>
      <x:c r="G182" s="102"/>
      <x:c r="H182" s="102" t="str">
        <x:v>5BRP5</x:v>
      </x:c>
      <x:c r="I182" s="102"/>
      <x:c r="J182" s="102" t="str">
        <x:v>Cyprus</x:v>
      </x:c>
      <x:c r="K182" s="102" t="str">
        <x:v>IMO populated</x:v>
      </x:c>
      <x:c r="L182" s="102" t="str">
        <x:v>2026-09-07</x:v>
      </x:c>
      <x:c r="M182" s="102" t="str">
        <x:v>SRC_0179</x:v>
      </x:c>
      <x:c r="N182" s="102" t="str">
        <x:v>Generated from unified canonical vessel record during v1.9 merge.</x:v>
      </x:c>
    </x:row>
    <x:row r="183">
      <x:c r="A183" s="102" t="str">
        <x:v>VESSEL_00182</x:v>
      </x:c>
      <x:c r="B183" s="102" t="str">
        <x:v>GFS JUNO</x:v>
      </x:c>
      <x:c r="C183" s="110" t="str">
        <x:v>9187875</x:v>
      </x:c>
      <x:c r="D183" s="110" t="str">
        <x:v>375751000</x:v>
      </x:c>
      <x:c r="E183" s="102"/>
      <x:c r="F183" s="102"/>
      <x:c r="G183" s="102"/>
      <x:c r="H183" s="102" t="str">
        <x:v>J8B6097</x:v>
      </x:c>
      <x:c r="I183" s="102"/>
      <x:c r="J183" s="102" t="str">
        <x:v>St Vincent &amp; Grenadines</x:v>
      </x:c>
      <x:c r="K183" s="102" t="str">
        <x:v>IMO populated</x:v>
      </x:c>
      <x:c r="L183" s="102" t="str">
        <x:v>2026-09-07</x:v>
      </x:c>
      <x:c r="M183" s="102" t="str">
        <x:v>SRC_0179</x:v>
      </x:c>
      <x:c r="N183" s="102" t="str">
        <x:v>Generated from unified canonical vessel record during v1.9 merge.</x:v>
      </x:c>
    </x:row>
    <x:row r="184">
      <x:c r="A184" s="102" t="str">
        <x:v>VESSEL_00183</x:v>
      </x:c>
      <x:c r="B184" s="102" t="str">
        <x:v>GFS PRIME</x:v>
      </x:c>
      <x:c r="C184" s="110" t="str">
        <x:v>9311749</x:v>
      </x:c>
      <x:c r="D184" s="110" t="str">
        <x:v>209849000</x:v>
      </x:c>
      <x:c r="E184" s="102"/>
      <x:c r="F184" s="102"/>
      <x:c r="G184" s="102"/>
      <x:c r="H184" s="102"/>
      <x:c r="I184" s="102"/>
      <x:c r="J184" s="102" t="str">
        <x:v>Cyprus</x:v>
      </x:c>
      <x:c r="K184" s="102" t="str">
        <x:v>IMO populated</x:v>
      </x:c>
      <x:c r="L184" s="102" t="str">
        <x:v>2026-09-07</x:v>
      </x:c>
      <x:c r="M184" s="102" t="str">
        <x:v>SRC_0179</x:v>
      </x:c>
      <x:c r="N184" s="102" t="str">
        <x:v>Generated from unified canonical vessel record during v1.9 merge.</x:v>
      </x:c>
    </x:row>
    <x:row r="185">
      <x:c r="A185" s="102" t="str">
        <x:v>VESSEL_00184</x:v>
      </x:c>
      <x:c r="B185" s="102" t="str">
        <x:v>GFS SAPPHIRE</x:v>
      </x:c>
      <x:c r="C185" s="110" t="str">
        <x:v>9330927</x:v>
      </x:c>
      <x:c r="D185" s="110" t="str">
        <x:v>249197000</x:v>
      </x:c>
      <x:c r="E185" s="102"/>
      <x:c r="F185" s="102"/>
      <x:c r="G185" s="102"/>
      <x:c r="H185" s="102" t="str">
        <x:v>9HA6159</x:v>
      </x:c>
      <x:c r="I185" s="102"/>
      <x:c r="J185" s="102" t="str">
        <x:v>Malta</x:v>
      </x:c>
      <x:c r="K185" s="102" t="str">
        <x:v>IMO populated</x:v>
      </x:c>
      <x:c r="L185" s="102" t="str">
        <x:v>2026-09-07</x:v>
      </x:c>
      <x:c r="M185" s="102" t="str">
        <x:v>SRC_0179</x:v>
      </x:c>
      <x:c r="N185" s="102" t="str">
        <x:v>Generated from unified canonical vessel record during v1.9 merge.</x:v>
      </x:c>
    </x:row>
    <x:row r="186">
      <x:c r="A186" s="102" t="str">
        <x:v>VESSEL_00185</x:v>
      </x:c>
      <x:c r="B186" s="102" t="str">
        <x:v>SIGYN W</x:v>
      </x:c>
      <x:c r="C186" s="110" t="str">
        <x:v>9754446</x:v>
      </x:c>
      <x:c r="D186" s="110"/>
      <x:c r="E186" s="102"/>
      <x:c r="F186" s="102"/>
      <x:c r="G186" s="102"/>
      <x:c r="H186" s="102"/>
      <x:c r="I186" s="102"/>
      <x:c r="J186" s="102"/>
      <x:c r="K186" s="102" t="str">
        <x:v>IMO populated</x:v>
      </x:c>
      <x:c r="L186" s="102" t="str">
        <x:v>2026-09-07</x:v>
      </x:c>
      <x:c r="M186" s="102" t="str">
        <x:v>SRC_0191</x:v>
      </x:c>
      <x:c r="N186" s="102" t="str">
        <x:v>Generated from unified canonical vessel record during v1.9 merge.</x:v>
      </x:c>
    </x:row>
    <x:row r="187">
      <x:c r="A187" s="102" t="str">
        <x:v>VESSEL_00186</x:v>
      </x:c>
      <x:c r="B187" s="102" t="str">
        <x:v>KOI</x:v>
      </x:c>
      <x:c r="C187" s="110" t="str">
        <x:v>9461489</x:v>
      </x:c>
      <x:c r="D187" s="110"/>
      <x:c r="E187" s="102"/>
      <x:c r="F187" s="102"/>
      <x:c r="G187" s="102"/>
      <x:c r="H187" s="102"/>
      <x:c r="I187" s="102"/>
      <x:c r="J187" s="102"/>
      <x:c r="K187" s="102" t="str">
        <x:v>IMO populated</x:v>
      </x:c>
      <x:c r="L187" s="102" t="str">
        <x:v>2026-09-07</x:v>
      </x:c>
      <x:c r="M187" s="102" t="str">
        <x:v>SRC_0191</x:v>
      </x:c>
      <x:c r="N187" s="102" t="str">
        <x:v>Generated from unified canonical vessel record during v1.9 merge.</x:v>
      </x:c>
    </x:row>
    <x:row r="188">
      <x:c r="A188" s="102" t="str">
        <x:v>VESSEL_00187</x:v>
      </x:c>
      <x:c r="B188" s="102" t="str">
        <x:v>CMA CGM AMBER</x:v>
      </x:c>
      <x:c r="C188" s="110" t="str">
        <x:v>9350381</x:v>
      </x:c>
      <x:c r="D188" s="110"/>
      <x:c r="E188" s="102"/>
      <x:c r="F188" s="102"/>
      <x:c r="G188" s="102"/>
      <x:c r="H188" s="102"/>
      <x:c r="I188" s="102"/>
      <x:c r="J188" s="102"/>
      <x:c r="K188" s="102" t="str">
        <x:v>IMO populated</x:v>
      </x:c>
      <x:c r="L188" s="102" t="str">
        <x:v>2026-09-07</x:v>
      </x:c>
      <x:c r="M188" s="102" t="str">
        <x:v>SRC_0191</x:v>
      </x:c>
      <x:c r="N188" s="102" t="str">
        <x:v>Generated from unified canonical vessel record during v1.9 merge.</x:v>
      </x:c>
    </x:row>
    <x:row r="189">
      <x:c r="A189" s="102" t="str">
        <x:v>VESSEL_00188</x:v>
      </x:c>
      <x:c r="B189" s="102" t="str">
        <x:v>CMA CGM SORBONNE</x:v>
      </x:c>
      <x:c r="C189" s="110" t="str">
        <x:v>9839210</x:v>
      </x:c>
      <x:c r="D189" s="110"/>
      <x:c r="E189" s="102"/>
      <x:c r="F189" s="102"/>
      <x:c r="G189" s="102"/>
      <x:c r="H189" s="102"/>
      <x:c r="I189" s="102"/>
      <x:c r="J189" s="102"/>
      <x:c r="K189" s="102" t="str">
        <x:v>IMO populated</x:v>
      </x:c>
      <x:c r="L189" s="102" t="str">
        <x:v>2026-09-07</x:v>
      </x:c>
      <x:c r="M189" s="102" t="str">
        <x:v>SRC_0191</x:v>
      </x:c>
      <x:c r="N189" s="102" t="str">
        <x:v>Generated from unified canonical vessel record during v1.9 merge.</x:v>
      </x:c>
    </x:row>
    <x:row r="190">
      <x:c r="A190" s="102" t="str">
        <x:v>VESSEL_00189</x:v>
      </x:c>
      <x:c r="B190" s="102" t="str">
        <x:v>CMA CGM MEKONG</x:v>
      </x:c>
      <x:c r="C190" s="110" t="str">
        <x:v>9718105</x:v>
      </x:c>
      <x:c r="D190" s="110"/>
      <x:c r="E190" s="102"/>
      <x:c r="F190" s="102"/>
      <x:c r="G190" s="102"/>
      <x:c r="H190" s="102"/>
      <x:c r="I190" s="102"/>
      <x:c r="J190" s="102"/>
      <x:c r="K190" s="102" t="str">
        <x:v>IMO populated</x:v>
      </x:c>
      <x:c r="L190" s="102" t="str">
        <x:v>2026-09-07</x:v>
      </x:c>
      <x:c r="M190" s="102" t="str">
        <x:v>SRC_0191</x:v>
      </x:c>
      <x:c r="N190" s="102" t="str">
        <x:v>Generated from unified canonical vessel record during v1.9 merge.</x:v>
      </x:c>
    </x:row>
    <x:row r="191">
      <x:c r="A191" s="102" t="str">
        <x:v>VESSEL_00190</x:v>
      </x:c>
      <x:c r="B191" s="102" t="str">
        <x:v>MSC UTMOST VIII</x:v>
      </x:c>
      <x:c r="C191" s="110" t="str">
        <x:v>9302621</x:v>
      </x:c>
      <x:c r="D191" s="110"/>
      <x:c r="E191" s="102"/>
      <x:c r="F191" s="102"/>
      <x:c r="G191" s="102"/>
      <x:c r="H191" s="102"/>
      <x:c r="I191" s="102"/>
      <x:c r="J191" s="102"/>
      <x:c r="K191" s="102" t="str">
        <x:v>IMO populated</x:v>
      </x:c>
      <x:c r="L191" s="102" t="str">
        <x:v>2026-09-07</x:v>
      </x:c>
      <x:c r="M191" s="102" t="str">
        <x:v>SRC_0192</x:v>
      </x:c>
      <x:c r="N191" s="102" t="str">
        <x:v>Generated from unified canonical vessel record during v1.9 merge.</x:v>
      </x:c>
    </x:row>
    <x:row r="192">
      <x:c r="A192" s="102" t="str">
        <x:v>VESSEL_00191</x:v>
      </x:c>
      <x:c r="B192" s="102" t="str">
        <x:v>MSC TARA III</x:v>
      </x:c>
      <x:c r="C192" s="110" t="str">
        <x:v>9259381</x:v>
      </x:c>
      <x:c r="D192" s="110"/>
      <x:c r="E192" s="102"/>
      <x:c r="F192" s="102"/>
      <x:c r="G192" s="102"/>
      <x:c r="H192" s="102"/>
      <x:c r="I192" s="102"/>
      <x:c r="J192" s="102"/>
      <x:c r="K192" s="102" t="str">
        <x:v>IMO populated</x:v>
      </x:c>
      <x:c r="L192" s="102" t="str">
        <x:v>2026-09-07</x:v>
      </x:c>
      <x:c r="M192" s="102" t="str">
        <x:v>SRC_0192</x:v>
      </x:c>
      <x:c r="N192" s="102" t="str">
        <x:v>Generated from unified canonical vessel record during v1.9 merge.</x:v>
      </x:c>
    </x:row>
    <x:row r="193">
      <x:c r="A193" s="102" t="str">
        <x:v>VESSEL_00192</x:v>
      </x:c>
      <x:c r="B193" s="102" t="str">
        <x:v>MSC KAYLA</x:v>
      </x:c>
      <x:c r="C193" s="110" t="str">
        <x:v>9242637</x:v>
      </x:c>
      <x:c r="D193" s="110"/>
      <x:c r="E193" s="102"/>
      <x:c r="F193" s="102"/>
      <x:c r="G193" s="102"/>
      <x:c r="H193" s="102"/>
      <x:c r="I193" s="102"/>
      <x:c r="J193" s="102"/>
      <x:c r="K193" s="102" t="str">
        <x:v>IMO populated</x:v>
      </x:c>
      <x:c r="L193" s="102" t="str">
        <x:v>2026-09-07</x:v>
      </x:c>
      <x:c r="M193" s="102" t="str">
        <x:v>SRC_0192</x:v>
      </x:c>
      <x:c r="N193" s="102" t="str">
        <x:v>Generated from unified canonical vessel record during v1.9 merge.</x:v>
      </x:c>
    </x:row>
    <x:row r="194">
      <x:c r="A194" s="102" t="str">
        <x:v>VESSEL_00193</x:v>
      </x:c>
      <x:c r="B194" s="102" t="str">
        <x:v>MSC JENNY II</x:v>
      </x:c>
      <x:c r="C194" s="110" t="str">
        <x:v>9000742</x:v>
      </x:c>
      <x:c r="D194" s="110"/>
      <x:c r="E194" s="102"/>
      <x:c r="F194" s="102"/>
      <x:c r="G194" s="102"/>
      <x:c r="H194" s="102"/>
      <x:c r="I194" s="102"/>
      <x:c r="J194" s="102"/>
      <x:c r="K194" s="102" t="str">
        <x:v>IMO populated</x:v>
      </x:c>
      <x:c r="L194" s="102" t="str">
        <x:v>2026-09-07</x:v>
      </x:c>
      <x:c r="M194" s="102" t="str">
        <x:v>SRC_0192</x:v>
      </x:c>
      <x:c r="N194" s="102" t="str">
        <x:v>Generated from unified canonical vessel record during v1.9 merge.</x:v>
      </x:c>
    </x:row>
    <x:row r="195">
      <x:c r="A195" s="102" t="str">
        <x:v>VESSEL_00194</x:v>
      </x:c>
      <x:c r="B195" s="102" t="str">
        <x:v>MSC SHANGHAI V</x:v>
      </x:c>
      <x:c r="C195" s="110" t="str">
        <x:v>9231822</x:v>
      </x:c>
      <x:c r="D195" s="110"/>
      <x:c r="E195" s="102"/>
      <x:c r="F195" s="102"/>
      <x:c r="G195" s="102"/>
      <x:c r="H195" s="102"/>
      <x:c r="I195" s="102"/>
      <x:c r="J195" s="102"/>
      <x:c r="K195" s="102" t="str">
        <x:v>IMO populated</x:v>
      </x:c>
      <x:c r="L195" s="102" t="str">
        <x:v>2026-09-07</x:v>
      </x:c>
      <x:c r="M195" s="102" t="str">
        <x:v>SRC_0192</x:v>
      </x:c>
      <x:c r="N195" s="102" t="str">
        <x:v>Generated from unified canonical vessel record during v1.9 merge.</x:v>
      </x:c>
    </x:row>
    <x:row r="196">
      <x:c r="A196" s="102" t="str">
        <x:v>VESSEL_00195</x:v>
      </x:c>
      <x:c r="B196" s="102" t="str">
        <x:v>MAERSK SANA</x:v>
      </x:c>
      <x:c r="C196" s="110" t="str">
        <x:v>9289922</x:v>
      </x:c>
      <x:c r="D196" s="110"/>
      <x:c r="E196" s="102"/>
      <x:c r="F196" s="102"/>
      <x:c r="G196" s="102"/>
      <x:c r="H196" s="102"/>
      <x:c r="I196" s="102"/>
      <x:c r="J196" s="102"/>
      <x:c r="K196" s="102" t="str">
        <x:v>IMO populated</x:v>
      </x:c>
      <x:c r="L196" s="102" t="str">
        <x:v>2026-09-07</x:v>
      </x:c>
      <x:c r="M196" s="102" t="str">
        <x:v>SRC_0193</x:v>
      </x:c>
      <x:c r="N196" s="102" t="str">
        <x:v>Generated from unified canonical vessel record during v1.9 merge.</x:v>
      </x:c>
    </x:row>
    <x:row r="197">
      <x:c r="A197" s="102" t="str">
        <x:v>VESSEL_00196</x:v>
      </x:c>
      <x:c r="B197" s="102" t="str">
        <x:v>MAERSK STOCKHOLM</x:v>
      </x:c>
      <x:c r="C197" s="110" t="str">
        <x:v>9352042</x:v>
      </x:c>
      <x:c r="D197" s="110"/>
      <x:c r="E197" s="102"/>
      <x:c r="F197" s="102"/>
      <x:c r="G197" s="102"/>
      <x:c r="H197" s="102"/>
      <x:c r="I197" s="102"/>
      <x:c r="J197" s="102"/>
      <x:c r="K197" s="102" t="str">
        <x:v>IMO populated</x:v>
      </x:c>
      <x:c r="L197" s="102" t="str">
        <x:v>2026-09-07</x:v>
      </x:c>
      <x:c r="M197" s="102" t="str">
        <x:v>SRC_0193</x:v>
      </x:c>
      <x:c r="N197" s="102" t="str">
        <x:v>Generated from unified canonical vessel record during v1.9 merge.</x:v>
      </x:c>
    </x:row>
    <x:row r="198">
      <x:c r="A198" s="102" t="str">
        <x:v>VESSEL_00197</x:v>
      </x:c>
      <x:c r="B198" s="102" t="str">
        <x:v>ADRIAN MAERSK</x:v>
      </x:c>
      <x:c r="C198" s="110" t="str">
        <x:v>9948815</x:v>
      </x:c>
      <x:c r="D198" s="110"/>
      <x:c r="E198" s="102"/>
      <x:c r="F198" s="102"/>
      <x:c r="G198" s="102"/>
      <x:c r="H198" s="102"/>
      <x:c r="I198" s="102"/>
      <x:c r="J198" s="102"/>
      <x:c r="K198" s="102" t="str">
        <x:v>IMO populated</x:v>
      </x:c>
      <x:c r="L198" s="102" t="str">
        <x:v>2026-09-07</x:v>
      </x:c>
      <x:c r="M198" s="102" t="str">
        <x:v>SRC_0193</x:v>
      </x:c>
      <x:c r="N198" s="102" t="str">
        <x:v>Generated from unified canonical vessel record during v1.9 merge.</x:v>
      </x:c>
    </x:row>
    <x:row r="199">
      <x:c r="A199" s="102" t="str">
        <x:v>VESSEL_00198</x:v>
      </x:c>
      <x:c r="B199" s="102" t="str">
        <x:v>BSG BONAIRE</x:v>
      </x:c>
      <x:c r="C199" s="110" t="str">
        <x:v>9303766</x:v>
      </x:c>
      <x:c r="D199" s="110"/>
      <x:c r="E199" s="102"/>
      <x:c r="F199" s="102"/>
      <x:c r="G199" s="102"/>
      <x:c r="H199" s="102"/>
      <x:c r="I199" s="102"/>
      <x:c r="J199" s="102"/>
      <x:c r="K199" s="102" t="str">
        <x:v>IMO populated</x:v>
      </x:c>
      <x:c r="L199" s="102" t="str">
        <x:v>2026-09-07</x:v>
      </x:c>
      <x:c r="M199" s="102" t="str">
        <x:v>SRC_0193</x:v>
      </x:c>
      <x:c r="N199" s="102" t="str">
        <x:v>Generated from unified canonical vessel record during v1.9 merge.</x:v>
      </x:c>
    </x:row>
    <x:row r="200">
      <x:c r="A200" s="102" t="str">
        <x:v>VESSEL_00199</x:v>
      </x:c>
      <x:c r="B200" s="102" t="str">
        <x:v>AS SIMONE</x:v>
      </x:c>
      <x:c r="C200" s="110" t="str">
        <x:v>9813814</x:v>
      </x:c>
      <x:c r="D200" s="110"/>
      <x:c r="E200" s="102"/>
      <x:c r="F200" s="102"/>
      <x:c r="G200" s="102"/>
      <x:c r="H200" s="102"/>
      <x:c r="I200" s="102"/>
      <x:c r="J200" s="102"/>
      <x:c r="K200" s="102" t="str">
        <x:v>IMO populated</x:v>
      </x:c>
      <x:c r="L200" s="102" t="str">
        <x:v>2026-09-07</x:v>
      </x:c>
      <x:c r="M200" s="102" t="str">
        <x:v>SRC_0193</x:v>
      </x:c>
      <x:c r="N200" s="102" t="str">
        <x:v>Generated from unified canonical vessel record during v1.9 merge.</x:v>
      </x:c>
    </x:row>
    <x:row r="201">
      <x:c r="A201" s="102" t="str">
        <x:v>VESSEL_00200</x:v>
      </x:c>
      <x:c r="B201" s="102" t="str">
        <x:v>XIN FEI ZHOU</x:v>
      </x:c>
      <x:c r="C201" s="110" t="str">
        <x:v>9337937</x:v>
      </x:c>
      <x:c r="D201" s="110"/>
      <x:c r="E201" s="102"/>
      <x:c r="F201" s="102"/>
      <x:c r="G201" s="102"/>
      <x:c r="H201" s="102"/>
      <x:c r="I201" s="102"/>
      <x:c r="J201" s="102"/>
      <x:c r="K201" s="102" t="str">
        <x:v>IMO populated</x:v>
      </x:c>
      <x:c r="L201" s="102" t="str">
        <x:v>2026-09-07</x:v>
      </x:c>
      <x:c r="M201" s="102" t="str">
        <x:v>SRC_0194</x:v>
      </x:c>
      <x:c r="N201" s="102" t="str">
        <x:v>Generated from unified canonical vessel record during v1.9 merge.</x:v>
      </x:c>
    </x:row>
    <x:row r="202">
      <x:c r="A202" s="102" t="str">
        <x:v>VESSEL_00201</x:v>
      </x:c>
      <x:c r="B202" s="102" t="str">
        <x:v>XIN TAI CANG</x:v>
      </x:c>
      <x:c r="C202" s="110" t="str">
        <x:v>9320465</x:v>
      </x:c>
      <x:c r="D202" s="110"/>
      <x:c r="E202" s="102"/>
      <x:c r="F202" s="102"/>
      <x:c r="G202" s="102"/>
      <x:c r="H202" s="102"/>
      <x:c r="I202" s="102"/>
      <x:c r="J202" s="102"/>
      <x:c r="K202" s="102" t="str">
        <x:v>IMO populated</x:v>
      </x:c>
      <x:c r="L202" s="102" t="str">
        <x:v>2026-09-07</x:v>
      </x:c>
      <x:c r="M202" s="102" t="str">
        <x:v>SRC_0194</x:v>
      </x:c>
      <x:c r="N202" s="102" t="str">
        <x:v>Generated from unified canonical vessel record during v1.9 merge.</x:v>
      </x:c>
    </x:row>
    <x:row r="203">
      <x:c r="A203" s="102" t="str">
        <x:v>VESSEL_00202</x:v>
      </x:c>
      <x:c r="B203" s="102" t="str">
        <x:v>SEASMILE</x:v>
      </x:c>
      <x:c r="C203" s="110" t="str">
        <x:v>9632820</x:v>
      </x:c>
      <x:c r="D203" s="110"/>
      <x:c r="E203" s="102"/>
      <x:c r="F203" s="102"/>
      <x:c r="G203" s="102"/>
      <x:c r="H203" s="102"/>
      <x:c r="I203" s="102"/>
      <x:c r="J203" s="102"/>
      <x:c r="K203" s="102" t="str">
        <x:v>IMO populated</x:v>
      </x:c>
      <x:c r="L203" s="102" t="str">
        <x:v>2026-09-07</x:v>
      </x:c>
      <x:c r="M203" s="102" t="str">
        <x:v>SRC_0194</x:v>
      </x:c>
      <x:c r="N203" s="102" t="str">
        <x:v>Generated from unified canonical vessel record during v1.9 merge.</x:v>
      </x:c>
    </x:row>
    <x:row r="204">
      <x:c r="A204" s="102" t="str">
        <x:v>VESSEL_00203</x:v>
      </x:c>
      <x:c r="B204" s="102" t="str">
        <x:v>HANSA BREITENBURG</x:v>
      </x:c>
      <x:c r="C204" s="110" t="str">
        <x:v>9155391</x:v>
      </x:c>
      <x:c r="D204" s="110"/>
      <x:c r="E204" s="102"/>
      <x:c r="F204" s="102"/>
      <x:c r="G204" s="102"/>
      <x:c r="H204" s="102"/>
      <x:c r="I204" s="102"/>
      <x:c r="J204" s="102"/>
      <x:c r="K204" s="102" t="str">
        <x:v>IMO populated</x:v>
      </x:c>
      <x:c r="L204" s="102" t="str">
        <x:v>2026-09-07</x:v>
      </x:c>
      <x:c r="M204" s="102" t="str">
        <x:v>SRC_0194</x:v>
      </x:c>
      <x:c r="N204" s="102" t="str">
        <x:v>Generated from unified canonical vessel record during v1.9 merge.</x:v>
      </x:c>
    </x:row>
    <x:row r="205">
      <x:c r="A205" s="102" t="str">
        <x:v>VESSEL_00204</x:v>
      </x:c>
      <x:c r="B205" s="102" t="str">
        <x:v>SMC COLUMBUS</x:v>
      </x:c>
      <x:c r="C205" s="110" t="str">
        <x:v>9961556</x:v>
      </x:c>
      <x:c r="D205" s="110"/>
      <x:c r="E205" s="102"/>
      <x:c r="F205" s="102"/>
      <x:c r="G205" s="102"/>
      <x:c r="H205" s="102"/>
      <x:c r="I205" s="102"/>
      <x:c r="J205" s="102"/>
      <x:c r="K205" s="102" t="str">
        <x:v>IMO populated</x:v>
      </x:c>
      <x:c r="L205" s="102" t="str">
        <x:v>2026-09-07</x:v>
      </x:c>
      <x:c r="M205" s="102" t="str">
        <x:v>SRC_0194</x:v>
      </x:c>
      <x:c r="N205" s="102" t="str">
        <x:v>Generated from unified canonical vessel record during v1.9 merge.</x:v>
      </x:c>
    </x:row>
    <x:row r="206">
      <x:c r="A206" s="102" t="str">
        <x:v>VESSEL_00205</x:v>
      </x:c>
      <x:c r="B206" s="102" t="str">
        <x:v>EVER FAR</x:v>
      </x:c>
      <x:c r="C206" s="110" t="str">
        <x:v>9850862</x:v>
      </x:c>
      <x:c r="D206" s="110"/>
      <x:c r="E206" s="102"/>
      <x:c r="F206" s="102"/>
      <x:c r="G206" s="102"/>
      <x:c r="H206" s="102"/>
      <x:c r="I206" s="102"/>
      <x:c r="J206" s="102"/>
      <x:c r="K206" s="102" t="str">
        <x:v>IMO populated</x:v>
      </x:c>
      <x:c r="L206" s="102" t="str">
        <x:v>2026-09-07</x:v>
      </x:c>
      <x:c r="M206" s="102" t="str">
        <x:v>SRC_0195</x:v>
      </x:c>
      <x:c r="N206" s="102" t="str">
        <x:v>Generated from unified canonical vessel record during v1.9 merge.</x:v>
      </x:c>
    </x:row>
    <x:row r="207">
      <x:c r="A207" s="102" t="str">
        <x:v>VESSEL_00206</x:v>
      </x:c>
      <x:c r="B207" s="102" t="str">
        <x:v>EVER BEFIT</x:v>
      </x:c>
      <x:c r="C207" s="110" t="str">
        <x:v>9784128</x:v>
      </x:c>
      <x:c r="D207" s="110"/>
      <x:c r="E207" s="102"/>
      <x:c r="F207" s="102"/>
      <x:c r="G207" s="102"/>
      <x:c r="H207" s="102"/>
      <x:c r="I207" s="102"/>
      <x:c r="J207" s="102"/>
      <x:c r="K207" s="102" t="str">
        <x:v>IMO populated</x:v>
      </x:c>
      <x:c r="L207" s="102" t="str">
        <x:v>2026-09-07</x:v>
      </x:c>
      <x:c r="M207" s="102" t="str">
        <x:v>SRC_0195</x:v>
      </x:c>
      <x:c r="N207" s="102" t="str">
        <x:v>Generated from unified canonical vessel record during v1.9 merge.</x:v>
      </x:c>
    </x:row>
    <x:row r="208">
      <x:c r="A208" s="102" t="str">
        <x:v>VESSEL_00207</x:v>
      </x:c>
      <x:c r="B208" s="102" t="str">
        <x:v>EVER LINKING</x:v>
      </x:c>
      <x:c r="C208" s="110" t="str">
        <x:v>9629043</x:v>
      </x:c>
      <x:c r="D208" s="110"/>
      <x:c r="E208" s="102"/>
      <x:c r="F208" s="102"/>
      <x:c r="G208" s="102"/>
      <x:c r="H208" s="102"/>
      <x:c r="I208" s="102"/>
      <x:c r="J208" s="102"/>
      <x:c r="K208" s="102" t="str">
        <x:v>IMO populated</x:v>
      </x:c>
      <x:c r="L208" s="102" t="str">
        <x:v>2026-09-07</x:v>
      </x:c>
      <x:c r="M208" s="102" t="str">
        <x:v>SRC_0195</x:v>
      </x:c>
      <x:c r="N208" s="102" t="str">
        <x:v>Generated from unified canonical vessel record during v1.9 merge.</x:v>
      </x:c>
    </x:row>
    <x:row r="209">
      <x:c r="A209" s="102" t="str">
        <x:v>VESSEL_00208</x:v>
      </x:c>
      <x:c r="B209" s="102" t="str">
        <x:v>EVER MEMO</x:v>
      </x:c>
      <x:c r="C209" s="110" t="str">
        <x:v>9935272</x:v>
      </x:c>
      <x:c r="D209" s="110"/>
      <x:c r="E209" s="102"/>
      <x:c r="F209" s="102"/>
      <x:c r="G209" s="102"/>
      <x:c r="H209" s="102"/>
      <x:c r="I209" s="102"/>
      <x:c r="J209" s="102"/>
      <x:c r="K209" s="102" t="str">
        <x:v>IMO populated</x:v>
      </x:c>
      <x:c r="L209" s="102" t="str">
        <x:v>2026-09-07</x:v>
      </x:c>
      <x:c r="M209" s="102" t="str">
        <x:v>SRC_0195</x:v>
      </x:c>
      <x:c r="N209" s="102" t="str">
        <x:v>Generated from unified canonical vessel record during v1.9 merge.</x:v>
      </x:c>
    </x:row>
    <x:row r="210">
      <x:c r="A210" s="102" t="str">
        <x:v>VESSEL_00209</x:v>
      </x:c>
      <x:c r="B210" s="102" t="str">
        <x:v>NORTHERN PRACTISE</x:v>
      </x:c>
      <x:c r="C210" s="110" t="str">
        <x:v>9450301</x:v>
      </x:c>
      <x:c r="D210" s="110"/>
      <x:c r="E210" s="102"/>
      <x:c r="F210" s="102"/>
      <x:c r="G210" s="102"/>
      <x:c r="H210" s="102"/>
      <x:c r="I210" s="102"/>
      <x:c r="J210" s="102"/>
      <x:c r="K210" s="102" t="str">
        <x:v>IMO populated</x:v>
      </x:c>
      <x:c r="L210" s="102" t="str">
        <x:v>2026-09-07</x:v>
      </x:c>
      <x:c r="M210" s="102" t="str">
        <x:v>SRC_0195</x:v>
      </x:c>
      <x:c r="N210" s="102" t="str">
        <x:v>Generated from unified canonical vessel record during v1.9 merge.</x:v>
      </x:c>
    </x:row>
    <x:row r="211">
      <x:c r="A211" s="102" t="str">
        <x:v>VESSEL_00210</x:v>
      </x:c>
      <x:c r="B211" s="102" t="str">
        <x:v>VALPARAISO EXPRESS</x:v>
      </x:c>
      <x:c r="C211" s="110" t="str">
        <x:v>9777589</x:v>
      </x:c>
      <x:c r="D211" s="110"/>
      <x:c r="E211" s="102"/>
      <x:c r="F211" s="102"/>
      <x:c r="G211" s="102"/>
      <x:c r="H211" s="102"/>
      <x:c r="I211" s="102"/>
      <x:c r="J211" s="102"/>
      <x:c r="K211" s="102" t="str">
        <x:v>IMO populated</x:v>
      </x:c>
      <x:c r="L211" s="102" t="str">
        <x:v>2026-09-07</x:v>
      </x:c>
      <x:c r="M211" s="102" t="str">
        <x:v>SRC_0196</x:v>
      </x:c>
      <x:c r="N211" s="102" t="str">
        <x:v>Generated from unified canonical vessel record during v1.9 merge.</x:v>
      </x:c>
    </x:row>
    <x:row r="212">
      <x:c r="A212" s="102" t="str">
        <x:v>VESSEL_00211</x:v>
      </x:c>
      <x:c r="B212" s="102" t="str">
        <x:v>SALERNO EXPRESS</x:v>
      </x:c>
      <x:c r="C212" s="110" t="str">
        <x:v>9439761</x:v>
      </x:c>
      <x:c r="D212" s="110"/>
      <x:c r="E212" s="102"/>
      <x:c r="F212" s="102"/>
      <x:c r="G212" s="102"/>
      <x:c r="H212" s="102"/>
      <x:c r="I212" s="102"/>
      <x:c r="J212" s="102"/>
      <x:c r="K212" s="102" t="str">
        <x:v>IMO populated</x:v>
      </x:c>
      <x:c r="L212" s="102" t="str">
        <x:v>2026-09-07</x:v>
      </x:c>
      <x:c r="M212" s="102" t="str">
        <x:v>SRC_0196</x:v>
      </x:c>
      <x:c r="N212" s="102" t="str">
        <x:v>Generated from unified canonical vessel record during v1.9 merge.</x:v>
      </x:c>
    </x:row>
    <x:row r="213">
      <x:c r="A213" s="102" t="str">
        <x:v>VESSEL_00212</x:v>
      </x:c>
      <x:c r="B213" s="102" t="str">
        <x:v>CARTAGENA EXPRESS</x:v>
      </x:c>
      <x:c r="C213" s="110" t="str">
        <x:v>9777618</x:v>
      </x:c>
      <x:c r="D213" s="110"/>
      <x:c r="E213" s="102"/>
      <x:c r="F213" s="102"/>
      <x:c r="G213" s="102"/>
      <x:c r="H213" s="102"/>
      <x:c r="I213" s="102"/>
      <x:c r="J213" s="102"/>
      <x:c r="K213" s="102" t="str">
        <x:v>IMO populated</x:v>
      </x:c>
      <x:c r="L213" s="102" t="str">
        <x:v>2026-09-07</x:v>
      </x:c>
      <x:c r="M213" s="102" t="str">
        <x:v>SRC_0196</x:v>
      </x:c>
      <x:c r="N213" s="102" t="str">
        <x:v>Generated from unified canonical vessel record during v1.9 merge.</x:v>
      </x:c>
    </x:row>
    <x:row r="214">
      <x:c r="A214" s="102" t="str">
        <x:v>VESSEL_00213</x:v>
      </x:c>
      <x:c r="B214" s="102" t="str">
        <x:v>DAMIETTA EXPRESS</x:v>
      </x:c>
      <x:c r="C214" s="110" t="str">
        <x:v>9543108</x:v>
      </x:c>
      <x:c r="D214" s="110"/>
      <x:c r="E214" s="102"/>
      <x:c r="F214" s="102"/>
      <x:c r="G214" s="102"/>
      <x:c r="H214" s="102"/>
      <x:c r="I214" s="102"/>
      <x:c r="J214" s="102"/>
      <x:c r="K214" s="102" t="str">
        <x:v>IMO populated</x:v>
      </x:c>
      <x:c r="L214" s="102" t="str">
        <x:v>2026-09-07</x:v>
      </x:c>
      <x:c r="M214" s="102" t="str">
        <x:v>SRC_0196</x:v>
      </x:c>
      <x:c r="N214" s="102" t="str">
        <x:v>Generated from unified canonical vessel record during v1.9 merge.</x:v>
      </x:c>
    </x:row>
    <x:row r="215">
      <x:c r="A215" s="102" t="str">
        <x:v>VESSEL_00214</x:v>
      </x:c>
      <x:c r="B215" s="102" t="str">
        <x:v>AL NASRIYAH</x:v>
      </x:c>
      <x:c r="C215" s="110" t="str">
        <x:v>9708849</x:v>
      </x:c>
      <x:c r="D215" s="110"/>
      <x:c r="E215" s="102"/>
      <x:c r="F215" s="102"/>
      <x:c r="G215" s="102"/>
      <x:c r="H215" s="102"/>
      <x:c r="I215" s="102"/>
      <x:c r="J215" s="102"/>
      <x:c r="K215" s="102" t="str">
        <x:v>IMO populated</x:v>
      </x:c>
      <x:c r="L215" s="102" t="str">
        <x:v>2026-09-07</x:v>
      </x:c>
      <x:c r="M215" s="102" t="str">
        <x:v>SRC_0196</x:v>
      </x:c>
      <x:c r="N215" s="102" t="str">
        <x:v>Generated from unified canonical vessel record during v1.9 merge.</x:v>
      </x:c>
    </x:row>
    <x:row r="216">
      <x:c r="A216" s="102" t="str">
        <x:v>VESSEL_00215</x:v>
      </x:c>
      <x:c r="B216" s="102" t="str">
        <x:v>NYK FUJI</x:v>
      </x:c>
      <x:c r="C216" s="110" t="str">
        <x:v>9482938</x:v>
      </x:c>
      <x:c r="D216" s="110"/>
      <x:c r="E216" s="102"/>
      <x:c r="F216" s="102"/>
      <x:c r="G216" s="102"/>
      <x:c r="H216" s="102"/>
      <x:c r="I216" s="102"/>
      <x:c r="J216" s="102"/>
      <x:c r="K216" s="102" t="str">
        <x:v>IMO populated</x:v>
      </x:c>
      <x:c r="L216" s="102" t="str">
        <x:v>2026-09-07</x:v>
      </x:c>
      <x:c r="M216" s="102" t="str">
        <x:v>SRC_0197</x:v>
      </x:c>
      <x:c r="N216" s="102" t="str">
        <x:v>Generated from unified canonical vessel record during v1.9 merge.</x:v>
      </x:c>
    </x:row>
    <x:row r="217">
      <x:c r="A217" s="102" t="str">
        <x:v>VESSEL_00216</x:v>
      </x:c>
      <x:c r="B217" s="102" t="str">
        <x:v>ONE SPHERE</x:v>
      </x:c>
      <x:c r="C217" s="110" t="str">
        <x:v>9975624</x:v>
      </x:c>
      <x:c r="D217" s="110"/>
      <x:c r="E217" s="102"/>
      <x:c r="F217" s="102"/>
      <x:c r="G217" s="102"/>
      <x:c r="H217" s="102"/>
      <x:c r="I217" s="102"/>
      <x:c r="J217" s="102"/>
      <x:c r="K217" s="102" t="str">
        <x:v>IMO populated</x:v>
      </x:c>
      <x:c r="L217" s="102" t="str">
        <x:v>2026-09-07</x:v>
      </x:c>
      <x:c r="M217" s="102" t="str">
        <x:v>SRC_0197</x:v>
      </x:c>
      <x:c r="N217" s="102" t="str">
        <x:v>Generated from unified canonical vessel record during v1.9 merge.</x:v>
      </x:c>
    </x:row>
    <x:row r="218">
      <x:c r="A218" s="102" t="str">
        <x:v>VESSEL_00217</x:v>
      </x:c>
      <x:c r="B218" s="102" t="str">
        <x:v>NYK VENUS</x:v>
      </x:c>
      <x:c r="C218" s="110" t="str">
        <x:v>9312793</x:v>
      </x:c>
      <x:c r="D218" s="110"/>
      <x:c r="E218" s="102"/>
      <x:c r="F218" s="102"/>
      <x:c r="G218" s="102"/>
      <x:c r="H218" s="102"/>
      <x:c r="I218" s="102"/>
      <x:c r="J218" s="102"/>
      <x:c r="K218" s="102" t="str">
        <x:v>IMO populated</x:v>
      </x:c>
      <x:c r="L218" s="102" t="str">
        <x:v>2026-09-07</x:v>
      </x:c>
      <x:c r="M218" s="102" t="str">
        <x:v>SRC_0197</x:v>
      </x:c>
      <x:c r="N218" s="102" t="str">
        <x:v>Generated from unified canonical vessel record during v1.9 merge.</x:v>
      </x:c>
    </x:row>
    <x:row r="219">
      <x:c r="A219" s="102" t="str">
        <x:v>VESSEL_00218</x:v>
      </x:c>
      <x:c r="B219" s="102" t="str">
        <x:v>ONE MODERN</x:v>
      </x:c>
      <x:c r="C219" s="110" t="str">
        <x:v>9475636</x:v>
      </x:c>
      <x:c r="D219" s="110"/>
      <x:c r="E219" s="102"/>
      <x:c r="F219" s="102"/>
      <x:c r="G219" s="102"/>
      <x:c r="H219" s="102"/>
      <x:c r="I219" s="102"/>
      <x:c r="J219" s="102"/>
      <x:c r="K219" s="102" t="str">
        <x:v>IMO populated</x:v>
      </x:c>
      <x:c r="L219" s="102" t="str">
        <x:v>2026-09-07</x:v>
      </x:c>
      <x:c r="M219" s="102" t="str">
        <x:v>SRC_0197</x:v>
      </x:c>
      <x:c r="N219" s="102" t="str">
        <x:v>Generated from unified canonical vessel record during v1.9 merge.</x:v>
      </x:c>
    </x:row>
    <x:row r="220">
      <x:c r="A220" s="102" t="str">
        <x:v>VESSEL_00219</x:v>
      </x:c>
      <x:c r="B220" s="102" t="str">
        <x:v>ONE MILLAU</x:v>
      </x:c>
      <x:c r="C220" s="110" t="str">
        <x:v>9706736</x:v>
      </x:c>
      <x:c r="D220" s="110"/>
      <x:c r="E220" s="102"/>
      <x:c r="F220" s="102"/>
      <x:c r="G220" s="102"/>
      <x:c r="H220" s="102"/>
      <x:c r="I220" s="102"/>
      <x:c r="J220" s="102"/>
      <x:c r="K220" s="102" t="str">
        <x:v>IMO populated</x:v>
      </x:c>
      <x:c r="L220" s="102" t="str">
        <x:v>2026-09-07</x:v>
      </x:c>
      <x:c r="M220" s="102" t="str">
        <x:v>SRC_0197</x:v>
      </x:c>
      <x:c r="N220" s="102" t="str">
        <x:v>Generated from unified canonical vessel record during v1.9 merge.</x:v>
      </x:c>
    </x:row>
    <x:row r="221">
      <x:c r="A221" s="102" t="str">
        <x:v>VESSEL_00220</x:v>
      </x:c>
      <x:c r="B221" s="102" t="str">
        <x:v>IBN AL ABBAR</x:v>
      </x:c>
      <x:c r="C221" s="110" t="str">
        <x:v>9194490</x:v>
      </x:c>
      <x:c r="D221" s="110"/>
      <x:c r="E221" s="102"/>
      <x:c r="F221" s="102"/>
      <x:c r="G221" s="102"/>
      <x:c r="H221" s="102"/>
      <x:c r="I221" s="102"/>
      <x:c r="J221" s="102"/>
      <x:c r="K221" s="102" t="str">
        <x:v>IMO populated</x:v>
      </x:c>
      <x:c r="L221" s="102" t="str">
        <x:v>2026-09-07</x:v>
      </x:c>
      <x:c r="M221" s="102" t="str">
        <x:v>SRC_0198</x:v>
      </x:c>
      <x:c r="N221" s="102" t="str">
        <x:v>Generated from unified canonical vessel record during v1.9 merge.</x:v>
      </x:c>
    </x:row>
    <x:row r="222">
      <x:c r="A222" s="102" t="str">
        <x:v>VESSEL_00221</x:v>
      </x:c>
      <x:c r="B222" s="102" t="str">
        <x:v>YM CAPACITY</x:v>
      </x:c>
      <x:c r="C222" s="110" t="str">
        <x:v>9864540</x:v>
      </x:c>
      <x:c r="D222" s="110"/>
      <x:c r="E222" s="102"/>
      <x:c r="F222" s="102"/>
      <x:c r="G222" s="102"/>
      <x:c r="H222" s="102"/>
      <x:c r="I222" s="102"/>
      <x:c r="J222" s="102"/>
      <x:c r="K222" s="102" t="str">
        <x:v>IMO populated</x:v>
      </x:c>
      <x:c r="L222" s="102" t="str">
        <x:v>2026-09-07</x:v>
      </x:c>
      <x:c r="M222" s="102" t="str">
        <x:v>SRC_0198</x:v>
      </x:c>
      <x:c r="N222" s="102" t="str">
        <x:v>Generated from unified canonical vessel record during v1.9 merge.</x:v>
      </x:c>
    </x:row>
    <x:row r="223">
      <x:c r="A223" s="102" t="str">
        <x:v>VESSEL_00222</x:v>
      </x:c>
      <x:c r="B223" s="102" t="str">
        <x:v>YM INCEPTION</x:v>
      </x:c>
      <x:c r="C223" s="110" t="str">
        <x:v>9319155</x:v>
      </x:c>
      <x:c r="D223" s="110"/>
      <x:c r="E223" s="102"/>
      <x:c r="F223" s="102"/>
      <x:c r="G223" s="102"/>
      <x:c r="H223" s="102"/>
      <x:c r="I223" s="102"/>
      <x:c r="J223" s="102"/>
      <x:c r="K223" s="102" t="str">
        <x:v>IMO populated</x:v>
      </x:c>
      <x:c r="L223" s="102" t="str">
        <x:v>2026-09-07</x:v>
      </x:c>
      <x:c r="M223" s="102" t="str">
        <x:v>SRC_0198</x:v>
      </x:c>
      <x:c r="N223" s="102" t="str">
        <x:v>Generated from unified canonical vessel record during v1.9 merge.</x:v>
      </x:c>
    </x:row>
    <x:row r="224">
      <x:c r="A224" s="102" t="str">
        <x:v>VESSEL_00223</x:v>
      </x:c>
      <x:c r="B224" s="102" t="str">
        <x:v>YM EXCELLENCE</x:v>
      </x:c>
      <x:c r="C224" s="110" t="str">
        <x:v>9496616</x:v>
      </x:c>
      <x:c r="D224" s="110"/>
      <x:c r="E224" s="102"/>
      <x:c r="F224" s="102"/>
      <x:c r="G224" s="102"/>
      <x:c r="H224" s="102"/>
      <x:c r="I224" s="102"/>
      <x:c r="J224" s="102"/>
      <x:c r="K224" s="102" t="str">
        <x:v>IMO populated</x:v>
      </x:c>
      <x:c r="L224" s="102" t="str">
        <x:v>2026-09-07</x:v>
      </x:c>
      <x:c r="M224" s="102" t="str">
        <x:v>SRC_0198</x:v>
      </x:c>
      <x:c r="N224" s="102" t="str">
        <x:v>Generated from unified canonical vessel record during v1.9 merge.</x:v>
      </x:c>
    </x:row>
    <x:row r="225">
      <x:c r="A225" s="102" t="str">
        <x:v>VESSEL_00224</x:v>
      </x:c>
      <x:c r="B225" s="102" t="str">
        <x:v>YM IMMENSE</x:v>
      </x:c>
      <x:c r="C225" s="110" t="str">
        <x:v>9319131</x:v>
      </x:c>
      <x:c r="D225" s="110"/>
      <x:c r="E225" s="102"/>
      <x:c r="F225" s="102"/>
      <x:c r="G225" s="102"/>
      <x:c r="H225" s="102"/>
      <x:c r="I225" s="102"/>
      <x:c r="J225" s="102"/>
      <x:c r="K225" s="102" t="str">
        <x:v>IMO populated</x:v>
      </x:c>
      <x:c r="L225" s="102" t="str">
        <x:v>2026-09-07</x:v>
      </x:c>
      <x:c r="M225" s="102" t="str">
        <x:v>SRC_0198</x:v>
      </x:c>
      <x:c r="N225" s="102" t="str">
        <x:v>Generated from unified canonical vessel record during v1.9 merge.</x:v>
      </x:c>
    </x:row>
    <x:row r="226">
      <x:c r="A226" s="102" t="str">
        <x:v>VESSEL_00225</x:v>
      </x:c>
      <x:c r="B226" s="102" t="str">
        <x:v>HMM VANCOUVER</x:v>
      </x:c>
      <x:c r="C226" s="110" t="str">
        <x:v>9463085</x:v>
      </x:c>
      <x:c r="D226" s="110"/>
      <x:c r="E226" s="102"/>
      <x:c r="F226" s="102"/>
      <x:c r="G226" s="102"/>
      <x:c r="H226" s="102"/>
      <x:c r="I226" s="102"/>
      <x:c r="J226" s="102"/>
      <x:c r="K226" s="102" t="str">
        <x:v>IMO populated</x:v>
      </x:c>
      <x:c r="L226" s="102" t="str">
        <x:v>2026-09-07</x:v>
      </x:c>
      <x:c r="M226" s="102" t="str">
        <x:v>SRC_0199</x:v>
      </x:c>
      <x:c r="N226" s="102" t="str">
        <x:v>Generated from unified canonical vessel record during v1.9 merge.</x:v>
      </x:c>
    </x:row>
    <x:row r="227">
      <x:c r="A227" s="102" t="str">
        <x:v>VESSEL_00226</x:v>
      </x:c>
      <x:c r="B227" s="102" t="str">
        <x:v>HMM EMERALD</x:v>
      </x:c>
      <x:c r="C227" s="110" t="str">
        <x:v>9944493</x:v>
      </x:c>
      <x:c r="D227" s="110"/>
      <x:c r="E227" s="102"/>
      <x:c r="F227" s="102"/>
      <x:c r="G227" s="102"/>
      <x:c r="H227" s="102"/>
      <x:c r="I227" s="102"/>
      <x:c r="J227" s="102"/>
      <x:c r="K227" s="102" t="str">
        <x:v>IMO populated</x:v>
      </x:c>
      <x:c r="L227" s="102" t="str">
        <x:v>2026-09-07</x:v>
      </x:c>
      <x:c r="M227" s="102" t="str">
        <x:v>SRC_0199</x:v>
      </x:c>
      <x:c r="N227" s="102" t="str">
        <x:v>Generated from unified canonical vessel record during v1.9 merge.</x:v>
      </x:c>
    </x:row>
    <x:row r="228">
      <x:c r="A228" s="102" t="str">
        <x:v>VESSEL_00227</x:v>
      </x:c>
      <x:c r="B228" s="102" t="str">
        <x:v>HMM HARMONY</x:v>
      </x:c>
      <x:c r="C228" s="110" t="str">
        <x:v>9981142</x:v>
      </x:c>
      <x:c r="D228" s="110"/>
      <x:c r="E228" s="102"/>
      <x:c r="F228" s="102"/>
      <x:c r="G228" s="102"/>
      <x:c r="H228" s="102"/>
      <x:c r="I228" s="102"/>
      <x:c r="J228" s="102"/>
      <x:c r="K228" s="102" t="str">
        <x:v>IMO populated</x:v>
      </x:c>
      <x:c r="L228" s="102" t="str">
        <x:v>2026-09-07</x:v>
      </x:c>
      <x:c r="M228" s="102" t="str">
        <x:v>SRC_0199</x:v>
      </x:c>
      <x:c r="N228" s="102" t="str">
        <x:v>Generated from unified canonical vessel record during v1.9 merge.</x:v>
      </x:c>
    </x:row>
    <x:row r="229">
      <x:c r="A229" s="102" t="str">
        <x:v>VESSEL_00228</x:v>
      </x:c>
      <x:c r="B229" s="102" t="str">
        <x:v>SKY RAINBOW</x:v>
      </x:c>
      <x:c r="C229" s="110" t="str">
        <x:v>9925722</x:v>
      </x:c>
      <x:c r="D229" s="110"/>
      <x:c r="E229" s="102"/>
      <x:c r="F229" s="102"/>
      <x:c r="G229" s="102"/>
      <x:c r="H229" s="102"/>
      <x:c r="I229" s="102"/>
      <x:c r="J229" s="102"/>
      <x:c r="K229" s="102" t="str">
        <x:v>IMO populated</x:v>
      </x:c>
      <x:c r="L229" s="102" t="str">
        <x:v>2026-09-07</x:v>
      </x:c>
      <x:c r="M229" s="102" t="str">
        <x:v>SRC_0199</x:v>
      </x:c>
      <x:c r="N229" s="102" t="str">
        <x:v>Generated from unified canonical vessel record during v1.9 merge.</x:v>
      </x:c>
    </x:row>
    <x:row r="230">
      <x:c r="A230" s="102" t="str">
        <x:v>VESSEL_00229</x:v>
      </x:c>
      <x:c r="B230" s="102" t="str">
        <x:v>HMM SKY</x:v>
      </x:c>
      <x:c r="C230" s="110" t="str">
        <x:v>9976599</x:v>
      </x:c>
      <x:c r="D230" s="110"/>
      <x:c r="E230" s="102"/>
      <x:c r="F230" s="102"/>
      <x:c r="G230" s="102"/>
      <x:c r="H230" s="102"/>
      <x:c r="I230" s="102"/>
      <x:c r="J230" s="102"/>
      <x:c r="K230" s="102" t="str">
        <x:v>IMO populated</x:v>
      </x:c>
      <x:c r="L230" s="102" t="str">
        <x:v>2026-09-07</x:v>
      </x:c>
      <x:c r="M230" s="102" t="str">
        <x:v>SRC_0199</x:v>
      </x:c>
      <x:c r="N230" s="102" t="str">
        <x:v>Generated from unified canonical vessel record during v1.9 merge.</x:v>
      </x:c>
    </x:row>
    <x:row r="231">
      <x:c r="A231" s="102" t="str">
        <x:v>VESSEL_00230</x:v>
      </x:c>
      <x:c r="B231" s="102" t="str">
        <x:v>KOTA SANTOS</x:v>
      </x:c>
      <x:c r="C231" s="110" t="str">
        <x:v>9293765</x:v>
      </x:c>
      <x:c r="D231" s="110"/>
      <x:c r="E231" s="102"/>
      <x:c r="F231" s="102"/>
      <x:c r="G231" s="102"/>
      <x:c r="H231" s="102"/>
      <x:c r="I231" s="102"/>
      <x:c r="J231" s="102"/>
      <x:c r="K231" s="102" t="str">
        <x:v>IMO populated</x:v>
      </x:c>
      <x:c r="L231" s="102" t="str">
        <x:v>2026-09-07</x:v>
      </x:c>
      <x:c r="M231" s="102" t="str">
        <x:v>SRC_0200</x:v>
      </x:c>
      <x:c r="N231" s="102" t="str">
        <x:v>Generated from unified canonical vessel record during v1.9 merge.</x:v>
      </x:c>
    </x:row>
    <x:row r="232">
      <x:c r="A232" s="102" t="str">
        <x:v>VESSEL_00231</x:v>
      </x:c>
      <x:c r="B232" s="102" t="str">
        <x:v>KOTA SABAS</x:v>
      </x:c>
      <x:c r="C232" s="110" t="str">
        <x:v>9645451</x:v>
      </x:c>
      <x:c r="D232" s="110"/>
      <x:c r="E232" s="102"/>
      <x:c r="F232" s="102"/>
      <x:c r="G232" s="102"/>
      <x:c r="H232" s="102"/>
      <x:c r="I232" s="102"/>
      <x:c r="J232" s="102"/>
      <x:c r="K232" s="102" t="str">
        <x:v>IMO populated</x:v>
      </x:c>
      <x:c r="L232" s="102" t="str">
        <x:v>2026-09-07</x:v>
      </x:c>
      <x:c r="M232" s="102" t="str">
        <x:v>SRC_0200</x:v>
      </x:c>
      <x:c r="N232" s="102" t="str">
        <x:v>Generated from unified canonical vessel record during v1.9 merge.</x:v>
      </x:c>
    </x:row>
    <x:row r="233">
      <x:c r="A233" s="102" t="str">
        <x:v>VESSEL_00232</x:v>
      </x:c>
      <x:c r="B233" s="102" t="str">
        <x:v>KOTA GAYA</x:v>
      </x:c>
      <x:c r="C233" s="110" t="str">
        <x:v>9616802</x:v>
      </x:c>
      <x:c r="D233" s="110"/>
      <x:c r="E233" s="102"/>
      <x:c r="F233" s="102"/>
      <x:c r="G233" s="102"/>
      <x:c r="H233" s="102"/>
      <x:c r="I233" s="102"/>
      <x:c r="J233" s="102"/>
      <x:c r="K233" s="102" t="str">
        <x:v>IMO populated</x:v>
      </x:c>
      <x:c r="L233" s="102" t="str">
        <x:v>2026-09-07</x:v>
      </x:c>
      <x:c r="M233" s="102" t="str">
        <x:v>SRC_0200</x:v>
      </x:c>
      <x:c r="N233" s="102" t="str">
        <x:v>Generated from unified canonical vessel record during v1.9 merge.</x:v>
      </x:c>
    </x:row>
    <x:row r="234">
      <x:c r="A234" s="102" t="str">
        <x:v>VESSEL_00233</x:v>
      </x:c>
      <x:c r="B234" s="102" t="str">
        <x:v>SINAR PANGANDARAN</x:v>
      </x:c>
      <x:c r="C234" s="110" t="str">
        <x:v>1033779</x:v>
      </x:c>
      <x:c r="D234" s="110"/>
      <x:c r="E234" s="102"/>
      <x:c r="F234" s="102"/>
      <x:c r="G234" s="102"/>
      <x:c r="H234" s="102"/>
      <x:c r="I234" s="102"/>
      <x:c r="J234" s="102"/>
      <x:c r="K234" s="102" t="str">
        <x:v>IMO populated</x:v>
      </x:c>
      <x:c r="L234" s="102" t="str">
        <x:v>2026-09-07</x:v>
      </x:c>
      <x:c r="M234" s="102" t="str">
        <x:v>SRC_0200</x:v>
      </x:c>
      <x:c r="N234" s="102" t="str">
        <x:v>Generated from unified canonical vessel record during v1.9 merge.</x:v>
      </x:c>
    </x:row>
    <x:row r="235">
      <x:c r="A235" s="102" t="str">
        <x:v>VESSEL_00234</x:v>
      </x:c>
      <x:c r="B235" s="102" t="str">
        <x:v>KOTA SEMPENA</x:v>
      </x:c>
      <x:c r="C235" s="110" t="str">
        <x:v>9681273</x:v>
      </x:c>
      <x:c r="D235" s="110"/>
      <x:c r="E235" s="102"/>
      <x:c r="F235" s="102"/>
      <x:c r="G235" s="102"/>
      <x:c r="H235" s="102"/>
      <x:c r="I235" s="102"/>
      <x:c r="J235" s="102"/>
      <x:c r="K235" s="102" t="str">
        <x:v>IMO populated</x:v>
      </x:c>
      <x:c r="L235" s="102" t="str">
        <x:v>2026-09-07</x:v>
      </x:c>
      <x:c r="M235" s="102" t="str">
        <x:v>SRC_0200</x:v>
      </x:c>
      <x:c r="N235" s="102" t="str">
        <x:v>Generated from unified canonical vessel record during v1.9 merge.</x:v>
      </x:c>
    </x:row>
    <x:row r="236">
      <x:c r="A236" s="102" t="str">
        <x:v>VESSEL_00235</x:v>
      </x:c>
      <x:c r="B236" s="102" t="str">
        <x:v>WAN HAI 283</x:v>
      </x:c>
      <x:c r="C236" s="110" t="str">
        <x:v>9871311</x:v>
      </x:c>
      <x:c r="D236" s="110"/>
      <x:c r="E236" s="102"/>
      <x:c r="F236" s="102"/>
      <x:c r="G236" s="102"/>
      <x:c r="H236" s="102"/>
      <x:c r="I236" s="102"/>
      <x:c r="J236" s="102"/>
      <x:c r="K236" s="102" t="str">
        <x:v>IMO populated</x:v>
      </x:c>
      <x:c r="L236" s="102" t="str">
        <x:v>2026-09-07</x:v>
      </x:c>
      <x:c r="M236" s="102" t="str">
        <x:v>SRC_0201</x:v>
      </x:c>
      <x:c r="N236" s="102" t="str">
        <x:v>Generated from unified canonical vessel record during v1.9 merge.</x:v>
      </x:c>
    </x:row>
    <x:row r="237">
      <x:c r="A237" s="102" t="str">
        <x:v>VESSEL_00236</x:v>
      </x:c>
      <x:c r="B237" s="102" t="str">
        <x:v>WAN HAI 358</x:v>
      </x:c>
      <x:c r="C237" s="110" t="str">
        <x:v>9554080</x:v>
      </x:c>
      <x:c r="D237" s="110"/>
      <x:c r="E237" s="102"/>
      <x:c r="F237" s="102"/>
      <x:c r="G237" s="102"/>
      <x:c r="H237" s="102"/>
      <x:c r="I237" s="102"/>
      <x:c r="J237" s="102"/>
      <x:c r="K237" s="102" t="str">
        <x:v>IMO populated</x:v>
      </x:c>
      <x:c r="L237" s="102" t="str">
        <x:v>2026-09-07</x:v>
      </x:c>
      <x:c r="M237" s="102" t="str">
        <x:v>SRC_0201</x:v>
      </x:c>
      <x:c r="N237" s="102" t="str">
        <x:v>Generated from unified canonical vessel record during v1.9 merge.</x:v>
      </x:c>
    </x:row>
    <x:row r="238">
      <x:c r="A238" s="102" t="str">
        <x:v>VESSEL_00237</x:v>
      </x:c>
      <x:c r="B238" s="102" t="str">
        <x:v>WAN HAI 177</x:v>
      </x:c>
      <x:c r="C238" s="110" t="str">
        <x:v>9555137</x:v>
      </x:c>
      <x:c r="D238" s="110"/>
      <x:c r="E238" s="102"/>
      <x:c r="F238" s="102"/>
      <x:c r="G238" s="102"/>
      <x:c r="H238" s="102"/>
      <x:c r="I238" s="102"/>
      <x:c r="J238" s="102"/>
      <x:c r="K238" s="102" t="str">
        <x:v>IMO populated</x:v>
      </x:c>
      <x:c r="L238" s="102" t="str">
        <x:v>2026-09-07</x:v>
      </x:c>
      <x:c r="M238" s="102" t="str">
        <x:v>SRC_0201</x:v>
      </x:c>
      <x:c r="N238" s="102" t="str">
        <x:v>Generated from unified canonical vessel record during v1.9 merge.</x:v>
      </x:c>
    </x:row>
    <x:row r="239">
      <x:c r="A239" s="102" t="str">
        <x:v>VESSEL_00238</x:v>
      </x:c>
      <x:c r="B239" s="102" t="str">
        <x:v>WAN HAI 333</x:v>
      </x:c>
      <x:c r="C239" s="110" t="str">
        <x:v>9951379</x:v>
      </x:c>
      <x:c r="D239" s="110"/>
      <x:c r="E239" s="102"/>
      <x:c r="F239" s="102"/>
      <x:c r="G239" s="102"/>
      <x:c r="H239" s="102"/>
      <x:c r="I239" s="102"/>
      <x:c r="J239" s="102"/>
      <x:c r="K239" s="102" t="str">
        <x:v>IMO populated</x:v>
      </x:c>
      <x:c r="L239" s="102" t="str">
        <x:v>2026-09-07</x:v>
      </x:c>
      <x:c r="M239" s="102" t="str">
        <x:v>SRC_0201</x:v>
      </x:c>
      <x:c r="N239" s="102" t="str">
        <x:v>Generated from unified canonical vessel record during v1.9 merge.</x:v>
      </x:c>
    </x:row>
    <x:row r="240">
      <x:c r="A240" s="102" t="str">
        <x:v>VESSEL_00239</x:v>
      </x:c>
      <x:c r="B240" s="102" t="str">
        <x:v>WAN HAI 101</x:v>
      </x:c>
      <x:c r="C240" s="110" t="str">
        <x:v>9493298</x:v>
      </x:c>
      <x:c r="D240" s="110"/>
      <x:c r="E240" s="102"/>
      <x:c r="F240" s="102"/>
      <x:c r="G240" s="102"/>
      <x:c r="H240" s="102"/>
      <x:c r="I240" s="102"/>
      <x:c r="J240" s="102"/>
      <x:c r="K240" s="102" t="str">
        <x:v>IMO populated</x:v>
      </x:c>
      <x:c r="L240" s="102" t="str">
        <x:v>2026-09-07</x:v>
      </x:c>
      <x:c r="M240" s="102" t="str">
        <x:v>SRC_0201</x:v>
      </x:c>
      <x:c r="N240" s="102" t="str">
        <x:v>Generated from unified canonical vessel record during v1.9 merge.</x:v>
      </x:c>
    </x:row>
    <x:row r="241">
      <x:c r="A241" s="102" t="str">
        <x:v>VESSEL_00240</x:v>
      </x:c>
      <x:c r="B241" s="102" t="str">
        <x:v>ZIM EMERALD</x:v>
      </x:c>
      <x:c r="C241" s="110" t="str">
        <x:v>9967976</x:v>
      </x:c>
      <x:c r="D241" s="110"/>
      <x:c r="E241" s="102"/>
      <x:c r="F241" s="102"/>
      <x:c r="G241" s="102"/>
      <x:c r="H241" s="102"/>
      <x:c r="I241" s="102"/>
      <x:c r="J241" s="102"/>
      <x:c r="K241" s="102" t="str">
        <x:v>IMO populated</x:v>
      </x:c>
      <x:c r="L241" s="102" t="str">
        <x:v>2026-09-07</x:v>
      </x:c>
      <x:c r="M241" s="102" t="str">
        <x:v>SRC_0202</x:v>
      </x:c>
      <x:c r="N241" s="102" t="str">
        <x:v>Generated from unified canonical vessel record during v1.9 merge.</x:v>
      </x:c>
    </x:row>
    <x:row r="242">
      <x:c r="A242" s="102" t="str">
        <x:v>VESSEL_00241</x:v>
      </x:c>
      <x:c r="B242" s="102" t="str">
        <x:v>CARMEL I</x:v>
      </x:c>
      <x:c r="C242" s="110" t="str">
        <x:v>9395927</x:v>
      </x:c>
      <x:c r="D242" s="110"/>
      <x:c r="E242" s="102"/>
      <x:c r="F242" s="102"/>
      <x:c r="G242" s="102"/>
      <x:c r="H242" s="102"/>
      <x:c r="I242" s="102"/>
      <x:c r="J242" s="102"/>
      <x:c r="K242" s="102" t="str">
        <x:v>IMO populated</x:v>
      </x:c>
      <x:c r="L242" s="102" t="str">
        <x:v>2026-09-07</x:v>
      </x:c>
      <x:c r="M242" s="102" t="str">
        <x:v>SRC_0202</x:v>
      </x:c>
      <x:c r="N242" s="102" t="str">
        <x:v>Generated from unified canonical vessel record during v1.9 merge.</x:v>
      </x:c>
    </x:row>
    <x:row r="243">
      <x:c r="A243" s="102" t="str">
        <x:v>VESSEL_00242</x:v>
      </x:c>
      <x:c r="B243" s="102" t="str">
        <x:v>MARLA BULL</x:v>
      </x:c>
      <x:c r="C243" s="110" t="str">
        <x:v>9932945</x:v>
      </x:c>
      <x:c r="D243" s="110"/>
      <x:c r="E243" s="102"/>
      <x:c r="F243" s="102"/>
      <x:c r="G243" s="102"/>
      <x:c r="H243" s="102"/>
      <x:c r="I243" s="102"/>
      <x:c r="J243" s="102"/>
      <x:c r="K243" s="102" t="str">
        <x:v>IMO populated</x:v>
      </x:c>
      <x:c r="L243" s="102" t="str">
        <x:v>2026-09-07</x:v>
      </x:c>
      <x:c r="M243" s="102" t="str">
        <x:v>SRC_0202</x:v>
      </x:c>
      <x:c r="N243" s="102" t="str">
        <x:v>Generated from unified canonical vessel record during v1.9 merge.</x:v>
      </x:c>
    </x:row>
    <x:row r="244">
      <x:c r="A244" s="102" t="str">
        <x:v>VESSEL_00243</x:v>
      </x:c>
      <x:c r="B244" s="102" t="str">
        <x:v>ZIM CHINA</x:v>
      </x:c>
      <x:c r="C244" s="110" t="str">
        <x:v>9389382</x:v>
      </x:c>
      <x:c r="D244" s="110"/>
      <x:c r="E244" s="102"/>
      <x:c r="F244" s="102"/>
      <x:c r="G244" s="102"/>
      <x:c r="H244" s="102"/>
      <x:c r="I244" s="102"/>
      <x:c r="J244" s="102"/>
      <x:c r="K244" s="102" t="str">
        <x:v>IMO populated</x:v>
      </x:c>
      <x:c r="L244" s="102" t="str">
        <x:v>2026-09-07</x:v>
      </x:c>
      <x:c r="M244" s="102" t="str">
        <x:v>SRC_0202</x:v>
      </x:c>
      <x:c r="N244" s="102" t="str">
        <x:v>Generated from unified canonical vessel record during v1.9 merge.</x:v>
      </x:c>
    </x:row>
    <x:row r="245">
      <x:c r="A245" s="102" t="str">
        <x:v>VESSEL_00244</x:v>
      </x:c>
      <x:c r="B245" s="102" t="str">
        <x:v>MTT SANDAKAN</x:v>
      </x:c>
      <x:c r="C245" s="110" t="str">
        <x:v>9872248</x:v>
      </x:c>
      <x:c r="D245" s="110"/>
      <x:c r="E245" s="102"/>
      <x:c r="F245" s="102"/>
      <x:c r="G245" s="102"/>
      <x:c r="H245" s="102"/>
      <x:c r="I245" s="102"/>
      <x:c r="J245" s="102"/>
      <x:c r="K245" s="102" t="str">
        <x:v>IMO populated</x:v>
      </x:c>
      <x:c r="L245" s="102" t="str">
        <x:v>2026-09-07</x:v>
      </x:c>
      <x:c r="M245" s="102" t="str">
        <x:v>SRC_0202</x:v>
      </x:c>
      <x:c r="N245" s="102" t="str">
        <x:v>Generated from unified canonical vessel record during v1.9 merge.</x:v>
      </x:c>
    </x:row>
    <x:row r="246">
      <x:c r="A246" s="102" t="str">
        <x:v>VESSEL_00245</x:v>
      </x:c>
      <x:c r="B246" s="102" t="str">
        <x:v>MARBURG</x:v>
      </x:c>
      <x:c r="C246" s="110" t="str">
        <x:v>9387592</x:v>
      </x:c>
      <x:c r="D246" s="110"/>
      <x:c r="E246" s="102"/>
      <x:c r="F246" s="102"/>
      <x:c r="G246" s="102"/>
      <x:c r="H246" s="102"/>
      <x:c r="I246" s="102"/>
      <x:c r="J246" s="102"/>
      <x:c r="K246" s="102" t="str">
        <x:v>IMO populated</x:v>
      </x:c>
      <x:c r="L246" s="102" t="str">
        <x:v>2026-09-07</x:v>
      </x:c>
      <x:c r="M246" s="102" t="str">
        <x:v>SRC_0203</x:v>
      </x:c>
      <x:c r="N246" s="102" t="str">
        <x:v>Generated from unified canonical vessel record during v1.9 merge.</x:v>
      </x:c>
    </x:row>
    <x:row r="247">
      <x:c r="A247" s="102" t="str">
        <x:v>VESSEL_00246</x:v>
      </x:c>
      <x:c r="B247" s="102" t="str">
        <x:v>ELBSKY</x:v>
      </x:c>
      <x:c r="C247" s="110" t="str">
        <x:v>9412531</x:v>
      </x:c>
      <x:c r="D247" s="110"/>
      <x:c r="E247" s="102"/>
      <x:c r="F247" s="102"/>
      <x:c r="G247" s="102"/>
      <x:c r="H247" s="102"/>
      <x:c r="I247" s="102"/>
      <x:c r="J247" s="102"/>
      <x:c r="K247" s="102" t="str">
        <x:v>IMO populated</x:v>
      </x:c>
      <x:c r="L247" s="102" t="str">
        <x:v>2026-09-07</x:v>
      </x:c>
      <x:c r="M247" s="102" t="str">
        <x:v>SRC_0203</x:v>
      </x:c>
      <x:c r="N247" s="102" t="str">
        <x:v>Generated from unified canonical vessel record during v1.9 merge.</x:v>
      </x:c>
    </x:row>
    <x:row r="248">
      <x:c r="A248" s="102" t="str">
        <x:v>VESSEL_00247</x:v>
      </x:c>
      <x:c r="B248" s="102" t="str">
        <x:v>JUDITH</x:v>
      </x:c>
      <x:c r="C248" s="110" t="str">
        <x:v>9359260</x:v>
      </x:c>
      <x:c r="D248" s="110"/>
      <x:c r="E248" s="102"/>
      <x:c r="F248" s="102"/>
      <x:c r="G248" s="102"/>
      <x:c r="H248" s="102"/>
      <x:c r="I248" s="102"/>
      <x:c r="J248" s="102"/>
      <x:c r="K248" s="102" t="str">
        <x:v>IMO populated</x:v>
      </x:c>
      <x:c r="L248" s="102" t="str">
        <x:v>2026-09-07</x:v>
      </x:c>
      <x:c r="M248" s="102" t="str">
        <x:v>SRC_0203</x:v>
      </x:c>
      <x:c r="N248" s="102" t="str">
        <x:v>Generated from unified canonical vessel record during v1.9 merge.</x:v>
      </x:c>
    </x:row>
    <x:row r="249">
      <x:c r="A249" s="102" t="str">
        <x:v>VESSEL_00248</x:v>
      </x:c>
      <x:c r="B249" s="102" t="str">
        <x:v>ELBSUMMER</x:v>
      </x:c>
      <x:c r="C249" s="110" t="str">
        <x:v>9386718</x:v>
      </x:c>
      <x:c r="D249" s="110"/>
      <x:c r="E249" s="102"/>
      <x:c r="F249" s="102"/>
      <x:c r="G249" s="102"/>
      <x:c r="H249" s="102"/>
      <x:c r="I249" s="102"/>
      <x:c r="J249" s="102"/>
      <x:c r="K249" s="102" t="str">
        <x:v>IMO populated</x:v>
      </x:c>
      <x:c r="L249" s="102" t="str">
        <x:v>2026-09-07</x:v>
      </x:c>
      <x:c r="M249" s="102" t="str">
        <x:v>SRC_0203</x:v>
      </x:c>
      <x:c r="N249" s="102" t="str">
        <x:v>Generated from unified canonical vessel record during v1.9 merge.</x:v>
      </x:c>
    </x:row>
    <x:row r="250">
      <x:c r="A250" s="102" t="str">
        <x:v>VESSEL_00249</x:v>
      </x:c>
      <x:c r="B250" s="102" t="str">
        <x:v>SAN PEDRO</x:v>
      </x:c>
      <x:c r="C250" s="110" t="str">
        <x:v>9625281</x:v>
      </x:c>
      <x:c r="D250" s="110"/>
      <x:c r="E250" s="102"/>
      <x:c r="F250" s="102"/>
      <x:c r="G250" s="102"/>
      <x:c r="H250" s="102"/>
      <x:c r="I250" s="102"/>
      <x:c r="J250" s="102"/>
      <x:c r="K250" s="102" t="str">
        <x:v>IMO populated</x:v>
      </x:c>
      <x:c r="L250" s="102" t="str">
        <x:v>2026-09-07</x:v>
      </x:c>
      <x:c r="M250" s="102" t="str">
        <x:v>SRC_0204</x:v>
      </x:c>
      <x:c r="N250" s="102" t="str">
        <x:v>Generated from unified canonical vessel record during v1.9 merge.</x:v>
      </x:c>
    </x:row>
    <x:row r="251">
      <x:c r="A251" s="102" t="str">
        <x:v>VESSEL_00250</x:v>
      </x:c>
      <x:c r="B251" s="102" t="str">
        <x:v>REN JIAN 8</x:v>
      </x:c>
      <x:c r="C251" s="110" t="str">
        <x:v>9326756</x:v>
      </x:c>
      <x:c r="D251" s="110"/>
      <x:c r="E251" s="102"/>
      <x:c r="F251" s="102"/>
      <x:c r="G251" s="102"/>
      <x:c r="H251" s="102"/>
      <x:c r="I251" s="102"/>
      <x:c r="J251" s="102"/>
      <x:c r="K251" s="102" t="str">
        <x:v>IMO populated</x:v>
      </x:c>
      <x:c r="L251" s="102" t="str">
        <x:v>2026-09-07</x:v>
      </x:c>
      <x:c r="M251" s="102" t="str">
        <x:v>SRC_0204</x:v>
      </x:c>
      <x:c r="N251" s="102" t="str">
        <x:v>Generated from unified canonical vessel record during v1.9 merge.</x:v>
      </x:c>
    </x:row>
    <x:row r="252">
      <x:c r="A252" s="102" t="str">
        <x:v>VESSEL_00251</x:v>
      </x:c>
      <x:c r="B252" s="102" t="str">
        <x:v>ZHONG GU YIN CHUAN</x:v>
      </x:c>
      <x:c r="C252" s="110" t="str">
        <x:v>9938913</x:v>
      </x:c>
      <x:c r="D252" s="110"/>
      <x:c r="E252" s="102"/>
      <x:c r="F252" s="102"/>
      <x:c r="G252" s="102"/>
      <x:c r="H252" s="102"/>
      <x:c r="I252" s="102"/>
      <x:c r="J252" s="102"/>
      <x:c r="K252" s="102" t="str">
        <x:v>IMO populated</x:v>
      </x:c>
      <x:c r="L252" s="102" t="str">
        <x:v>2026-09-07</x:v>
      </x:c>
      <x:c r="M252" s="102" t="str">
        <x:v>SRC_0204</x:v>
      </x:c>
      <x:c r="N252" s="102" t="str">
        <x:v>Generated from unified canonical vessel record during v1.9 merge.</x:v>
      </x:c>
    </x:row>
    <x:row r="253">
      <x:c r="A253" s="102" t="str">
        <x:v>VESSEL_00252</x:v>
      </x:c>
      <x:c r="B253" s="102" t="str">
        <x:v>MARINA VOYAGER</x:v>
      </x:c>
      <x:c r="C253" s="110" t="str">
        <x:v>9400813</x:v>
      </x:c>
      <x:c r="D253" s="110"/>
      <x:c r="E253" s="102"/>
      <x:c r="F253" s="102"/>
      <x:c r="G253" s="102"/>
      <x:c r="H253" s="102"/>
      <x:c r="I253" s="102"/>
      <x:c r="J253" s="102"/>
      <x:c r="K253" s="102" t="str">
        <x:v>IMO populated</x:v>
      </x:c>
      <x:c r="L253" s="102" t="str">
        <x:v>2026-09-07</x:v>
      </x:c>
      <x:c r="M253" s="102" t="str">
        <x:v>SRC_0204</x:v>
      </x:c>
      <x:c r="N253" s="102" t="str">
        <x:v>Generated from unified canonical vessel record during v1.9 merge.</x:v>
      </x:c>
    </x:row>
    <x:row r="254">
      <x:c r="A254" s="102" t="str">
        <x:v>VESSEL_00253</x:v>
      </x:c>
      <x:c r="B254" s="102" t="str">
        <x:v>ESL SHEKOU</x:v>
      </x:c>
      <x:c r="C254" s="110" t="str">
        <x:v>9290945</x:v>
      </x:c>
      <x:c r="D254" s="110"/>
      <x:c r="E254" s="102"/>
      <x:c r="F254" s="102"/>
      <x:c r="G254" s="102"/>
      <x:c r="H254" s="102"/>
      <x:c r="I254" s="102"/>
      <x:c r="J254" s="102"/>
      <x:c r="K254" s="102" t="str">
        <x:v>IMO populated</x:v>
      </x:c>
      <x:c r="L254" s="102" t="str">
        <x:v>2026-09-07</x:v>
      </x:c>
      <x:c r="M254" s="102" t="str">
        <x:v>SRC_0205</x:v>
      </x:c>
      <x:c r="N254" s="102" t="str">
        <x:v>Generated from unified canonical vessel record during v1.9 merge.</x:v>
      </x:c>
    </x:row>
    <x:row r="255">
      <x:c r="A255" s="102" t="str">
        <x:v>VESSEL_00254</x:v>
      </x:c>
      <x:c r="B255" s="102" t="str">
        <x:v>ESL WASL</x:v>
      </x:c>
      <x:c r="C255" s="110" t="str">
        <x:v>9400071</x:v>
      </x:c>
      <x:c r="D255" s="110"/>
      <x:c r="E255" s="102"/>
      <x:c r="F255" s="102"/>
      <x:c r="G255" s="102"/>
      <x:c r="H255" s="102"/>
      <x:c r="I255" s="102"/>
      <x:c r="J255" s="102"/>
      <x:c r="K255" s="102" t="str">
        <x:v>IMO populated</x:v>
      </x:c>
      <x:c r="L255" s="102" t="str">
        <x:v>2026-09-07</x:v>
      </x:c>
      <x:c r="M255" s="102" t="str">
        <x:v>SRC_0205</x:v>
      </x:c>
      <x:c r="N255" s="102" t="str">
        <x:v>Generated from unified canonical vessel record during v1.9 merge.</x:v>
      </x:c>
    </x:row>
    <x:row r="256">
      <x:c r="A256" s="102" t="str">
        <x:v>VESSEL_00255</x:v>
      </x:c>
      <x:c r="B256" s="102" t="str">
        <x:v>ZHONG GU KUN MING</x:v>
      </x:c>
      <x:c r="C256" s="110" t="str">
        <x:v>9933858</x:v>
      </x:c>
      <x:c r="D256" s="110"/>
      <x:c r="E256" s="102"/>
      <x:c r="F256" s="102"/>
      <x:c r="G256" s="102"/>
      <x:c r="H256" s="102"/>
      <x:c r="I256" s="102"/>
      <x:c r="J256" s="102"/>
      <x:c r="K256" s="102" t="str">
        <x:v>IMO populated</x:v>
      </x:c>
      <x:c r="L256" s="102" t="str">
        <x:v>2026-09-07</x:v>
      </x:c>
      <x:c r="M256" s="102" t="str">
        <x:v>SRC_0205</x:v>
      </x:c>
      <x:c r="N256" s="102" t="str">
        <x:v>Generated from unified canonical vessel record during v1.9 merge.</x:v>
      </x:c>
    </x:row>
    <x:row r="257">
      <x:c r="A257" s="102" t="str">
        <x:v>VESSEL_00256</x:v>
      </x:c>
      <x:c r="B257" s="102" t="str">
        <x:v>BRIGHT</x:v>
      </x:c>
      <x:c r="C257" s="110" t="str">
        <x:v>9778399</x:v>
      </x:c>
      <x:c r="D257" s="110"/>
      <x:c r="E257" s="102"/>
      <x:c r="F257" s="102"/>
      <x:c r="G257" s="102"/>
      <x:c r="H257" s="102"/>
      <x:c r="I257" s="102"/>
      <x:c r="J257" s="102"/>
      <x:c r="K257" s="102" t="str">
        <x:v>IMO populated</x:v>
      </x:c>
      <x:c r="L257" s="102" t="str">
        <x:v>2026-09-07</x:v>
      </x:c>
      <x:c r="M257" s="102" t="str">
        <x:v>SRC_0205</x:v>
      </x:c>
      <x:c r="N257" s="102" t="str">
        <x:v>Generated from unified canonical vessel record during v1.9 merge.</x:v>
      </x:c>
    </x:row>
    <x:row r="258">
      <x:c r="A258" s="102" t="str">
        <x:v>VESSEL_00257</x:v>
      </x:c>
      <x:c r="B258" s="102" t="str">
        <x:v>TROUPER</x:v>
      </x:c>
      <x:c r="C258" s="110" t="str">
        <x:v>9326952</x:v>
      </x:c>
      <x:c r="D258" s="110"/>
      <x:c r="E258" s="102"/>
      <x:c r="F258" s="102"/>
      <x:c r="G258" s="102"/>
      <x:c r="H258" s="102"/>
      <x:c r="I258" s="102"/>
      <x:c r="J258" s="102"/>
      <x:c r="K258" s="102" t="str">
        <x:v>IMO populated</x:v>
      </x:c>
      <x:c r="L258" s="102" t="str">
        <x:v>2026-09-07</x:v>
      </x:c>
      <x:c r="M258" s="102" t="str">
        <x:v>SRC_0206</x:v>
      </x:c>
      <x:c r="N258" s="102" t="str">
        <x:v>Generated from unified canonical vessel record during v1.9 merge.</x:v>
      </x:c>
    </x:row>
    <x:row r="259">
      <x:c r="A259" s="102" t="str">
        <x:v>VESSEL_00258</x:v>
      </x:c>
      <x:c r="B259" s="102" t="str">
        <x:v>X PRESS ANGLESEY</x:v>
      </x:c>
      <x:c r="C259" s="110" t="str">
        <x:v>9623843</x:v>
      </x:c>
      <x:c r="D259" s="110"/>
      <x:c r="E259" s="102"/>
      <x:c r="F259" s="102"/>
      <x:c r="G259" s="102"/>
      <x:c r="H259" s="102"/>
      <x:c r="I259" s="102"/>
      <x:c r="J259" s="102"/>
      <x:c r="K259" s="102" t="str">
        <x:v>IMO populated</x:v>
      </x:c>
      <x:c r="L259" s="102" t="str">
        <x:v>2026-09-07</x:v>
      </x:c>
      <x:c r="M259" s="102" t="str">
        <x:v>SRC_0206</x:v>
      </x:c>
      <x:c r="N259" s="102" t="str">
        <x:v>Generated from unified canonical vessel record during v1.9 merge.</x:v>
      </x:c>
    </x:row>
    <x:row r="260">
      <x:c r="A260" s="102" t="str">
        <x:v>VESSEL_00259</x:v>
      </x:c>
      <x:c r="B260" s="102" t="str">
        <x:v>SKY LIGHT</x:v>
      </x:c>
      <x:c r="C260" s="110" t="str">
        <x:v>9118513</x:v>
      </x:c>
      <x:c r="D260" s="110"/>
      <x:c r="E260" s="102"/>
      <x:c r="F260" s="102"/>
      <x:c r="G260" s="102"/>
      <x:c r="H260" s="102"/>
      <x:c r="I260" s="102"/>
      <x:c r="J260" s="102"/>
      <x:c r="K260" s="102" t="str">
        <x:v>IMO populated</x:v>
      </x:c>
      <x:c r="L260" s="102" t="str">
        <x:v>2026-09-07</x:v>
      </x:c>
      <x:c r="M260" s="102" t="str">
        <x:v>SRC_0206</x:v>
      </x:c>
      <x:c r="N260" s="102" t="str">
        <x:v>Generated from unified canonical vessel record during v1.9 merge.</x:v>
      </x:c>
    </x:row>
    <x:row r="261">
      <x:c r="A261" s="102" t="str">
        <x:v>VESSEL_00260</x:v>
      </x:c>
      <x:c r="B261" s="102" t="str">
        <x:v>GOLDEN STAR 1</x:v>
      </x:c>
      <x:c r="C261" s="110" t="str">
        <x:v>8952857</x:v>
      </x:c>
      <x:c r="D261" s="110"/>
      <x:c r="E261" s="102"/>
      <x:c r="F261" s="102"/>
      <x:c r="G261" s="102"/>
      <x:c r="H261" s="102"/>
      <x:c r="I261" s="102"/>
      <x:c r="J261" s="102"/>
      <x:c r="K261" s="102" t="str">
        <x:v>IMO populated</x:v>
      </x:c>
      <x:c r="L261" s="102" t="str">
        <x:v>2026-09-07</x:v>
      </x:c>
      <x:c r="M261" s="102" t="str">
        <x:v>SRC_0206</x:v>
      </x:c>
      <x:c r="N261" s="102" t="str">
        <x:v>Generated from unified canonical vessel record during v1.9 merge.</x:v>
      </x:c>
    </x:row>
    <x:row r="262">
      <x:c r="A262" s="102" t="str">
        <x:v>VESSEL_00261</x:v>
      </x:c>
      <x:c r="B262" s="102" t="str">
        <x:v>SSF VALENCE</x:v>
      </x:c>
      <x:c r="C262" s="110" t="str">
        <x:v>9304693</x:v>
      </x:c>
      <x:c r="D262" s="110"/>
      <x:c r="E262" s="102"/>
      <x:c r="F262" s="102"/>
      <x:c r="G262" s="102"/>
      <x:c r="H262" s="102"/>
      <x:c r="I262" s="102"/>
      <x:c r="J262" s="102"/>
      <x:c r="K262" s="102" t="str">
        <x:v>IMO populated</x:v>
      </x:c>
      <x:c r="L262" s="102" t="str">
        <x:v>2026-09-07</x:v>
      </x:c>
      <x:c r="M262" s="102" t="str">
        <x:v>SRC_0207</x:v>
      </x:c>
      <x:c r="N262" s="102" t="str">
        <x:v>Generated from unified canonical vessel record during v1.9 merge.</x:v>
      </x:c>
    </x:row>
    <x:row r="263">
      <x:c r="A263" s="102" t="str">
        <x:v>VESSEL_00262</x:v>
      </x:c>
      <x:c r="B263" s="102" t="str">
        <x:v>SM MANALI</x:v>
      </x:c>
      <x:c r="C263" s="110" t="str">
        <x:v>9303742</x:v>
      </x:c>
      <x:c r="D263" s="110"/>
      <x:c r="E263" s="102"/>
      <x:c r="F263" s="102"/>
      <x:c r="G263" s="102"/>
      <x:c r="H263" s="102"/>
      <x:c r="I263" s="102"/>
      <x:c r="J263" s="102"/>
      <x:c r="K263" s="102" t="str">
        <x:v>IMO populated</x:v>
      </x:c>
      <x:c r="L263" s="102" t="str">
        <x:v>2026-09-07</x:v>
      </x:c>
      <x:c r="M263" s="102" t="str">
        <x:v>SRC_0207</x:v>
      </x:c>
      <x:c r="N263" s="102" t="str">
        <x:v>Generated from unified canonical vessel record during v1.9 merge.</x:v>
      </x:c>
    </x:row>
    <x:row r="264">
      <x:c r="A264" s="102" t="str">
        <x:v>VESSEL_00263</x:v>
      </x:c>
      <x:c r="B264" s="102" t="str">
        <x:v>REMAH</x:v>
      </x:c>
      <x:c r="C264" s="110" t="str">
        <x:v>9947720</x:v>
      </x:c>
      <x:c r="D264" s="110"/>
      <x:c r="E264" s="102"/>
      <x:c r="F264" s="102"/>
      <x:c r="G264" s="102"/>
      <x:c r="H264" s="102"/>
      <x:c r="I264" s="102"/>
      <x:c r="J264" s="102"/>
      <x:c r="K264" s="102" t="str">
        <x:v>IMO populated</x:v>
      </x:c>
      <x:c r="L264" s="102" t="str">
        <x:v>2026-09-07</x:v>
      </x:c>
      <x:c r="M264" s="102" t="str">
        <x:v>SRC_0207</x:v>
      </x:c>
      <x:c r="N264" s="102" t="str">
        <x:v>Generated from unified canonical vessel record during v1.9 merge.</x:v>
      </x:c>
    </x:row>
    <x:row r="265">
      <x:c r="A265" s="102" t="str">
        <x:v>VESSEL_00264</x:v>
      </x:c>
      <x:c r="B265" s="102" t="str">
        <x:v>MIRROR</x:v>
      </x:c>
      <x:c r="C265" s="110" t="str">
        <x:v>9328041</x:v>
      </x:c>
      <x:c r="D265" s="110"/>
      <x:c r="E265" s="102"/>
      <x:c r="F265" s="102"/>
      <x:c r="G265" s="102"/>
      <x:c r="H265" s="102"/>
      <x:c r="I265" s="102"/>
      <x:c r="J265" s="102"/>
      <x:c r="K265" s="102" t="str">
        <x:v>IMO populated</x:v>
      </x:c>
      <x:c r="L265" s="102" t="str">
        <x:v>2026-09-07</x:v>
      </x:c>
      <x:c r="M265" s="102" t="str">
        <x:v>SRC_0207</x:v>
      </x:c>
      <x:c r="N265" s="102" t="str">
        <x:v>Generated from unified canonical vessel record during v1.9 merge.</x:v>
      </x:c>
    </x:row>
    <x:row r="266">
      <x:c r="A266" s="102" t="str">
        <x:v>VESSEL_00265</x:v>
      </x:c>
      <x:c r="B266" s="102" t="str">
        <x:v>HUA DA 610</x:v>
      </x:c>
      <x:c r="C266" s="110" t="str">
        <x:v>1077385</x:v>
      </x:c>
      <x:c r="D266" s="110"/>
      <x:c r="E266" s="102"/>
      <x:c r="F266" s="102"/>
      <x:c r="G266" s="102"/>
      <x:c r="H266" s="102"/>
      <x:c r="I266" s="102"/>
      <x:c r="J266" s="102"/>
      <x:c r="K266" s="102" t="str">
        <x:v>IMO populated</x:v>
      </x:c>
      <x:c r="L266" s="102" t="str">
        <x:v>2026-09-07</x:v>
      </x:c>
      <x:c r="M266" s="102" t="str">
        <x:v>SRC_0208</x:v>
      </x:c>
      <x:c r="N266" s="102" t="str">
        <x:v>Generated from unified canonical vessel record during v1.9 merge.</x:v>
      </x:c>
    </x:row>
    <x:row r="267">
      <x:c r="A267" s="102" t="str">
        <x:v>VESSEL_00266</x:v>
      </x:c>
      <x:c r="B267" s="102" t="str">
        <x:v>AL BATEEN</x:v>
      </x:c>
      <x:c r="C267" s="110" t="str">
        <x:v>9668984</x:v>
      </x:c>
      <x:c r="D267" s="110"/>
      <x:c r="E267" s="102"/>
      <x:c r="F267" s="102"/>
      <x:c r="G267" s="102"/>
      <x:c r="H267" s="102"/>
      <x:c r="I267" s="102"/>
      <x:c r="J267" s="102"/>
      <x:c r="K267" s="102" t="str">
        <x:v>IMO populated</x:v>
      </x:c>
      <x:c r="L267" s="102" t="str">
        <x:v>2026-09-07</x:v>
      </x:c>
      <x:c r="M267" s="102" t="str">
        <x:v>SRC_0208</x:v>
      </x:c>
      <x:c r="N267" s="102" t="str">
        <x:v>Generated from unified canonical vessel record during v1.9 merge.</x:v>
      </x:c>
    </x:row>
    <x:row r="268">
      <x:c r="A268" s="102" t="str">
        <x:v>VESSEL_00267</x:v>
      </x:c>
      <x:c r="B268" s="102" t="str">
        <x:v>SAFEEN PRIZE</x:v>
      </x:c>
      <x:c r="C268" s="110" t="str">
        <x:v>9603594</x:v>
      </x:c>
      <x:c r="D268" s="110"/>
      <x:c r="E268" s="102"/>
      <x:c r="F268" s="102"/>
      <x:c r="G268" s="102"/>
      <x:c r="H268" s="102"/>
      <x:c r="I268" s="102"/>
      <x:c r="J268" s="102"/>
      <x:c r="K268" s="102" t="str">
        <x:v>IMO populated</x:v>
      </x:c>
      <x:c r="L268" s="102" t="str">
        <x:v>2026-09-07</x:v>
      </x:c>
      <x:c r="M268" s="102" t="str">
        <x:v>SRC_0208</x:v>
      </x:c>
      <x:c r="N268" s="102" t="str">
        <x:v>Generated from unified canonical vessel record during v1.9 merge.</x:v>
      </x:c>
    </x:row>
    <x:row r="269">
      <x:c r="A269" s="102" t="str">
        <x:v>VESSEL_00268</x:v>
      </x:c>
      <x:c r="B269" s="102" t="str">
        <x:v>SSF DREAM</x:v>
      </x:c>
      <x:c r="C269" s="110" t="str">
        <x:v>9346005</x:v>
      </x:c>
      <x:c r="D269" s="110"/>
      <x:c r="E269" s="102"/>
      <x:c r="F269" s="102"/>
      <x:c r="G269" s="102"/>
      <x:c r="H269" s="102"/>
      <x:c r="I269" s="102"/>
      <x:c r="J269" s="102"/>
      <x:c r="K269" s="102" t="str">
        <x:v>IMO populated</x:v>
      </x:c>
      <x:c r="L269" s="102" t="str">
        <x:v>2026-09-07</x:v>
      </x:c>
      <x:c r="M269" s="102" t="str">
        <x:v>SRC_0208</x:v>
      </x:c>
      <x:c r="N269" s="102" t="str">
        <x:v>Generated from unified canonical vessel record during v1.9 merge.</x:v>
      </x:c>
    </x:row>
    <x:row r="270">
      <x:c r="A270" s="102" t="str">
        <x:v>VESSEL_00269</x:v>
      </x:c>
      <x:c r="B270" s="102" t="str">
        <x:v>GFS LETO</x:v>
      </x:c>
      <x:c r="C270" s="110" t="str">
        <x:v>9346562</x:v>
      </x:c>
      <x:c r="D270" s="110"/>
      <x:c r="E270" s="102"/>
      <x:c r="F270" s="102"/>
      <x:c r="G270" s="102"/>
      <x:c r="H270" s="102" t="str">
        <x:v>5BWF6</x:v>
      </x:c>
      <x:c r="I270" s="102"/>
      <x:c r="J270" s="102"/>
      <x:c r="K270" s="102" t="str">
        <x:v>IMO populated</x:v>
      </x:c>
      <x:c r="L270" s="102" t="str">
        <x:v>2026-09-07</x:v>
      </x:c>
      <x:c r="M270" s="102" t="str">
        <x:v>SRC_0209</x:v>
      </x:c>
      <x:c r="N270" s="102" t="str">
        <x:v>Generated from unified canonical vessel record during v1.9 merge.</x:v>
      </x:c>
    </x:row>
    <x:row r="271">
      <x:c r="A271" s="102" t="str">
        <x:v>VESSEL_00270</x:v>
      </x:c>
      <x:c r="B271" s="102" t="str">
        <x:v>GFS LYSA</x:v>
      </x:c>
      <x:c r="C271" s="110" t="str">
        <x:v>9368730</x:v>
      </x:c>
      <x:c r="D271" s="110"/>
      <x:c r="E271" s="102"/>
      <x:c r="F271" s="102"/>
      <x:c r="G271" s="102"/>
      <x:c r="H271" s="102" t="str">
        <x:v>5BYT6</x:v>
      </x:c>
      <x:c r="I271" s="102"/>
      <x:c r="J271" s="102"/>
      <x:c r="K271" s="102" t="str">
        <x:v>IMO populated</x:v>
      </x:c>
      <x:c r="L271" s="102" t="str">
        <x:v>2026-09-07</x:v>
      </x:c>
      <x:c r="M271" s="102" t="str">
        <x:v>SRC_0209</x:v>
      </x:c>
      <x:c r="N271" s="102" t="str">
        <x:v>Generated from unified canonical vessel record during v1.9 merge.</x:v>
      </x:c>
    </x:row>
    <x:row r="272">
      <x:c r="A272" s="102" t="str">
        <x:v>VESSEL_00271</x:v>
      </x:c>
      <x:c r="B272" s="102" t="str">
        <x:v>GFS MARINE 01</x:v>
      </x:c>
      <x:c r="C272" s="110" t="str">
        <x:v>9586368</x:v>
      </x:c>
      <x:c r="D272" s="110"/>
      <x:c r="E272" s="102"/>
      <x:c r="F272" s="102"/>
      <x:c r="G272" s="102"/>
      <x:c r="H272" s="102" t="str">
        <x:v>P2V5596</x:v>
      </x:c>
      <x:c r="I272" s="102"/>
      <x:c r="J272" s="102"/>
      <x:c r="K272" s="102" t="str">
        <x:v>IMO populated</x:v>
      </x:c>
      <x:c r="L272" s="102" t="str">
        <x:v>2026-09-07</x:v>
      </x:c>
      <x:c r="M272" s="102" t="str">
        <x:v>SRC_0209</x:v>
      </x:c>
      <x:c r="N272" s="102" t="str">
        <x:v>Generated from unified canonical vessel record during v1.9 merge.</x:v>
      </x:c>
    </x:row>
    <x:row r="273">
      <x:c r="A273" s="102" t="str">
        <x:v>VESSEL_00272</x:v>
      </x:c>
      <x:c r="B273" s="102" t="str">
        <x:v>GFS RHEA</x:v>
      </x:c>
      <x:c r="C273" s="110" t="str">
        <x:v>9373486</x:v>
      </x:c>
      <x:c r="D273" s="110" t="str">
        <x:v>210639000</x:v>
      </x:c>
      <x:c r="E273" s="102"/>
      <x:c r="F273" s="102"/>
      <x:c r="G273" s="102"/>
      <x:c r="H273" s="102" t="str">
        <x:v>5BWE6</x:v>
      </x:c>
      <x:c r="I273" s="102"/>
      <x:c r="J273" s="102" t="str">
        <x:v>Cyprus</x:v>
      </x:c>
      <x:c r="K273" s="102" t="str">
        <x:v>IMO populated</x:v>
      </x:c>
      <x:c r="L273" s="102" t="str">
        <x:v>2026-09-07</x:v>
      </x:c>
      <x:c r="M273" s="102" t="str">
        <x:v>SRC_0210</x:v>
      </x:c>
      <x:c r="N273" s="102" t="str">
        <x:v>Generated from unified canonical vessel record during v1.9 merge.</x:v>
      </x:c>
    </x:row>
    <x:row r="274">
      <x:c r="A274" s="102" t="str">
        <x:v>VESSEL_00273</x:v>
      </x:c>
      <x:c r="B274" s="102" t="str">
        <x:v>GFS RHINE</x:v>
      </x:c>
      <x:c r="C274" s="110" t="str">
        <x:v>9435234</x:v>
      </x:c>
      <x:c r="D274" s="110"/>
      <x:c r="E274" s="102"/>
      <x:c r="F274" s="102"/>
      <x:c r="G274" s="102"/>
      <x:c r="H274" s="102" t="str">
        <x:v>5BLZ2</x:v>
      </x:c>
      <x:c r="I274" s="102"/>
      <x:c r="J274" s="102"/>
      <x:c r="K274" s="102" t="str">
        <x:v>IMO populated</x:v>
      </x:c>
      <x:c r="L274" s="102" t="str">
        <x:v>2026-09-07</x:v>
      </x:c>
      <x:c r="M274" s="102" t="str">
        <x:v>SRC_0209</x:v>
      </x:c>
      <x:c r="N274" s="102" t="str">
        <x:v>Generated from unified canonical vessel record during v1.9 merge.</x:v>
      </x:c>
    </x:row>
    <x:row r="275">
      <x:c r="A275" s="102" t="str">
        <x:v>VESSEL_00274</x:v>
      </x:c>
      <x:c r="B275" s="102" t="str">
        <x:v>Baie Comeau</x:v>
      </x:c>
      <x:c r="C275" s="110" t="str">
        <x:v>9639892</x:v>
      </x:c>
      <x:c r="D275" s="110"/>
      <x:c r="E275" s="102"/>
      <x:c r="F275" s="102"/>
      <x:c r="G275" s="102"/>
      <x:c r="H275" s="102"/>
      <x:c r="I275" s="102"/>
      <x:c r="J275" s="102" t="str">
        <x:v>Canada</x:v>
      </x:c>
      <x:c r="K275" s="102" t="str">
        <x:v>IMO populated</x:v>
      </x:c>
      <x:c r="L275" s="102" t="str">
        <x:v>2026-09-07</x:v>
      </x:c>
      <x:c r="M275" s="102" t="str">
        <x:v>SRC_0153</x:v>
      </x:c>
      <x:c r="N275" s="102" t="str">
        <x:v>Current CSL regional fleet association verified in 2026; IMO from regulator/current public vessel identity evidence.</x:v>
      </x:c>
    </x:row>
    <x:row r="276">
      <x:c r="A276" s="102" t="str">
        <x:v>VESSEL_00275</x:v>
      </x:c>
      <x:c r="B276" s="102" t="str">
        <x:v>Baie St. Paul</x:v>
      </x:c>
      <x:c r="C276" s="110" t="str">
        <x:v>9601027</x:v>
      </x:c>
      <x:c r="D276" s="110"/>
      <x:c r="E276" s="102"/>
      <x:c r="F276" s="102"/>
      <x:c r="G276" s="102"/>
      <x:c r="H276" s="102"/>
      <x:c r="I276" s="102"/>
      <x:c r="J276" s="102" t="str">
        <x:v>Canada</x:v>
      </x:c>
      <x:c r="K276" s="102" t="str">
        <x:v>IMO populated</x:v>
      </x:c>
      <x:c r="L276" s="102" t="str">
        <x:v>2026-09-07</x:v>
      </x:c>
      <x:c r="M276" s="102" t="str">
        <x:v>SRC_0153</x:v>
      </x:c>
      <x:c r="N276" s="102" t="str">
        <x:v>Current CSL regional fleet association verified in 2026; IMO from regulator/current public vessel identity evidence.</x:v>
      </x:c>
    </x:row>
    <x:row r="277">
      <x:c r="A277" s="102" t="str">
        <x:v>VESSEL_00276</x:v>
      </x:c>
      <x:c r="B277" s="102" t="str">
        <x:v>CSL Assiniboine</x:v>
      </x:c>
      <x:c r="C277" s="110" t="str">
        <x:v>7413218</x:v>
      </x:c>
      <x:c r="D277" s="110"/>
      <x:c r="E277" s="102"/>
      <x:c r="F277" s="102"/>
      <x:c r="G277" s="102"/>
      <x:c r="H277" s="102"/>
      <x:c r="I277" s="102"/>
      <x:c r="J277" s="102" t="str">
        <x:v>Canada</x:v>
      </x:c>
      <x:c r="K277" s="102" t="str">
        <x:v>IMO populated</x:v>
      </x:c>
      <x:c r="L277" s="102" t="str">
        <x:v>2026-09-07</x:v>
      </x:c>
      <x:c r="M277" s="102" t="str">
        <x:v>SRC_0153</x:v>
      </x:c>
      <x:c r="N277" s="102" t="str">
        <x:v>Current CSL regional fleet association verified in 2026; IMO from regulator/current public vessel identity evidence.</x:v>
      </x:c>
    </x:row>
    <x:row r="278">
      <x:c r="A278" s="102" t="str">
        <x:v>VESSEL_00277</x:v>
      </x:c>
      <x:c r="B278" s="102" t="str">
        <x:v>CSL Laurentien</x:v>
      </x:c>
      <x:c r="C278" s="110" t="str">
        <x:v>7423108</x:v>
      </x:c>
      <x:c r="D278" s="110"/>
      <x:c r="E278" s="102"/>
      <x:c r="F278" s="102"/>
      <x:c r="G278" s="102"/>
      <x:c r="H278" s="102"/>
      <x:c r="I278" s="102"/>
      <x:c r="J278" s="102" t="str">
        <x:v>Canada</x:v>
      </x:c>
      <x:c r="K278" s="102" t="str">
        <x:v>IMO populated</x:v>
      </x:c>
      <x:c r="L278" s="102" t="str">
        <x:v>2026-09-07</x:v>
      </x:c>
      <x:c r="M278" s="102" t="str">
        <x:v>SRC_0153</x:v>
      </x:c>
      <x:c r="N278" s="102" t="str">
        <x:v>Current CSL regional fleet association verified in 2026; IMO from regulator/current public vessel identity evidence.</x:v>
      </x:c>
    </x:row>
    <x:row r="279">
      <x:c r="A279" s="102" t="str">
        <x:v>VESSEL_00278</x:v>
      </x:c>
      <x:c r="B279" s="102" t="str">
        <x:v>CSL Niagara</x:v>
      </x:c>
      <x:c r="C279" s="110" t="str">
        <x:v>7128423</x:v>
      </x:c>
      <x:c r="D279" s="110"/>
      <x:c r="E279" s="102"/>
      <x:c r="F279" s="102"/>
      <x:c r="G279" s="102"/>
      <x:c r="H279" s="102"/>
      <x:c r="I279" s="102"/>
      <x:c r="J279" s="102" t="str">
        <x:v>Canada</x:v>
      </x:c>
      <x:c r="K279" s="102" t="str">
        <x:v>IMO populated</x:v>
      </x:c>
      <x:c r="L279" s="102" t="str">
        <x:v>2026-09-07</x:v>
      </x:c>
      <x:c r="M279" s="102" t="str">
        <x:v>SRC_0153</x:v>
      </x:c>
      <x:c r="N279" s="102" t="str">
        <x:v>Current CSL regional fleet association verified in 2026; IMO from regulator/current public vessel identity evidence.</x:v>
      </x:c>
    </x:row>
    <x:row r="280">
      <x:c r="A280" s="102" t="str">
        <x:v>VESSEL_00279</x:v>
      </x:c>
      <x:c r="B280" s="102" t="str">
        <x:v>CSL Tadoussac</x:v>
      </x:c>
      <x:c r="C280" s="110" t="str">
        <x:v>6918716</x:v>
      </x:c>
      <x:c r="D280" s="110"/>
      <x:c r="E280" s="102"/>
      <x:c r="F280" s="102"/>
      <x:c r="G280" s="102"/>
      <x:c r="H280" s="102"/>
      <x:c r="I280" s="102"/>
      <x:c r="J280" s="102" t="str">
        <x:v>Canada</x:v>
      </x:c>
      <x:c r="K280" s="102" t="str">
        <x:v>IMO populated</x:v>
      </x:c>
      <x:c r="L280" s="102" t="str">
        <x:v>2026-09-07</x:v>
      </x:c>
      <x:c r="M280" s="102" t="str">
        <x:v>SRC_0153</x:v>
      </x:c>
      <x:c r="N280" s="102" t="str">
        <x:v>Current CSL regional fleet association verified in 2026; IMO from regulator/current public vessel identity evidence.</x:v>
      </x:c>
    </x:row>
    <x:row r="281">
      <x:c r="A281" s="102" t="str">
        <x:v>VESSEL_00280</x:v>
      </x:c>
      <x:c r="B281" s="102" t="str">
        <x:v>Frontenac</x:v>
      </x:c>
      <x:c r="C281" s="110" t="str">
        <x:v>6804848</x:v>
      </x:c>
      <x:c r="D281" s="110"/>
      <x:c r="E281" s="102"/>
      <x:c r="F281" s="102"/>
      <x:c r="G281" s="102"/>
      <x:c r="H281" s="102"/>
      <x:c r="I281" s="102"/>
      <x:c r="J281" s="102" t="str">
        <x:v>Canada</x:v>
      </x:c>
      <x:c r="K281" s="102" t="str">
        <x:v>IMO populated</x:v>
      </x:c>
      <x:c r="L281" s="102" t="str">
        <x:v>2026-09-07</x:v>
      </x:c>
      <x:c r="M281" s="102" t="str">
        <x:v>SRC_0153</x:v>
      </x:c>
      <x:c r="N281" s="102" t="str">
        <x:v>Current CSL regional fleet association verified in 2026; IMO from regulator/current public vessel identity evidence.</x:v>
      </x:c>
    </x:row>
    <x:row r="282">
      <x:c r="A282" s="102" t="str">
        <x:v>VESSEL_00281</x:v>
      </x:c>
      <x:c r="B282" s="102" t="str">
        <x:v>Nukumi</x:v>
      </x:c>
      <x:c r="C282" s="110" t="str">
        <x:v>9914711</x:v>
      </x:c>
      <x:c r="D282" s="110" t="str">
        <x:v>316048137</x:v>
      </x:c>
      <x:c r="E282" s="102"/>
      <x:c r="F282" s="102"/>
      <x:c r="G282" s="102"/>
      <x:c r="H282" s="102"/>
      <x:c r="I282" s="102"/>
      <x:c r="J282" s="102" t="str">
        <x:v>Canada</x:v>
      </x:c>
      <x:c r="K282" s="102" t="str">
        <x:v>IMO populated</x:v>
      </x:c>
      <x:c r="L282" s="102" t="str">
        <x:v>2026-09-07</x:v>
      </x:c>
      <x:c r="M282" s="102" t="str">
        <x:v>SRC_0169</x:v>
      </x:c>
      <x:c r="N282" s="102" t="str">
        <x:v>Current CSL regional fleet association verified in 2026; IMO from regulator/current public vessel identity evidence.</x:v>
      </x:c>
    </x:row>
    <x:row r="283">
      <x:c r="A283" s="102" t="str">
        <x:v>VESSEL_00282</x:v>
      </x:c>
      <x:c r="B283" s="102" t="str">
        <x:v>Rt. Hon. Paul J. Martin</x:v>
      </x:c>
      <x:c r="C283" s="110" t="str">
        <x:v>7324405</x:v>
      </x:c>
      <x:c r="D283" s="110" t="str">
        <x:v>316001635</x:v>
      </x:c>
      <x:c r="E283" s="102"/>
      <x:c r="F283" s="102"/>
      <x:c r="G283" s="102"/>
      <x:c r="H283" s="102"/>
      <x:c r="I283" s="102"/>
      <x:c r="J283" s="102" t="str">
        <x:v>Canada</x:v>
      </x:c>
      <x:c r="K283" s="102" t="str">
        <x:v>IMO populated</x:v>
      </x:c>
      <x:c r="L283" s="102" t="str">
        <x:v>2026-09-07</x:v>
      </x:c>
      <x:c r="M283" s="102" t="str">
        <x:v>SRC_0153</x:v>
      </x:c>
      <x:c r="N283" s="102" t="str">
        <x:v>Current CSL regional fleet association verified in 2026; IMO from regulator/current public vessel identity evidence.</x:v>
      </x:c>
    </x:row>
    <x:row r="284">
      <x:c r="A284" s="102" t="str">
        <x:v>VESSEL_00283</x:v>
      </x:c>
      <x:c r="B284" s="102" t="str">
        <x:v>Thunder Bay</x:v>
      </x:c>
      <x:c r="C284" s="110" t="str">
        <x:v>9601039</x:v>
      </x:c>
      <x:c r="D284" s="110"/>
      <x:c r="E284" s="102"/>
      <x:c r="F284" s="102"/>
      <x:c r="G284" s="102"/>
      <x:c r="H284" s="102"/>
      <x:c r="I284" s="102"/>
      <x:c r="J284" s="102" t="str">
        <x:v>Canada</x:v>
      </x:c>
      <x:c r="K284" s="102" t="str">
        <x:v>IMO populated</x:v>
      </x:c>
      <x:c r="L284" s="102" t="str">
        <x:v>2026-09-07</x:v>
      </x:c>
      <x:c r="M284" s="102" t="str">
        <x:v>SRC_0153</x:v>
      </x:c>
      <x:c r="N284" s="102" t="str">
        <x:v>Current CSL regional fleet association verified in 2026; IMO from regulator/current public vessel identity evidence.</x:v>
      </x:c>
    </x:row>
    <x:row r="285">
      <x:c r="A285" s="102" t="str">
        <x:v>VESSEL_00284</x:v>
      </x:c>
      <x:c r="B285" s="102" t="str">
        <x:v>Whitefish Bay</x:v>
      </x:c>
      <x:c r="C285" s="110" t="str">
        <x:v>9639880</x:v>
      </x:c>
      <x:c r="D285" s="110"/>
      <x:c r="E285" s="102"/>
      <x:c r="F285" s="102"/>
      <x:c r="G285" s="102"/>
      <x:c r="H285" s="102"/>
      <x:c r="I285" s="102"/>
      <x:c r="J285" s="102" t="str">
        <x:v>Canada</x:v>
      </x:c>
      <x:c r="K285" s="102" t="str">
        <x:v>IMO populated</x:v>
      </x:c>
      <x:c r="L285" s="102" t="str">
        <x:v>2026-09-07</x:v>
      </x:c>
      <x:c r="M285" s="102" t="str">
        <x:v>SRC_0153</x:v>
      </x:c>
      <x:c r="N285" s="102" t="str">
        <x:v>Current CSL regional fleet association verified in 2026; IMO from regulator/current public vessel identity evidence.</x:v>
      </x:c>
    </x:row>
    <x:row r="286">
      <x:c r="A286" s="102" t="str">
        <x:v>VESSEL_00285</x:v>
      </x:c>
      <x:c r="B286" s="102" t="str">
        <x:v>CSL St-Laurent</x:v>
      </x:c>
      <x:c r="C286" s="110" t="str">
        <x:v>9665281</x:v>
      </x:c>
      <x:c r="D286" s="110"/>
      <x:c r="E286" s="102"/>
      <x:c r="F286" s="102"/>
      <x:c r="G286" s="102"/>
      <x:c r="H286" s="102"/>
      <x:c r="I286" s="102"/>
      <x:c r="J286" s="102" t="str">
        <x:v>Canada</x:v>
      </x:c>
      <x:c r="K286" s="102" t="str">
        <x:v>IMO populated</x:v>
      </x:c>
      <x:c r="L286" s="102" t="str">
        <x:v>2026-09-07</x:v>
      </x:c>
      <x:c r="M286" s="102" t="str">
        <x:v>SRC_0153</x:v>
      </x:c>
      <x:c r="N286" s="102" t="str">
        <x:v>Current CSL regional fleet association verified in 2026; IMO from regulator/current public vessel identity evidence.</x:v>
      </x:c>
    </x:row>
    <x:row r="287">
      <x:c r="A287" s="102" t="str">
        <x:v>VESSEL_00286</x:v>
      </x:c>
      <x:c r="B287" s="102" t="str">
        <x:v>CSL Welland</x:v>
      </x:c>
      <x:c r="C287" s="110" t="str">
        <x:v>9665279</x:v>
      </x:c>
      <x:c r="D287" s="110"/>
      <x:c r="E287" s="102"/>
      <x:c r="F287" s="102"/>
      <x:c r="G287" s="102"/>
      <x:c r="H287" s="102"/>
      <x:c r="I287" s="102"/>
      <x:c r="J287" s="102" t="str">
        <x:v>Canada</x:v>
      </x:c>
      <x:c r="K287" s="102" t="str">
        <x:v>IMO populated</x:v>
      </x:c>
      <x:c r="L287" s="102" t="str">
        <x:v>2026-09-07</x:v>
      </x:c>
      <x:c r="M287" s="102" t="str">
        <x:v>SRC_0153</x:v>
      </x:c>
      <x:c r="N287" s="102" t="str">
        <x:v>Current CSL regional fleet association verified in 2026; IMO from regulator/current public vessel identity evidence.</x:v>
      </x:c>
    </x:row>
    <x:row r="288">
      <x:c r="A288" s="102" t="str">
        <x:v>VESSEL_00287</x:v>
      </x:c>
      <x:c r="B288" s="102" t="str">
        <x:v>Ferbec</x:v>
      </x:c>
      <x:c r="C288" s="110" t="str">
        <x:v>9259848</x:v>
      </x:c>
      <x:c r="D288" s="110" t="str">
        <x:v>316014340</x:v>
      </x:c>
      <x:c r="E288" s="102"/>
      <x:c r="F288" s="102"/>
      <x:c r="G288" s="102"/>
      <x:c r="H288" s="102"/>
      <x:c r="I288" s="102"/>
      <x:c r="J288" s="102" t="str">
        <x:v>Canada</x:v>
      </x:c>
      <x:c r="K288" s="102" t="str">
        <x:v>IMO populated</x:v>
      </x:c>
      <x:c r="L288" s="102" t="str">
        <x:v>2026-09-07</x:v>
      </x:c>
      <x:c r="M288" s="102" t="str">
        <x:v>SRC_0153</x:v>
      </x:c>
      <x:c r="N288" s="102" t="str">
        <x:v>Current CSL regional fleet association verified in 2026; IMO from regulator/current public vessel identity evidence.</x:v>
      </x:c>
    </x:row>
    <x:row r="289">
      <x:c r="A289" s="102" t="str">
        <x:v>VESSEL_00288</x:v>
      </x:c>
      <x:c r="B289" s="102" t="str">
        <x:v>Oakglen</x:v>
      </x:c>
      <x:c r="C289" s="110" t="str">
        <x:v>7901148</x:v>
      </x:c>
      <x:c r="D289" s="110"/>
      <x:c r="E289" s="102"/>
      <x:c r="F289" s="102"/>
      <x:c r="G289" s="102"/>
      <x:c r="H289" s="102"/>
      <x:c r="I289" s="102"/>
      <x:c r="J289" s="102" t="str">
        <x:v>Canada</x:v>
      </x:c>
      <x:c r="K289" s="102" t="str">
        <x:v>IMO populated</x:v>
      </x:c>
      <x:c r="L289" s="102" t="str">
        <x:v>2026-09-07</x:v>
      </x:c>
      <x:c r="M289" s="102" t="str">
        <x:v>SRC_0153</x:v>
      </x:c>
      <x:c r="N289" s="102" t="str">
        <x:v>Current CSL regional fleet association verified in 2026; IMO from regulator/current public vessel identity evidence.</x:v>
      </x:c>
    </x:row>
    <x:row r="290">
      <x:c r="A290" s="102" t="str">
        <x:v>VESSEL_00289</x:v>
      </x:c>
      <x:c r="B290" s="102" t="str">
        <x:v>Spruceglen</x:v>
      </x:c>
      <x:c r="C290" s="110" t="str">
        <x:v>8119261</x:v>
      </x:c>
      <x:c r="D290" s="110"/>
      <x:c r="E290" s="102"/>
      <x:c r="F290" s="102"/>
      <x:c r="G290" s="102"/>
      <x:c r="H290" s="102"/>
      <x:c r="I290" s="102"/>
      <x:c r="J290" s="102" t="str">
        <x:v>Canada</x:v>
      </x:c>
      <x:c r="K290" s="102" t="str">
        <x:v>IMO populated</x:v>
      </x:c>
      <x:c r="L290" s="102" t="str">
        <x:v>2026-09-07</x:v>
      </x:c>
      <x:c r="M290" s="102" t="str">
        <x:v>SRC_0153</x:v>
      </x:c>
      <x:c r="N290" s="102" t="str">
        <x:v>Current CSL regional fleet association verified in 2026; IMO from regulator/current public vessel identity evidence.</x:v>
      </x:c>
    </x:row>
    <x:row r="291">
      <x:c r="A291" s="102" t="str">
        <x:v>VESSEL_00290</x:v>
      </x:c>
      <x:c r="B291" s="102" t="str">
        <x:v>Tamarack</x:v>
      </x:c>
      <x:c r="C291" s="110" t="str">
        <x:v>1037153</x:v>
      </x:c>
      <x:c r="D291" s="110" t="str">
        <x:v>316041965</x:v>
      </x:c>
      <x:c r="E291" s="102"/>
      <x:c r="F291" s="102"/>
      <x:c r="G291" s="102"/>
      <x:c r="H291" s="102"/>
      <x:c r="I291" s="102"/>
      <x:c r="J291" s="102" t="str">
        <x:v>Canada</x:v>
      </x:c>
      <x:c r="K291" s="102" t="str">
        <x:v>IMO populated</x:v>
      </x:c>
      <x:c r="L291" s="102" t="str">
        <x:v>2026-09-07</x:v>
      </x:c>
      <x:c r="M291" s="102" t="str">
        <x:v>SRC_0170</x:v>
      </x:c>
      <x:c r="N291" s="102" t="str">
        <x:v>Current CSL regional fleet association verified in 2026; IMO from regulator/current public vessel identity evidence.</x:v>
      </x:c>
    </x:row>
    <x:row r="292">
      <x:c r="A292" s="102" t="str">
        <x:v>VESSEL_00291</x:v>
      </x:c>
      <x:c r="B292" s="102" t="str">
        <x:v>Algoma Guardian</x:v>
      </x:c>
      <x:c r="C292" s="110" t="str">
        <x:v>8505850</x:v>
      </x:c>
      <x:c r="D292" s="110"/>
      <x:c r="E292" s="102"/>
      <x:c r="F292" s="102"/>
      <x:c r="G292" s="102"/>
      <x:c r="H292" s="102"/>
      <x:c r="I292" s="102"/>
      <x:c r="J292" s="102" t="str">
        <x:v>Canada</x:v>
      </x:c>
      <x:c r="K292" s="102" t="str">
        <x:v>IMO populated</x:v>
      </x:c>
      <x:c r="L292" s="102" t="str">
        <x:v>2026-09-07</x:v>
      </x:c>
      <x:c r="M292" s="102" t="str">
        <x:v>SRC_0167</x:v>
      </x:c>
      <x:c r="N292" s="102" t="str">
        <x:v>Government identity evidence from 2023. Algoma's current segment structure is confirmed, but individual current operating status still requires reconciliation.</x:v>
      </x:c>
    </x:row>
    <x:row r="293">
      <x:c r="A293" s="102" t="str">
        <x:v>VESSEL_00292</x:v>
      </x:c>
      <x:c r="B293" s="102" t="str">
        <x:v>Algoma Harvester</x:v>
      </x:c>
      <x:c r="C293" s="110" t="str">
        <x:v>9613939</x:v>
      </x:c>
      <x:c r="D293" s="110"/>
      <x:c r="E293" s="102"/>
      <x:c r="F293" s="102"/>
      <x:c r="G293" s="102"/>
      <x:c r="H293" s="102"/>
      <x:c r="I293" s="102"/>
      <x:c r="J293" s="102" t="str">
        <x:v>Canada</x:v>
      </x:c>
      <x:c r="K293" s="102" t="str">
        <x:v>IMO populated</x:v>
      </x:c>
      <x:c r="L293" s="102" t="str">
        <x:v>2026-09-07</x:v>
      </x:c>
      <x:c r="M293" s="102" t="str">
        <x:v>SRC_0167</x:v>
      </x:c>
      <x:c r="N293" s="102" t="str">
        <x:v>Government identity evidence from 2023. Algoma's current segment structure is confirmed, but individual current operating status still requires reconciliation.</x:v>
      </x:c>
    </x:row>
    <x:row r="294">
      <x:c r="A294" s="102" t="str">
        <x:v>VESSEL_00293</x:v>
      </x:c>
      <x:c r="B294" s="102" t="str">
        <x:v>Algoma Innovator</x:v>
      </x:c>
      <x:c r="C294" s="110" t="str">
        <x:v>9773375</x:v>
      </x:c>
      <x:c r="D294" s="110"/>
      <x:c r="E294" s="102"/>
      <x:c r="F294" s="102"/>
      <x:c r="G294" s="102"/>
      <x:c r="H294" s="102"/>
      <x:c r="I294" s="102"/>
      <x:c r="J294" s="102" t="str">
        <x:v>Canada</x:v>
      </x:c>
      <x:c r="K294" s="102" t="str">
        <x:v>IMO populated</x:v>
      </x:c>
      <x:c r="L294" s="102" t="str">
        <x:v>2026-09-07</x:v>
      </x:c>
      <x:c r="M294" s="102" t="str">
        <x:v>SRC_0167</x:v>
      </x:c>
      <x:c r="N294" s="102" t="str">
        <x:v>Government identity evidence from 2023. Algoma's current segment structure is confirmed, but individual current operating status still requires reconciliation.</x:v>
      </x:c>
    </x:row>
    <x:row r="295">
      <x:c r="A295" s="102" t="str">
        <x:v>VESSEL_00294</x:v>
      </x:c>
      <x:c r="B295" s="102" t="str">
        <x:v>Algoma Intrepid</x:v>
      </x:c>
      <x:c r="C295" s="110" t="str">
        <x:v>9773387</x:v>
      </x:c>
      <x:c r="D295" s="110"/>
      <x:c r="E295" s="102"/>
      <x:c r="F295" s="102"/>
      <x:c r="G295" s="102"/>
      <x:c r="H295" s="102"/>
      <x:c r="I295" s="102"/>
      <x:c r="J295" s="102" t="str">
        <x:v>Canada</x:v>
      </x:c>
      <x:c r="K295" s="102" t="str">
        <x:v>IMO populated</x:v>
      </x:c>
      <x:c r="L295" s="102" t="str">
        <x:v>2026-09-07</x:v>
      </x:c>
      <x:c r="M295" s="102" t="str">
        <x:v>SRC_0167</x:v>
      </x:c>
      <x:c r="N295" s="102" t="str">
        <x:v>Government identity evidence from 2023. Algoma's current segment structure is confirmed, but individual current operating status still requires reconciliation.</x:v>
      </x:c>
    </x:row>
    <x:row r="296">
      <x:c r="A296" s="102" t="str">
        <x:v>VESSEL_00295</x:v>
      </x:c>
      <x:c r="B296" s="102" t="str">
        <x:v>Algoma Mariner</x:v>
      </x:c>
      <x:c r="C296" s="110" t="str">
        <x:v>9587893</x:v>
      </x:c>
      <x:c r="D296" s="110"/>
      <x:c r="E296" s="102"/>
      <x:c r="F296" s="102"/>
      <x:c r="G296" s="102"/>
      <x:c r="H296" s="102"/>
      <x:c r="I296" s="102"/>
      <x:c r="J296" s="102" t="str">
        <x:v>Canada</x:v>
      </x:c>
      <x:c r="K296" s="102" t="str">
        <x:v>IMO populated</x:v>
      </x:c>
      <x:c r="L296" s="102" t="str">
        <x:v>2026-09-07</x:v>
      </x:c>
      <x:c r="M296" s="102" t="str">
        <x:v>SRC_0167</x:v>
      </x:c>
      <x:c r="N296" s="102" t="str">
        <x:v>Government identity evidence from 2023. Algoma's current segment structure is confirmed, but individual current operating status still requires reconciliation.</x:v>
      </x:c>
    </x:row>
    <x:row r="297">
      <x:c r="A297" s="102" t="str">
        <x:v>VESSEL_00296</x:v>
      </x:c>
      <x:c r="B297" s="102" t="str">
        <x:v>Algoma Niagara</x:v>
      </x:c>
      <x:c r="C297" s="110" t="str">
        <x:v>9619270</x:v>
      </x:c>
      <x:c r="D297" s="110"/>
      <x:c r="E297" s="102"/>
      <x:c r="F297" s="102"/>
      <x:c r="G297" s="102"/>
      <x:c r="H297" s="102"/>
      <x:c r="I297" s="102"/>
      <x:c r="J297" s="102" t="str">
        <x:v>Canada</x:v>
      </x:c>
      <x:c r="K297" s="102" t="str">
        <x:v>IMO populated</x:v>
      </x:c>
      <x:c r="L297" s="102" t="str">
        <x:v>2026-09-07</x:v>
      </x:c>
      <x:c r="M297" s="102" t="str">
        <x:v>SRC_0167</x:v>
      </x:c>
      <x:c r="N297" s="102" t="str">
        <x:v>Government identity evidence from 2023. Algoma's current segment structure is confirmed, but individual current operating status still requires reconciliation.</x:v>
      </x:c>
    </x:row>
    <x:row r="298">
      <x:c r="A298" s="102" t="str">
        <x:v>VESSEL_00297</x:v>
      </x:c>
      <x:c r="B298" s="102" t="str">
        <x:v>Algoma Sault</x:v>
      </x:c>
      <x:c r="C298" s="110" t="str">
        <x:v>9619282</x:v>
      </x:c>
      <x:c r="D298" s="110"/>
      <x:c r="E298" s="102"/>
      <x:c r="F298" s="102"/>
      <x:c r="G298" s="102"/>
      <x:c r="H298" s="102"/>
      <x:c r="I298" s="102"/>
      <x:c r="J298" s="102" t="str">
        <x:v>Canada</x:v>
      </x:c>
      <x:c r="K298" s="102" t="str">
        <x:v>IMO populated</x:v>
      </x:c>
      <x:c r="L298" s="102" t="str">
        <x:v>2026-09-07</x:v>
      </x:c>
      <x:c r="M298" s="102" t="str">
        <x:v>SRC_0167</x:v>
      </x:c>
      <x:c r="N298" s="102" t="str">
        <x:v>Government identity evidence from 2023. Algoma's current segment structure is confirmed, but individual current operating status still requires reconciliation.</x:v>
      </x:c>
    </x:row>
    <x:row r="299">
      <x:c r="A299" s="102" t="str">
        <x:v>VESSEL_00298</x:v>
      </x:c>
      <x:c r="B299" s="102" t="str">
        <x:v>Algoma Strongfield</x:v>
      </x:c>
      <x:c r="C299" s="110" t="str">
        <x:v>9613953</x:v>
      </x:c>
      <x:c r="D299" s="110"/>
      <x:c r="E299" s="102"/>
      <x:c r="F299" s="102"/>
      <x:c r="G299" s="102"/>
      <x:c r="H299" s="102"/>
      <x:c r="I299" s="102"/>
      <x:c r="J299" s="102" t="str">
        <x:v>Canada</x:v>
      </x:c>
      <x:c r="K299" s="102" t="str">
        <x:v>IMO populated</x:v>
      </x:c>
      <x:c r="L299" s="102" t="str">
        <x:v>2026-09-07</x:v>
      </x:c>
      <x:c r="M299" s="102" t="str">
        <x:v>SRC_0167</x:v>
      </x:c>
      <x:c r="N299" s="102" t="str">
        <x:v>Government identity evidence from 2023. Algoma's current segment structure is confirmed, but individual current operating status still requires reconciliation.</x:v>
      </x:c>
    </x:row>
    <x:row r="300">
      <x:c r="A300" s="102" t="str">
        <x:v>VESSEL_00299</x:v>
      </x:c>
      <x:c r="B300" s="102" t="str">
        <x:v>Algoma Transport</x:v>
      </x:c>
      <x:c r="C300" s="110" t="str">
        <x:v>7711737</x:v>
      </x:c>
      <x:c r="D300" s="110"/>
      <x:c r="E300" s="102"/>
      <x:c r="F300" s="102"/>
      <x:c r="G300" s="102"/>
      <x:c r="H300" s="102"/>
      <x:c r="I300" s="102"/>
      <x:c r="J300" s="102" t="str">
        <x:v>Canada</x:v>
      </x:c>
      <x:c r="K300" s="102" t="str">
        <x:v>IMO populated</x:v>
      </x:c>
      <x:c r="L300" s="102" t="str">
        <x:v>2026-09-07</x:v>
      </x:c>
      <x:c r="M300" s="102" t="str">
        <x:v>SRC_0167</x:v>
      </x:c>
      <x:c r="N300" s="102" t="str">
        <x:v>Government identity evidence from 2023. Algoma's current segment structure is confirmed, but individual current operating status still requires reconciliation.</x:v>
      </x:c>
    </x:row>
    <x:row r="301">
      <x:c r="A301" s="102" t="str">
        <x:v>VESSEL_00300</x:v>
      </x:c>
      <x:c r="B301" s="102" t="str">
        <x:v>Capt. Henry Jackman</x:v>
      </x:c>
      <x:c r="C301" s="110" t="str">
        <x:v>9619294</x:v>
      </x:c>
      <x:c r="D301" s="110"/>
      <x:c r="E301" s="102"/>
      <x:c r="F301" s="102"/>
      <x:c r="G301" s="102"/>
      <x:c r="H301" s="102"/>
      <x:c r="I301" s="102"/>
      <x:c r="J301" s="102" t="str">
        <x:v>Canada</x:v>
      </x:c>
      <x:c r="K301" s="102" t="str">
        <x:v>IMO populated</x:v>
      </x:c>
      <x:c r="L301" s="102" t="str">
        <x:v>2026-09-07</x:v>
      </x:c>
      <x:c r="M301" s="102" t="str">
        <x:v>SRC_0167</x:v>
      </x:c>
      <x:c r="N301" s="102" t="str">
        <x:v>Government identity evidence from 2023. Algoma's current segment structure is confirmed, but individual current operating status still requires reconciliation.</x:v>
      </x:c>
    </x:row>
    <x:row r="302">
      <x:c r="A302" s="102" t="str">
        <x:v>VESSEL_00301</x:v>
      </x:c>
      <x:c r="B302" s="102" t="str">
        <x:v>G3 Marquis</x:v>
      </x:c>
      <x:c r="C302" s="110" t="str">
        <x:v>9613941</x:v>
      </x:c>
      <x:c r="D302" s="110"/>
      <x:c r="E302" s="102"/>
      <x:c r="F302" s="102"/>
      <x:c r="G302" s="102"/>
      <x:c r="H302" s="102"/>
      <x:c r="I302" s="102"/>
      <x:c r="J302" s="102" t="str">
        <x:v>Canada</x:v>
      </x:c>
      <x:c r="K302" s="102" t="str">
        <x:v>IMO populated</x:v>
      </x:c>
      <x:c r="L302" s="102" t="str">
        <x:v>2026-09-07</x:v>
      </x:c>
      <x:c r="M302" s="102" t="str">
        <x:v>SRC_0167</x:v>
      </x:c>
      <x:c r="N302" s="102" t="str">
        <x:v>Government identity evidence from 2023. Algoma's current segment structure is confirmed, but individual current operating status still requires reconciliation.</x:v>
      </x:c>
    </x:row>
    <x:row r="303">
      <x:c r="A303" s="102" t="str">
        <x:v>VESSEL_00302</x:v>
      </x:c>
      <x:c r="B303" s="102" t="str">
        <x:v>John D Leitch</x:v>
      </x:c>
      <x:c r="C303" s="110" t="str">
        <x:v>6714586</x:v>
      </x:c>
      <x:c r="D303" s="110"/>
      <x:c r="E303" s="102"/>
      <x:c r="F303" s="102"/>
      <x:c r="G303" s="102"/>
      <x:c r="H303" s="102"/>
      <x:c r="I303" s="102"/>
      <x:c r="J303" s="102" t="str">
        <x:v>Canada</x:v>
      </x:c>
      <x:c r="K303" s="102" t="str">
        <x:v>IMO populated</x:v>
      </x:c>
      <x:c r="L303" s="102" t="str">
        <x:v>2026-09-07</x:v>
      </x:c>
      <x:c r="M303" s="102" t="str">
        <x:v>SRC_0167</x:v>
      </x:c>
      <x:c r="N303" s="102" t="str">
        <x:v>Government identity evidence from 2023. Algoma's current segment structure is confirmed, but individual current operating status still requires reconciliation.</x:v>
      </x:c>
    </x:row>
    <x:row r="304">
      <x:c r="A304" s="102" t="str">
        <x:v>VESSEL_00303</x:v>
      </x:c>
      <x:c r="B304" s="102" t="str">
        <x:v>Radcliffe R Latimer</x:v>
      </x:c>
      <x:c r="C304" s="110" t="str">
        <x:v>7711725</x:v>
      </x:c>
      <x:c r="D304" s="110"/>
      <x:c r="E304" s="102"/>
      <x:c r="F304" s="102"/>
      <x:c r="G304" s="102"/>
      <x:c r="H304" s="102"/>
      <x:c r="I304" s="102"/>
      <x:c r="J304" s="102" t="str">
        <x:v>Canada</x:v>
      </x:c>
      <x:c r="K304" s="102" t="str">
        <x:v>IMO populated</x:v>
      </x:c>
      <x:c r="L304" s="102" t="str">
        <x:v>2026-09-07</x:v>
      </x:c>
      <x:c r="M304" s="102" t="str">
        <x:v>SRC_0167</x:v>
      </x:c>
      <x:c r="N304" s="102" t="str">
        <x:v>Government identity evidence from 2023. Algoma's current segment structure is confirmed, but individual current operating status still requires reconciliation.</x:v>
      </x:c>
    </x:row>
    <x:row r="305">
      <x:c r="A305" s="102" t="str">
        <x:v>VESSEL_00304</x:v>
      </x:c>
      <x:c r="B305" s="102" t="str">
        <x:v>Tim S Dool</x:v>
      </x:c>
      <x:c r="C305" s="110" t="str">
        <x:v>6800919</x:v>
      </x:c>
      <x:c r="D305" s="110"/>
      <x:c r="E305" s="102"/>
      <x:c r="F305" s="102"/>
      <x:c r="G305" s="102"/>
      <x:c r="H305" s="102"/>
      <x:c r="I305" s="102"/>
      <x:c r="J305" s="102" t="str">
        <x:v>Canada</x:v>
      </x:c>
      <x:c r="K305" s="102" t="str">
        <x:v>IMO populated</x:v>
      </x:c>
      <x:c r="L305" s="102" t="str">
        <x:v>2026-09-07</x:v>
      </x:c>
      <x:c r="M305" s="102" t="str">
        <x:v>SRC_0167</x:v>
      </x:c>
      <x:c r="N305" s="102" t="str">
        <x:v>Government identity evidence from 2023. Algoma's current segment structure is confirmed, but individual current operating status still requires reconciliation.</x:v>
      </x:c>
    </x:row>
    <x:row r="306">
      <x:c r="A306" s="102" t="str">
        <x:v>VESSEL_00305</x:v>
      </x:c>
      <x:c r="B306" s="102" t="str">
        <x:v>Algonova</x:v>
      </x:c>
      <x:c r="C306" s="110" t="str">
        <x:v>9378589</x:v>
      </x:c>
      <x:c r="D306" s="110"/>
      <x:c r="E306" s="102"/>
      <x:c r="F306" s="102"/>
      <x:c r="G306" s="102"/>
      <x:c r="H306" s="102"/>
      <x:c r="I306" s="102"/>
      <x:c r="J306" s="102" t="str">
        <x:v>Canada</x:v>
      </x:c>
      <x:c r="K306" s="102" t="str">
        <x:v>IMO populated</x:v>
      </x:c>
      <x:c r="L306" s="102" t="str">
        <x:v>2026-09-07</x:v>
      </x:c>
      <x:c r="M306" s="102" t="str">
        <x:v>SRC_0167</x:v>
      </x:c>
      <x:c r="N306" s="102" t="str">
        <x:v>Government identity evidence from 2023. Algoma's current segment structure is confirmed, but individual current operating status still requires reconciliation.</x:v>
      </x:c>
    </x:row>
    <x:row r="307">
      <x:c r="A307" s="102" t="str">
        <x:v>VESSEL_00306</x:v>
      </x:c>
      <x:c r="B307" s="102" t="str">
        <x:v>Algoscotia</x:v>
      </x:c>
      <x:c r="C307" s="110" t="str">
        <x:v>9273222</x:v>
      </x:c>
      <x:c r="D307" s="110"/>
      <x:c r="E307" s="102"/>
      <x:c r="F307" s="102"/>
      <x:c r="G307" s="102"/>
      <x:c r="H307" s="102"/>
      <x:c r="I307" s="102"/>
      <x:c r="J307" s="102" t="str">
        <x:v>Canada</x:v>
      </x:c>
      <x:c r="K307" s="102" t="str">
        <x:v>IMO populated</x:v>
      </x:c>
      <x:c r="L307" s="102" t="str">
        <x:v>2026-09-07</x:v>
      </x:c>
      <x:c r="M307" s="102" t="str">
        <x:v>SRC_0167</x:v>
      </x:c>
      <x:c r="N307" s="102" t="str">
        <x:v>Government identity evidence from 2023. Algoma's current segment structure is confirmed, but individual current operating status still requires reconciliation.</x:v>
      </x:c>
    </x:row>
    <x:row r="308">
      <x:c r="A308" s="102" t="str">
        <x:v>VESSEL_00307</x:v>
      </x:c>
      <x:c r="B308" s="102" t="str">
        <x:v>Algosea</x:v>
      </x:c>
      <x:c r="C308" s="110" t="str">
        <x:v>9127198</x:v>
      </x:c>
      <x:c r="D308" s="110"/>
      <x:c r="E308" s="102"/>
      <x:c r="F308" s="102"/>
      <x:c r="G308" s="102"/>
      <x:c r="H308" s="102"/>
      <x:c r="I308" s="102"/>
      <x:c r="J308" s="102" t="str">
        <x:v>Canada</x:v>
      </x:c>
      <x:c r="K308" s="102" t="str">
        <x:v>IMO populated</x:v>
      </x:c>
      <x:c r="L308" s="102" t="str">
        <x:v>2026-09-07</x:v>
      </x:c>
      <x:c r="M308" s="102" t="str">
        <x:v>SRC_0167</x:v>
      </x:c>
      <x:c r="N308" s="102" t="str">
        <x:v>Government identity evidence from 2023. Algoma's current segment structure is confirmed, but individual current operating status still requires reconciliation.</x:v>
      </x:c>
    </x:row>
    <x:row r="309">
      <x:c r="A309" s="102" t="str">
        <x:v>VESSEL_00308</x:v>
      </x:c>
      <x:c r="B309" s="102" t="str">
        <x:v>Algoterra</x:v>
      </x:c>
      <x:c r="C309" s="110" t="str">
        <x:v>9442249</x:v>
      </x:c>
      <x:c r="D309" s="110"/>
      <x:c r="E309" s="102"/>
      <x:c r="F309" s="102"/>
      <x:c r="G309" s="102"/>
      <x:c r="H309" s="102"/>
      <x:c r="I309" s="102"/>
      <x:c r="J309" s="102" t="str">
        <x:v>Canada</x:v>
      </x:c>
      <x:c r="K309" s="102" t="str">
        <x:v>IMO populated</x:v>
      </x:c>
      <x:c r="L309" s="102" t="str">
        <x:v>2026-09-07</x:v>
      </x:c>
      <x:c r="M309" s="102" t="str">
        <x:v>SRC_0167</x:v>
      </x:c>
      <x:c r="N309" s="102" t="str">
        <x:v>Government identity evidence from 2023. Algoma's current segment structure is confirmed, but individual current operating status still requires reconciliation.</x:v>
      </x:c>
    </x:row>
    <x:row r="310">
      <x:c r="A310" s="102" t="str">
        <x:v>VESSEL_00309</x:v>
      </x:c>
      <x:c r="B310" s="102" t="str">
        <x:v>Algotitan</x:v>
      </x:c>
      <x:c r="C310" s="110" t="str">
        <x:v>9333802</x:v>
      </x:c>
      <x:c r="D310" s="110"/>
      <x:c r="E310" s="102"/>
      <x:c r="F310" s="102"/>
      <x:c r="G310" s="102"/>
      <x:c r="H310" s="102"/>
      <x:c r="I310" s="102"/>
      <x:c r="J310" s="102" t="str">
        <x:v>Canada</x:v>
      </x:c>
      <x:c r="K310" s="102" t="str">
        <x:v>IMO populated</x:v>
      </x:c>
      <x:c r="L310" s="102" t="str">
        <x:v>2026-09-07</x:v>
      </x:c>
      <x:c r="M310" s="102" t="str">
        <x:v>SRC_0167</x:v>
      </x:c>
      <x:c r="N310" s="102" t="str">
        <x:v>Government identity evidence from 2023. Algoma's current segment structure is confirmed, but individual current operating status still requires reconciliation.</x:v>
      </x:c>
    </x:row>
    <x:row r="311">
      <x:c r="A311" s="102" t="str">
        <x:v>VESSEL_00310</x:v>
      </x:c>
      <x:c r="B311" s="102" t="str">
        <x:v>Algoma Bear</x:v>
      </x:c>
      <x:c r="C311" s="110" t="str">
        <x:v>9619309</x:v>
      </x:c>
      <x:c r="D311" s="110"/>
      <x:c r="E311" s="102"/>
      <x:c r="F311" s="102"/>
      <x:c r="G311" s="102"/>
      <x:c r="H311" s="102"/>
      <x:c r="I311" s="102"/>
      <x:c r="J311" s="102" t="str">
        <x:v>Canada</x:v>
      </x:c>
      <x:c r="K311" s="102" t="str">
        <x:v>IMO populated</x:v>
      </x:c>
      <x:c r="L311" s="102" t="str">
        <x:v>2026-09-07</x:v>
      </x:c>
      <x:c r="M311" s="102" t="str">
        <x:v>SRC_0174</x:v>
      </x:c>
      <x:c r="N311" s="102" t="str">
        <x:v>Current Algoma fleet/program evidence with owner/operator separation retained where available.</x:v>
      </x:c>
    </x:row>
    <x:row r="312">
      <x:c r="A312" s="102" t="str">
        <x:v>VESSEL_00311</x:v>
      </x:c>
      <x:c r="B312" s="102" t="str">
        <x:v>Algoma Endeavour</x:v>
      </x:c>
      <x:c r="C312" s="110" t="str">
        <x:v>9790141</x:v>
      </x:c>
      <x:c r="D312" s="110" t="str">
        <x:v>316017110</x:v>
      </x:c>
      <x:c r="E312" s="102"/>
      <x:c r="F312" s="102"/>
      <x:c r="G312" s="102"/>
      <x:c r="H312" s="102"/>
      <x:c r="I312" s="102"/>
      <x:c r="J312" s="102" t="str">
        <x:v>Canada</x:v>
      </x:c>
      <x:c r="K312" s="102" t="str">
        <x:v>IMO populated</x:v>
      </x:c>
      <x:c r="L312" s="102" t="str">
        <x:v>2026-09-07</x:v>
      </x:c>
      <x:c r="M312" s="102" t="str">
        <x:v>SRC_0175</x:v>
      </x:c>
      <x:c r="N312" s="102" t="str">
        <x:v>Current Algoma fleet/program evidence with owner/operator separation retained where available.</x:v>
      </x:c>
    </x:row>
    <x:row r="313">
      <x:c r="A313" s="102" t="str">
        <x:v>VESSEL_00312</x:v>
      </x:c>
      <x:c r="B313" s="102" t="str">
        <x:v>Algoma East Coast</x:v>
      </x:c>
      <x:c r="C313" s="110" t="str">
        <x:v>1022079</x:v>
      </x:c>
      <x:c r="D313" s="110" t="str">
        <x:v>316018750</x:v>
      </x:c>
      <x:c r="E313" s="102"/>
      <x:c r="F313" s="102"/>
      <x:c r="G313" s="102"/>
      <x:c r="H313" s="102"/>
      <x:c r="I313" s="102"/>
      <x:c r="J313" s="102" t="str">
        <x:v>Canada</x:v>
      </x:c>
      <x:c r="K313" s="102" t="str">
        <x:v>IMO populated</x:v>
      </x:c>
      <x:c r="L313" s="102" t="str">
        <x:v>2026-09-07</x:v>
      </x:c>
      <x:c r="M313" s="102" t="str">
        <x:v>SRC_0172</x:v>
      </x:c>
      <x:c r="N313" s="102" t="str">
        <x:v>Current Algoma fleet/program evidence with owner/operator separation retained where available.</x:v>
      </x:c>
    </x:row>
    <x:row r="314">
      <x:c r="A314" s="102" t="str">
        <x:v>VESSEL_00313</x:v>
      </x:c>
      <x:c r="B314" s="102" t="str">
        <x:v>Algoma Acadian</x:v>
      </x:c>
      <x:c r="C314" s="110" t="str">
        <x:v>1022081</x:v>
      </x:c>
      <x:c r="D314" s="110" t="str">
        <x:v>316018880</x:v>
      </x:c>
      <x:c r="E314" s="102"/>
      <x:c r="F314" s="102"/>
      <x:c r="G314" s="102"/>
      <x:c r="H314" s="102"/>
      <x:c r="I314" s="102"/>
      <x:c r="J314" s="102" t="str">
        <x:v>Canada</x:v>
      </x:c>
      <x:c r="K314" s="102" t="str">
        <x:v>IMO populated</x:v>
      </x:c>
      <x:c r="L314" s="102" t="str">
        <x:v>2026-09-07</x:v>
      </x:c>
      <x:c r="M314" s="102" t="str">
        <x:v>SRC_0173</x:v>
      </x:c>
      <x:c r="N314" s="102" t="str">
        <x:v>Current Algoma fleet/program evidence with owner/operator separation retained where available.</x:v>
      </x:c>
    </x:row>
    <x:row r="315">
      <x:c r="A315" s="102" t="str">
        <x:v>VESSEL_00314</x:v>
      </x:c>
      <x:c r="B315" s="102" t="str">
        <x:v>Mark W. Barker</x:v>
      </x:c>
      <x:c r="C315" s="110" t="str">
        <x:v>9962445</x:v>
      </x:c>
      <x:c r="D315" s="110"/>
      <x:c r="E315" s="102"/>
      <x:c r="F315" s="102"/>
      <x:c r="G315" s="102"/>
      <x:c r="H315" s="102"/>
      <x:c r="I315" s="102"/>
      <x:c r="J315" s="102" t="str">
        <x:v>United States</x:v>
      </x:c>
      <x:c r="K315" s="102" t="str">
        <x:v>IMO populated</x:v>
      </x:c>
      <x:c r="L315" s="102" t="str">
        <x:v>2026-09-07</x:v>
      </x:c>
      <x:c r="M315" s="102" t="str">
        <x:v>SRC_0156</x:v>
      </x:c>
      <x:c r="N315" s="102" t="str">
        <x:v>Current Interlake fleet membership verified; IMO cross-checked against regulator identity records.</x:v>
      </x:c>
    </x:row>
    <x:row r="316">
      <x:c r="A316" s="102" t="str">
        <x:v>VESSEL_00315</x:v>
      </x:c>
      <x:c r="B316" s="102" t="str">
        <x:v>Paul R. Tregurtha</x:v>
      </x:c>
      <x:c r="C316" s="110" t="str">
        <x:v>7729057</x:v>
      </x:c>
      <x:c r="D316" s="110"/>
      <x:c r="E316" s="102"/>
      <x:c r="F316" s="102"/>
      <x:c r="G316" s="102"/>
      <x:c r="H316" s="102"/>
      <x:c r="I316" s="102"/>
      <x:c r="J316" s="102" t="str">
        <x:v>United States</x:v>
      </x:c>
      <x:c r="K316" s="102" t="str">
        <x:v>IMO populated</x:v>
      </x:c>
      <x:c r="L316" s="102" t="str">
        <x:v>2026-09-07</x:v>
      </x:c>
      <x:c r="M316" s="102" t="str">
        <x:v>SRC_0156</x:v>
      </x:c>
      <x:c r="N316" s="102" t="str">
        <x:v>Current Interlake fleet membership verified; IMO cross-checked against regulator identity records.</x:v>
      </x:c>
    </x:row>
    <x:row r="317">
      <x:c r="A317" s="102" t="str">
        <x:v>VESSEL_00316</x:v>
      </x:c>
      <x:c r="B317" s="102" t="str">
        <x:v>James R. Barker</x:v>
      </x:c>
      <x:c r="C317" s="110" t="str">
        <x:v>7390260</x:v>
      </x:c>
      <x:c r="D317" s="110"/>
      <x:c r="E317" s="102"/>
      <x:c r="F317" s="102"/>
      <x:c r="G317" s="102"/>
      <x:c r="H317" s="102"/>
      <x:c r="I317" s="102"/>
      <x:c r="J317" s="102" t="str">
        <x:v>United States</x:v>
      </x:c>
      <x:c r="K317" s="102" t="str">
        <x:v>IMO populated</x:v>
      </x:c>
      <x:c r="L317" s="102" t="str">
        <x:v>2026-09-07</x:v>
      </x:c>
      <x:c r="M317" s="102" t="str">
        <x:v>SRC_0156</x:v>
      </x:c>
      <x:c r="N317" s="102" t="str">
        <x:v>Current Interlake fleet membership verified; IMO cross-checked against regulator identity records.</x:v>
      </x:c>
    </x:row>
    <x:row r="318">
      <x:c r="A318" s="102" t="str">
        <x:v>VESSEL_00317</x:v>
      </x:c>
      <x:c r="B318" s="102" t="str">
        <x:v>Mesabi Miner</x:v>
      </x:c>
      <x:c r="C318" s="110" t="str">
        <x:v>7390272</x:v>
      </x:c>
      <x:c r="D318" s="110"/>
      <x:c r="E318" s="102"/>
      <x:c r="F318" s="102"/>
      <x:c r="G318" s="102"/>
      <x:c r="H318" s="102"/>
      <x:c r="I318" s="102"/>
      <x:c r="J318" s="102" t="str">
        <x:v>United States</x:v>
      </x:c>
      <x:c r="K318" s="102" t="str">
        <x:v>IMO populated</x:v>
      </x:c>
      <x:c r="L318" s="102" t="str">
        <x:v>2026-09-07</x:v>
      </x:c>
      <x:c r="M318" s="102" t="str">
        <x:v>SRC_0156</x:v>
      </x:c>
      <x:c r="N318" s="102" t="str">
        <x:v>Current Interlake fleet membership verified; IMO cross-checked against regulator identity records.</x:v>
      </x:c>
    </x:row>
    <x:row r="319">
      <x:c r="A319" s="102" t="str">
        <x:v>VESSEL_00318</x:v>
      </x:c>
      <x:c r="B319" s="102" t="str">
        <x:v>Lee A. Tregurtha</x:v>
      </x:c>
      <x:c r="C319" s="110" t="str">
        <x:v>5385625</x:v>
      </x:c>
      <x:c r="D319" s="110"/>
      <x:c r="E319" s="102"/>
      <x:c r="F319" s="102"/>
      <x:c r="G319" s="102"/>
      <x:c r="H319" s="102"/>
      <x:c r="I319" s="102"/>
      <x:c r="J319" s="102" t="str">
        <x:v>United States</x:v>
      </x:c>
      <x:c r="K319" s="102" t="str">
        <x:v>IMO populated</x:v>
      </x:c>
      <x:c r="L319" s="102" t="str">
        <x:v>2026-09-07</x:v>
      </x:c>
      <x:c r="M319" s="102" t="str">
        <x:v>SRC_0156</x:v>
      </x:c>
      <x:c r="N319" s="102" t="str">
        <x:v>Current Interlake fleet membership verified; IMO cross-checked against regulator identity records.</x:v>
      </x:c>
    </x:row>
    <x:row r="320">
      <x:c r="A320" s="102" t="str">
        <x:v>VESSEL_00319</x:v>
      </x:c>
      <x:c r="B320" s="102" t="str">
        <x:v>Honorable James L. Oberstar</x:v>
      </x:c>
      <x:c r="C320" s="110" t="str">
        <x:v>5322518</x:v>
      </x:c>
      <x:c r="D320" s="110"/>
      <x:c r="E320" s="102"/>
      <x:c r="F320" s="102"/>
      <x:c r="G320" s="102"/>
      <x:c r="H320" s="102"/>
      <x:c r="I320" s="102"/>
      <x:c r="J320" s="102" t="str">
        <x:v>United States</x:v>
      </x:c>
      <x:c r="K320" s="102" t="str">
        <x:v>IMO populated</x:v>
      </x:c>
      <x:c r="L320" s="102" t="str">
        <x:v>2026-09-07</x:v>
      </x:c>
      <x:c r="M320" s="102" t="str">
        <x:v>SRC_0156</x:v>
      </x:c>
      <x:c r="N320" s="102" t="str">
        <x:v>Current Interlake fleet membership verified; IMO cross-checked against regulator identity records.</x:v>
      </x:c>
    </x:row>
    <x:row r="321">
      <x:c r="A321" s="102" t="str">
        <x:v>VESSEL_00320</x:v>
      </x:c>
      <x:c r="B321" s="102" t="str">
        <x:v>Kaye E. Barker</x:v>
      </x:c>
      <x:c r="C321" s="110" t="str">
        <x:v>5097450</x:v>
      </x:c>
      <x:c r="D321" s="110"/>
      <x:c r="E321" s="102"/>
      <x:c r="F321" s="102"/>
      <x:c r="G321" s="102"/>
      <x:c r="H321" s="102"/>
      <x:c r="I321" s="102"/>
      <x:c r="J321" s="102" t="str">
        <x:v>United States</x:v>
      </x:c>
      <x:c r="K321" s="102" t="str">
        <x:v>IMO populated</x:v>
      </x:c>
      <x:c r="L321" s="102" t="str">
        <x:v>2026-09-07</x:v>
      </x:c>
      <x:c r="M321" s="102" t="str">
        <x:v>SRC_0156</x:v>
      </x:c>
      <x:c r="N321" s="102" t="str">
        <x:v>Current Interlake fleet membership verified; IMO cross-checked against regulator identity records.</x:v>
      </x:c>
    </x:row>
    <x:row r="322">
      <x:c r="A322" s="102" t="str">
        <x:v>VESSEL_00321</x:v>
      </x:c>
      <x:c r="B322" s="102" t="str">
        <x:v>Herbert C. Jackson</x:v>
      </x:c>
      <x:c r="C322" s="110" t="str">
        <x:v>5148417</x:v>
      </x:c>
      <x:c r="D322" s="110"/>
      <x:c r="E322" s="102"/>
      <x:c r="F322" s="102"/>
      <x:c r="G322" s="102"/>
      <x:c r="H322" s="102"/>
      <x:c r="I322" s="102"/>
      <x:c r="J322" s="102" t="str">
        <x:v>United States</x:v>
      </x:c>
      <x:c r="K322" s="102" t="str">
        <x:v>IMO populated</x:v>
      </x:c>
      <x:c r="L322" s="102" t="str">
        <x:v>2026-09-07</x:v>
      </x:c>
      <x:c r="M322" s="102" t="str">
        <x:v>SRC_0156</x:v>
      </x:c>
      <x:c r="N322" s="102" t="str">
        <x:v>Current Interlake fleet membership verified; IMO cross-checked against regulator identity records.</x:v>
      </x:c>
    </x:row>
    <x:row r="323">
      <x:c r="A323" s="102" t="str">
        <x:v>VESSEL_00322</x:v>
      </x:c>
      <x:c r="B323" s="102" t="str">
        <x:v>Dorothy Ann</x:v>
      </x:c>
      <x:c r="C323" s="110" t="str">
        <x:v>8955732</x:v>
      </x:c>
      <x:c r="D323" s="110"/>
      <x:c r="E323" s="102"/>
      <x:c r="F323" s="102"/>
      <x:c r="G323" s="102"/>
      <x:c r="H323" s="102"/>
      <x:c r="I323" s="102"/>
      <x:c r="J323" s="102" t="str">
        <x:v>United States</x:v>
      </x:c>
      <x:c r="K323" s="102" t="str">
        <x:v>IMO populated</x:v>
      </x:c>
      <x:c r="L323" s="102" t="str">
        <x:v>2026-09-07</x:v>
      </x:c>
      <x:c r="M323" s="102" t="str">
        <x:v>SRC_0156</x:v>
      </x:c>
      <x:c r="N323" s="102" t="str">
        <x:v>Current Interlake fleet membership verified; IMO cross-checked against regulator identity records.</x:v>
      </x:c>
    </x:row>
    <x:row r="324">
      <x:c r="A324" s="102" t="str">
        <x:v>VESSEL_00323</x:v>
      </x:c>
      <x:c r="B324" s="102" t="str">
        <x:v>Stewart J. Cort</x:v>
      </x:c>
      <x:c r="C324" s="110" t="str">
        <x:v>7105495</x:v>
      </x:c>
      <x:c r="D324" s="110"/>
      <x:c r="E324" s="102"/>
      <x:c r="F324" s="102"/>
      <x:c r="G324" s="102"/>
      <x:c r="H324" s="102"/>
      <x:c r="I324" s="102"/>
      <x:c r="J324" s="102" t="str">
        <x:v>United States</x:v>
      </x:c>
      <x:c r="K324" s="102" t="str">
        <x:v>IMO populated</x:v>
      </x:c>
      <x:c r="L324" s="102" t="str">
        <x:v>2026-09-07</x:v>
      </x:c>
      <x:c r="M324" s="102" t="str">
        <x:v>SRC_0156</x:v>
      </x:c>
      <x:c r="N324" s="102" t="str">
        <x:v>Current Interlake fleet membership verified; IMO cross-checked against regulator identity records.</x:v>
      </x:c>
    </x:row>
    <x:row r="325">
      <x:c r="A325" s="102" t="str">
        <x:v>VESSEL_00324</x:v>
      </x:c>
      <x:c r="B325" s="102" t="str">
        <x:v>American Century</x:v>
      </x:c>
      <x:c r="C325" s="110" t="str">
        <x:v>7923196</x:v>
      </x:c>
      <x:c r="D325" s="110"/>
      <x:c r="E325" s="102"/>
      <x:c r="F325" s="102"/>
      <x:c r="G325" s="102"/>
      <x:c r="H325" s="102"/>
      <x:c r="I325" s="102"/>
      <x:c r="J325" s="102" t="str">
        <x:v>United States</x:v>
      </x:c>
      <x:c r="K325" s="102" t="str">
        <x:v>IMO populated</x:v>
      </x:c>
      <x:c r="L325" s="102" t="str">
        <x:v>2026-09-07</x:v>
      </x:c>
      <x:c r="M325" s="102" t="str">
        <x:v>SRC_0167</x:v>
      </x:c>
      <x:c r="N325" s="102" t="str">
        <x:v>Regulator identity seed; current individual operating status requires Mainstay/ASC refresh.</x:v>
      </x:c>
    </x:row>
    <x:row r="326">
      <x:c r="A326" s="102" t="str">
        <x:v>VESSEL_00325</x:v>
      </x:c>
      <x:c r="B326" s="102" t="str">
        <x:v>American Courage</x:v>
      </x:c>
      <x:c r="C326" s="110" t="str">
        <x:v>7634226</x:v>
      </x:c>
      <x:c r="D326" s="110"/>
      <x:c r="E326" s="102"/>
      <x:c r="F326" s="102"/>
      <x:c r="G326" s="102"/>
      <x:c r="H326" s="102"/>
      <x:c r="I326" s="102"/>
      <x:c r="J326" s="102" t="str">
        <x:v>United States</x:v>
      </x:c>
      <x:c r="K326" s="102" t="str">
        <x:v>IMO populated</x:v>
      </x:c>
      <x:c r="L326" s="102" t="str">
        <x:v>2026-09-07</x:v>
      </x:c>
      <x:c r="M326" s="102" t="str">
        <x:v>SRC_0167</x:v>
      </x:c>
      <x:c r="N326" s="102" t="str">
        <x:v>Regulator identity seed; current individual operating status requires Mainstay/ASC refresh.</x:v>
      </x:c>
    </x:row>
    <x:row r="327">
      <x:c r="A327" s="102" t="str">
        <x:v>VESSEL_00326</x:v>
      </x:c>
      <x:c r="B327" s="102" t="str">
        <x:v>American Integrity</x:v>
      </x:c>
      <x:c r="C327" s="110" t="str">
        <x:v>7514696</x:v>
      </x:c>
      <x:c r="D327" s="110"/>
      <x:c r="E327" s="102"/>
      <x:c r="F327" s="102"/>
      <x:c r="G327" s="102"/>
      <x:c r="H327" s="102"/>
      <x:c r="I327" s="102"/>
      <x:c r="J327" s="102" t="str">
        <x:v>United States</x:v>
      </x:c>
      <x:c r="K327" s="102" t="str">
        <x:v>IMO populated</x:v>
      </x:c>
      <x:c r="L327" s="102" t="str">
        <x:v>2026-09-07</x:v>
      </x:c>
      <x:c r="M327" s="102" t="str">
        <x:v>SRC_0167</x:v>
      </x:c>
      <x:c r="N327" s="102" t="str">
        <x:v>Regulator identity seed; current individual operating status requires Mainstay/ASC refresh.</x:v>
      </x:c>
    </x:row>
    <x:row r="328">
      <x:c r="A328" s="102" t="str">
        <x:v>VESSEL_00327</x:v>
      </x:c>
      <x:c r="B328" s="102" t="str">
        <x:v>American Mariner</x:v>
      </x:c>
      <x:c r="C328" s="110" t="str">
        <x:v>7812567</x:v>
      </x:c>
      <x:c r="D328" s="110"/>
      <x:c r="E328" s="102"/>
      <x:c r="F328" s="102"/>
      <x:c r="G328" s="102"/>
      <x:c r="H328" s="102"/>
      <x:c r="I328" s="102"/>
      <x:c r="J328" s="102" t="str">
        <x:v>United States</x:v>
      </x:c>
      <x:c r="K328" s="102" t="str">
        <x:v>IMO populated</x:v>
      </x:c>
      <x:c r="L328" s="102" t="str">
        <x:v>2026-09-07</x:v>
      </x:c>
      <x:c r="M328" s="102" t="str">
        <x:v>SRC_0167</x:v>
      </x:c>
      <x:c r="N328" s="102" t="str">
        <x:v>Regulator identity seed; current individual operating status requires Mainstay/ASC refresh.</x:v>
      </x:c>
    </x:row>
    <x:row r="329">
      <x:c r="A329" s="102" t="str">
        <x:v>VESSEL_00328</x:v>
      </x:c>
      <x:c r="B329" s="102" t="str">
        <x:v>American Spirit</x:v>
      </x:c>
      <x:c r="C329" s="110" t="str">
        <x:v>7423392</x:v>
      </x:c>
      <x:c r="D329" s="110"/>
      <x:c r="E329" s="102"/>
      <x:c r="F329" s="102"/>
      <x:c r="G329" s="102"/>
      <x:c r="H329" s="102"/>
      <x:c r="I329" s="102"/>
      <x:c r="J329" s="102" t="str">
        <x:v>United States</x:v>
      </x:c>
      <x:c r="K329" s="102" t="str">
        <x:v>IMO populated</x:v>
      </x:c>
      <x:c r="L329" s="102" t="str">
        <x:v>2026-09-07</x:v>
      </x:c>
      <x:c r="M329" s="102" t="str">
        <x:v>SRC_0167</x:v>
      </x:c>
      <x:c r="N329" s="102" t="str">
        <x:v>Regulator identity seed; current individual operating status requires Mainstay/ASC refresh.</x:v>
      </x:c>
    </x:row>
    <x:row r="330">
      <x:c r="A330" s="102" t="str">
        <x:v>VESSEL_00329</x:v>
      </x:c>
      <x:c r="B330" s="102" t="str">
        <x:v>Burns Harbor</x:v>
      </x:c>
      <x:c r="C330" s="110" t="str">
        <x:v>7514713</x:v>
      </x:c>
      <x:c r="D330" s="110"/>
      <x:c r="E330" s="102"/>
      <x:c r="F330" s="102"/>
      <x:c r="G330" s="102"/>
      <x:c r="H330" s="102"/>
      <x:c r="I330" s="102"/>
      <x:c r="J330" s="102" t="str">
        <x:v>United States</x:v>
      </x:c>
      <x:c r="K330" s="102" t="str">
        <x:v>IMO populated</x:v>
      </x:c>
      <x:c r="L330" s="102" t="str">
        <x:v>2026-09-07</x:v>
      </x:c>
      <x:c r="M330" s="102" t="str">
        <x:v>SRC_0167</x:v>
      </x:c>
      <x:c r="N330" s="102" t="str">
        <x:v>Regulator identity seed; current individual operating status requires Mainstay/ASC refresh.</x:v>
      </x:c>
    </x:row>
    <x:row r="331">
      <x:c r="A331" s="102" t="str">
        <x:v>VESSEL_00330</x:v>
      </x:c>
      <x:c r="B331" s="102" t="str">
        <x:v>H. Lee White</x:v>
      </x:c>
      <x:c r="C331" s="110" t="str">
        <x:v>7366362</x:v>
      </x:c>
      <x:c r="D331" s="110"/>
      <x:c r="E331" s="102"/>
      <x:c r="F331" s="102"/>
      <x:c r="G331" s="102"/>
      <x:c r="H331" s="102"/>
      <x:c r="I331" s="102"/>
      <x:c r="J331" s="102" t="str">
        <x:v>United States</x:v>
      </x:c>
      <x:c r="K331" s="102" t="str">
        <x:v>IMO populated</x:v>
      </x:c>
      <x:c r="L331" s="102" t="str">
        <x:v>2026-09-07</x:v>
      </x:c>
      <x:c r="M331" s="102" t="str">
        <x:v>SRC_0167</x:v>
      </x:c>
      <x:c r="N331" s="102" t="str">
        <x:v>Regulator identity seed; current individual operating status requires Mainstay/ASC refresh.</x:v>
      </x:c>
    </x:row>
    <x:row r="332">
      <x:c r="A332" s="102" t="str">
        <x:v>VESSEL_00331</x:v>
      </x:c>
      <x:c r="B332" s="102" t="str">
        <x:v>Indiana Harbor</x:v>
      </x:c>
      <x:c r="C332" s="110" t="str">
        <x:v>7514701</x:v>
      </x:c>
      <x:c r="D332" s="110"/>
      <x:c r="E332" s="102"/>
      <x:c r="F332" s="102"/>
      <x:c r="G332" s="102"/>
      <x:c r="H332" s="102"/>
      <x:c r="I332" s="102"/>
      <x:c r="J332" s="102" t="str">
        <x:v>United States</x:v>
      </x:c>
      <x:c r="K332" s="102" t="str">
        <x:v>IMO populated</x:v>
      </x:c>
      <x:c r="L332" s="102" t="str">
        <x:v>2026-09-07</x:v>
      </x:c>
      <x:c r="M332" s="102" t="str">
        <x:v>SRC_0167</x:v>
      </x:c>
      <x:c r="N332" s="102" t="str">
        <x:v>Regulator identity seed; current individual operating status requires Mainstay/ASC refresh.</x:v>
      </x:c>
    </x:row>
    <x:row r="333">
      <x:c r="A333" s="102" t="str">
        <x:v>VESSEL_00332</x:v>
      </x:c>
      <x:c r="B333" s="102" t="str">
        <x:v>John J Boland</x:v>
      </x:c>
      <x:c r="C333" s="110" t="str">
        <x:v>7318901</x:v>
      </x:c>
      <x:c r="D333" s="110"/>
      <x:c r="E333" s="102"/>
      <x:c r="F333" s="102"/>
      <x:c r="G333" s="102"/>
      <x:c r="H333" s="102"/>
      <x:c r="I333" s="102"/>
      <x:c r="J333" s="102" t="str">
        <x:v>United States</x:v>
      </x:c>
      <x:c r="K333" s="102" t="str">
        <x:v>IMO populated</x:v>
      </x:c>
      <x:c r="L333" s="102" t="str">
        <x:v>2026-09-07</x:v>
      </x:c>
      <x:c r="M333" s="102" t="str">
        <x:v>SRC_0167</x:v>
      </x:c>
      <x:c r="N333" s="102" t="str">
        <x:v>Regulator identity seed; current individual operating status requires Mainstay/ASC refresh.</x:v>
      </x:c>
    </x:row>
    <x:row r="334">
      <x:c r="A334" s="102" t="str">
        <x:v>VESSEL_00333</x:v>
      </x:c>
      <x:c r="B334" s="102" t="str">
        <x:v>Sam Laud</x:v>
      </x:c>
      <x:c r="C334" s="110" t="str">
        <x:v>7390210</x:v>
      </x:c>
      <x:c r="D334" s="110"/>
      <x:c r="E334" s="102"/>
      <x:c r="F334" s="102"/>
      <x:c r="G334" s="102"/>
      <x:c r="H334" s="102"/>
      <x:c r="I334" s="102"/>
      <x:c r="J334" s="102" t="str">
        <x:v>United States</x:v>
      </x:c>
      <x:c r="K334" s="102" t="str">
        <x:v>IMO populated</x:v>
      </x:c>
      <x:c r="L334" s="102" t="str">
        <x:v>2026-09-07</x:v>
      </x:c>
      <x:c r="M334" s="102" t="str">
        <x:v>SRC_0167</x:v>
      </x:c>
      <x:c r="N334" s="102" t="str">
        <x:v>Regulator identity seed; current individual operating status requires Mainstay/ASC refresh.</x:v>
      </x:c>
    </x:row>
    <x:row r="335">
      <x:c r="A335" s="102" t="str">
        <x:v>VESSEL_00334</x:v>
      </x:c>
      <x:c r="B335" s="102" t="str">
        <x:v>Walter J. McCarthy Jr.</x:v>
      </x:c>
      <x:c r="C335" s="110" t="str">
        <x:v>7514684</x:v>
      </x:c>
      <x:c r="D335" s="110"/>
      <x:c r="E335" s="102"/>
      <x:c r="F335" s="102"/>
      <x:c r="G335" s="102"/>
      <x:c r="H335" s="102"/>
      <x:c r="I335" s="102"/>
      <x:c r="J335" s="102" t="str">
        <x:v>United States</x:v>
      </x:c>
      <x:c r="K335" s="102" t="str">
        <x:v>IMO populated</x:v>
      </x:c>
      <x:c r="L335" s="102" t="str">
        <x:v>2026-09-07</x:v>
      </x:c>
      <x:c r="M335" s="102" t="str">
        <x:v>SRC_0167</x:v>
      </x:c>
      <x:c r="N335" s="102" t="str">
        <x:v>Regulator identity seed; current individual operating status requires Mainstay/ASC refresh.</x:v>
      </x:c>
    </x:row>
    <x:row r="336">
      <x:c r="A336" s="102" t="str">
        <x:v>VESSEL_00335</x:v>
      </x:c>
      <x:c r="B336" s="102" t="str">
        <x:v>Calumet</x:v>
      </x:c>
      <x:c r="C336" s="110" t="str">
        <x:v>7329314</x:v>
      </x:c>
      <x:c r="D336" s="110"/>
      <x:c r="E336" s="102"/>
      <x:c r="F336" s="102"/>
      <x:c r="G336" s="102"/>
      <x:c r="H336" s="102"/>
      <x:c r="I336" s="102"/>
      <x:c r="J336" s="102" t="str">
        <x:v>United States</x:v>
      </x:c>
      <x:c r="K336" s="102" t="str">
        <x:v>IMO populated</x:v>
      </x:c>
      <x:c r="L336" s="102" t="str">
        <x:v>2026-09-07</x:v>
      </x:c>
      <x:c r="M336" s="102" t="str">
        <x:v>SRC_0167</x:v>
      </x:c>
      <x:c r="N336" s="102" t="str">
        <x:v>Government identity seed; current operating status requires refresh.</x:v>
      </x:c>
    </x:row>
    <x:row r="337">
      <x:c r="A337" s="102" t="str">
        <x:v>VESSEL_00336</x:v>
      </x:c>
      <x:c r="B337" s="102" t="str">
        <x:v>Defiance</x:v>
      </x:c>
      <x:c r="C337" s="110" t="str">
        <x:v>8109761</x:v>
      </x:c>
      <x:c r="D337" s="110"/>
      <x:c r="E337" s="102"/>
      <x:c r="F337" s="102"/>
      <x:c r="G337" s="102"/>
      <x:c r="H337" s="102"/>
      <x:c r="I337" s="102"/>
      <x:c r="J337" s="102" t="str">
        <x:v>United States</x:v>
      </x:c>
      <x:c r="K337" s="102" t="str">
        <x:v>IMO populated</x:v>
      </x:c>
      <x:c r="L337" s="102" t="str">
        <x:v>2026-09-07</x:v>
      </x:c>
      <x:c r="M337" s="102" t="str">
        <x:v>SRC_0167</x:v>
      </x:c>
      <x:c r="N337" s="102" t="str">
        <x:v>Government identity seed; current operating status requires refresh.</x:v>
      </x:c>
    </x:row>
    <x:row r="338">
      <x:c r="A338" s="102" t="str">
        <x:v>VESSEL_00337</x:v>
      </x:c>
      <x:c r="B338" s="102" t="str">
        <x:v>Manitowoc</x:v>
      </x:c>
      <x:c r="C338" s="110" t="str">
        <x:v>7366398</x:v>
      </x:c>
      <x:c r="D338" s="110"/>
      <x:c r="E338" s="102"/>
      <x:c r="F338" s="102"/>
      <x:c r="G338" s="102"/>
      <x:c r="H338" s="102"/>
      <x:c r="I338" s="102"/>
      <x:c r="J338" s="102" t="str">
        <x:v>United States</x:v>
      </x:c>
      <x:c r="K338" s="102" t="str">
        <x:v>IMO populated</x:v>
      </x:c>
      <x:c r="L338" s="102" t="str">
        <x:v>2026-09-07</x:v>
      </x:c>
      <x:c r="M338" s="102" t="str">
        <x:v>SRC_0167</x:v>
      </x:c>
      <x:c r="N338" s="102" t="str">
        <x:v>Government identity seed; current operating status requires refresh.</x:v>
      </x:c>
    </x:row>
    <x:row r="339">
      <x:c r="A339" s="102" t="str">
        <x:v>VESSEL_00338</x:v>
      </x:c>
      <x:c r="B339" s="102" t="str">
        <x:v>Menominee</x:v>
      </x:c>
      <x:c r="C339" s="110" t="str">
        <x:v>5336351</x:v>
      </x:c>
      <x:c r="D339" s="110"/>
      <x:c r="E339" s="102"/>
      <x:c r="F339" s="102"/>
      <x:c r="G339" s="102"/>
      <x:c r="H339" s="102"/>
      <x:c r="I339" s="102"/>
      <x:c r="J339" s="102" t="str">
        <x:v>United States</x:v>
      </x:c>
      <x:c r="K339" s="102" t="str">
        <x:v>IMO populated</x:v>
      </x:c>
      <x:c r="L339" s="102" t="str">
        <x:v>2026-09-07</x:v>
      </x:c>
      <x:c r="M339" s="102" t="str">
        <x:v>SRC_0167</x:v>
      </x:c>
      <x:c r="N339" s="102" t="str">
        <x:v>Government identity seed; current operating status requires refresh.</x:v>
      </x:c>
    </x:row>
    <x:row r="340">
      <x:c r="A340" s="102" t="str">
        <x:v>VESSEL_00339</x:v>
      </x:c>
      <x:c r="B340" s="102" t="str">
        <x:v>Victory</x:v>
      </x:c>
      <x:c r="C340" s="110" t="str">
        <x:v>8003292</x:v>
      </x:c>
      <x:c r="D340" s="110"/>
      <x:c r="E340" s="102"/>
      <x:c r="F340" s="102"/>
      <x:c r="G340" s="102"/>
      <x:c r="H340" s="102"/>
      <x:c r="I340" s="102"/>
      <x:c r="J340" s="102" t="str">
        <x:v>United States</x:v>
      </x:c>
      <x:c r="K340" s="102" t="str">
        <x:v>IMO populated</x:v>
      </x:c>
      <x:c r="L340" s="102" t="str">
        <x:v>2026-09-07</x:v>
      </x:c>
      <x:c r="M340" s="102" t="str">
        <x:v>SRC_0167</x:v>
      </x:c>
      <x:c r="N340" s="102" t="str">
        <x:v>Government identity seed; current operating status requires refresh.</x:v>
      </x:c>
    </x:row>
    <x:row r="341">
      <x:c r="A341" s="102" t="str">
        <x:v>VESSEL_00340</x:v>
      </x:c>
      <x:c r="B341" s="102" t="str">
        <x:v>Olive L Moore</x:v>
      </x:c>
      <x:c r="C341" s="110"/>
      <x:c r="D341" s="110"/>
      <x:c r="E341" s="102"/>
      <x:c r="F341" s="102" t="str">
        <x:v>2800309</x:v>
      </x:c>
      <x:c r="G341" s="102"/>
      <x:c r="H341" s="102"/>
      <x:c r="I341" s="102"/>
      <x:c r="J341" s="102" t="str">
        <x:v>United States</x:v>
      </x:c>
      <x:c r="K341" s="102" t="str">
        <x:v>IMO pending</x:v>
      </x:c>
      <x:c r="L341" s="102" t="str">
        <x:v>2026-09-07</x:v>
      </x:c>
      <x:c r="M341" s="102" t="str">
        <x:v>SRC_0167</x:v>
      </x:c>
      <x:c r="N341" s="102" t="str">
        <x:v>Michigan regulator report shows numeric identifier 2800309, but it fails the IMO checksum. Preserved in the national/official identifier field rather than treated as IMO.</x:v>
      </x:c>
    </x:row>
    <x:row r="342">
      <x:c r="A342" s="102" t="str">
        <x:v>VESSEL_00341</x:v>
      </x:c>
      <x:c r="B342" s="102" t="str">
        <x:v>Ashtabula</x:v>
      </x:c>
      <x:c r="C342" s="110"/>
      <x:c r="D342" s="110"/>
      <x:c r="E342" s="102"/>
      <x:c r="F342" s="102" t="str">
        <x:v>646730</x:v>
      </x:c>
      <x:c r="G342" s="102"/>
      <x:c r="H342" s="102"/>
      <x:c r="I342" s="102"/>
      <x:c r="J342" s="102" t="str">
        <x:v>United States</x:v>
      </x:c>
      <x:c r="K342" s="102" t="str">
        <x:v>IMO pending</x:v>
      </x:c>
      <x:c r="L342" s="102" t="str">
        <x:v>2026-09-07</x:v>
      </x:c>
      <x:c r="M342" s="102" t="str">
        <x:v>SRC_0167</x:v>
      </x:c>
      <x:c r="N342" s="102" t="str">
        <x:v>Michigan regulator report shows numeric identifier 646730, which is not a valid seven-digit IMO. Preserved as a national/official identifier pending reconciliation.</x:v>
      </x:c>
    </x:row>
    <x:row r="343">
      <x:c r="A343" s="102" t="str">
        <x:v>VESSEL_00342</x:v>
      </x:c>
      <x:c r="B343" s="102" t="str">
        <x:v>Cuyahoga</x:v>
      </x:c>
      <x:c r="C343" s="110" t="str">
        <x:v>5166392</x:v>
      </x:c>
      <x:c r="D343" s="110"/>
      <x:c r="E343" s="102"/>
      <x:c r="F343" s="102"/>
      <x:c r="G343" s="102"/>
      <x:c r="H343" s="102"/>
      <x:c r="I343" s="102"/>
      <x:c r="J343" s="102" t="str">
        <x:v>Canada</x:v>
      </x:c>
      <x:c r="K343" s="102" t="str">
        <x:v>IMO populated</x:v>
      </x:c>
      <x:c r="L343" s="102" t="str">
        <x:v>2026-09-07</x:v>
      </x:c>
      <x:c r="M343" s="102" t="str">
        <x:v>SRC_0167</x:v>
      </x:c>
      <x:c r="N343" s="102" t="str">
        <x:v>Government identity seed; current operating status requires Lower Lakes refresh.</x:v>
      </x:c>
    </x:row>
    <x:row r="344">
      <x:c r="A344" s="102" t="str">
        <x:v>VESSEL_00343</x:v>
      </x:c>
      <x:c r="B344" s="102" t="str">
        <x:v>Kaministiqua</x:v>
      </x:c>
      <x:c r="C344" s="110" t="str">
        <x:v>8119285</x:v>
      </x:c>
      <x:c r="D344" s="110"/>
      <x:c r="E344" s="102"/>
      <x:c r="F344" s="102"/>
      <x:c r="G344" s="102"/>
      <x:c r="H344" s="102"/>
      <x:c r="I344" s="102"/>
      <x:c r="J344" s="102" t="str">
        <x:v>Canada</x:v>
      </x:c>
      <x:c r="K344" s="102" t="str">
        <x:v>IMO populated</x:v>
      </x:c>
      <x:c r="L344" s="102" t="str">
        <x:v>2026-09-07</x:v>
      </x:c>
      <x:c r="M344" s="102" t="str">
        <x:v>SRC_0167</x:v>
      </x:c>
      <x:c r="N344" s="102" t="str">
        <x:v>Government identity seed; current operating status requires Lower Lakes refresh.</x:v>
      </x:c>
    </x:row>
    <x:row r="345">
      <x:c r="A345" s="102" t="str">
        <x:v>VESSEL_00344</x:v>
      </x:c>
      <x:c r="B345" s="102" t="str">
        <x:v>Manitoulin</x:v>
      </x:c>
      <x:c r="C345" s="110" t="str">
        <x:v>8810918</x:v>
      </x:c>
      <x:c r="D345" s="110"/>
      <x:c r="E345" s="102"/>
      <x:c r="F345" s="102"/>
      <x:c r="G345" s="102"/>
      <x:c r="H345" s="102"/>
      <x:c r="I345" s="102"/>
      <x:c r="J345" s="102" t="str">
        <x:v>Canada</x:v>
      </x:c>
      <x:c r="K345" s="102" t="str">
        <x:v>IMO populated</x:v>
      </x:c>
      <x:c r="L345" s="102" t="str">
        <x:v>2026-09-07</x:v>
      </x:c>
      <x:c r="M345" s="102" t="str">
        <x:v>SRC_0167</x:v>
      </x:c>
      <x:c r="N345" s="102" t="str">
        <x:v>Government identity seed; current operating status requires Lower Lakes refresh.</x:v>
      </x:c>
    </x:row>
    <x:row r="346">
      <x:c r="A346" s="102" t="str">
        <x:v>VESSEL_00345</x:v>
      </x:c>
      <x:c r="B346" s="102" t="str">
        <x:v>Michipicoten</x:v>
      </x:c>
      <x:c r="C346" s="110" t="str">
        <x:v>5102865</x:v>
      </x:c>
      <x:c r="D346" s="110"/>
      <x:c r="E346" s="102"/>
      <x:c r="F346" s="102"/>
      <x:c r="G346" s="102"/>
      <x:c r="H346" s="102"/>
      <x:c r="I346" s="102"/>
      <x:c r="J346" s="102" t="str">
        <x:v>Canada</x:v>
      </x:c>
      <x:c r="K346" s="102" t="str">
        <x:v>IMO populated</x:v>
      </x:c>
      <x:c r="L346" s="102" t="str">
        <x:v>2026-09-07</x:v>
      </x:c>
      <x:c r="M346" s="102" t="str">
        <x:v>SRC_0167</x:v>
      </x:c>
      <x:c r="N346" s="102" t="str">
        <x:v>Government identity seed; current operating status requires Lower Lakes refresh.</x:v>
      </x:c>
    </x:row>
    <x:row r="347">
      <x:c r="A347" s="102" t="str">
        <x:v>VESSEL_00346</x:v>
      </x:c>
      <x:c r="B347" s="102" t="str">
        <x:v>Robert S. Pierson</x:v>
      </x:c>
      <x:c r="C347" s="110" t="str">
        <x:v>7366403</x:v>
      </x:c>
      <x:c r="D347" s="110"/>
      <x:c r="E347" s="102"/>
      <x:c r="F347" s="102"/>
      <x:c r="G347" s="102"/>
      <x:c r="H347" s="102"/>
      <x:c r="I347" s="102"/>
      <x:c r="J347" s="102" t="str">
        <x:v>Canada</x:v>
      </x:c>
      <x:c r="K347" s="102" t="str">
        <x:v>IMO populated</x:v>
      </x:c>
      <x:c r="L347" s="102" t="str">
        <x:v>2026-09-07</x:v>
      </x:c>
      <x:c r="M347" s="102" t="str">
        <x:v>SRC_0167</x:v>
      </x:c>
      <x:c r="N347" s="102" t="str">
        <x:v>Government identity seed; current operating status requires Lower Lakes refresh.</x:v>
      </x:c>
    </x:row>
    <x:row r="348">
      <x:c r="A348" s="102" t="str">
        <x:v>VESSEL_00347</x:v>
      </x:c>
      <x:c r="B348" s="102" t="str">
        <x:v>Saginaw</x:v>
      </x:c>
      <x:c r="C348" s="110" t="str">
        <x:v>5173876</x:v>
      </x:c>
      <x:c r="D348" s="110"/>
      <x:c r="E348" s="102"/>
      <x:c r="F348" s="102"/>
      <x:c r="G348" s="102"/>
      <x:c r="H348" s="102"/>
      <x:c r="I348" s="102"/>
      <x:c r="J348" s="102" t="str">
        <x:v>Canada</x:v>
      </x:c>
      <x:c r="K348" s="102" t="str">
        <x:v>IMO populated</x:v>
      </x:c>
      <x:c r="L348" s="102" t="str">
        <x:v>2026-09-07</x:v>
      </x:c>
      <x:c r="M348" s="102" t="str">
        <x:v>SRC_0167</x:v>
      </x:c>
      <x:c r="N348" s="102" t="str">
        <x:v>Government identity seed; current operating status requires Lower Lakes refresh.</x:v>
      </x:c>
    </x:row>
    <x:row r="349">
      <x:c r="A349" s="102" t="str">
        <x:v>VESSEL_00348</x:v>
      </x:c>
      <x:c r="B349" s="102" t="str">
        <x:v>Arthur M. Anderson</x:v>
      </x:c>
      <x:c r="C349" s="110" t="str">
        <x:v>5025691</x:v>
      </x:c>
      <x:c r="D349" s="110"/>
      <x:c r="E349" s="102"/>
      <x:c r="F349" s="102"/>
      <x:c r="G349" s="102"/>
      <x:c r="H349" s="102"/>
      <x:c r="I349" s="102"/>
      <x:c r="J349" s="102" t="str">
        <x:v>United States</x:v>
      </x:c>
      <x:c r="K349" s="102" t="str">
        <x:v>IMO populated</x:v>
      </x:c>
      <x:c r="L349" s="102" t="str">
        <x:v>2026-09-07</x:v>
      </x:c>
      <x:c r="M349" s="102" t="str">
        <x:v>SRC_0167</x:v>
      </x:c>
      <x:c r="N349" s="102" t="str">
        <x:v>Michigan regulator identifies Key Lakes as operator; CN confirms the current integrated Great Lakes Fleet role. Current individual vessel activity still requires refresh.</x:v>
      </x:c>
    </x:row>
    <x:row r="350">
      <x:c r="A350" s="102" t="str">
        <x:v>VESSEL_00349</x:v>
      </x:c>
      <x:c r="B350" s="102" t="str">
        <x:v>Cason J. Callaway</x:v>
      </x:c>
      <x:c r="C350" s="110" t="str">
        <x:v>5065392</x:v>
      </x:c>
      <x:c r="D350" s="110"/>
      <x:c r="E350" s="102"/>
      <x:c r="F350" s="102"/>
      <x:c r="G350" s="102"/>
      <x:c r="H350" s="102"/>
      <x:c r="I350" s="102"/>
      <x:c r="J350" s="102" t="str">
        <x:v>United States</x:v>
      </x:c>
      <x:c r="K350" s="102" t="str">
        <x:v>IMO populated</x:v>
      </x:c>
      <x:c r="L350" s="102" t="str">
        <x:v>2026-09-07</x:v>
      </x:c>
      <x:c r="M350" s="102" t="str">
        <x:v>SRC_0167</x:v>
      </x:c>
      <x:c r="N350" s="102" t="str">
        <x:v>Michigan regulator identifies Key Lakes as operator; CN confirms the current integrated Great Lakes Fleet role. Current individual vessel activity still requires refresh.</x:v>
      </x:c>
    </x:row>
    <x:row r="351">
      <x:c r="A351" s="102" t="str">
        <x:v>VESSEL_00350</x:v>
      </x:c>
      <x:c r="B351" s="102" t="str">
        <x:v>Edgar B. Speer</x:v>
      </x:c>
      <x:c r="C351" s="110" t="str">
        <x:v>7625952</x:v>
      </x:c>
      <x:c r="D351" s="110"/>
      <x:c r="E351" s="102"/>
      <x:c r="F351" s="102"/>
      <x:c r="G351" s="102"/>
      <x:c r="H351" s="102"/>
      <x:c r="I351" s="102"/>
      <x:c r="J351" s="102" t="str">
        <x:v>United States</x:v>
      </x:c>
      <x:c r="K351" s="102" t="str">
        <x:v>IMO populated</x:v>
      </x:c>
      <x:c r="L351" s="102" t="str">
        <x:v>2026-09-07</x:v>
      </x:c>
      <x:c r="M351" s="102" t="str">
        <x:v>SRC_0167</x:v>
      </x:c>
      <x:c r="N351" s="102" t="str">
        <x:v>Michigan regulator identifies Key Lakes as operator; CN confirms the current integrated Great Lakes Fleet role. Current individual vessel activity still requires refresh.</x:v>
      </x:c>
    </x:row>
    <x:row r="352">
      <x:c r="A352" s="102" t="str">
        <x:v>VESSEL_00351</x:v>
      </x:c>
      <x:c r="B352" s="102" t="str">
        <x:v>Edwin H. Gott</x:v>
      </x:c>
      <x:c r="C352" s="110" t="str">
        <x:v>7606061</x:v>
      </x:c>
      <x:c r="D352" s="110"/>
      <x:c r="E352" s="102"/>
      <x:c r="F352" s="102"/>
      <x:c r="G352" s="102"/>
      <x:c r="H352" s="102"/>
      <x:c r="I352" s="102"/>
      <x:c r="J352" s="102" t="str">
        <x:v>United States</x:v>
      </x:c>
      <x:c r="K352" s="102" t="str">
        <x:v>IMO populated</x:v>
      </x:c>
      <x:c r="L352" s="102" t="str">
        <x:v>2026-09-07</x:v>
      </x:c>
      <x:c r="M352" s="102" t="str">
        <x:v>SRC_0167</x:v>
      </x:c>
      <x:c r="N352" s="102" t="str">
        <x:v>Michigan regulator identifies Key Lakes as operator; CN confirms the current integrated Great Lakes Fleet role. Current individual vessel activity still requires refresh.</x:v>
      </x:c>
    </x:row>
    <x:row r="353">
      <x:c r="A353" s="102" t="str">
        <x:v>VESSEL_00352</x:v>
      </x:c>
      <x:c r="B353" s="102" t="str">
        <x:v>Great Republic</x:v>
      </x:c>
      <x:c r="C353" s="110" t="str">
        <x:v>7914236</x:v>
      </x:c>
      <x:c r="D353" s="110"/>
      <x:c r="E353" s="102"/>
      <x:c r="F353" s="102"/>
      <x:c r="G353" s="102"/>
      <x:c r="H353" s="102"/>
      <x:c r="I353" s="102"/>
      <x:c r="J353" s="102" t="str">
        <x:v>United States</x:v>
      </x:c>
      <x:c r="K353" s="102" t="str">
        <x:v>IMO populated</x:v>
      </x:c>
      <x:c r="L353" s="102" t="str">
        <x:v>2026-09-07</x:v>
      </x:c>
      <x:c r="M353" s="102" t="str">
        <x:v>SRC_0167</x:v>
      </x:c>
      <x:c r="N353" s="102" t="str">
        <x:v>Michigan regulator identifies Key Lakes as operator; CN confirms the current integrated Great Lakes Fleet role. Current individual vessel activity still requires refresh.</x:v>
      </x:c>
    </x:row>
    <x:row r="354">
      <x:c r="A354" s="102" t="str">
        <x:v>VESSEL_00353</x:v>
      </x:c>
      <x:c r="B354" s="102" t="str">
        <x:v>John G. Munson</x:v>
      </x:c>
      <x:c r="C354" s="110" t="str">
        <x:v>5173670</x:v>
      </x:c>
      <x:c r="D354" s="110"/>
      <x:c r="E354" s="102"/>
      <x:c r="F354" s="102"/>
      <x:c r="G354" s="102"/>
      <x:c r="H354" s="102"/>
      <x:c r="I354" s="102"/>
      <x:c r="J354" s="102" t="str">
        <x:v>United States</x:v>
      </x:c>
      <x:c r="K354" s="102" t="str">
        <x:v>IMO populated</x:v>
      </x:c>
      <x:c r="L354" s="102" t="str">
        <x:v>2026-09-07</x:v>
      </x:c>
      <x:c r="M354" s="102" t="str">
        <x:v>SRC_0167</x:v>
      </x:c>
      <x:c r="N354" s="102" t="str">
        <x:v>Michigan regulator identifies Key Lakes as operator; CN confirms the current integrated Great Lakes Fleet role. Current individual vessel activity still requires refresh.</x:v>
      </x:c>
    </x:row>
    <x:row r="355">
      <x:c r="A355" s="102" t="str">
        <x:v>VESSEL_00354</x:v>
      </x:c>
      <x:c r="B355" s="102" t="str">
        <x:v>Philip R. Clarke</x:v>
      </x:c>
      <x:c r="C355" s="110" t="str">
        <x:v>5277062</x:v>
      </x:c>
      <x:c r="D355" s="110"/>
      <x:c r="E355" s="102"/>
      <x:c r="F355" s="102"/>
      <x:c r="G355" s="102"/>
      <x:c r="H355" s="102"/>
      <x:c r="I355" s="102"/>
      <x:c r="J355" s="102" t="str">
        <x:v>United States</x:v>
      </x:c>
      <x:c r="K355" s="102" t="str">
        <x:v>IMO populated</x:v>
      </x:c>
      <x:c r="L355" s="102" t="str">
        <x:v>2026-09-07</x:v>
      </x:c>
      <x:c r="M355" s="102" t="str">
        <x:v>SRC_0167</x:v>
      </x:c>
      <x:c r="N355" s="102" t="str">
        <x:v>Michigan regulator identifies Key Lakes as operator; CN confirms the current integrated Great Lakes Fleet role. Current individual vessel activity still requires refresh.</x:v>
      </x:c>
    </x:row>
    <x:row r="356">
      <x:c r="A356" s="102" t="str">
        <x:v>VESSEL_00355</x:v>
      </x:c>
      <x:c r="B356" s="102" t="str">
        <x:v>Presque Isle</x:v>
      </x:c>
      <x:c r="C356" s="110" t="str">
        <x:v>7303877</x:v>
      </x:c>
      <x:c r="D356" s="110"/>
      <x:c r="E356" s="102"/>
      <x:c r="F356" s="102"/>
      <x:c r="G356" s="102"/>
      <x:c r="H356" s="102"/>
      <x:c r="I356" s="102"/>
      <x:c r="J356" s="102" t="str">
        <x:v>United States</x:v>
      </x:c>
      <x:c r="K356" s="102" t="str">
        <x:v>IMO populated</x:v>
      </x:c>
      <x:c r="L356" s="102" t="str">
        <x:v>2026-09-07</x:v>
      </x:c>
      <x:c r="M356" s="102" t="str">
        <x:v>SRC_0167</x:v>
      </x:c>
      <x:c r="N356" s="102" t="str">
        <x:v>Michigan regulator identifies Key Lakes as operator; CN confirms the current integrated Great Lakes Fleet role. Current individual vessel activity still requires refresh.</x:v>
      </x:c>
    </x:row>
    <x:row r="357">
      <x:c r="A357" s="102" t="str">
        <x:v>VESSEL_00356</x:v>
      </x:c>
      <x:c r="B357" s="102" t="str">
        <x:v>Roger Blough</x:v>
      </x:c>
      <x:c r="C357" s="110" t="str">
        <x:v>7222138</x:v>
      </x:c>
      <x:c r="D357" s="110"/>
      <x:c r="E357" s="102"/>
      <x:c r="F357" s="102"/>
      <x:c r="G357" s="102"/>
      <x:c r="H357" s="102"/>
      <x:c r="I357" s="102"/>
      <x:c r="J357" s="102" t="str">
        <x:v>United States</x:v>
      </x:c>
      <x:c r="K357" s="102" t="str">
        <x:v>IMO populated</x:v>
      </x:c>
      <x:c r="L357" s="102" t="str">
        <x:v>2026-09-07</x:v>
      </x:c>
      <x:c r="M357" s="102" t="str">
        <x:v>SRC_0167</x:v>
      </x:c>
      <x:c r="N357" s="102" t="str">
        <x:v>Michigan regulator identifies Key Lakes as operator; CN confirms the current integrated Great Lakes Fleet role. Current individual vessel activity still requires refresh.</x:v>
      </x:c>
    </x:row>
    <x:row r="358">
      <x:c r="A358" s="102" t="str">
        <x:v>VESSEL_00357</x:v>
      </x:c>
      <x:c r="B358" s="102" t="str">
        <x:v>Badger</x:v>
      </x:c>
      <x:c r="C358" s="110" t="str">
        <x:v>5033583</x:v>
      </x:c>
      <x:c r="D358" s="110"/>
      <x:c r="E358" s="102"/>
      <x:c r="F358" s="102"/>
      <x:c r="G358" s="102"/>
      <x:c r="H358" s="102"/>
      <x:c r="I358" s="102"/>
      <x:c r="J358" s="102" t="str">
        <x:v>United States</x:v>
      </x:c>
      <x:c r="K358" s="102" t="str">
        <x:v>IMO populated</x:v>
      </x:c>
      <x:c r="L358" s="102" t="str">
        <x:v>2026-09-07</x:v>
      </x:c>
      <x:c r="M358" s="102" t="str">
        <x:v>SRC_0167</x:v>
      </x:c>
      <x:c r="N358" s="102" t="str">
        <x:v>Great Lakes passenger-vessel identity; bridges the ferry and regional-system layers.</x:v>
      </x:c>
    </x:row>
    <x:row r="359">
      <x:c r="A359" s="102" t="str">
        <x:v>VESSEL_00358</x:v>
      </x:c>
      <x:c r="B359" s="102" t="str">
        <x:v>Florence Spirit</x:v>
      </x:c>
      <x:c r="C359" s="110" t="str">
        <x:v>9314600</x:v>
      </x:c>
      <x:c r="D359" s="110"/>
      <x:c r="E359" s="102"/>
      <x:c r="F359" s="102" t="str">
        <x:v>839979</x:v>
      </x:c>
      <x:c r="G359" s="102"/>
      <x:c r="H359" s="102"/>
      <x:c r="I359" s="102"/>
      <x:c r="J359" s="102" t="str">
        <x:v>Canada</x:v>
      </x:c>
      <x:c r="K359" s="102" t="str">
        <x:v>IMO populated</x:v>
      </x:c>
      <x:c r="L359" s="102" t="str">
        <x:v>2026-09-07</x:v>
      </x:c>
      <x:c r="M359" s="102" t="str">
        <x:v>SRC_0177</x:v>
      </x:c>
      <x:c r="N359" s="102" t="str">
        <x:v>McKeil official profile provides IMO 9314600 and Canadian Official Number 839979.</x:v>
      </x:c>
    </x:row>
  </x:sheetData>
  <x:pageMargins left="0.7" right="0.7" top="0.75" bottom="0.75" header="0.3" footer="0.3"/>
</x:worksheet>
</file>

<file path=xl/worksheets/sheet46.xml><?xml version="1.0" encoding="utf-8"?>
<x:worksheet xmlns:x="http://schemas.openxmlformats.org/spreadsheetml/2006/main">
  <x:sheetFormatPr defaultRowHeight="15"/>
  <x:cols>
    <x:col min="1" max="1" width="14" hidden="0" customWidth="1"/>
    <x:col min="2" max="2" width="22" hidden="0" customWidth="1"/>
    <x:col min="3" max="3" width="22"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22" hidden="0" customWidth="1"/>
    <x:col min="11" max="11" width="22" hidden="0" customWidth="1"/>
    <x:col min="12" max="12" width="14" hidden="0" customWidth="1"/>
    <x:col min="13" max="13" width="22" hidden="0" customWidth="1"/>
    <x:col min="14" max="14" width="14" hidden="0" customWidth="1"/>
    <x:col min="15" max="15" width="36" hidden="0" customWidth="1"/>
  </x:cols>
  <x:sheetData>
    <x:row r="1">
      <x:c r="A1" s="165" t="str">
        <x:v>System ID</x:v>
      </x:c>
      <x:c r="B1" s="165" t="str">
        <x:v>System Name</x:v>
      </x:c>
      <x:c r="C1" s="165" t="str">
        <x:v>Operator Company ID</x:v>
      </x:c>
      <x:c r="D1" s="165" t="str">
        <x:v>Parent / Public Owner</x:v>
      </x:c>
      <x:c r="E1" s="165" t="str">
        <x:v>Region</x:v>
      </x:c>
      <x:c r="F1" s="165" t="str">
        <x:v>Country / Jurisdiction</x:v>
      </x:c>
      <x:c r="G1" s="165" t="str">
        <x:v>Service Model</x:v>
      </x:c>
      <x:c r="H1" s="165" t="str">
        <x:v>Passenger Service</x:v>
      </x:c>
      <x:c r="I1" s="165" t="str">
        <x:v>Vehicle / Freight Service</x:v>
      </x:c>
      <x:c r="J1" s="165" t="str">
        <x:v>Network Type</x:v>
      </x:c>
      <x:c r="K1" s="165" t="str">
        <x:v>Fleet Status Tracking</x:v>
      </x:c>
      <x:c r="L1" s="165" t="str">
        <x:v>Alerts / Performance Data</x:v>
      </x:c>
      <x:c r="M1" s="165" t="str">
        <x:v>Research Status</x:v>
      </x:c>
      <x:c r="N1" s="165" t="str">
        <x:v>Source ID</x:v>
      </x:c>
      <x:c r="O1" s="165" t="str">
        <x:v>Source URL</x:v>
      </x:c>
    </x:row>
    <x:row r="2">
      <x:c r="A2" s="102" t="str">
        <x:v>FERRY_SYS_0001</x:v>
      </x:c>
      <x:c r="B2" s="102" t="str">
        <x:v>BC Ferries</x:v>
      </x:c>
      <x:c r="C2" s="102" t="str">
        <x:v>COMP_BC_FERRIES</x:v>
      </x:c>
      <x:c r="D2" s="102"/>
      <x:c r="E2" s="102" t="str">
        <x:v>North America - Pacific</x:v>
      </x:c>
      <x:c r="F2" s="102" t="str">
        <x:v>Canada / British Columbia</x:v>
      </x:c>
      <x:c r="G2" s="102" t="str">
        <x:v>Public-service coastal network</x:v>
      </x:c>
      <x:c r="H2" s="102" t="str">
        <x:v>Passenger + vehicle</x:v>
      </x:c>
      <x:c r="I2" s="102" t="str">
        <x:v>Cars, buses, commercial freight</x:v>
      </x:c>
      <x:c r="J2" s="102" t="str">
        <x:v>Point-to-point + multi-stop coastal</x:v>
      </x:c>
      <x:c r="K2" s="102" t="str">
        <x:v>Yes</x:v>
      </x:c>
      <x:c r="L2" s="102" t="str">
        <x:v>Yes</x:v>
      </x:c>
      <x:c r="M2" s="102" t="str">
        <x:v>Seeded / expand fleet, terminals and performance</x:v>
      </x:c>
      <x:c r="N2" s="102" t="str">
        <x:v>SRC_0111</x:v>
      </x:c>
      <x:c r="O2" s="102" t="str">
        <x:v>https://www.bcferries.com/on-the-ferry/our-fleet</x:v>
      </x:c>
    </x:row>
    <x:row r="3">
      <x:c r="A3" s="102" t="str">
        <x:v>FERRY_SYS_0002</x:v>
      </x:c>
      <x:c r="B3" s="102" t="str">
        <x:v>Washington State Ferries</x:v>
      </x:c>
      <x:c r="C3" s="102" t="str">
        <x:v>COMP_WSF</x:v>
      </x:c>
      <x:c r="D3" s="102" t="str">
        <x:v>Washington State DOT</x:v>
      </x:c>
      <x:c r="E3" s="102" t="str">
        <x:v>North America - Pacific</x:v>
      </x:c>
      <x:c r="F3" s="102" t="str">
        <x:v>United States / Washington</x:v>
      </x:c>
      <x:c r="G3" s="102" t="str">
        <x:v>State marine highway</x:v>
      </x:c>
      <x:c r="H3" s="102" t="str">
        <x:v>Passenger + vehicle</x:v>
      </x:c>
      <x:c r="I3" s="102" t="str">
        <x:v>Cars, trucks / commercial traffic</x:v>
      </x:c>
      <x:c r="J3" s="102" t="str">
        <x:v>High-frequency commuter + island network</x:v>
      </x:c>
      <x:c r="K3" s="102" t="str">
        <x:v>Yes</x:v>
      </x:c>
      <x:c r="L3" s="102" t="str">
        <x:v>Yes</x:v>
      </x:c>
      <x:c r="M3" s="102" t="str">
        <x:v>Seeded / full vessel IDs and terminals next</x:v>
      </x:c>
      <x:c r="N3" s="102" t="str">
        <x:v>SRC_0114</x:v>
      </x:c>
      <x:c r="O3" s="102" t="str">
        <x:v>https://wsdot.wa.gov/travel/washington-state-ferries/ferries-terminals/about-our-fleet</x:v>
      </x:c>
    </x:row>
    <x:row r="4">
      <x:c r="A4" s="102" t="str">
        <x:v>FERRY_SYS_0003</x:v>
      </x:c>
      <x:c r="B4" s="102" t="str">
        <x:v>Alaska Marine Highway System</x:v>
      </x:c>
      <x:c r="C4" s="102" t="str">
        <x:v>COMP_AMHS</x:v>
      </x:c>
      <x:c r="D4" s="102" t="str">
        <x:v>Alaska DOT&amp;PF</x:v>
      </x:c>
      <x:c r="E4" s="102" t="str">
        <x:v>North America - Pacific / Arctic gateway</x:v>
      </x:c>
      <x:c r="F4" s="102" t="str">
        <x:v>United States / Alaska</x:v>
      </x:c>
      <x:c r="G4" s="102" t="str">
        <x:v>State marine highway</x:v>
      </x:c>
      <x:c r="H4" s="102" t="str">
        <x:v>Passenger + vehicle</x:v>
      </x:c>
      <x:c r="I4" s="102" t="str">
        <x:v>Vehicles, freight containers, commercial traffic</x:v>
      </x:c>
      <x:c r="J4" s="102" t="str">
        <x:v>Long-distance mainline + day boat + shuttle</x:v>
      </x:c>
      <x:c r="K4" s="102" t="str">
        <x:v>Yes</x:v>
      </x:c>
      <x:c r="L4" s="102" t="str">
        <x:v>Yes</x:v>
      </x:c>
      <x:c r="M4" s="102" t="str">
        <x:v>Seeded / full vessel specs and community nodes next</x:v>
      </x:c>
      <x:c r="N4" s="102" t="str">
        <x:v>SRC_0119</x:v>
      </x:c>
      <x:c r="O4" s="102" t="str">
        <x:v>https://dot.alaska.gov/amhs/fleet.shtml</x:v>
      </x:c>
    </x:row>
    <x:row r="5">
      <x:c r="A5" s="102" t="str">
        <x:v>FERRY_SYS_0004</x:v>
      </x:c>
      <x:c r="B5" s="102" t="str">
        <x:v>Marine Atlantic</x:v>
      </x:c>
      <x:c r="C5" s="102" t="str">
        <x:v>COMP_MARINE_ATLANTIC</x:v>
      </x:c>
      <x:c r="D5" s="102" t="str">
        <x:v>Government of Canada</x:v>
      </x:c>
      <x:c r="E5" s="102" t="str">
        <x:v>North America - Atlantic</x:v>
      </x:c>
      <x:c r="F5" s="102" t="str">
        <x:v>Canada</x:v>
      </x:c>
      <x:c r="G5" s="102" t="str">
        <x:v>Essential interprovincial ferry system</x:v>
      </x:c>
      <x:c r="H5" s="102" t="str">
        <x:v>Passenger + vehicle</x:v>
      </x:c>
      <x:c r="I5" s="102" t="str">
        <x:v>Commercial units; restricted goods; drop/live trailers</x:v>
      </x:c>
      <x:c r="J5" s="102" t="str">
        <x:v>Year-round + seasonal long-distance</x:v>
      </x:c>
      <x:c r="K5" s="102" t="str">
        <x:v>Yes</x:v>
      </x:c>
      <x:c r="L5" s="102" t="str">
        <x:v>Yes</x:v>
      </x:c>
      <x:c r="M5" s="102" t="str">
        <x:v>Seeded / strong freight-utilization data source</x:v>
      </x:c>
      <x:c r="N5" s="102" t="str">
        <x:v>SRC_0122</x:v>
      </x:c>
      <x:c r="O5" s="102" t="str">
        <x:v>https://www.marineatlantic.ca/sailing-information/sailing-routes</x:v>
      </x:c>
    </x:row>
    <x:row r="6">
      <x:c r="A6" s="102" t="str">
        <x:v>FERRY_SYS_0005</x:v>
      </x:c>
      <x:c r="B6" s="102" t="str">
        <x:v>P&amp;O Ferries</x:v>
      </x:c>
      <x:c r="C6" s="102" t="str">
        <x:v>COMP_PO_FERRIES</x:v>
      </x:c>
      <x:c r="D6" s="102" t="str">
        <x:v>DP World</x:v>
      </x:c>
      <x:c r="E6" s="102" t="str">
        <x:v>Europe - Channel / North Sea / Irish Sea</x:v>
      </x:c>
      <x:c r="F6" s="102" t="str">
        <x:v>United Kingdom / France / Netherlands / Northern Ireland</x:v>
      </x:c>
      <x:c r="G6" s="102" t="str">
        <x:v>Commercial Ro-Pax network</x:v>
      </x:c>
      <x:c r="H6" s="102" t="str">
        <x:v>Passenger + vehicle</x:v>
      </x:c>
      <x:c r="I6" s="102" t="str">
        <x:v>Road freight / trailers</x:v>
      </x:c>
      <x:c r="J6" s="102" t="str">
        <x:v>Short-sea + overnight</x:v>
      </x:c>
      <x:c r="K6" s="102" t="str">
        <x:v>Yes</x:v>
      </x:c>
      <x:c r="L6" s="102" t="str">
        <x:v>Yes</x:v>
      </x:c>
      <x:c r="M6" s="102" t="str">
        <x:v>Seeded / full fleet and route-performance data next</x:v>
      </x:c>
      <x:c r="N6" s="102" t="str">
        <x:v>SRC_0125</x:v>
      </x:c>
      <x:c r="O6" s="102" t="str">
        <x:v>https://www.poferries.com/en/routes</x:v>
      </x:c>
    </x:row>
    <x:row r="7">
      <x:c r="A7" s="102" t="str">
        <x:v>FERRY_SYS_0006</x:v>
      </x:c>
      <x:c r="B7" s="102" t="str">
        <x:v>DFDS Ferries</x:v>
      </x:c>
      <x:c r="C7" s="102" t="str">
        <x:v>COMP_DFDS</x:v>
      </x:c>
      <x:c r="D7" s="102"/>
      <x:c r="E7" s="102" t="str">
        <x:v>Europe - Channel / North Sea / Baltic / Mediterranean</x:v>
      </x:c>
      <x:c r="F7" s="102" t="str">
        <x:v>Europe</x:v>
      </x:c>
      <x:c r="G7" s="102" t="str">
        <x:v>Commercial passenger and freight network</x:v>
      </x:c>
      <x:c r="H7" s="102" t="str">
        <x:v>Passenger + vehicle</x:v>
      </x:c>
      <x:c r="I7" s="102" t="str">
        <x:v>Ro-Ro / Ro-Pax / containers</x:v>
      </x:c>
      <x:c r="J7" s="102" t="str">
        <x:v>Short-sea + overnight / regional</x:v>
      </x:c>
      <x:c r="K7" s="102" t="str">
        <x:v>Yes</x:v>
      </x:c>
      <x:c r="L7" s="102" t="str">
        <x:v>Yes</x:v>
      </x:c>
      <x:c r="M7" s="102" t="str">
        <x:v>Seeded / fleet and freight integration next</x:v>
      </x:c>
      <x:c r="N7" s="102" t="str">
        <x:v>SRC_0126</x:v>
      </x:c>
      <x:c r="O7" s="102" t="str">
        <x:v>https://www.dfds.com/en/passenger-ferries/ferry-crossings</x:v>
      </x:c>
    </x:row>
    <x:row r="8">
      <x:c r="A8" s="102" t="str">
        <x:v>FERRY_SYS_0007</x:v>
      </x:c>
      <x:c r="B8" s="102" t="str">
        <x:v>MOL Sunflower</x:v>
      </x:c>
      <x:c r="C8" s="102" t="str">
        <x:v>COMP_MOL_SUNFLOWER</x:v>
      </x:c>
      <x:c r="D8" s="102" t="str">
        <x:v>Mitsui O.S.K. Lines</x:v>
      </x:c>
      <x:c r="E8" s="102" t="str">
        <x:v>Asia - Japan</x:v>
      </x:c>
      <x:c r="F8" s="102" t="str">
        <x:v>Japan</x:v>
      </x:c>
      <x:c r="G8" s="102" t="str">
        <x:v>Domestic overnight ferry network</x:v>
      </x:c>
      <x:c r="H8" s="102" t="str">
        <x:v>Passenger + vehicle</x:v>
      </x:c>
      <x:c r="I8" s="102" t="str">
        <x:v>Road freight / trucks</x:v>
      </x:c>
      <x:c r="J8" s="102" t="str">
        <x:v>Overnight trunk routes</x:v>
      </x:c>
      <x:c r="K8" s="102" t="str">
        <x:v>Yes</x:v>
      </x:c>
      <x:c r="L8" s="102" t="str">
        <x:v>Yes</x:v>
      </x:c>
      <x:c r="M8" s="102" t="str">
        <x:v>Seeded / fleet IMO and freight capacity next</x:v>
      </x:c>
      <x:c r="N8" s="102" t="str">
        <x:v>SRC_0127</x:v>
      </x:c>
      <x:c r="O8" s="102" t="str">
        <x:v>https://www.ferry-sunflower.co.jp/en/</x:v>
      </x:c>
    </x:row>
    <x:row r="9">
      <x:c r="A9" s="102" t="str">
        <x:v>FERRY_SYS_0008</x:v>
      </x:c>
      <x:c r="B9" s="102" t="str">
        <x:v>2GO Travel</x:v>
      </x:c>
      <x:c r="C9" s="102" t="str">
        <x:v>COMP_2GO</x:v>
      </x:c>
      <x:c r="D9" s="102"/>
      <x:c r="E9" s="102" t="str">
        <x:v>Asia - Philippines</x:v>
      </x:c>
      <x:c r="F9" s="102" t="str">
        <x:v>Philippines</x:v>
      </x:c>
      <x:c r="G9" s="102" t="str">
        <x:v>Inter-island passenger / logistics network</x:v>
      </x:c>
      <x:c r="H9" s="102" t="str">
        <x:v>Passenger</x:v>
      </x:c>
      <x:c r="I9" s="102" t="str">
        <x:v>Freight / cargo logistics</x:v>
      </x:c>
      <x:c r="J9" s="102" t="str">
        <x:v>Multi-port inter-island trunk services</x:v>
      </x:c>
      <x:c r="K9" s="102" t="str">
        <x:v>Yes</x:v>
      </x:c>
      <x:c r="L9" s="102" t="str">
        <x:v>Yes</x:v>
      </x:c>
      <x:c r="M9" s="102" t="str">
        <x:v>Seeded / voyage observations and fleet IDs next</x:v>
      </x:c>
      <x:c r="N9" s="102" t="str">
        <x:v>SRC_0129</x:v>
      </x:c>
      <x:c r="O9" s="102" t="str">
        <x:v>https://2go.com.ph/travel/book/sailing-schedule/</x:v>
      </x:c>
    </x:row>
    <x:row r="10">
      <x:c r="A10" s="102" t="str">
        <x:v>FERRY_SYS_0009</x:v>
      </x:c>
      <x:c r="B10" s="102" t="str">
        <x:v>ASDP Indonesia Ferry</x:v>
      </x:c>
      <x:c r="C10" s="102" t="str">
        <x:v>COMP_ASDP</x:v>
      </x:c>
      <x:c r="D10" s="102" t="str">
        <x:v>Government of Indonesia</x:v>
      </x:c>
      <x:c r="E10" s="102" t="str">
        <x:v>Asia - Indonesia</x:v>
      </x:c>
      <x:c r="F10" s="102" t="str">
        <x:v>Indonesia</x:v>
      </x:c>
      <x:c r="G10" s="102" t="str">
        <x:v>National archipelagic ferry network</x:v>
      </x:c>
      <x:c r="H10" s="102" t="str">
        <x:v>Passenger + vehicle</x:v>
      </x:c>
      <x:c r="I10" s="102" t="str">
        <x:v>Vehicle classes through heavy trailers</x:v>
      </x:c>
      <x:c r="J10" s="102" t="str">
        <x:v>Large domestic Ro-Ro network</x:v>
      </x:c>
      <x:c r="K10" s="102" t="str">
        <x:v>Yes</x:v>
      </x:c>
      <x:c r="L10" s="102" t="str">
        <x:v>Yes</x:v>
      </x:c>
      <x:c r="M10" s="102" t="str">
        <x:v>Seeded / high-priority vessel and route population</x:v>
      </x:c>
      <x:c r="N10" s="102" t="str">
        <x:v>SRC_0132</x:v>
      </x:c>
      <x:c r="O10" s="102" t="str">
        <x:v>https://www.asdp.id/kapal</x:v>
      </x:c>
    </x:row>
    <x:row r="11">
      <x:c r="A11" s="102" t="str">
        <x:v>FERRY_SYS_0010</x:v>
      </x:c>
      <x:c r="B11" s="102" t="str">
        <x:v>Star Ferry</x:v>
      </x:c>
      <x:c r="C11" s="102" t="str">
        <x:v>COMP_STAR_FERRY</x:v>
      </x:c>
      <x:c r="D11" s="102"/>
      <x:c r="E11" s="102" t="str">
        <x:v>Asia - Hong Kong</x:v>
      </x:c>
      <x:c r="F11" s="102" t="str">
        <x:v>Hong Kong, China</x:v>
      </x:c>
      <x:c r="G11" s="102" t="str">
        <x:v>Urban harbour ferry</x:v>
      </x:c>
      <x:c r="H11" s="102" t="str">
        <x:v>Passenger</x:v>
      </x:c>
      <x:c r="I11" s="102" t="str">
        <x:v>No / limited freight role</x:v>
      </x:c>
      <x:c r="J11" s="102" t="str">
        <x:v>High-frequency urban crossing</x:v>
      </x:c>
      <x:c r="K11" s="102" t="str">
        <x:v>Yes</x:v>
      </x:c>
      <x:c r="L11" s="102" t="str">
        <x:v>Yes</x:v>
      </x:c>
      <x:c r="M11" s="102" t="str">
        <x:v>Seeded / ferry IDs and route-specific performance next</x:v>
      </x:c>
      <x:c r="N11" s="102" t="str">
        <x:v>SRC_0133</x:v>
      </x:c>
      <x:c r="O11" s="102" t="str">
        <x:v>https://www.starferry.com.hk/</x:v>
      </x:c>
    </x:row>
    <x:row r="12">
      <x:c r="A12" s="102" t="str">
        <x:v>FERRY_SYS_0011</x:v>
      </x:c>
      <x:c r="B12" s="102" t="str">
        <x:v>Arab Bridge Maritime</x:v>
      </x:c>
      <x:c r="C12" s="102" t="str">
        <x:v>COMP_AB_MARITIME</x:v>
      </x:c>
      <x:c r="D12" s="102" t="str">
        <x:v>Jordan-Egypt-Iraq JV</x:v>
      </x:c>
      <x:c r="E12" s="102" t="str">
        <x:v>Middle East / Red Sea</x:v>
      </x:c>
      <x:c r="F12" s="102" t="str">
        <x:v>Jordan / Egypt</x:v>
      </x:c>
      <x:c r="G12" s="102" t="str">
        <x:v>Cross-border passenger, vehicle and freight ferry</x:v>
      </x:c>
      <x:c r="H12" s="102" t="str">
        <x:v>Passenger + vehicle</x:v>
      </x:c>
      <x:c r="I12" s="102" t="str">
        <x:v>Cars, trucks, refrigerated/general goods</x:v>
      </x:c>
      <x:c r="J12" s="102" t="str">
        <x:v>International Red Sea bridge</x:v>
      </x:c>
      <x:c r="K12" s="102" t="str">
        <x:v>Yes</x:v>
      </x:c>
      <x:c r="L12" s="102" t="str">
        <x:v>Yes</x:v>
      </x:c>
      <x:c r="M12" s="102" t="str">
        <x:v>Seeded / directly links Aqaba-Nuweiba into port ecosystem</x:v>
      </x:c>
      <x:c r="N12" s="102" t="str">
        <x:v>SRC_0134</x:v>
      </x:c>
      <x:c r="O12" s="102" t="str">
        <x:v>https://www.abmaritime.com.jo/?lang=en</x:v>
      </x:c>
    </x:row>
    <x:row r="13">
      <x:c r="A13" s="102" t="str">
        <x:v>FERRY_SYS_0012</x:v>
      </x:c>
      <x:c r="B13" s="102" t="str">
        <x:v>SeaLink Kangaroo Island</x:v>
      </x:c>
      <x:c r="C13" s="102" t="str">
        <x:v>COMP_SEALINK_KI</x:v>
      </x:c>
      <x:c r="D13" s="102"/>
      <x:c r="E13" s="102" t="str">
        <x:v>Oceania - Australia</x:v>
      </x:c>
      <x:c r="F13" s="102" t="str">
        <x:v>Australia / South Australia</x:v>
      </x:c>
      <x:c r="G13" s="102" t="str">
        <x:v>Island car/passenger ferry</x:v>
      </x:c>
      <x:c r="H13" s="102" t="str">
        <x:v>Passenger + vehicle</x:v>
      </x:c>
      <x:c r="I13" s="102" t="str">
        <x:v>Cars, coaches, semi-trailers; some freight/fuel sailings</x:v>
      </x:c>
      <x:c r="J13" s="102" t="str">
        <x:v>High-frequency island shuttle</x:v>
      </x:c>
      <x:c r="K13" s="102" t="str">
        <x:v>Yes</x:v>
      </x:c>
      <x:c r="L13" s="102" t="str">
        <x:v>Yes</x:v>
      </x:c>
      <x:c r="M13" s="102" t="str">
        <x:v>Seeded / new-ferry transition important</x:v>
      </x:c>
      <x:c r="N13" s="102" t="str">
        <x:v>SRC_0139</x:v>
      </x:c>
      <x:c r="O13" s="102" t="str">
        <x:v>https://www.sealink.com.au/kangaroo-island/our-ferries/</x:v>
      </x:c>
    </x:row>
    <x:row r="14">
      <x:c r="A14" s="102" t="str">
        <x:v>FERRY_SYS_0013</x:v>
      </x:c>
      <x:c r="B14" s="102" t="str">
        <x:v>Fullers360</x:v>
      </x:c>
      <x:c r="C14" s="102" t="str">
        <x:v>COMP_FULLERS360</x:v>
      </x:c>
      <x:c r="D14" s="102"/>
      <x:c r="E14" s="102" t="str">
        <x:v>Oceania - New Zealand</x:v>
      </x:c>
      <x:c r="F14" s="102" t="str">
        <x:v>New Zealand / Auckland</x:v>
      </x:c>
      <x:c r="G14" s="102" t="str">
        <x:v>Urban/island passenger ferry</x:v>
      </x:c>
      <x:c r="H14" s="102" t="str">
        <x:v>Passenger</x:v>
      </x:c>
      <x:c r="I14" s="102" t="str">
        <x:v>Limited</x:v>
      </x:c>
      <x:c r="J14" s="102" t="str">
        <x:v>High-frequency commuter + tourism</x:v>
      </x:c>
      <x:c r="K14" s="102" t="str">
        <x:v>Yes</x:v>
      </x:c>
      <x:c r="L14" s="102" t="str">
        <x:v>Yes</x:v>
      </x:c>
      <x:c r="M14" s="102" t="str">
        <x:v>Seeded / travel-alert ingestion candidate</x:v>
      </x:c>
      <x:c r="N14" s="102" t="str">
        <x:v>SRC_0142</x:v>
      </x:c>
      <x:c r="O14" s="102" t="str">
        <x:v>https://www.fullers.co.nz/timetables-and-fares/</x:v>
      </x:c>
    </x:row>
    <x:row r="15">
      <x:c r="A15" s="102" t="str">
        <x:v>FERRY_SYS_0014</x:v>
      </x:c>
      <x:c r="B15" s="102" t="str">
        <x:v>CalMac Ferries</x:v>
      </x:c>
      <x:c r="C15" s="102" t="str">
        <x:v>COMP_CALMAC</x:v>
      </x:c>
      <x:c r="D15" s="102" t="str">
        <x:v>Scottish Government service framework</x:v>
      </x:c>
      <x:c r="E15" s="102" t="str">
        <x:v>Europe - Scotland</x:v>
      </x:c>
      <x:c r="F15" s="102" t="str">
        <x:v>United Kingdom / Scotland</x:v>
      </x:c>
      <x:c r="G15" s="102" t="str">
        <x:v>Public-service island ferry network</x:v>
      </x:c>
      <x:c r="H15" s="102" t="str">
        <x:v>Passenger + vehicle</x:v>
      </x:c>
      <x:c r="I15" s="102" t="str">
        <x:v>Vehicles and island supply-chain traffic</x:v>
      </x:c>
      <x:c r="J15" s="102" t="str">
        <x:v>Multi-route island network</x:v>
      </x:c>
      <x:c r="K15" s="102" t="str">
        <x:v>Yes</x:v>
      </x:c>
      <x:c r="L15" s="102" t="str">
        <x:v>Yes</x:v>
      </x:c>
      <x:c r="M15" s="102" t="str">
        <x:v>Seeded / monthly route-performance ingestion candidate</x:v>
      </x:c>
      <x:c r="N15" s="102" t="str">
        <x:v>SRC_0144</x:v>
      </x:c>
      <x:c r="O15" s="102" t="str">
        <x:v>https://corporate.calmac.co.uk/en-gb/about-us/performance-reports/route-performance/</x:v>
      </x:c>
    </x:row>
  </x:sheetData>
  <x:pageMargins left="0.7" right="0.7" top="0.75" bottom="0.75" header="0.3" footer="0.3"/>
</x:worksheet>
</file>

<file path=xl/worksheets/sheet47.xml><?xml version="1.0" encoding="utf-8"?>
<x:worksheet xmlns:x="http://schemas.openxmlformats.org/spreadsheetml/2006/main">
  <x:sheetFormatPr defaultRowHeight="15"/>
  <x:cols>
    <x:col min="1" max="1" width="22" hidden="0" customWidth="1"/>
    <x:col min="2" max="2" width="14" hidden="0" customWidth="1"/>
    <x:col min="3" max="3" width="22"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22" hidden="0" customWidth="1"/>
    <x:col min="12" max="12" width="14" hidden="0" customWidth="1"/>
    <x:col min="13" max="13" width="14" hidden="0" customWidth="1"/>
    <x:col min="14" max="14" width="14" hidden="0" customWidth="1"/>
    <x:col min="15" max="15" width="14" hidden="0" customWidth="1"/>
    <x:col min="16" max="16" width="14" hidden="0" customWidth="1"/>
    <x:col min="17" max="17" width="22" hidden="0" customWidth="1"/>
    <x:col min="18" max="18" width="36" hidden="0" customWidth="1"/>
    <x:col min="19" max="19" width="36" hidden="0" customWidth="1"/>
  </x:cols>
  <x:sheetData>
    <x:row r="1">
      <x:c r="A1" s="165" t="str">
        <x:v>Route ID</x:v>
      </x:c>
      <x:c r="B1" s="165" t="str">
        <x:v>System ID</x:v>
      </x:c>
      <x:c r="C1" s="165" t="str">
        <x:v>Route Name</x:v>
      </x:c>
      <x:c r="D1" s="165" t="str">
        <x:v>Origin Terminal ID</x:v>
      </x:c>
      <x:c r="E1" s="165" t="str">
        <x:v>Origin Terminal</x:v>
      </x:c>
      <x:c r="F1" s="165" t="str">
        <x:v>Destination Terminal ID</x:v>
      </x:c>
      <x:c r="G1" s="165" t="str">
        <x:v>Destination Terminal</x:v>
      </x:c>
      <x:c r="H1" s="165" t="str">
        <x:v>Country 1</x:v>
      </x:c>
      <x:c r="I1" s="165" t="str">
        <x:v>Country 2</x:v>
      </x:c>
      <x:c r="J1" s="165" t="str">
        <x:v>Cross-Border</x:v>
      </x:c>
      <x:c r="K1" s="165" t="str">
        <x:v>Service Type</x:v>
      </x:c>
      <x:c r="L1" s="165" t="str">
        <x:v>Vehicle / Freight</x:v>
      </x:c>
      <x:c r="M1" s="165" t="str">
        <x:v>Typical Duration</x:v>
      </x:c>
      <x:c r="N1" s="165" t="str">
        <x:v>Frequency / Cadence</x:v>
      </x:c>
      <x:c r="O1" s="165" t="str">
        <x:v>Seasonality</x:v>
      </x:c>
      <x:c r="P1" s="165" t="str">
        <x:v>Reservation / Booking</x:v>
      </x:c>
      <x:c r="Q1" s="165" t="str">
        <x:v>Route Status</x:v>
      </x:c>
      <x:c r="R1" s="165" t="str">
        <x:v>Intermediate Stops / Corridor Notes</x:v>
      </x:c>
      <x:c r="S1" s="165" t="str">
        <x:v>Source URL</x:v>
      </x:c>
    </x:row>
    <x:row r="2">
      <x:c r="A2" s="102" t="str">
        <x:v>FERRY_ROUTE_0001</x:v>
      </x:c>
      <x:c r="B2" s="102" t="str">
        <x:v>FERRY_SYS_0001</x:v>
      </x:c>
      <x:c r="C2" s="102" t="str">
        <x:v>Tsawwassen - Swartz Bay</x:v>
      </x:c>
      <x:c r="D2" s="102" t="str">
        <x:v>FERRY_TERM_0001</x:v>
      </x:c>
      <x:c r="E2" s="102" t="str">
        <x:v>Tsawwassen</x:v>
      </x:c>
      <x:c r="F2" s="102" t="str">
        <x:v>FERRY_TERM_0002</x:v>
      </x:c>
      <x:c r="G2" s="102" t="str">
        <x:v>Swartz Bay</x:v>
      </x:c>
      <x:c r="H2" s="102" t="str">
        <x:v>Canada</x:v>
      </x:c>
      <x:c r="I2" s="102" t="str">
        <x:v>Canada</x:v>
      </x:c>
      <x:c r="J2" s="102" t="str">
        <x:v>No</x:v>
      </x:c>
      <x:c r="K2" s="102" t="str">
        <x:v>Ro-Pax / vehicle ferry</x:v>
      </x:c>
      <x:c r="L2" s="102" t="str">
        <x:v>Yes</x:v>
      </x:c>
      <x:c r="M2" s="102" t="str">
        <x:v>~1h35 typical - populate precisely later</x:v>
      </x:c>
      <x:c r="N2" s="102" t="str">
        <x:v>Multiple daily</x:v>
      </x:c>
      <x:c r="O2" s="102" t="str">
        <x:v>Year-round</x:v>
      </x:c>
      <x:c r="P2" s="102" t="str">
        <x:v>Bookable</x:v>
      </x:c>
      <x:c r="Q2" s="102" t="str">
        <x:v>Active</x:v>
      </x:c>
      <x:c r="R2" s="102"/>
      <x:c r="S2" s="102" t="str">
        <x:v>https://www.bcferries.com/routes-fares/discover-route-map</x:v>
      </x:c>
    </x:row>
    <x:row r="3">
      <x:c r="A3" s="102" t="str">
        <x:v>FERRY_ROUTE_0002</x:v>
      </x:c>
      <x:c r="B3" s="102" t="str">
        <x:v>FERRY_SYS_0001</x:v>
      </x:c>
      <x:c r="C3" s="102" t="str">
        <x:v>Tsawwassen - Duke Point</x:v>
      </x:c>
      <x:c r="D3" s="102" t="str">
        <x:v>FERRY_TERM_0001</x:v>
      </x:c>
      <x:c r="E3" s="102" t="str">
        <x:v>Tsawwassen</x:v>
      </x:c>
      <x:c r="F3" s="102" t="str">
        <x:v>FERRY_TERM_0003</x:v>
      </x:c>
      <x:c r="G3" s="102" t="str">
        <x:v>Duke Point</x:v>
      </x:c>
      <x:c r="H3" s="102" t="str">
        <x:v>Canada</x:v>
      </x:c>
      <x:c r="I3" s="102" t="str">
        <x:v>Canada</x:v>
      </x:c>
      <x:c r="J3" s="102" t="str">
        <x:v>No</x:v>
      </x:c>
      <x:c r="K3" s="102" t="str">
        <x:v>Ro-Pax / vehicle ferry</x:v>
      </x:c>
      <x:c r="L3" s="102" t="str">
        <x:v>Yes</x:v>
      </x:c>
      <x:c r="M3" s="102"/>
      <x:c r="N3" s="102" t="str">
        <x:v>Multiple daily</x:v>
      </x:c>
      <x:c r="O3" s="102" t="str">
        <x:v>Year-round</x:v>
      </x:c>
      <x:c r="P3" s="102" t="str">
        <x:v>Bookable</x:v>
      </x:c>
      <x:c r="Q3" s="102" t="str">
        <x:v>Active</x:v>
      </x:c>
      <x:c r="R3" s="102"/>
      <x:c r="S3" s="102" t="str">
        <x:v>https://www.bcferries.com/routes-fares/discover-route-map</x:v>
      </x:c>
    </x:row>
    <x:row r="4">
      <x:c r="A4" s="102" t="str">
        <x:v>FERRY_ROUTE_0003</x:v>
      </x:c>
      <x:c r="B4" s="102" t="str">
        <x:v>FERRY_SYS_0001</x:v>
      </x:c>
      <x:c r="C4" s="102" t="str">
        <x:v>Horseshoe Bay - Departure Bay</x:v>
      </x:c>
      <x:c r="D4" s="102" t="str">
        <x:v>FERRY_TERM_0004</x:v>
      </x:c>
      <x:c r="E4" s="102" t="str">
        <x:v>Horseshoe Bay</x:v>
      </x:c>
      <x:c r="F4" s="102" t="str">
        <x:v>FERRY_TERM_0005</x:v>
      </x:c>
      <x:c r="G4" s="102" t="str">
        <x:v>Departure Bay</x:v>
      </x:c>
      <x:c r="H4" s="102" t="str">
        <x:v>Canada</x:v>
      </x:c>
      <x:c r="I4" s="102" t="str">
        <x:v>Canada</x:v>
      </x:c>
      <x:c r="J4" s="102" t="str">
        <x:v>No</x:v>
      </x:c>
      <x:c r="K4" s="102" t="str">
        <x:v>Ro-Pax / vehicle ferry</x:v>
      </x:c>
      <x:c r="L4" s="102" t="str">
        <x:v>Yes</x:v>
      </x:c>
      <x:c r="M4" s="102"/>
      <x:c r="N4" s="102" t="str">
        <x:v>Multiple daily</x:v>
      </x:c>
      <x:c r="O4" s="102" t="str">
        <x:v>Year-round</x:v>
      </x:c>
      <x:c r="P4" s="102" t="str">
        <x:v>Bookable / advance purchase</x:v>
      </x:c>
      <x:c r="Q4" s="102" t="str">
        <x:v>Active</x:v>
      </x:c>
      <x:c r="R4" s="102"/>
      <x:c r="S4" s="102" t="str">
        <x:v>https://www.bcferries.com/routes-fares/discover-route-map</x:v>
      </x:c>
    </x:row>
    <x:row r="5">
      <x:c r="A5" s="102" t="str">
        <x:v>FERRY_ROUTE_0004</x:v>
      </x:c>
      <x:c r="B5" s="102" t="str">
        <x:v>FERRY_SYS_0001</x:v>
      </x:c>
      <x:c r="C5" s="102" t="str">
        <x:v>Port Hardy - Prince Rupert</x:v>
      </x:c>
      <x:c r="D5" s="102" t="str">
        <x:v>FERRY_TERM_0006</x:v>
      </x:c>
      <x:c r="E5" s="102" t="str">
        <x:v>Port Hardy (Bear Cove)</x:v>
      </x:c>
      <x:c r="F5" s="102" t="str">
        <x:v>FERRY_TERM_0007</x:v>
      </x:c>
      <x:c r="G5" s="102" t="str">
        <x:v>Prince Rupert</x:v>
      </x:c>
      <x:c r="H5" s="102" t="str">
        <x:v>Canada</x:v>
      </x:c>
      <x:c r="I5" s="102" t="str">
        <x:v>Canada</x:v>
      </x:c>
      <x:c r="J5" s="102" t="str">
        <x:v>No</x:v>
      </x:c>
      <x:c r="K5" s="102" t="str">
        <x:v>Long-distance Ro-Pax</x:v>
      </x:c>
      <x:c r="L5" s="102" t="str">
        <x:v>Yes</x:v>
      </x:c>
      <x:c r="M5" s="102"/>
      <x:c r="N5" s="102" t="str">
        <x:v>Scheduled</x:v>
      </x:c>
      <x:c r="O5" s="102" t="str">
        <x:v>Seasonal / timetable-driven</x:v>
      </x:c>
      <x:c r="P5" s="102" t="str">
        <x:v>Bookable</x:v>
      </x:c>
      <x:c r="Q5" s="102" t="str">
        <x:v>Active</x:v>
      </x:c>
      <x:c r="R5" s="102"/>
      <x:c r="S5" s="102" t="str">
        <x:v>https://www.bcferries.com/on-the-ferry/our-fleet</x:v>
      </x:c>
    </x:row>
    <x:row r="6">
      <x:c r="A6" s="102" t="str">
        <x:v>FERRY_ROUTE_0005</x:v>
      </x:c>
      <x:c r="B6" s="102" t="str">
        <x:v>FERRY_SYS_0002</x:v>
      </x:c>
      <x:c r="C6" s="102" t="str">
        <x:v>Seattle - Bainbridge Island</x:v>
      </x:c>
      <x:c r="D6" s="102" t="str">
        <x:v>FERRY_TERM_0008</x:v>
      </x:c>
      <x:c r="E6" s="102" t="str">
        <x:v>Seattle</x:v>
      </x:c>
      <x:c r="F6" s="102" t="str">
        <x:v>FERRY_TERM_0009</x:v>
      </x:c>
      <x:c r="G6" s="102" t="str">
        <x:v>Bainbridge Island</x:v>
      </x:c>
      <x:c r="H6" s="102" t="str">
        <x:v>United States</x:v>
      </x:c>
      <x:c r="I6" s="102" t="str">
        <x:v>United States</x:v>
      </x:c>
      <x:c r="J6" s="102" t="str">
        <x:v>No</x:v>
      </x:c>
      <x:c r="K6" s="102" t="str">
        <x:v>Ro-Pax / commuter ferry</x:v>
      </x:c>
      <x:c r="L6" s="102" t="str">
        <x:v>Yes</x:v>
      </x:c>
      <x:c r="M6" s="102"/>
      <x:c r="N6" s="102" t="str">
        <x:v>High frequency</x:v>
      </x:c>
      <x:c r="O6" s="102" t="str">
        <x:v>Year-round</x:v>
      </x:c>
      <x:c r="P6" s="102"/>
      <x:c r="Q6" s="102" t="str">
        <x:v>Active</x:v>
      </x:c>
      <x:c r="R6" s="102"/>
      <x:c r="S6" s="102" t="str">
        <x:v>https://wsdot.wa.gov/travel/washington-state-ferries</x:v>
      </x:c>
    </x:row>
    <x:row r="7">
      <x:c r="A7" s="102" t="str">
        <x:v>FERRY_ROUTE_0006</x:v>
      </x:c>
      <x:c r="B7" s="102" t="str">
        <x:v>FERRY_SYS_0002</x:v>
      </x:c>
      <x:c r="C7" s="102" t="str">
        <x:v>Seattle - Bremerton</x:v>
      </x:c>
      <x:c r="D7" s="102" t="str">
        <x:v>FERRY_TERM_0008</x:v>
      </x:c>
      <x:c r="E7" s="102" t="str">
        <x:v>Seattle</x:v>
      </x:c>
      <x:c r="F7" s="102" t="str">
        <x:v>FERRY_TERM_0010</x:v>
      </x:c>
      <x:c r="G7" s="102" t="str">
        <x:v>Bremerton</x:v>
      </x:c>
      <x:c r="H7" s="102" t="str">
        <x:v>United States</x:v>
      </x:c>
      <x:c r="I7" s="102" t="str">
        <x:v>United States</x:v>
      </x:c>
      <x:c r="J7" s="102" t="str">
        <x:v>No</x:v>
      </x:c>
      <x:c r="K7" s="102" t="str">
        <x:v>Ro-Pax / commuter ferry</x:v>
      </x:c>
      <x:c r="L7" s="102" t="str">
        <x:v>Yes</x:v>
      </x:c>
      <x:c r="M7" s="102"/>
      <x:c r="N7" s="102" t="str">
        <x:v>Multiple daily</x:v>
      </x:c>
      <x:c r="O7" s="102" t="str">
        <x:v>Year-round</x:v>
      </x:c>
      <x:c r="P7" s="102"/>
      <x:c r="Q7" s="102" t="str">
        <x:v>Active</x:v>
      </x:c>
      <x:c r="R7" s="102"/>
      <x:c r="S7" s="102" t="str">
        <x:v>https://wsdot.wa.gov/travel/washington-state-ferries</x:v>
      </x:c>
    </x:row>
    <x:row r="8">
      <x:c r="A8" s="102" t="str">
        <x:v>FERRY_ROUTE_0007</x:v>
      </x:c>
      <x:c r="B8" s="102" t="str">
        <x:v>FERRY_SYS_0002</x:v>
      </x:c>
      <x:c r="C8" s="102" t="str">
        <x:v>Edmonds - Kingston</x:v>
      </x:c>
      <x:c r="D8" s="102" t="str">
        <x:v>FERRY_TERM_0011</x:v>
      </x:c>
      <x:c r="E8" s="102" t="str">
        <x:v>Edmonds</x:v>
      </x:c>
      <x:c r="F8" s="102" t="str">
        <x:v>FERRY_TERM_0012</x:v>
      </x:c>
      <x:c r="G8" s="102" t="str">
        <x:v>Kingston</x:v>
      </x:c>
      <x:c r="H8" s="102" t="str">
        <x:v>United States</x:v>
      </x:c>
      <x:c r="I8" s="102" t="str">
        <x:v>United States</x:v>
      </x:c>
      <x:c r="J8" s="102" t="str">
        <x:v>No</x:v>
      </x:c>
      <x:c r="K8" s="102" t="str">
        <x:v>Ro-Pax / commuter ferry</x:v>
      </x:c>
      <x:c r="L8" s="102" t="str">
        <x:v>Yes</x:v>
      </x:c>
      <x:c r="M8" s="102"/>
      <x:c r="N8" s="102" t="str">
        <x:v>High frequency</x:v>
      </x:c>
      <x:c r="O8" s="102" t="str">
        <x:v>Year-round</x:v>
      </x:c>
      <x:c r="P8" s="102"/>
      <x:c r="Q8" s="102" t="str">
        <x:v>Active</x:v>
      </x:c>
      <x:c r="R8" s="102"/>
      <x:c r="S8" s="102" t="str">
        <x:v>https://wsdot.wa.gov/travel/washington-state-ferries</x:v>
      </x:c>
    </x:row>
    <x:row r="9">
      <x:c r="A9" s="102" t="str">
        <x:v>FERRY_ROUTE_0008</x:v>
      </x:c>
      <x:c r="B9" s="102" t="str">
        <x:v>FERRY_SYS_0002</x:v>
      </x:c>
      <x:c r="C9" s="102" t="str">
        <x:v>Port Townsend - Coupeville</x:v>
      </x:c>
      <x:c r="D9" s="102" t="str">
        <x:v>FERRY_TERM_0013</x:v>
      </x:c>
      <x:c r="E9" s="102" t="str">
        <x:v>Port Townsend</x:v>
      </x:c>
      <x:c r="F9" s="102" t="str">
        <x:v>FERRY_TERM_0014</x:v>
      </x:c>
      <x:c r="G9" s="102" t="str">
        <x:v>Coupeville</x:v>
      </x:c>
      <x:c r="H9" s="102" t="str">
        <x:v>United States</x:v>
      </x:c>
      <x:c r="I9" s="102" t="str">
        <x:v>United States</x:v>
      </x:c>
      <x:c r="J9" s="102" t="str">
        <x:v>No</x:v>
      </x:c>
      <x:c r="K9" s="102" t="str">
        <x:v>Ro-Pax ferry</x:v>
      </x:c>
      <x:c r="L9" s="102" t="str">
        <x:v>Yes</x:v>
      </x:c>
      <x:c r="M9" s="102"/>
      <x:c r="N9" s="102" t="str">
        <x:v>Scheduled</x:v>
      </x:c>
      <x:c r="O9" s="102" t="str">
        <x:v>Year-round / tide constrained</x:v>
      </x:c>
      <x:c r="P9" s="102"/>
      <x:c r="Q9" s="102" t="str">
        <x:v>Active</x:v>
      </x:c>
      <x:c r="R9" s="102" t="str">
        <x:v>Low tides can disrupt service.</x:v>
      </x:c>
      <x:c r="S9" s="102" t="str">
        <x:v>https://wsdot.wa.gov/travel/washington-state-ferries</x:v>
      </x:c>
    </x:row>
    <x:row r="10">
      <x:c r="A10" s="102" t="str">
        <x:v>FERRY_ROUTE_0009</x:v>
      </x:c>
      <x:c r="B10" s="102" t="str">
        <x:v>FERRY_SYS_0002</x:v>
      </x:c>
      <x:c r="C10" s="102" t="str">
        <x:v>Anacortes - San Juan Islands</x:v>
      </x:c>
      <x:c r="D10" s="102" t="str">
        <x:v>FERRY_TERM_0015</x:v>
      </x:c>
      <x:c r="E10" s="102" t="str">
        <x:v>Anacortes</x:v>
      </x:c>
      <x:c r="F10" s="102" t="str">
        <x:v>FERRY_TERM_0016</x:v>
      </x:c>
      <x:c r="G10" s="102" t="str">
        <x:v>Friday Harbor / San Juan Islands</x:v>
      </x:c>
      <x:c r="H10" s="102" t="str">
        <x:v>United States</x:v>
      </x:c>
      <x:c r="I10" s="102" t="str">
        <x:v>United States</x:v>
      </x:c>
      <x:c r="J10" s="102" t="str">
        <x:v>No</x:v>
      </x:c>
      <x:c r="K10" s="102" t="str">
        <x:v>Ro-Pax / island ferry</x:v>
      </x:c>
      <x:c r="L10" s="102" t="str">
        <x:v>Yes</x:v>
      </x:c>
      <x:c r="M10" s="102"/>
      <x:c r="N10" s="102" t="str">
        <x:v>Scheduled</x:v>
      </x:c>
      <x:c r="O10" s="102" t="str">
        <x:v>Year-round</x:v>
      </x:c>
      <x:c r="P10" s="102" t="str">
        <x:v>Reservations on select services</x:v>
      </x:c>
      <x:c r="Q10" s="102" t="str">
        <x:v>Active</x:v>
      </x:c>
      <x:c r="R10" s="102" t="str">
        <x:v>Multi-stop island network.</x:v>
      </x:c>
      <x:c r="S10" s="102" t="str">
        <x:v>https://wsdot.wa.gov/travel/washington-state-ferries</x:v>
      </x:c>
    </x:row>
    <x:row r="11">
      <x:c r="A11" s="102" t="str">
        <x:v>FERRY_ROUTE_0010</x:v>
      </x:c>
      <x:c r="B11" s="102" t="str">
        <x:v>FERRY_SYS_0003</x:v>
      </x:c>
      <x:c r="C11" s="102" t="str">
        <x:v>Southeast Mainline</x:v>
      </x:c>
      <x:c r="D11" s="102" t="str">
        <x:v>FERRY_TERM_0017</x:v>
      </x:c>
      <x:c r="E11" s="102" t="str">
        <x:v>Bellingham</x:v>
      </x:c>
      <x:c r="F11" s="102" t="str">
        <x:v>FERRY_TERM_0018</x:v>
      </x:c>
      <x:c r="G11" s="102" t="str">
        <x:v>Skagway</x:v>
      </x:c>
      <x:c r="H11" s="102" t="str">
        <x:v>United States</x:v>
      </x:c>
      <x:c r="I11" s="102" t="str">
        <x:v>United States</x:v>
      </x:c>
      <x:c r="J11" s="102" t="str">
        <x:v>No</x:v>
      </x:c>
      <x:c r="K11" s="102" t="str">
        <x:v>Long-distance marine highway</x:v>
      </x:c>
      <x:c r="L11" s="102" t="str">
        <x:v>Yes</x:v>
      </x:c>
      <x:c r="M11" s="102"/>
      <x:c r="N11" s="102" t="str">
        <x:v>Scheduled</x:v>
      </x:c>
      <x:c r="O11" s="102" t="str">
        <x:v>Year-round / seasonal variation</x:v>
      </x:c>
      <x:c r="P11" s="102" t="str">
        <x:v>Reservation</x:v>
      </x:c>
      <x:c r="Q11" s="102" t="str">
        <x:v>Active</x:v>
      </x:c>
      <x:c r="R11" s="102" t="str">
        <x:v>Intermediate stops include Ketchikan, Wrangell, Petersburg, Juneau and Haines.</x:v>
      </x:c>
      <x:c r="S11" s="102" t="str">
        <x:v>https://dot.alaska.gov/amhs/route.shtml</x:v>
      </x:c>
    </x:row>
    <x:row r="12">
      <x:c r="A12" s="102" t="str">
        <x:v>FERRY_ROUTE_0011</x:v>
      </x:c>
      <x:c r="B12" s="102" t="str">
        <x:v>FERRY_SYS_0003</x:v>
      </x:c>
      <x:c r="C12" s="102" t="str">
        <x:v>Homer - Dutch Harbor</x:v>
      </x:c>
      <x:c r="D12" s="102" t="str">
        <x:v>FERRY_TERM_0019</x:v>
      </x:c>
      <x:c r="E12" s="102" t="str">
        <x:v>Homer</x:v>
      </x:c>
      <x:c r="F12" s="102" t="str">
        <x:v>FERRY_TERM_0020</x:v>
      </x:c>
      <x:c r="G12" s="102" t="str">
        <x:v>Dutch Harbor</x:v>
      </x:c>
      <x:c r="H12" s="102" t="str">
        <x:v>United States</x:v>
      </x:c>
      <x:c r="I12" s="102" t="str">
        <x:v>United States</x:v>
      </x:c>
      <x:c r="J12" s="102" t="str">
        <x:v>No</x:v>
      </x:c>
      <x:c r="K12" s="102" t="str">
        <x:v>Long-distance marine highway</x:v>
      </x:c>
      <x:c r="L12" s="102" t="str">
        <x:v>Yes</x:v>
      </x:c>
      <x:c r="M12" s="102"/>
      <x:c r="N12" s="102" t="str">
        <x:v>Scheduled</x:v>
      </x:c>
      <x:c r="O12" s="102" t="str">
        <x:v>Seasonal/weather constrained</x:v>
      </x:c>
      <x:c r="P12" s="102" t="str">
        <x:v>Reservation</x:v>
      </x:c>
      <x:c r="Q12" s="102" t="str">
        <x:v>Active</x:v>
      </x:c>
      <x:c r="R12" s="102" t="str">
        <x:v>Intermediate stops include Kodiak, Chignik, Sand Point, King Cove, Cold Bay, False Pass and Akutan.</x:v>
      </x:c>
      <x:c r="S12" s="102" t="str">
        <x:v>https://dot.alaska.gov/amhs/route.shtml</x:v>
      </x:c>
    </x:row>
    <x:row r="13">
      <x:c r="A13" s="102" t="str">
        <x:v>FERRY_ROUTE_0012</x:v>
      </x:c>
      <x:c r="B13" s="102" t="str">
        <x:v>FERRY_SYS_0004</x:v>
      </x:c>
      <x:c r="C13" s="102" t="str">
        <x:v>North Sydney - Port aux Basques</x:v>
      </x:c>
      <x:c r="D13" s="102" t="str">
        <x:v>FERRY_TERM_0021</x:v>
      </x:c>
      <x:c r="E13" s="102" t="str">
        <x:v>North Sydney</x:v>
      </x:c>
      <x:c r="F13" s="102" t="str">
        <x:v>FERRY_TERM_0022</x:v>
      </x:c>
      <x:c r="G13" s="102" t="str">
        <x:v>Port aux Basques</x:v>
      </x:c>
      <x:c r="H13" s="102" t="str">
        <x:v>Canada</x:v>
      </x:c>
      <x:c r="I13" s="102" t="str">
        <x:v>Canada</x:v>
      </x:c>
      <x:c r="J13" s="102" t="str">
        <x:v>No</x:v>
      </x:c>
      <x:c r="K13" s="102" t="str">
        <x:v>Ro-Pax / commercial ferry</x:v>
      </x:c>
      <x:c r="L13" s="102" t="str">
        <x:v>Yes</x:v>
      </x:c>
      <x:c r="M13" s="102" t="str">
        <x:v>Approx 7 hours</x:v>
      </x:c>
      <x:c r="N13" s="102" t="str">
        <x:v>Daily</x:v>
      </x:c>
      <x:c r="O13" s="102" t="str">
        <x:v>Year-round</x:v>
      </x:c>
      <x:c r="P13" s="102" t="str">
        <x:v>Bookable</x:v>
      </x:c>
      <x:c r="Q13" s="102" t="str">
        <x:v>Active</x:v>
      </x:c>
      <x:c r="R13" s="102"/>
      <x:c r="S13" s="102" t="str">
        <x:v>https://www.marineatlantic.ca/sailing-information/sailing-routes</x:v>
      </x:c>
    </x:row>
    <x:row r="14">
      <x:c r="A14" s="102" t="str">
        <x:v>FERRY_ROUTE_0013</x:v>
      </x:c>
      <x:c r="B14" s="102" t="str">
        <x:v>FERRY_SYS_0004</x:v>
      </x:c>
      <x:c r="C14" s="102" t="str">
        <x:v>North Sydney - Argentia</x:v>
      </x:c>
      <x:c r="D14" s="102" t="str">
        <x:v>FERRY_TERM_0021</x:v>
      </x:c>
      <x:c r="E14" s="102" t="str">
        <x:v>North Sydney</x:v>
      </x:c>
      <x:c r="F14" s="102" t="str">
        <x:v>FERRY_TERM_0023</x:v>
      </x:c>
      <x:c r="G14" s="102" t="str">
        <x:v>Argentia</x:v>
      </x:c>
      <x:c r="H14" s="102" t="str">
        <x:v>Canada</x:v>
      </x:c>
      <x:c r="I14" s="102" t="str">
        <x:v>Canada</x:v>
      </x:c>
      <x:c r="J14" s="102" t="str">
        <x:v>No</x:v>
      </x:c>
      <x:c r="K14" s="102" t="str">
        <x:v>Ro-Pax / commercial ferry</x:v>
      </x:c>
      <x:c r="L14" s="102" t="str">
        <x:v>Yes</x:v>
      </x:c>
      <x:c r="M14" s="102" t="str">
        <x:v>Approx 16.5 hours</x:v>
      </x:c>
      <x:c r="N14" s="102" t="str">
        <x:v>Up to 3 times weekly</x:v>
      </x:c>
      <x:c r="O14" s="102" t="str">
        <x:v>Seasonal</x:v>
      </x:c>
      <x:c r="P14" s="102" t="str">
        <x:v>Bookable</x:v>
      </x:c>
      <x:c r="Q14" s="102" t="str">
        <x:v>Active</x:v>
      </x:c>
      <x:c r="R14" s="102"/>
      <x:c r="S14" s="102" t="str">
        <x:v>https://www.marineatlantic.ca/sailing-information/sailing-routes</x:v>
      </x:c>
    </x:row>
    <x:row r="15">
      <x:c r="A15" s="102" t="str">
        <x:v>FERRY_ROUTE_0014</x:v>
      </x:c>
      <x:c r="B15" s="102" t="str">
        <x:v>FERRY_SYS_0005</x:v>
      </x:c>
      <x:c r="C15" s="102" t="str">
        <x:v>Dover - Calais</x:v>
      </x:c>
      <x:c r="D15" s="102" t="str">
        <x:v>FERRY_TERM_0024</x:v>
      </x:c>
      <x:c r="E15" s="102" t="str">
        <x:v>Dover</x:v>
      </x:c>
      <x:c r="F15" s="102" t="str">
        <x:v>FERRY_TERM_0025</x:v>
      </x:c>
      <x:c r="G15" s="102" t="str">
        <x:v>Calais</x:v>
      </x:c>
      <x:c r="H15" s="102" t="str">
        <x:v>United Kingdom</x:v>
      </x:c>
      <x:c r="I15" s="102" t="str">
        <x:v>France</x:v>
      </x:c>
      <x:c r="J15" s="102" t="str">
        <x:v>Yes</x:v>
      </x:c>
      <x:c r="K15" s="102" t="str">
        <x:v>Ro-Pax / freight ferry</x:v>
      </x:c>
      <x:c r="L15" s="102" t="str">
        <x:v>Yes</x:v>
      </x:c>
      <x:c r="M15" s="102"/>
      <x:c r="N15" s="102" t="str">
        <x:v>High frequency</x:v>
      </x:c>
      <x:c r="O15" s="102" t="str">
        <x:v>Year-round</x:v>
      </x:c>
      <x:c r="P15" s="102" t="str">
        <x:v>Bookable</x:v>
      </x:c>
      <x:c r="Q15" s="102" t="str">
        <x:v>Active</x:v>
      </x:c>
      <x:c r="R15" s="102" t="str">
        <x:v>Critical UK-EU road-freight corridor.</x:v>
      </x:c>
      <x:c r="S15" s="102" t="str">
        <x:v>https://www.poferries.com/en/routes</x:v>
      </x:c>
    </x:row>
    <x:row r="16">
      <x:c r="A16" s="102" t="str">
        <x:v>FERRY_ROUTE_0015</x:v>
      </x:c>
      <x:c r="B16" s="102" t="str">
        <x:v>FERRY_SYS_0005</x:v>
      </x:c>
      <x:c r="C16" s="102" t="str">
        <x:v>Hull - Rotterdam</x:v>
      </x:c>
      <x:c r="D16" s="102" t="str">
        <x:v>FERRY_TERM_0026</x:v>
      </x:c>
      <x:c r="E16" s="102" t="str">
        <x:v>Hull</x:v>
      </x:c>
      <x:c r="F16" s="102" t="str">
        <x:v>FERRY_TERM_0027</x:v>
      </x:c>
      <x:c r="G16" s="102" t="str">
        <x:v>Rotterdam</x:v>
      </x:c>
      <x:c r="H16" s="102" t="str">
        <x:v>United Kingdom</x:v>
      </x:c>
      <x:c r="I16" s="102" t="str">
        <x:v>Netherlands</x:v>
      </x:c>
      <x:c r="J16" s="102" t="str">
        <x:v>Yes</x:v>
      </x:c>
      <x:c r="K16" s="102" t="str">
        <x:v>Overnight Ro-Pax</x:v>
      </x:c>
      <x:c r="L16" s="102" t="str">
        <x:v>Yes</x:v>
      </x:c>
      <x:c r="M16" s="102"/>
      <x:c r="N16" s="102" t="str">
        <x:v>Daily / scheduled</x:v>
      </x:c>
      <x:c r="O16" s="102" t="str">
        <x:v>Year-round</x:v>
      </x:c>
      <x:c r="P16" s="102" t="str">
        <x:v>Bookable</x:v>
      </x:c>
      <x:c r="Q16" s="102" t="str">
        <x:v>Active</x:v>
      </x:c>
      <x:c r="R16" s="102"/>
      <x:c r="S16" s="102" t="str">
        <x:v>https://www.poferries.com/en/routes</x:v>
      </x:c>
    </x:row>
    <x:row r="17">
      <x:c r="A17" s="102" t="str">
        <x:v>FERRY_ROUTE_0016</x:v>
      </x:c>
      <x:c r="B17" s="102" t="str">
        <x:v>FERRY_SYS_0005</x:v>
      </x:c>
      <x:c r="C17" s="102" t="str">
        <x:v>Cairnryan - Larne</x:v>
      </x:c>
      <x:c r="D17" s="102" t="str">
        <x:v>FERRY_TERM_0028</x:v>
      </x:c>
      <x:c r="E17" s="102" t="str">
        <x:v>Cairnryan</x:v>
      </x:c>
      <x:c r="F17" s="102" t="str">
        <x:v>FERRY_TERM_0029</x:v>
      </x:c>
      <x:c r="G17" s="102" t="str">
        <x:v>Larne</x:v>
      </x:c>
      <x:c r="H17" s="102" t="str">
        <x:v>United Kingdom</x:v>
      </x:c>
      <x:c r="I17" s="102" t="str">
        <x:v>United Kingdom</x:v>
      </x:c>
      <x:c r="J17" s="102" t="str">
        <x:v>No</x:v>
      </x:c>
      <x:c r="K17" s="102" t="str">
        <x:v>Ro-Pax / freight ferry</x:v>
      </x:c>
      <x:c r="L17" s="102" t="str">
        <x:v>Yes</x:v>
      </x:c>
      <x:c r="M17" s="102"/>
      <x:c r="N17" s="102" t="str">
        <x:v>Multiple daily</x:v>
      </x:c>
      <x:c r="O17" s="102" t="str">
        <x:v>Year-round</x:v>
      </x:c>
      <x:c r="P17" s="102" t="str">
        <x:v>Bookable</x:v>
      </x:c>
      <x:c r="Q17" s="102" t="str">
        <x:v>Active</x:v>
      </x:c>
      <x:c r="R17" s="102"/>
      <x:c r="S17" s="102" t="str">
        <x:v>https://www.poferries.com/en/routes</x:v>
      </x:c>
    </x:row>
    <x:row r="18">
      <x:c r="A18" s="102" t="str">
        <x:v>FERRY_ROUTE_0017</x:v>
      </x:c>
      <x:c r="B18" s="102" t="str">
        <x:v>FERRY_SYS_0006</x:v>
      </x:c>
      <x:c r="C18" s="102" t="str">
        <x:v>Dunkirk - Dover</x:v>
      </x:c>
      <x:c r="D18" s="102" t="str">
        <x:v>FERRY_TERM_0030</x:v>
      </x:c>
      <x:c r="E18" s="102" t="str">
        <x:v>Dunkirk</x:v>
      </x:c>
      <x:c r="F18" s="102" t="str">
        <x:v>FERRY_TERM_0031</x:v>
      </x:c>
      <x:c r="G18" s="102" t="str">
        <x:v>Dover</x:v>
      </x:c>
      <x:c r="H18" s="102" t="str">
        <x:v>France</x:v>
      </x:c>
      <x:c r="I18" s="102" t="str">
        <x:v>United Kingdom</x:v>
      </x:c>
      <x:c r="J18" s="102" t="str">
        <x:v>Yes</x:v>
      </x:c>
      <x:c r="K18" s="102" t="str">
        <x:v>Ro-Pax / vehicle ferry</x:v>
      </x:c>
      <x:c r="L18" s="102" t="str">
        <x:v>Yes</x:v>
      </x:c>
      <x:c r="M18" s="102"/>
      <x:c r="N18" s="102" t="str">
        <x:v>High frequency</x:v>
      </x:c>
      <x:c r="O18" s="102" t="str">
        <x:v>Year-round</x:v>
      </x:c>
      <x:c r="P18" s="102" t="str">
        <x:v>Bookable</x:v>
      </x:c>
      <x:c r="Q18" s="102" t="str">
        <x:v>Active</x:v>
      </x:c>
      <x:c r="R18" s="102"/>
      <x:c r="S18" s="102" t="str">
        <x:v>https://www.dfds.com/en/passenger-ferries/ferry-crossings</x:v>
      </x:c>
    </x:row>
    <x:row r="19">
      <x:c r="A19" s="102" t="str">
        <x:v>FERRY_ROUTE_0018</x:v>
      </x:c>
      <x:c r="B19" s="102" t="str">
        <x:v>FERRY_SYS_0006</x:v>
      </x:c>
      <x:c r="C19" s="102" t="str">
        <x:v>Amsterdam (IJmuiden) - Newcastle</x:v>
      </x:c>
      <x:c r="D19" s="102" t="str">
        <x:v>FERRY_TERM_0032</x:v>
      </x:c>
      <x:c r="E19" s="102" t="str">
        <x:v>IJmuiden</x:v>
      </x:c>
      <x:c r="F19" s="102" t="str">
        <x:v>FERRY_TERM_0033</x:v>
      </x:c>
      <x:c r="G19" s="102" t="str">
        <x:v>Newcastle</x:v>
      </x:c>
      <x:c r="H19" s="102" t="str">
        <x:v>Netherlands</x:v>
      </x:c>
      <x:c r="I19" s="102" t="str">
        <x:v>United Kingdom</x:v>
      </x:c>
      <x:c r="J19" s="102" t="str">
        <x:v>Yes</x:v>
      </x:c>
      <x:c r="K19" s="102" t="str">
        <x:v>Overnight cruise ferry / Ro-Pax</x:v>
      </x:c>
      <x:c r="L19" s="102" t="str">
        <x:v>Yes</x:v>
      </x:c>
      <x:c r="M19" s="102"/>
      <x:c r="N19" s="102" t="str">
        <x:v>Daily / scheduled</x:v>
      </x:c>
      <x:c r="O19" s="102" t="str">
        <x:v>Year-round</x:v>
      </x:c>
      <x:c r="P19" s="102" t="str">
        <x:v>Bookable</x:v>
      </x:c>
      <x:c r="Q19" s="102" t="str">
        <x:v>Active</x:v>
      </x:c>
      <x:c r="R19" s="102"/>
      <x:c r="S19" s="102" t="str">
        <x:v>https://www.dfds.com/en/passenger-ferries/ferry-crossings</x:v>
      </x:c>
    </x:row>
    <x:row r="20">
      <x:c r="A20" s="102" t="str">
        <x:v>FERRY_ROUTE_0019</x:v>
      </x:c>
      <x:c r="B20" s="102" t="str">
        <x:v>FERRY_SYS_0006</x:v>
      </x:c>
      <x:c r="C20" s="102" t="str">
        <x:v>Rosslare - Dunkirk</x:v>
      </x:c>
      <x:c r="D20" s="102" t="str">
        <x:v>FERRY_TERM_0034</x:v>
      </x:c>
      <x:c r="E20" s="102" t="str">
        <x:v>Rosslare</x:v>
      </x:c>
      <x:c r="F20" s="102" t="str">
        <x:v>FERRY_TERM_0030</x:v>
      </x:c>
      <x:c r="G20" s="102" t="str">
        <x:v>Dunkirk</x:v>
      </x:c>
      <x:c r="H20" s="102" t="str">
        <x:v>Ireland</x:v>
      </x:c>
      <x:c r="I20" s="102" t="str">
        <x:v>France</x:v>
      </x:c>
      <x:c r="J20" s="102" t="str">
        <x:v>Yes</x:v>
      </x:c>
      <x:c r="K20" s="102" t="str">
        <x:v>Overnight Ro-Pax / freight ferry</x:v>
      </x:c>
      <x:c r="L20" s="102" t="str">
        <x:v>Yes</x:v>
      </x:c>
      <x:c r="M20" s="102"/>
      <x:c r="N20" s="102" t="str">
        <x:v>Scheduled</x:v>
      </x:c>
      <x:c r="O20" s="102" t="str">
        <x:v>Year-round</x:v>
      </x:c>
      <x:c r="P20" s="102" t="str">
        <x:v>Bookable</x:v>
      </x:c>
      <x:c r="Q20" s="102" t="str">
        <x:v>Active</x:v>
      </x:c>
      <x:c r="R20" s="102"/>
      <x:c r="S20" s="102" t="str">
        <x:v>https://www.dfds.com/en/passenger-ferries/ferry-crossings</x:v>
      </x:c>
    </x:row>
    <x:row r="21">
      <x:c r="A21" s="102" t="str">
        <x:v>FERRY_ROUTE_0020</x:v>
      </x:c>
      <x:c r="B21" s="102" t="str">
        <x:v>FERRY_SYS_0007</x:v>
      </x:c>
      <x:c r="C21" s="102" t="str">
        <x:v>Osaka - Beppu</x:v>
      </x:c>
      <x:c r="D21" s="102" t="str">
        <x:v>FERRY_TERM_0035</x:v>
      </x:c>
      <x:c r="E21" s="102" t="str">
        <x:v>Osaka</x:v>
      </x:c>
      <x:c r="F21" s="102" t="str">
        <x:v>FERRY_TERM_0036</x:v>
      </x:c>
      <x:c r="G21" s="102" t="str">
        <x:v>Beppu</x:v>
      </x:c>
      <x:c r="H21" s="102" t="str">
        <x:v>Japan</x:v>
      </x:c>
      <x:c r="I21" s="102" t="str">
        <x:v>Japan</x:v>
      </x:c>
      <x:c r="J21" s="102" t="str">
        <x:v>No</x:v>
      </x:c>
      <x:c r="K21" s="102" t="str">
        <x:v>Overnight Ro-Pax</x:v>
      </x:c>
      <x:c r="L21" s="102" t="str">
        <x:v>Yes</x:v>
      </x:c>
      <x:c r="M21" s="102" t="str">
        <x:v>~11h50</x:v>
      </x:c>
      <x:c r="N21" s="102" t="str">
        <x:v>Daily</x:v>
      </x:c>
      <x:c r="O21" s="102" t="str">
        <x:v>Year-round</x:v>
      </x:c>
      <x:c r="P21" s="102" t="str">
        <x:v>Bookable</x:v>
      </x:c>
      <x:c r="Q21" s="102" t="str">
        <x:v>Active</x:v>
      </x:c>
      <x:c r="R21" s="102"/>
      <x:c r="S21" s="102" t="str">
        <x:v>https://www.ferry-sunflower.co.jp/en/route/osaka-beppu/time/</x:v>
      </x:c>
    </x:row>
    <x:row r="22">
      <x:c r="A22" s="102" t="str">
        <x:v>FERRY_ROUTE_0021</x:v>
      </x:c>
      <x:c r="B22" s="102" t="str">
        <x:v>FERRY_SYS_0007</x:v>
      </x:c>
      <x:c r="C22" s="102" t="str">
        <x:v>Osaka - Shibushi</x:v>
      </x:c>
      <x:c r="D22" s="102" t="str">
        <x:v>FERRY_TERM_0035</x:v>
      </x:c>
      <x:c r="E22" s="102" t="str">
        <x:v>Osaka</x:v>
      </x:c>
      <x:c r="F22" s="102" t="str">
        <x:v>FERRY_TERM_0037</x:v>
      </x:c>
      <x:c r="G22" s="102" t="str">
        <x:v>Shibushi</x:v>
      </x:c>
      <x:c r="H22" s="102" t="str">
        <x:v>Japan</x:v>
      </x:c>
      <x:c r="I22" s="102" t="str">
        <x:v>Japan</x:v>
      </x:c>
      <x:c r="J22" s="102" t="str">
        <x:v>No</x:v>
      </x:c>
      <x:c r="K22" s="102" t="str">
        <x:v>Overnight Ro-Pax</x:v>
      </x:c>
      <x:c r="L22" s="102" t="str">
        <x:v>Yes</x:v>
      </x:c>
      <x:c r="M22" s="102" t="str">
        <x:v>10-15h range</x:v>
      </x:c>
      <x:c r="N22" s="102" t="str">
        <x:v>Daily</x:v>
      </x:c>
      <x:c r="O22" s="102" t="str">
        <x:v>Year-round</x:v>
      </x:c>
      <x:c r="P22" s="102" t="str">
        <x:v>Bookable</x:v>
      </x:c>
      <x:c r="Q22" s="102" t="str">
        <x:v>Active</x:v>
      </x:c>
      <x:c r="R22" s="102"/>
      <x:c r="S22" s="102" t="str">
        <x:v>https://www.ferry-sunflower.co.jp/en/</x:v>
      </x:c>
    </x:row>
    <x:row r="23">
      <x:c r="A23" s="102" t="str">
        <x:v>FERRY_ROUTE_0022</x:v>
      </x:c>
      <x:c r="B23" s="102" t="str">
        <x:v>FERRY_SYS_0007</x:v>
      </x:c>
      <x:c r="C23" s="102" t="str">
        <x:v>Kobe - Oita</x:v>
      </x:c>
      <x:c r="D23" s="102" t="str">
        <x:v>FERRY_TERM_0038</x:v>
      </x:c>
      <x:c r="E23" s="102" t="str">
        <x:v>Kobe</x:v>
      </x:c>
      <x:c r="F23" s="102" t="str">
        <x:v>FERRY_TERM_0039</x:v>
      </x:c>
      <x:c r="G23" s="102" t="str">
        <x:v>Oita</x:v>
      </x:c>
      <x:c r="H23" s="102" t="str">
        <x:v>Japan</x:v>
      </x:c>
      <x:c r="I23" s="102" t="str">
        <x:v>Japan</x:v>
      </x:c>
      <x:c r="J23" s="102" t="str">
        <x:v>No</x:v>
      </x:c>
      <x:c r="K23" s="102" t="str">
        <x:v>Overnight Ro-Pax</x:v>
      </x:c>
      <x:c r="L23" s="102" t="str">
        <x:v>Yes</x:v>
      </x:c>
      <x:c r="M23" s="102" t="str">
        <x:v>10-15h range</x:v>
      </x:c>
      <x:c r="N23" s="102" t="str">
        <x:v>Daily</x:v>
      </x:c>
      <x:c r="O23" s="102" t="str">
        <x:v>Year-round</x:v>
      </x:c>
      <x:c r="P23" s="102" t="str">
        <x:v>Bookable</x:v>
      </x:c>
      <x:c r="Q23" s="102" t="str">
        <x:v>Active</x:v>
      </x:c>
      <x:c r="R23" s="102"/>
      <x:c r="S23" s="102" t="str">
        <x:v>https://www.ferry-sunflower.co.jp/en/</x:v>
      </x:c>
    </x:row>
    <x:row r="24">
      <x:c r="A24" s="102" t="str">
        <x:v>FERRY_ROUTE_0023</x:v>
      </x:c>
      <x:c r="B24" s="102" t="str">
        <x:v>FERRY_SYS_0008</x:v>
      </x:c>
      <x:c r="C24" s="102" t="str">
        <x:v>Manila - Cebu</x:v>
      </x:c>
      <x:c r="D24" s="102" t="str">
        <x:v>FERRY_TERM_0040</x:v>
      </x:c>
      <x:c r="E24" s="102" t="str">
        <x:v>Manila</x:v>
      </x:c>
      <x:c r="F24" s="102" t="str">
        <x:v>FERRY_TERM_0041</x:v>
      </x:c>
      <x:c r="G24" s="102" t="str">
        <x:v>Cebu</x:v>
      </x:c>
      <x:c r="H24" s="102" t="str">
        <x:v>Philippines</x:v>
      </x:c>
      <x:c r="I24" s="102" t="str">
        <x:v>Philippines</x:v>
      </x:c>
      <x:c r="J24" s="102" t="str">
        <x:v>No</x:v>
      </x:c>
      <x:c r="K24" s="102" t="str">
        <x:v>Inter-island passenger / cargo ferry</x:v>
      </x:c>
      <x:c r="L24" s="102" t="str">
        <x:v>Yes</x:v>
      </x:c>
      <x:c r="M24" s="102"/>
      <x:c r="N24" s="102" t="str">
        <x:v>Scheduled</x:v>
      </x:c>
      <x:c r="O24" s="102" t="str">
        <x:v>Year-round</x:v>
      </x:c>
      <x:c r="P24" s="102" t="str">
        <x:v>Bookable</x:v>
      </x:c>
      <x:c r="Q24" s="102" t="str">
        <x:v>Active</x:v>
      </x:c>
      <x:c r="R24" s="102"/>
      <x:c r="S24" s="102" t="str">
        <x:v>https://2go.com.ph/travel/book/sailing-schedule/</x:v>
      </x:c>
    </x:row>
    <x:row r="25">
      <x:c r="A25" s="102" t="str">
        <x:v>FERRY_ROUTE_0024</x:v>
      </x:c>
      <x:c r="B25" s="102" t="str">
        <x:v>FERRY_SYS_0008</x:v>
      </x:c>
      <x:c r="C25" s="102" t="str">
        <x:v>Batangas - Cebu</x:v>
      </x:c>
      <x:c r="D25" s="102" t="str">
        <x:v>FERRY_TERM_0042</x:v>
      </x:c>
      <x:c r="E25" s="102" t="str">
        <x:v>Batangas</x:v>
      </x:c>
      <x:c r="F25" s="102" t="str">
        <x:v>FERRY_TERM_0041</x:v>
      </x:c>
      <x:c r="G25" s="102" t="str">
        <x:v>Cebu</x:v>
      </x:c>
      <x:c r="H25" s="102" t="str">
        <x:v>Philippines</x:v>
      </x:c>
      <x:c r="I25" s="102" t="str">
        <x:v>Philippines</x:v>
      </x:c>
      <x:c r="J25" s="102" t="str">
        <x:v>No</x:v>
      </x:c>
      <x:c r="K25" s="102" t="str">
        <x:v>Inter-island passenger / cargo ferry</x:v>
      </x:c>
      <x:c r="L25" s="102" t="str">
        <x:v>Yes</x:v>
      </x:c>
      <x:c r="M25" s="102"/>
      <x:c r="N25" s="102" t="str">
        <x:v>Weekly</x:v>
      </x:c>
      <x:c r="O25" s="102" t="str">
        <x:v>Year-round</x:v>
      </x:c>
      <x:c r="P25" s="102" t="str">
        <x:v>Bookable</x:v>
      </x:c>
      <x:c r="Q25" s="102" t="str">
        <x:v>Active</x:v>
      </x:c>
      <x:c r="R25" s="102" t="str">
        <x:v>New direct route launched in 2026.</x:v>
      </x:c>
      <x:c r="S25" s="102" t="str">
        <x:v>https://2go.com.ph/new-route-alert-2go-travel-launches-batangas-cebu-this-july/</x:v>
      </x:c>
    </x:row>
    <x:row r="26">
      <x:c r="A26" s="102" t="str">
        <x:v>FERRY_ROUTE_0025</x:v>
      </x:c>
      <x:c r="B26" s="102" t="str">
        <x:v>FERRY_SYS_0011</x:v>
      </x:c>
      <x:c r="C26" s="102" t="str">
        <x:v>Aqaba - Nuweiba</x:v>
      </x:c>
      <x:c r="D26" s="102" t="str">
        <x:v>FERRY_TERM_0043</x:v>
      </x:c>
      <x:c r="E26" s="102" t="str">
        <x:v>Aqaba</x:v>
      </x:c>
      <x:c r="F26" s="102" t="str">
        <x:v>FERRY_TERM_0044</x:v>
      </x:c>
      <x:c r="G26" s="102" t="str">
        <x:v>Nuweiba</x:v>
      </x:c>
      <x:c r="H26" s="102" t="str">
        <x:v>Jordan</x:v>
      </x:c>
      <x:c r="I26" s="102" t="str">
        <x:v>Egypt</x:v>
      </x:c>
      <x:c r="J26" s="102" t="str">
        <x:v>Yes</x:v>
      </x:c>
      <x:c r="K26" s="102" t="str">
        <x:v>Ro-Pax / freight ferry</x:v>
      </x:c>
      <x:c r="L26" s="102" t="str">
        <x:v>Yes</x:v>
      </x:c>
      <x:c r="M26" s="102" t="str">
        <x:v>~3 hours</x:v>
      </x:c>
      <x:c r="N26" s="102" t="str">
        <x:v>Daily</x:v>
      </x:c>
      <x:c r="O26" s="102" t="str">
        <x:v>Year-round</x:v>
      </x:c>
      <x:c r="P26" s="102" t="str">
        <x:v>Bookable / documents required</x:v>
      </x:c>
      <x:c r="Q26" s="102" t="str">
        <x:v>Active</x:v>
      </x:c>
      <x:c r="R26" s="102" t="str">
        <x:v>Passenger, vehicle, trucks and refrigerated/general cargo.</x:v>
      </x:c>
      <x:c r="S26" s="102" t="str">
        <x:v>https://cms.abmaritime.com.jo/node/34</x:v>
      </x:c>
    </x:row>
    <x:row r="27">
      <x:c r="A27" s="102" t="str">
        <x:v>FERRY_ROUTE_0026</x:v>
      </x:c>
      <x:c r="B27" s="102" t="str">
        <x:v>FERRY_SYS_0011</x:v>
      </x:c>
      <x:c r="C27" s="102" t="str">
        <x:v>Aqaba - Taba</x:v>
      </x:c>
      <x:c r="D27" s="102" t="str">
        <x:v>FERRY_TERM_0043</x:v>
      </x:c>
      <x:c r="E27" s="102" t="str">
        <x:v>Aqaba</x:v>
      </x:c>
      <x:c r="F27" s="102" t="str">
        <x:v>FERRY_TERM_0045</x:v>
      </x:c>
      <x:c r="G27" s="102" t="str">
        <x:v>Taba</x:v>
      </x:c>
      <x:c r="H27" s="102" t="str">
        <x:v>Jordan</x:v>
      </x:c>
      <x:c r="I27" s="102" t="str">
        <x:v>Egypt</x:v>
      </x:c>
      <x:c r="J27" s="102" t="str">
        <x:v>Yes</x:v>
      </x:c>
      <x:c r="K27" s="102" t="str">
        <x:v>Passenger / tourist ferry</x:v>
      </x:c>
      <x:c r="L27" s="102" t="str">
        <x:v>Limited</x:v>
      </x:c>
      <x:c r="M27" s="102" t="str">
        <x:v>~45-60 min</x:v>
      </x:c>
      <x:c r="N27" s="102" t="str">
        <x:v>Weekly schedule</x:v>
      </x:c>
      <x:c r="O27" s="102" t="str">
        <x:v>Year-round / schedule driven</x:v>
      </x:c>
      <x:c r="P27" s="102" t="str">
        <x:v>Bookable</x:v>
      </x:c>
      <x:c r="Q27" s="102" t="str">
        <x:v>Active</x:v>
      </x:c>
      <x:c r="R27" s="102"/>
      <x:c r="S27" s="102" t="str">
        <x:v>https://cms.abmaritime.com.jo/ar/node/58</x:v>
      </x:c>
    </x:row>
    <x:row r="28">
      <x:c r="A28" s="102" t="str">
        <x:v>FERRY_ROUTE_0027</x:v>
      </x:c>
      <x:c r="B28" s="102" t="str">
        <x:v>FERRY_SYS_0012</x:v>
      </x:c>
      <x:c r="C28" s="102" t="str">
        <x:v>Cape Jervis - Penneshaw</x:v>
      </x:c>
      <x:c r="D28" s="102" t="str">
        <x:v>FERRY_TERM_0046</x:v>
      </x:c>
      <x:c r="E28" s="102" t="str">
        <x:v>Cape Jervis</x:v>
      </x:c>
      <x:c r="F28" s="102" t="str">
        <x:v>FERRY_TERM_0047</x:v>
      </x:c>
      <x:c r="G28" s="102" t="str">
        <x:v>Penneshaw</x:v>
      </x:c>
      <x:c r="H28" s="102" t="str">
        <x:v>Australia</x:v>
      </x:c>
      <x:c r="I28" s="102" t="str">
        <x:v>Australia</x:v>
      </x:c>
      <x:c r="J28" s="102" t="str">
        <x:v>No</x:v>
      </x:c>
      <x:c r="K28" s="102" t="str">
        <x:v>Car/passenger Ro-Ro catamaran</x:v>
      </x:c>
      <x:c r="L28" s="102" t="str">
        <x:v>Yes</x:v>
      </x:c>
      <x:c r="M28" s="102" t="str">
        <x:v>~45 minutes</x:v>
      </x:c>
      <x:c r="N28" s="102" t="str">
        <x:v>Up to 12 departures/day current; higher planned with new fleet</x:v>
      </x:c>
      <x:c r="O28" s="102" t="str">
        <x:v>Year-round</x:v>
      </x:c>
      <x:c r="P28" s="102" t="str">
        <x:v>Bookable</x:v>
      </x:c>
      <x:c r="Q28" s="102" t="str">
        <x:v>Active / transition</x:v>
      </x:c>
      <x:c r="R28" s="102" t="str">
        <x:v>Freight/fuel sailings can restrict passenger capacity.</x:v>
      </x:c>
      <x:c r="S28" s="102" t="str">
        <x:v>https://www.sealink.com.au/kangaroo-island/timetable/</x:v>
      </x:c>
    </x:row>
    <x:row r="29">
      <x:c r="A29" s="102" t="str">
        <x:v>FERRY_ROUTE_0028</x:v>
      </x:c>
      <x:c r="B29" s="102" t="str">
        <x:v>FERRY_SYS_0013</x:v>
      </x:c>
      <x:c r="C29" s="102" t="str">
        <x:v>Auckland - Waiheke</x:v>
      </x:c>
      <x:c r="D29" s="102" t="str">
        <x:v>FERRY_TERM_0048</x:v>
      </x:c>
      <x:c r="E29" s="102" t="str">
        <x:v>Downtown Auckland</x:v>
      </x:c>
      <x:c r="F29" s="102" t="str">
        <x:v>FERRY_TERM_0049</x:v>
      </x:c>
      <x:c r="G29" s="102" t="str">
        <x:v>Matiatia / Waiheke Island</x:v>
      </x:c>
      <x:c r="H29" s="102" t="str">
        <x:v>New Zealand</x:v>
      </x:c>
      <x:c r="I29" s="102" t="str">
        <x:v>New Zealand</x:v>
      </x:c>
      <x:c r="J29" s="102" t="str">
        <x:v>No</x:v>
      </x:c>
      <x:c r="K29" s="102" t="str">
        <x:v>High-speed passenger ferry</x:v>
      </x:c>
      <x:c r="L29" s="102" t="str">
        <x:v>No</x:v>
      </x:c>
      <x:c r="M29" s="102"/>
      <x:c r="N29" s="102" t="str">
        <x:v>High frequency</x:v>
      </x:c>
      <x:c r="O29" s="102" t="str">
        <x:v>Year-round</x:v>
      </x:c>
      <x:c r="P29" s="102" t="str">
        <x:v>Bookable / walk-up variants</x:v>
      </x:c>
      <x:c r="Q29" s="102" t="str">
        <x:v>Active</x:v>
      </x:c>
      <x:c r="R29" s="102" t="str">
        <x:v>Commuter and tourism route.</x:v>
      </x:c>
      <x:c r="S29" s="102" t="str">
        <x:v>https://www.fullers.co.nz/timetables-and-fares/</x:v>
      </x:c>
    </x:row>
    <x:row r="30">
      <x:c r="A30" s="102" t="str">
        <x:v>FERRY_ROUTE_0029</x:v>
      </x:c>
      <x:c r="B30" s="102" t="str">
        <x:v>FERRY_SYS_0013</x:v>
      </x:c>
      <x:c r="C30" s="102" t="str">
        <x:v>Auckland - Rangitoto</x:v>
      </x:c>
      <x:c r="D30" s="102" t="str">
        <x:v>FERRY_TERM_0048</x:v>
      </x:c>
      <x:c r="E30" s="102" t="str">
        <x:v>Downtown Auckland</x:v>
      </x:c>
      <x:c r="F30" s="102" t="str">
        <x:v>FERRY_TERM_0050</x:v>
      </x:c>
      <x:c r="G30" s="102" t="str">
        <x:v>Rangitoto Island</x:v>
      </x:c>
      <x:c r="H30" s="102" t="str">
        <x:v>New Zealand</x:v>
      </x:c>
      <x:c r="I30" s="102" t="str">
        <x:v>New Zealand</x:v>
      </x:c>
      <x:c r="J30" s="102" t="str">
        <x:v>No</x:v>
      </x:c>
      <x:c r="K30" s="102" t="str">
        <x:v>Passenger ferry</x:v>
      </x:c>
      <x:c r="L30" s="102" t="str">
        <x:v>No</x:v>
      </x:c>
      <x:c r="M30" s="102" t="str">
        <x:v>~25 minutes</x:v>
      </x:c>
      <x:c r="N30" s="102" t="str">
        <x:v>Scheduled</x:v>
      </x:c>
      <x:c r="O30" s="102" t="str">
        <x:v>Year-round except stated holidays</x:v>
      </x:c>
      <x:c r="P30" s="102" t="str">
        <x:v>Bookings essential</x:v>
      </x:c>
      <x:c r="Q30" s="102" t="str">
        <x:v>Active</x:v>
      </x:c>
      <x:c r="R30" s="102"/>
      <x:c r="S30" s="102" t="str">
        <x:v>https://www.fullers.co.nz/destinations-and-experiences/destinations/rangitoto-island/</x:v>
      </x:c>
    </x:row>
  </x:sheetData>
  <x:pageMargins left="0.7" right="0.7" top="0.75" bottom="0.75" header="0.3" footer="0.3"/>
</x:worksheet>
</file>

<file path=xl/worksheets/sheet48.xml><?xml version="1.0" encoding="utf-8"?>
<x:worksheet xmlns:x="http://schemas.openxmlformats.org/spreadsheetml/2006/main">
  <x:sheetFormatPr defaultRowHeight="15"/>
  <x:cols>
    <x:col min="1" max="1" width="14" hidden="0" customWidth="1"/>
    <x:col min="2" max="2" width="14" hidden="0" customWidth="1"/>
    <x:col min="3" max="3" width="22" hidden="0" customWidth="1"/>
    <x:col min="4" max="4" width="14" hidden="0" customWidth="1"/>
    <x:col min="5" max="5" width="14" hidden="0" customWidth="1"/>
    <x:col min="6" max="6" width="14" hidden="0" customWidth="1"/>
    <x:col min="7" max="7" width="14" hidden="0" customWidth="1"/>
    <x:col min="8" max="8" width="22"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22" hidden="0" customWidth="1"/>
    <x:col min="16" max="16" width="36" hidden="0" customWidth="1"/>
  </x:cols>
  <x:sheetData>
    <x:row r="1">
      <x:c r="A1" s="165" t="str">
        <x:v>Terminal ID</x:v>
      </x:c>
      <x:c r="B1" s="165" t="str">
        <x:v>System ID</x:v>
      </x:c>
      <x:c r="C1" s="165" t="str">
        <x:v>Terminal Name</x:v>
      </x:c>
      <x:c r="D1" s="165" t="str">
        <x:v>Port / Harbour</x:v>
      </x:c>
      <x:c r="E1" s="165" t="str">
        <x:v>City / Area</x:v>
      </x:c>
      <x:c r="F1" s="165" t="str">
        <x:v>Country</x:v>
      </x:c>
      <x:c r="G1" s="165" t="str">
        <x:v>Owner / Authority</x:v>
      </x:c>
      <x:c r="H1" s="165" t="str">
        <x:v>Operator Company ID</x:v>
      </x:c>
      <x:c r="I1" s="165" t="str">
        <x:v>Latitude</x:v>
      </x:c>
      <x:c r="J1" s="165" t="str">
        <x:v>Longitude</x:v>
      </x:c>
      <x:c r="K1" s="165" t="str">
        <x:v>Vehicle Staging</x:v>
      </x:c>
      <x:c r="L1" s="165" t="str">
        <x:v>Freight / DG Capability</x:v>
      </x:c>
      <x:c r="M1" s="165" t="str">
        <x:v>Customs / Border</x:v>
      </x:c>
      <x:c r="N1" s="165" t="str">
        <x:v>Road / Rail / Bus Connection</x:v>
      </x:c>
      <x:c r="O1" s="165" t="str">
        <x:v>Status</x:v>
      </x:c>
      <x:c r="P1" s="165" t="str">
        <x:v>Notes</x:v>
      </x:c>
    </x:row>
    <x:row r="2">
      <x:c r="A2" s="102" t="str">
        <x:v>FERRY_TERM_0001</x:v>
      </x:c>
      <x:c r="B2" s="102" t="str">
        <x:v>FERRY_SYS_0001</x:v>
      </x:c>
      <x:c r="C2" s="102" t="str">
        <x:v>Tsawwassen</x:v>
      </x:c>
      <x:c r="D2" s="102" t="str">
        <x:v>Tsawwassen</x:v>
      </x:c>
      <x:c r="E2" s="102"/>
      <x:c r="F2" s="102" t="str">
        <x:v>Canada</x:v>
      </x:c>
      <x:c r="G2" s="102"/>
      <x:c r="H2" s="102" t="str">
        <x:v>COMP_BC_FERRIES</x:v>
      </x:c>
      <x:c r="I2" s="102"/>
      <x:c r="J2" s="102"/>
      <x:c r="K2" s="102" t="str">
        <x:v>To populate</x:v>
      </x:c>
      <x:c r="L2" s="102" t="str">
        <x:v>To populate</x:v>
      </x:c>
      <x:c r="M2" s="102" t="str">
        <x:v>To populate</x:v>
      </x:c>
      <x:c r="N2" s="102" t="str">
        <x:v>Road / local transport links to populate</x:v>
      </x:c>
      <x:c r="O2" s="102" t="str">
        <x:v>Active</x:v>
      </x:c>
      <x:c r="P2" s="102" t="str">
        <x:v>Representative route source / system source</x:v>
      </x:c>
    </x:row>
    <x:row r="3">
      <x:c r="A3" s="102" t="str">
        <x:v>FERRY_TERM_0002</x:v>
      </x:c>
      <x:c r="B3" s="102" t="str">
        <x:v>FERRY_SYS_0001</x:v>
      </x:c>
      <x:c r="C3" s="102" t="str">
        <x:v>Swartz Bay</x:v>
      </x:c>
      <x:c r="D3" s="102" t="str">
        <x:v>Swartz Bay</x:v>
      </x:c>
      <x:c r="E3" s="102"/>
      <x:c r="F3" s="102" t="str">
        <x:v>Canada</x:v>
      </x:c>
      <x:c r="G3" s="102"/>
      <x:c r="H3" s="102" t="str">
        <x:v>COMP_BC_FERRIES</x:v>
      </x:c>
      <x:c r="I3" s="102"/>
      <x:c r="J3" s="102"/>
      <x:c r="K3" s="102" t="str">
        <x:v>To populate</x:v>
      </x:c>
      <x:c r="L3" s="102" t="str">
        <x:v>To populate</x:v>
      </x:c>
      <x:c r="M3" s="102" t="str">
        <x:v>To populate</x:v>
      </x:c>
      <x:c r="N3" s="102" t="str">
        <x:v>Road / local transport links to populate</x:v>
      </x:c>
      <x:c r="O3" s="102" t="str">
        <x:v>Active</x:v>
      </x:c>
      <x:c r="P3" s="102" t="str">
        <x:v>Representative route source / system source</x:v>
      </x:c>
    </x:row>
    <x:row r="4">
      <x:c r="A4" s="102" t="str">
        <x:v>FERRY_TERM_0003</x:v>
      </x:c>
      <x:c r="B4" s="102" t="str">
        <x:v>FERRY_SYS_0001</x:v>
      </x:c>
      <x:c r="C4" s="102" t="str">
        <x:v>Duke Point</x:v>
      </x:c>
      <x:c r="D4" s="102" t="str">
        <x:v>Duke Point</x:v>
      </x:c>
      <x:c r="E4" s="102"/>
      <x:c r="F4" s="102" t="str">
        <x:v>Canada</x:v>
      </x:c>
      <x:c r="G4" s="102"/>
      <x:c r="H4" s="102" t="str">
        <x:v>COMP_BC_FERRIES</x:v>
      </x:c>
      <x:c r="I4" s="102"/>
      <x:c r="J4" s="102"/>
      <x:c r="K4" s="102" t="str">
        <x:v>To populate</x:v>
      </x:c>
      <x:c r="L4" s="102" t="str">
        <x:v>To populate</x:v>
      </x:c>
      <x:c r="M4" s="102" t="str">
        <x:v>To populate</x:v>
      </x:c>
      <x:c r="N4" s="102" t="str">
        <x:v>Road / local transport links to populate</x:v>
      </x:c>
      <x:c r="O4" s="102" t="str">
        <x:v>Active</x:v>
      </x:c>
      <x:c r="P4" s="102" t="str">
        <x:v>Representative route source / system source</x:v>
      </x:c>
    </x:row>
    <x:row r="5">
      <x:c r="A5" s="102" t="str">
        <x:v>FERRY_TERM_0004</x:v>
      </x:c>
      <x:c r="B5" s="102" t="str">
        <x:v>FERRY_SYS_0001</x:v>
      </x:c>
      <x:c r="C5" s="102" t="str">
        <x:v>Horseshoe Bay</x:v>
      </x:c>
      <x:c r="D5" s="102" t="str">
        <x:v>Horseshoe Bay</x:v>
      </x:c>
      <x:c r="E5" s="102"/>
      <x:c r="F5" s="102" t="str">
        <x:v>Canada</x:v>
      </x:c>
      <x:c r="G5" s="102"/>
      <x:c r="H5" s="102" t="str">
        <x:v>COMP_BC_FERRIES</x:v>
      </x:c>
      <x:c r="I5" s="102"/>
      <x:c r="J5" s="102"/>
      <x:c r="K5" s="102" t="str">
        <x:v>To populate</x:v>
      </x:c>
      <x:c r="L5" s="102" t="str">
        <x:v>To populate</x:v>
      </x:c>
      <x:c r="M5" s="102" t="str">
        <x:v>To populate</x:v>
      </x:c>
      <x:c r="N5" s="102" t="str">
        <x:v>Road / local transport links to populate</x:v>
      </x:c>
      <x:c r="O5" s="102" t="str">
        <x:v>Active</x:v>
      </x:c>
      <x:c r="P5" s="102" t="str">
        <x:v>Representative route source / system source</x:v>
      </x:c>
    </x:row>
    <x:row r="6">
      <x:c r="A6" s="102" t="str">
        <x:v>FERRY_TERM_0005</x:v>
      </x:c>
      <x:c r="B6" s="102" t="str">
        <x:v>FERRY_SYS_0001</x:v>
      </x:c>
      <x:c r="C6" s="102" t="str">
        <x:v>Departure Bay</x:v>
      </x:c>
      <x:c r="D6" s="102" t="str">
        <x:v>Departure Bay</x:v>
      </x:c>
      <x:c r="E6" s="102"/>
      <x:c r="F6" s="102" t="str">
        <x:v>Canada</x:v>
      </x:c>
      <x:c r="G6" s="102"/>
      <x:c r="H6" s="102" t="str">
        <x:v>COMP_BC_FERRIES</x:v>
      </x:c>
      <x:c r="I6" s="102"/>
      <x:c r="J6" s="102"/>
      <x:c r="K6" s="102" t="str">
        <x:v>To populate</x:v>
      </x:c>
      <x:c r="L6" s="102" t="str">
        <x:v>To populate</x:v>
      </x:c>
      <x:c r="M6" s="102" t="str">
        <x:v>To populate</x:v>
      </x:c>
      <x:c r="N6" s="102" t="str">
        <x:v>Road / local transport links to populate</x:v>
      </x:c>
      <x:c r="O6" s="102" t="str">
        <x:v>Active</x:v>
      </x:c>
      <x:c r="P6" s="102" t="str">
        <x:v>Representative route source / system source</x:v>
      </x:c>
    </x:row>
    <x:row r="7">
      <x:c r="A7" s="102" t="str">
        <x:v>FERRY_TERM_0006</x:v>
      </x:c>
      <x:c r="B7" s="102" t="str">
        <x:v>FERRY_SYS_0001</x:v>
      </x:c>
      <x:c r="C7" s="102" t="str">
        <x:v>Port Hardy (Bear Cove)</x:v>
      </x:c>
      <x:c r="D7" s="102" t="str">
        <x:v>Port Hardy (Bear Cove)</x:v>
      </x:c>
      <x:c r="E7" s="102"/>
      <x:c r="F7" s="102" t="str">
        <x:v>Canada</x:v>
      </x:c>
      <x:c r="G7" s="102"/>
      <x:c r="H7" s="102" t="str">
        <x:v>COMP_BC_FERRIES</x:v>
      </x:c>
      <x:c r="I7" s="102"/>
      <x:c r="J7" s="102"/>
      <x:c r="K7" s="102" t="str">
        <x:v>To populate</x:v>
      </x:c>
      <x:c r="L7" s="102" t="str">
        <x:v>To populate</x:v>
      </x:c>
      <x:c r="M7" s="102" t="str">
        <x:v>To populate</x:v>
      </x:c>
      <x:c r="N7" s="102" t="str">
        <x:v>Road / local transport links to populate</x:v>
      </x:c>
      <x:c r="O7" s="102" t="str">
        <x:v>Active</x:v>
      </x:c>
      <x:c r="P7" s="102" t="str">
        <x:v>Representative route source / system source</x:v>
      </x:c>
    </x:row>
    <x:row r="8">
      <x:c r="A8" s="102" t="str">
        <x:v>FERRY_TERM_0007</x:v>
      </x:c>
      <x:c r="B8" s="102" t="str">
        <x:v>FERRY_SYS_0001</x:v>
      </x:c>
      <x:c r="C8" s="102" t="str">
        <x:v>Prince Rupert</x:v>
      </x:c>
      <x:c r="D8" s="102" t="str">
        <x:v>Prince Rupert</x:v>
      </x:c>
      <x:c r="E8" s="102"/>
      <x:c r="F8" s="102" t="str">
        <x:v>Canada</x:v>
      </x:c>
      <x:c r="G8" s="102"/>
      <x:c r="H8" s="102" t="str">
        <x:v>COMP_BC_FERRIES</x:v>
      </x:c>
      <x:c r="I8" s="102"/>
      <x:c r="J8" s="102"/>
      <x:c r="K8" s="102" t="str">
        <x:v>To populate</x:v>
      </x:c>
      <x:c r="L8" s="102" t="str">
        <x:v>To populate</x:v>
      </x:c>
      <x:c r="M8" s="102" t="str">
        <x:v>To populate</x:v>
      </x:c>
      <x:c r="N8" s="102" t="str">
        <x:v>Road / local transport links to populate</x:v>
      </x:c>
      <x:c r="O8" s="102" t="str">
        <x:v>Active</x:v>
      </x:c>
      <x:c r="P8" s="102" t="str">
        <x:v>Representative route source / system source</x:v>
      </x:c>
    </x:row>
    <x:row r="9">
      <x:c r="A9" s="102" t="str">
        <x:v>FERRY_TERM_0008</x:v>
      </x:c>
      <x:c r="B9" s="102" t="str">
        <x:v>FERRY_SYS_0002</x:v>
      </x:c>
      <x:c r="C9" s="102" t="str">
        <x:v>Seattle</x:v>
      </x:c>
      <x:c r="D9" s="102" t="str">
        <x:v>Seattle</x:v>
      </x:c>
      <x:c r="E9" s="102"/>
      <x:c r="F9" s="102" t="str">
        <x:v>United States</x:v>
      </x:c>
      <x:c r="G9" s="102"/>
      <x:c r="H9" s="102" t="str">
        <x:v>COMP_WSF</x:v>
      </x:c>
      <x:c r="I9" s="102"/>
      <x:c r="J9" s="102"/>
      <x:c r="K9" s="102" t="str">
        <x:v>To populate</x:v>
      </x:c>
      <x:c r="L9" s="102" t="str">
        <x:v>To populate</x:v>
      </x:c>
      <x:c r="M9" s="102" t="str">
        <x:v>To populate</x:v>
      </x:c>
      <x:c r="N9" s="102" t="str">
        <x:v>Road / local transport links to populate</x:v>
      </x:c>
      <x:c r="O9" s="102" t="str">
        <x:v>Active</x:v>
      </x:c>
      <x:c r="P9" s="102" t="str">
        <x:v>Representative route source / system source</x:v>
      </x:c>
    </x:row>
    <x:row r="10">
      <x:c r="A10" s="102" t="str">
        <x:v>FERRY_TERM_0009</x:v>
      </x:c>
      <x:c r="B10" s="102" t="str">
        <x:v>FERRY_SYS_0002</x:v>
      </x:c>
      <x:c r="C10" s="102" t="str">
        <x:v>Bainbridge Island</x:v>
      </x:c>
      <x:c r="D10" s="102" t="str">
        <x:v>Bainbridge Island</x:v>
      </x:c>
      <x:c r="E10" s="102"/>
      <x:c r="F10" s="102" t="str">
        <x:v>United States</x:v>
      </x:c>
      <x:c r="G10" s="102"/>
      <x:c r="H10" s="102" t="str">
        <x:v>COMP_WSF</x:v>
      </x:c>
      <x:c r="I10" s="102"/>
      <x:c r="J10" s="102"/>
      <x:c r="K10" s="102" t="str">
        <x:v>To populate</x:v>
      </x:c>
      <x:c r="L10" s="102" t="str">
        <x:v>To populate</x:v>
      </x:c>
      <x:c r="M10" s="102" t="str">
        <x:v>To populate</x:v>
      </x:c>
      <x:c r="N10" s="102" t="str">
        <x:v>Road / local transport links to populate</x:v>
      </x:c>
      <x:c r="O10" s="102" t="str">
        <x:v>Active</x:v>
      </x:c>
      <x:c r="P10" s="102" t="str">
        <x:v>Representative route source / system source</x:v>
      </x:c>
    </x:row>
    <x:row r="11">
      <x:c r="A11" s="102" t="str">
        <x:v>FERRY_TERM_0010</x:v>
      </x:c>
      <x:c r="B11" s="102" t="str">
        <x:v>FERRY_SYS_0002</x:v>
      </x:c>
      <x:c r="C11" s="102" t="str">
        <x:v>Bremerton</x:v>
      </x:c>
      <x:c r="D11" s="102" t="str">
        <x:v>Bremerton</x:v>
      </x:c>
      <x:c r="E11" s="102"/>
      <x:c r="F11" s="102" t="str">
        <x:v>United States</x:v>
      </x:c>
      <x:c r="G11" s="102"/>
      <x:c r="H11" s="102" t="str">
        <x:v>COMP_WSF</x:v>
      </x:c>
      <x:c r="I11" s="102"/>
      <x:c r="J11" s="102"/>
      <x:c r="K11" s="102" t="str">
        <x:v>To populate</x:v>
      </x:c>
      <x:c r="L11" s="102" t="str">
        <x:v>To populate</x:v>
      </x:c>
      <x:c r="M11" s="102" t="str">
        <x:v>To populate</x:v>
      </x:c>
      <x:c r="N11" s="102" t="str">
        <x:v>Road / local transport links to populate</x:v>
      </x:c>
      <x:c r="O11" s="102" t="str">
        <x:v>Active</x:v>
      </x:c>
      <x:c r="P11" s="102" t="str">
        <x:v>Representative route source / system source</x:v>
      </x:c>
    </x:row>
    <x:row r="12">
      <x:c r="A12" s="102" t="str">
        <x:v>FERRY_TERM_0011</x:v>
      </x:c>
      <x:c r="B12" s="102" t="str">
        <x:v>FERRY_SYS_0002</x:v>
      </x:c>
      <x:c r="C12" s="102" t="str">
        <x:v>Edmonds</x:v>
      </x:c>
      <x:c r="D12" s="102" t="str">
        <x:v>Edmonds</x:v>
      </x:c>
      <x:c r="E12" s="102"/>
      <x:c r="F12" s="102" t="str">
        <x:v>United States</x:v>
      </x:c>
      <x:c r="G12" s="102"/>
      <x:c r="H12" s="102" t="str">
        <x:v>COMP_WSF</x:v>
      </x:c>
      <x:c r="I12" s="102"/>
      <x:c r="J12" s="102"/>
      <x:c r="K12" s="102" t="str">
        <x:v>To populate</x:v>
      </x:c>
      <x:c r="L12" s="102" t="str">
        <x:v>To populate</x:v>
      </x:c>
      <x:c r="M12" s="102" t="str">
        <x:v>To populate</x:v>
      </x:c>
      <x:c r="N12" s="102" t="str">
        <x:v>Road / local transport links to populate</x:v>
      </x:c>
      <x:c r="O12" s="102" t="str">
        <x:v>Active</x:v>
      </x:c>
      <x:c r="P12" s="102" t="str">
        <x:v>Representative route source / system source</x:v>
      </x:c>
    </x:row>
    <x:row r="13">
      <x:c r="A13" s="102" t="str">
        <x:v>FERRY_TERM_0012</x:v>
      </x:c>
      <x:c r="B13" s="102" t="str">
        <x:v>FERRY_SYS_0002</x:v>
      </x:c>
      <x:c r="C13" s="102" t="str">
        <x:v>Kingston</x:v>
      </x:c>
      <x:c r="D13" s="102" t="str">
        <x:v>Kingston</x:v>
      </x:c>
      <x:c r="E13" s="102"/>
      <x:c r="F13" s="102" t="str">
        <x:v>United States</x:v>
      </x:c>
      <x:c r="G13" s="102"/>
      <x:c r="H13" s="102" t="str">
        <x:v>COMP_WSF</x:v>
      </x:c>
      <x:c r="I13" s="102"/>
      <x:c r="J13" s="102"/>
      <x:c r="K13" s="102" t="str">
        <x:v>To populate</x:v>
      </x:c>
      <x:c r="L13" s="102" t="str">
        <x:v>To populate</x:v>
      </x:c>
      <x:c r="M13" s="102" t="str">
        <x:v>To populate</x:v>
      </x:c>
      <x:c r="N13" s="102" t="str">
        <x:v>Road / local transport links to populate</x:v>
      </x:c>
      <x:c r="O13" s="102" t="str">
        <x:v>Active</x:v>
      </x:c>
      <x:c r="P13" s="102" t="str">
        <x:v>Representative route source / system source</x:v>
      </x:c>
    </x:row>
    <x:row r="14">
      <x:c r="A14" s="102" t="str">
        <x:v>FERRY_TERM_0013</x:v>
      </x:c>
      <x:c r="B14" s="102" t="str">
        <x:v>FERRY_SYS_0002</x:v>
      </x:c>
      <x:c r="C14" s="102" t="str">
        <x:v>Port Townsend</x:v>
      </x:c>
      <x:c r="D14" s="102" t="str">
        <x:v>Port Townsend</x:v>
      </x:c>
      <x:c r="E14" s="102"/>
      <x:c r="F14" s="102" t="str">
        <x:v>United States</x:v>
      </x:c>
      <x:c r="G14" s="102"/>
      <x:c r="H14" s="102" t="str">
        <x:v>COMP_WSF</x:v>
      </x:c>
      <x:c r="I14" s="102"/>
      <x:c r="J14" s="102"/>
      <x:c r="K14" s="102" t="str">
        <x:v>To populate</x:v>
      </x:c>
      <x:c r="L14" s="102" t="str">
        <x:v>To populate</x:v>
      </x:c>
      <x:c r="M14" s="102" t="str">
        <x:v>To populate</x:v>
      </x:c>
      <x:c r="N14" s="102" t="str">
        <x:v>Road / local transport links to populate</x:v>
      </x:c>
      <x:c r="O14" s="102" t="str">
        <x:v>Active</x:v>
      </x:c>
      <x:c r="P14" s="102" t="str">
        <x:v>Representative route source / system source</x:v>
      </x:c>
    </x:row>
    <x:row r="15">
      <x:c r="A15" s="102" t="str">
        <x:v>FERRY_TERM_0014</x:v>
      </x:c>
      <x:c r="B15" s="102" t="str">
        <x:v>FERRY_SYS_0002</x:v>
      </x:c>
      <x:c r="C15" s="102" t="str">
        <x:v>Coupeville</x:v>
      </x:c>
      <x:c r="D15" s="102" t="str">
        <x:v>Coupeville</x:v>
      </x:c>
      <x:c r="E15" s="102"/>
      <x:c r="F15" s="102" t="str">
        <x:v>United States</x:v>
      </x:c>
      <x:c r="G15" s="102"/>
      <x:c r="H15" s="102" t="str">
        <x:v>COMP_WSF</x:v>
      </x:c>
      <x:c r="I15" s="102"/>
      <x:c r="J15" s="102"/>
      <x:c r="K15" s="102" t="str">
        <x:v>To populate</x:v>
      </x:c>
      <x:c r="L15" s="102" t="str">
        <x:v>To populate</x:v>
      </x:c>
      <x:c r="M15" s="102" t="str">
        <x:v>To populate</x:v>
      </x:c>
      <x:c r="N15" s="102" t="str">
        <x:v>Road / local transport links to populate</x:v>
      </x:c>
      <x:c r="O15" s="102" t="str">
        <x:v>Active</x:v>
      </x:c>
      <x:c r="P15" s="102" t="str">
        <x:v>Representative route source / system source</x:v>
      </x:c>
    </x:row>
    <x:row r="16">
      <x:c r="A16" s="102" t="str">
        <x:v>FERRY_TERM_0015</x:v>
      </x:c>
      <x:c r="B16" s="102" t="str">
        <x:v>FERRY_SYS_0002</x:v>
      </x:c>
      <x:c r="C16" s="102" t="str">
        <x:v>Anacortes</x:v>
      </x:c>
      <x:c r="D16" s="102" t="str">
        <x:v>Anacortes</x:v>
      </x:c>
      <x:c r="E16" s="102"/>
      <x:c r="F16" s="102" t="str">
        <x:v>United States</x:v>
      </x:c>
      <x:c r="G16" s="102"/>
      <x:c r="H16" s="102" t="str">
        <x:v>COMP_WSF</x:v>
      </x:c>
      <x:c r="I16" s="102"/>
      <x:c r="J16" s="102"/>
      <x:c r="K16" s="102" t="str">
        <x:v>To populate</x:v>
      </x:c>
      <x:c r="L16" s="102" t="str">
        <x:v>To populate</x:v>
      </x:c>
      <x:c r="M16" s="102" t="str">
        <x:v>To populate</x:v>
      </x:c>
      <x:c r="N16" s="102" t="str">
        <x:v>Road / local transport links to populate</x:v>
      </x:c>
      <x:c r="O16" s="102" t="str">
        <x:v>Active</x:v>
      </x:c>
      <x:c r="P16" s="102" t="str">
        <x:v>Representative route source / system source</x:v>
      </x:c>
    </x:row>
    <x:row r="17">
      <x:c r="A17" s="102" t="str">
        <x:v>FERRY_TERM_0016</x:v>
      </x:c>
      <x:c r="B17" s="102" t="str">
        <x:v>FERRY_SYS_0002</x:v>
      </x:c>
      <x:c r="C17" s="102" t="str">
        <x:v>Friday Harbor / San Juan Islands</x:v>
      </x:c>
      <x:c r="D17" s="102" t="str">
        <x:v>Friday Harbor / San Juan Islands</x:v>
      </x:c>
      <x:c r="E17" s="102"/>
      <x:c r="F17" s="102" t="str">
        <x:v>United States</x:v>
      </x:c>
      <x:c r="G17" s="102"/>
      <x:c r="H17" s="102" t="str">
        <x:v>COMP_WSF</x:v>
      </x:c>
      <x:c r="I17" s="102"/>
      <x:c r="J17" s="102"/>
      <x:c r="K17" s="102" t="str">
        <x:v>To populate</x:v>
      </x:c>
      <x:c r="L17" s="102" t="str">
        <x:v>To populate</x:v>
      </x:c>
      <x:c r="M17" s="102" t="str">
        <x:v>To populate</x:v>
      </x:c>
      <x:c r="N17" s="102" t="str">
        <x:v>Road / local transport links to populate</x:v>
      </x:c>
      <x:c r="O17" s="102" t="str">
        <x:v>Active</x:v>
      </x:c>
      <x:c r="P17" s="102" t="str">
        <x:v>Representative route source / system source</x:v>
      </x:c>
    </x:row>
    <x:row r="18">
      <x:c r="A18" s="102" t="str">
        <x:v>FERRY_TERM_0017</x:v>
      </x:c>
      <x:c r="B18" s="102" t="str">
        <x:v>FERRY_SYS_0003</x:v>
      </x:c>
      <x:c r="C18" s="102" t="str">
        <x:v>Bellingham</x:v>
      </x:c>
      <x:c r="D18" s="102" t="str">
        <x:v>Bellingham</x:v>
      </x:c>
      <x:c r="E18" s="102"/>
      <x:c r="F18" s="102" t="str">
        <x:v>United States</x:v>
      </x:c>
      <x:c r="G18" s="102"/>
      <x:c r="H18" s="102" t="str">
        <x:v>COMP_AMHS</x:v>
      </x:c>
      <x:c r="I18" s="102"/>
      <x:c r="J18" s="102"/>
      <x:c r="K18" s="102" t="str">
        <x:v>To populate</x:v>
      </x:c>
      <x:c r="L18" s="102" t="str">
        <x:v>To populate</x:v>
      </x:c>
      <x:c r="M18" s="102" t="str">
        <x:v>To populate</x:v>
      </x:c>
      <x:c r="N18" s="102" t="str">
        <x:v>Road / local transport links to populate</x:v>
      </x:c>
      <x:c r="O18" s="102" t="str">
        <x:v>Active</x:v>
      </x:c>
      <x:c r="P18" s="102" t="str">
        <x:v>Representative route source / system source</x:v>
      </x:c>
    </x:row>
    <x:row r="19">
      <x:c r="A19" s="102" t="str">
        <x:v>FERRY_TERM_0018</x:v>
      </x:c>
      <x:c r="B19" s="102" t="str">
        <x:v>FERRY_SYS_0003</x:v>
      </x:c>
      <x:c r="C19" s="102" t="str">
        <x:v>Skagway</x:v>
      </x:c>
      <x:c r="D19" s="102" t="str">
        <x:v>Skagway</x:v>
      </x:c>
      <x:c r="E19" s="102"/>
      <x:c r="F19" s="102" t="str">
        <x:v>United States</x:v>
      </x:c>
      <x:c r="G19" s="102"/>
      <x:c r="H19" s="102" t="str">
        <x:v>COMP_AMHS</x:v>
      </x:c>
      <x:c r="I19" s="102"/>
      <x:c r="J19" s="102"/>
      <x:c r="K19" s="102" t="str">
        <x:v>To populate</x:v>
      </x:c>
      <x:c r="L19" s="102" t="str">
        <x:v>To populate</x:v>
      </x:c>
      <x:c r="M19" s="102" t="str">
        <x:v>To populate</x:v>
      </x:c>
      <x:c r="N19" s="102" t="str">
        <x:v>Road / local transport links to populate</x:v>
      </x:c>
      <x:c r="O19" s="102" t="str">
        <x:v>Active</x:v>
      </x:c>
      <x:c r="P19" s="102" t="str">
        <x:v>Representative route source / system source</x:v>
      </x:c>
    </x:row>
    <x:row r="20">
      <x:c r="A20" s="102" t="str">
        <x:v>FERRY_TERM_0019</x:v>
      </x:c>
      <x:c r="B20" s="102" t="str">
        <x:v>FERRY_SYS_0003</x:v>
      </x:c>
      <x:c r="C20" s="102" t="str">
        <x:v>Homer</x:v>
      </x:c>
      <x:c r="D20" s="102" t="str">
        <x:v>Homer</x:v>
      </x:c>
      <x:c r="E20" s="102"/>
      <x:c r="F20" s="102" t="str">
        <x:v>United States</x:v>
      </x:c>
      <x:c r="G20" s="102"/>
      <x:c r="H20" s="102" t="str">
        <x:v>COMP_AMHS</x:v>
      </x:c>
      <x:c r="I20" s="102"/>
      <x:c r="J20" s="102"/>
      <x:c r="K20" s="102" t="str">
        <x:v>To populate</x:v>
      </x:c>
      <x:c r="L20" s="102" t="str">
        <x:v>To populate</x:v>
      </x:c>
      <x:c r="M20" s="102" t="str">
        <x:v>To populate</x:v>
      </x:c>
      <x:c r="N20" s="102" t="str">
        <x:v>Road / local transport links to populate</x:v>
      </x:c>
      <x:c r="O20" s="102" t="str">
        <x:v>Active</x:v>
      </x:c>
      <x:c r="P20" s="102" t="str">
        <x:v>Representative route source / system source</x:v>
      </x:c>
    </x:row>
    <x:row r="21">
      <x:c r="A21" s="102" t="str">
        <x:v>FERRY_TERM_0020</x:v>
      </x:c>
      <x:c r="B21" s="102" t="str">
        <x:v>FERRY_SYS_0003</x:v>
      </x:c>
      <x:c r="C21" s="102" t="str">
        <x:v>Dutch Harbor</x:v>
      </x:c>
      <x:c r="D21" s="102" t="str">
        <x:v>Dutch Harbor</x:v>
      </x:c>
      <x:c r="E21" s="102"/>
      <x:c r="F21" s="102" t="str">
        <x:v>United States</x:v>
      </x:c>
      <x:c r="G21" s="102"/>
      <x:c r="H21" s="102" t="str">
        <x:v>COMP_AMHS</x:v>
      </x:c>
      <x:c r="I21" s="102"/>
      <x:c r="J21" s="102"/>
      <x:c r="K21" s="102" t="str">
        <x:v>To populate</x:v>
      </x:c>
      <x:c r="L21" s="102" t="str">
        <x:v>To populate</x:v>
      </x:c>
      <x:c r="M21" s="102" t="str">
        <x:v>To populate</x:v>
      </x:c>
      <x:c r="N21" s="102" t="str">
        <x:v>Road / local transport links to populate</x:v>
      </x:c>
      <x:c r="O21" s="102" t="str">
        <x:v>Active</x:v>
      </x:c>
      <x:c r="P21" s="102" t="str">
        <x:v>Representative route source / system source</x:v>
      </x:c>
    </x:row>
    <x:row r="22">
      <x:c r="A22" s="102" t="str">
        <x:v>FERRY_TERM_0021</x:v>
      </x:c>
      <x:c r="B22" s="102" t="str">
        <x:v>FERRY_SYS_0004</x:v>
      </x:c>
      <x:c r="C22" s="102" t="str">
        <x:v>North Sydney</x:v>
      </x:c>
      <x:c r="D22" s="102" t="str">
        <x:v>North Sydney</x:v>
      </x:c>
      <x:c r="E22" s="102"/>
      <x:c r="F22" s="102" t="str">
        <x:v>Canada</x:v>
      </x:c>
      <x:c r="G22" s="102"/>
      <x:c r="H22" s="102" t="str">
        <x:v>COMP_MARINE_ATLANTIC</x:v>
      </x:c>
      <x:c r="I22" s="102"/>
      <x:c r="J22" s="102"/>
      <x:c r="K22" s="102" t="str">
        <x:v>To populate</x:v>
      </x:c>
      <x:c r="L22" s="102" t="str">
        <x:v>To populate</x:v>
      </x:c>
      <x:c r="M22" s="102" t="str">
        <x:v>To populate</x:v>
      </x:c>
      <x:c r="N22" s="102" t="str">
        <x:v>Road / local transport links to populate</x:v>
      </x:c>
      <x:c r="O22" s="102" t="str">
        <x:v>Active</x:v>
      </x:c>
      <x:c r="P22" s="102" t="str">
        <x:v>Representative route source / system source</x:v>
      </x:c>
    </x:row>
    <x:row r="23">
      <x:c r="A23" s="102" t="str">
        <x:v>FERRY_TERM_0022</x:v>
      </x:c>
      <x:c r="B23" s="102" t="str">
        <x:v>FERRY_SYS_0004</x:v>
      </x:c>
      <x:c r="C23" s="102" t="str">
        <x:v>Port aux Basques</x:v>
      </x:c>
      <x:c r="D23" s="102" t="str">
        <x:v>Port aux Basques</x:v>
      </x:c>
      <x:c r="E23" s="102"/>
      <x:c r="F23" s="102" t="str">
        <x:v>Canada</x:v>
      </x:c>
      <x:c r="G23" s="102"/>
      <x:c r="H23" s="102" t="str">
        <x:v>COMP_MARINE_ATLANTIC</x:v>
      </x:c>
      <x:c r="I23" s="102"/>
      <x:c r="J23" s="102"/>
      <x:c r="K23" s="102" t="str">
        <x:v>To populate</x:v>
      </x:c>
      <x:c r="L23" s="102" t="str">
        <x:v>To populate</x:v>
      </x:c>
      <x:c r="M23" s="102" t="str">
        <x:v>To populate</x:v>
      </x:c>
      <x:c r="N23" s="102" t="str">
        <x:v>Road / local transport links to populate</x:v>
      </x:c>
      <x:c r="O23" s="102" t="str">
        <x:v>Active</x:v>
      </x:c>
      <x:c r="P23" s="102" t="str">
        <x:v>Representative route source / system source</x:v>
      </x:c>
    </x:row>
    <x:row r="24">
      <x:c r="A24" s="102" t="str">
        <x:v>FERRY_TERM_0023</x:v>
      </x:c>
      <x:c r="B24" s="102" t="str">
        <x:v>FERRY_SYS_0004</x:v>
      </x:c>
      <x:c r="C24" s="102" t="str">
        <x:v>Argentia</x:v>
      </x:c>
      <x:c r="D24" s="102" t="str">
        <x:v>Argentia</x:v>
      </x:c>
      <x:c r="E24" s="102"/>
      <x:c r="F24" s="102" t="str">
        <x:v>Canada</x:v>
      </x:c>
      <x:c r="G24" s="102"/>
      <x:c r="H24" s="102" t="str">
        <x:v>COMP_MARINE_ATLANTIC</x:v>
      </x:c>
      <x:c r="I24" s="102"/>
      <x:c r="J24" s="102"/>
      <x:c r="K24" s="102" t="str">
        <x:v>To populate</x:v>
      </x:c>
      <x:c r="L24" s="102" t="str">
        <x:v>To populate</x:v>
      </x:c>
      <x:c r="M24" s="102" t="str">
        <x:v>To populate</x:v>
      </x:c>
      <x:c r="N24" s="102" t="str">
        <x:v>Road / local transport links to populate</x:v>
      </x:c>
      <x:c r="O24" s="102" t="str">
        <x:v>Active</x:v>
      </x:c>
      <x:c r="P24" s="102" t="str">
        <x:v>Representative route source / system source</x:v>
      </x:c>
    </x:row>
    <x:row r="25">
      <x:c r="A25" s="102" t="str">
        <x:v>FERRY_TERM_0024</x:v>
      </x:c>
      <x:c r="B25" s="102" t="str">
        <x:v>FERRY_SYS_0005</x:v>
      </x:c>
      <x:c r="C25" s="102" t="str">
        <x:v>Dover</x:v>
      </x:c>
      <x:c r="D25" s="102" t="str">
        <x:v>Dover</x:v>
      </x:c>
      <x:c r="E25" s="102"/>
      <x:c r="F25" s="102" t="str">
        <x:v>United Kingdom</x:v>
      </x:c>
      <x:c r="G25" s="102"/>
      <x:c r="H25" s="102" t="str">
        <x:v>COMP_PO_FERRIES</x:v>
      </x:c>
      <x:c r="I25" s="102"/>
      <x:c r="J25" s="102"/>
      <x:c r="K25" s="102" t="str">
        <x:v>To populate</x:v>
      </x:c>
      <x:c r="L25" s="102" t="str">
        <x:v>To populate</x:v>
      </x:c>
      <x:c r="M25" s="102" t="str">
        <x:v>To populate</x:v>
      </x:c>
      <x:c r="N25" s="102" t="str">
        <x:v>Road / local transport links to populate</x:v>
      </x:c>
      <x:c r="O25" s="102" t="str">
        <x:v>Active</x:v>
      </x:c>
      <x:c r="P25" s="102" t="str">
        <x:v>Representative route source / system source</x:v>
      </x:c>
    </x:row>
    <x:row r="26">
      <x:c r="A26" s="102" t="str">
        <x:v>FERRY_TERM_0025</x:v>
      </x:c>
      <x:c r="B26" s="102" t="str">
        <x:v>FERRY_SYS_0005</x:v>
      </x:c>
      <x:c r="C26" s="102" t="str">
        <x:v>Calais</x:v>
      </x:c>
      <x:c r="D26" s="102" t="str">
        <x:v>Calais</x:v>
      </x:c>
      <x:c r="E26" s="102"/>
      <x:c r="F26" s="102" t="str">
        <x:v>France</x:v>
      </x:c>
      <x:c r="G26" s="102"/>
      <x:c r="H26" s="102" t="str">
        <x:v>COMP_PO_FERRIES</x:v>
      </x:c>
      <x:c r="I26" s="102"/>
      <x:c r="J26" s="102"/>
      <x:c r="K26" s="102" t="str">
        <x:v>To populate</x:v>
      </x:c>
      <x:c r="L26" s="102" t="str">
        <x:v>To populate</x:v>
      </x:c>
      <x:c r="M26" s="102" t="str">
        <x:v>To populate</x:v>
      </x:c>
      <x:c r="N26" s="102" t="str">
        <x:v>Road / local transport links to populate</x:v>
      </x:c>
      <x:c r="O26" s="102" t="str">
        <x:v>Active</x:v>
      </x:c>
      <x:c r="P26" s="102" t="str">
        <x:v>Representative route source / system source</x:v>
      </x:c>
    </x:row>
    <x:row r="27">
      <x:c r="A27" s="102" t="str">
        <x:v>FERRY_TERM_0026</x:v>
      </x:c>
      <x:c r="B27" s="102" t="str">
        <x:v>FERRY_SYS_0005</x:v>
      </x:c>
      <x:c r="C27" s="102" t="str">
        <x:v>Hull</x:v>
      </x:c>
      <x:c r="D27" s="102" t="str">
        <x:v>Hull</x:v>
      </x:c>
      <x:c r="E27" s="102"/>
      <x:c r="F27" s="102" t="str">
        <x:v>United Kingdom</x:v>
      </x:c>
      <x:c r="G27" s="102"/>
      <x:c r="H27" s="102" t="str">
        <x:v>COMP_PO_FERRIES</x:v>
      </x:c>
      <x:c r="I27" s="102"/>
      <x:c r="J27" s="102"/>
      <x:c r="K27" s="102" t="str">
        <x:v>To populate</x:v>
      </x:c>
      <x:c r="L27" s="102" t="str">
        <x:v>To populate</x:v>
      </x:c>
      <x:c r="M27" s="102" t="str">
        <x:v>To populate</x:v>
      </x:c>
      <x:c r="N27" s="102" t="str">
        <x:v>Road / local transport links to populate</x:v>
      </x:c>
      <x:c r="O27" s="102" t="str">
        <x:v>Active</x:v>
      </x:c>
      <x:c r="P27" s="102" t="str">
        <x:v>Representative route source / system source</x:v>
      </x:c>
    </x:row>
    <x:row r="28">
      <x:c r="A28" s="102" t="str">
        <x:v>FERRY_TERM_0027</x:v>
      </x:c>
      <x:c r="B28" s="102" t="str">
        <x:v>FERRY_SYS_0005</x:v>
      </x:c>
      <x:c r="C28" s="102" t="str">
        <x:v>Rotterdam</x:v>
      </x:c>
      <x:c r="D28" s="102" t="str">
        <x:v>Rotterdam</x:v>
      </x:c>
      <x:c r="E28" s="102"/>
      <x:c r="F28" s="102" t="str">
        <x:v>Netherlands</x:v>
      </x:c>
      <x:c r="G28" s="102"/>
      <x:c r="H28" s="102" t="str">
        <x:v>COMP_PO_FERRIES</x:v>
      </x:c>
      <x:c r="I28" s="102"/>
      <x:c r="J28" s="102"/>
      <x:c r="K28" s="102" t="str">
        <x:v>To populate</x:v>
      </x:c>
      <x:c r="L28" s="102" t="str">
        <x:v>To populate</x:v>
      </x:c>
      <x:c r="M28" s="102" t="str">
        <x:v>To populate</x:v>
      </x:c>
      <x:c r="N28" s="102" t="str">
        <x:v>Road / local transport links to populate</x:v>
      </x:c>
      <x:c r="O28" s="102" t="str">
        <x:v>Active</x:v>
      </x:c>
      <x:c r="P28" s="102" t="str">
        <x:v>Representative route source / system source</x:v>
      </x:c>
    </x:row>
    <x:row r="29">
      <x:c r="A29" s="102" t="str">
        <x:v>FERRY_TERM_0028</x:v>
      </x:c>
      <x:c r="B29" s="102" t="str">
        <x:v>FERRY_SYS_0005</x:v>
      </x:c>
      <x:c r="C29" s="102" t="str">
        <x:v>Cairnryan</x:v>
      </x:c>
      <x:c r="D29" s="102" t="str">
        <x:v>Cairnryan</x:v>
      </x:c>
      <x:c r="E29" s="102"/>
      <x:c r="F29" s="102" t="str">
        <x:v>United Kingdom</x:v>
      </x:c>
      <x:c r="G29" s="102"/>
      <x:c r="H29" s="102" t="str">
        <x:v>COMP_PO_FERRIES</x:v>
      </x:c>
      <x:c r="I29" s="102"/>
      <x:c r="J29" s="102"/>
      <x:c r="K29" s="102" t="str">
        <x:v>To populate</x:v>
      </x:c>
      <x:c r="L29" s="102" t="str">
        <x:v>To populate</x:v>
      </x:c>
      <x:c r="M29" s="102" t="str">
        <x:v>To populate</x:v>
      </x:c>
      <x:c r="N29" s="102" t="str">
        <x:v>Road / local transport links to populate</x:v>
      </x:c>
      <x:c r="O29" s="102" t="str">
        <x:v>Active</x:v>
      </x:c>
      <x:c r="P29" s="102" t="str">
        <x:v>Representative route source / system source</x:v>
      </x:c>
    </x:row>
    <x:row r="30">
      <x:c r="A30" s="102" t="str">
        <x:v>FERRY_TERM_0029</x:v>
      </x:c>
      <x:c r="B30" s="102" t="str">
        <x:v>FERRY_SYS_0005</x:v>
      </x:c>
      <x:c r="C30" s="102" t="str">
        <x:v>Larne</x:v>
      </x:c>
      <x:c r="D30" s="102" t="str">
        <x:v>Larne</x:v>
      </x:c>
      <x:c r="E30" s="102"/>
      <x:c r="F30" s="102" t="str">
        <x:v>United Kingdom</x:v>
      </x:c>
      <x:c r="G30" s="102"/>
      <x:c r="H30" s="102" t="str">
        <x:v>COMP_PO_FERRIES</x:v>
      </x:c>
      <x:c r="I30" s="102"/>
      <x:c r="J30" s="102"/>
      <x:c r="K30" s="102" t="str">
        <x:v>To populate</x:v>
      </x:c>
      <x:c r="L30" s="102" t="str">
        <x:v>To populate</x:v>
      </x:c>
      <x:c r="M30" s="102" t="str">
        <x:v>To populate</x:v>
      </x:c>
      <x:c r="N30" s="102" t="str">
        <x:v>Road / local transport links to populate</x:v>
      </x:c>
      <x:c r="O30" s="102" t="str">
        <x:v>Active</x:v>
      </x:c>
      <x:c r="P30" s="102" t="str">
        <x:v>Representative route source / system source</x:v>
      </x:c>
    </x:row>
    <x:row r="31">
      <x:c r="A31" s="102" t="str">
        <x:v>FERRY_TERM_0030</x:v>
      </x:c>
      <x:c r="B31" s="102" t="str">
        <x:v>FERRY_SYS_0006</x:v>
      </x:c>
      <x:c r="C31" s="102" t="str">
        <x:v>Dunkirk</x:v>
      </x:c>
      <x:c r="D31" s="102" t="str">
        <x:v>Dunkirk</x:v>
      </x:c>
      <x:c r="E31" s="102"/>
      <x:c r="F31" s="102" t="str">
        <x:v>France</x:v>
      </x:c>
      <x:c r="G31" s="102"/>
      <x:c r="H31" s="102" t="str">
        <x:v>COMP_DFDS</x:v>
      </x:c>
      <x:c r="I31" s="102"/>
      <x:c r="J31" s="102"/>
      <x:c r="K31" s="102" t="str">
        <x:v>To populate</x:v>
      </x:c>
      <x:c r="L31" s="102" t="str">
        <x:v>To populate</x:v>
      </x:c>
      <x:c r="M31" s="102" t="str">
        <x:v>To populate</x:v>
      </x:c>
      <x:c r="N31" s="102" t="str">
        <x:v>Road / local transport links to populate</x:v>
      </x:c>
      <x:c r="O31" s="102" t="str">
        <x:v>Active</x:v>
      </x:c>
      <x:c r="P31" s="102" t="str">
        <x:v>Representative route source / system source</x:v>
      </x:c>
    </x:row>
    <x:row r="32">
      <x:c r="A32" s="102" t="str">
        <x:v>FERRY_TERM_0031</x:v>
      </x:c>
      <x:c r="B32" s="102" t="str">
        <x:v>FERRY_SYS_0006</x:v>
      </x:c>
      <x:c r="C32" s="102" t="str">
        <x:v>Dover</x:v>
      </x:c>
      <x:c r="D32" s="102" t="str">
        <x:v>Dover</x:v>
      </x:c>
      <x:c r="E32" s="102"/>
      <x:c r="F32" s="102" t="str">
        <x:v>United Kingdom</x:v>
      </x:c>
      <x:c r="G32" s="102"/>
      <x:c r="H32" s="102" t="str">
        <x:v>COMP_DFDS</x:v>
      </x:c>
      <x:c r="I32" s="102"/>
      <x:c r="J32" s="102"/>
      <x:c r="K32" s="102" t="str">
        <x:v>To populate</x:v>
      </x:c>
      <x:c r="L32" s="102" t="str">
        <x:v>To populate</x:v>
      </x:c>
      <x:c r="M32" s="102" t="str">
        <x:v>To populate</x:v>
      </x:c>
      <x:c r="N32" s="102" t="str">
        <x:v>Road / local transport links to populate</x:v>
      </x:c>
      <x:c r="O32" s="102" t="str">
        <x:v>Active</x:v>
      </x:c>
      <x:c r="P32" s="102" t="str">
        <x:v>Representative route source / system source</x:v>
      </x:c>
    </x:row>
    <x:row r="33">
      <x:c r="A33" s="102" t="str">
        <x:v>FERRY_TERM_0032</x:v>
      </x:c>
      <x:c r="B33" s="102" t="str">
        <x:v>FERRY_SYS_0006</x:v>
      </x:c>
      <x:c r="C33" s="102" t="str">
        <x:v>IJmuiden</x:v>
      </x:c>
      <x:c r="D33" s="102" t="str">
        <x:v>IJmuiden</x:v>
      </x:c>
      <x:c r="E33" s="102"/>
      <x:c r="F33" s="102" t="str">
        <x:v>Netherlands</x:v>
      </x:c>
      <x:c r="G33" s="102"/>
      <x:c r="H33" s="102" t="str">
        <x:v>COMP_DFDS</x:v>
      </x:c>
      <x:c r="I33" s="102"/>
      <x:c r="J33" s="102"/>
      <x:c r="K33" s="102" t="str">
        <x:v>To populate</x:v>
      </x:c>
      <x:c r="L33" s="102" t="str">
        <x:v>To populate</x:v>
      </x:c>
      <x:c r="M33" s="102" t="str">
        <x:v>To populate</x:v>
      </x:c>
      <x:c r="N33" s="102" t="str">
        <x:v>Road / local transport links to populate</x:v>
      </x:c>
      <x:c r="O33" s="102" t="str">
        <x:v>Active</x:v>
      </x:c>
      <x:c r="P33" s="102" t="str">
        <x:v>Representative route source / system source</x:v>
      </x:c>
    </x:row>
    <x:row r="34">
      <x:c r="A34" s="102" t="str">
        <x:v>FERRY_TERM_0033</x:v>
      </x:c>
      <x:c r="B34" s="102" t="str">
        <x:v>FERRY_SYS_0006</x:v>
      </x:c>
      <x:c r="C34" s="102" t="str">
        <x:v>Newcastle</x:v>
      </x:c>
      <x:c r="D34" s="102" t="str">
        <x:v>Newcastle</x:v>
      </x:c>
      <x:c r="E34" s="102"/>
      <x:c r="F34" s="102" t="str">
        <x:v>United Kingdom</x:v>
      </x:c>
      <x:c r="G34" s="102"/>
      <x:c r="H34" s="102" t="str">
        <x:v>COMP_DFDS</x:v>
      </x:c>
      <x:c r="I34" s="102"/>
      <x:c r="J34" s="102"/>
      <x:c r="K34" s="102" t="str">
        <x:v>To populate</x:v>
      </x:c>
      <x:c r="L34" s="102" t="str">
        <x:v>To populate</x:v>
      </x:c>
      <x:c r="M34" s="102" t="str">
        <x:v>To populate</x:v>
      </x:c>
      <x:c r="N34" s="102" t="str">
        <x:v>Road / local transport links to populate</x:v>
      </x:c>
      <x:c r="O34" s="102" t="str">
        <x:v>Active</x:v>
      </x:c>
      <x:c r="P34" s="102" t="str">
        <x:v>Representative route source / system source</x:v>
      </x:c>
    </x:row>
    <x:row r="35">
      <x:c r="A35" s="102" t="str">
        <x:v>FERRY_TERM_0034</x:v>
      </x:c>
      <x:c r="B35" s="102" t="str">
        <x:v>FERRY_SYS_0006</x:v>
      </x:c>
      <x:c r="C35" s="102" t="str">
        <x:v>Rosslare</x:v>
      </x:c>
      <x:c r="D35" s="102" t="str">
        <x:v>Rosslare</x:v>
      </x:c>
      <x:c r="E35" s="102"/>
      <x:c r="F35" s="102" t="str">
        <x:v>Ireland</x:v>
      </x:c>
      <x:c r="G35" s="102"/>
      <x:c r="H35" s="102" t="str">
        <x:v>COMP_DFDS</x:v>
      </x:c>
      <x:c r="I35" s="102"/>
      <x:c r="J35" s="102"/>
      <x:c r="K35" s="102" t="str">
        <x:v>To populate</x:v>
      </x:c>
      <x:c r="L35" s="102" t="str">
        <x:v>To populate</x:v>
      </x:c>
      <x:c r="M35" s="102" t="str">
        <x:v>To populate</x:v>
      </x:c>
      <x:c r="N35" s="102" t="str">
        <x:v>Road / local transport links to populate</x:v>
      </x:c>
      <x:c r="O35" s="102" t="str">
        <x:v>Active</x:v>
      </x:c>
      <x:c r="P35" s="102" t="str">
        <x:v>Representative route source / system source</x:v>
      </x:c>
    </x:row>
    <x:row r="36">
      <x:c r="A36" s="102" t="str">
        <x:v>FERRY_TERM_0035</x:v>
      </x:c>
      <x:c r="B36" s="102" t="str">
        <x:v>FERRY_SYS_0007</x:v>
      </x:c>
      <x:c r="C36" s="102" t="str">
        <x:v>Osaka</x:v>
      </x:c>
      <x:c r="D36" s="102" t="str">
        <x:v>Osaka</x:v>
      </x:c>
      <x:c r="E36" s="102"/>
      <x:c r="F36" s="102" t="str">
        <x:v>Japan</x:v>
      </x:c>
      <x:c r="G36" s="102"/>
      <x:c r="H36" s="102" t="str">
        <x:v>COMP_MOL_SUNFLOWER</x:v>
      </x:c>
      <x:c r="I36" s="102"/>
      <x:c r="J36" s="102"/>
      <x:c r="K36" s="102" t="str">
        <x:v>To populate</x:v>
      </x:c>
      <x:c r="L36" s="102" t="str">
        <x:v>To populate</x:v>
      </x:c>
      <x:c r="M36" s="102" t="str">
        <x:v>To populate</x:v>
      </x:c>
      <x:c r="N36" s="102" t="str">
        <x:v>Road / local transport links to populate</x:v>
      </x:c>
      <x:c r="O36" s="102" t="str">
        <x:v>Active</x:v>
      </x:c>
      <x:c r="P36" s="102" t="str">
        <x:v>Representative route source / system source</x:v>
      </x:c>
    </x:row>
    <x:row r="37">
      <x:c r="A37" s="102" t="str">
        <x:v>FERRY_TERM_0036</x:v>
      </x:c>
      <x:c r="B37" s="102" t="str">
        <x:v>FERRY_SYS_0007</x:v>
      </x:c>
      <x:c r="C37" s="102" t="str">
        <x:v>Beppu</x:v>
      </x:c>
      <x:c r="D37" s="102" t="str">
        <x:v>Beppu</x:v>
      </x:c>
      <x:c r="E37" s="102"/>
      <x:c r="F37" s="102" t="str">
        <x:v>Japan</x:v>
      </x:c>
      <x:c r="G37" s="102"/>
      <x:c r="H37" s="102" t="str">
        <x:v>COMP_MOL_SUNFLOWER</x:v>
      </x:c>
      <x:c r="I37" s="102"/>
      <x:c r="J37" s="102"/>
      <x:c r="K37" s="102" t="str">
        <x:v>To populate</x:v>
      </x:c>
      <x:c r="L37" s="102" t="str">
        <x:v>To populate</x:v>
      </x:c>
      <x:c r="M37" s="102" t="str">
        <x:v>To populate</x:v>
      </x:c>
      <x:c r="N37" s="102" t="str">
        <x:v>Road / local transport links to populate</x:v>
      </x:c>
      <x:c r="O37" s="102" t="str">
        <x:v>Active</x:v>
      </x:c>
      <x:c r="P37" s="102" t="str">
        <x:v>Representative route source / system source</x:v>
      </x:c>
    </x:row>
    <x:row r="38">
      <x:c r="A38" s="102" t="str">
        <x:v>FERRY_TERM_0037</x:v>
      </x:c>
      <x:c r="B38" s="102" t="str">
        <x:v>FERRY_SYS_0007</x:v>
      </x:c>
      <x:c r="C38" s="102" t="str">
        <x:v>Shibushi</x:v>
      </x:c>
      <x:c r="D38" s="102" t="str">
        <x:v>Shibushi</x:v>
      </x:c>
      <x:c r="E38" s="102"/>
      <x:c r="F38" s="102" t="str">
        <x:v>Japan</x:v>
      </x:c>
      <x:c r="G38" s="102"/>
      <x:c r="H38" s="102" t="str">
        <x:v>COMP_MOL_SUNFLOWER</x:v>
      </x:c>
      <x:c r="I38" s="102"/>
      <x:c r="J38" s="102"/>
      <x:c r="K38" s="102" t="str">
        <x:v>To populate</x:v>
      </x:c>
      <x:c r="L38" s="102" t="str">
        <x:v>To populate</x:v>
      </x:c>
      <x:c r="M38" s="102" t="str">
        <x:v>To populate</x:v>
      </x:c>
      <x:c r="N38" s="102" t="str">
        <x:v>Road / local transport links to populate</x:v>
      </x:c>
      <x:c r="O38" s="102" t="str">
        <x:v>Active</x:v>
      </x:c>
      <x:c r="P38" s="102" t="str">
        <x:v>Representative route source / system source</x:v>
      </x:c>
    </x:row>
    <x:row r="39">
      <x:c r="A39" s="102" t="str">
        <x:v>FERRY_TERM_0038</x:v>
      </x:c>
      <x:c r="B39" s="102" t="str">
        <x:v>FERRY_SYS_0007</x:v>
      </x:c>
      <x:c r="C39" s="102" t="str">
        <x:v>Kobe</x:v>
      </x:c>
      <x:c r="D39" s="102" t="str">
        <x:v>Kobe</x:v>
      </x:c>
      <x:c r="E39" s="102"/>
      <x:c r="F39" s="102" t="str">
        <x:v>Japan</x:v>
      </x:c>
      <x:c r="G39" s="102"/>
      <x:c r="H39" s="102" t="str">
        <x:v>COMP_MOL_SUNFLOWER</x:v>
      </x:c>
      <x:c r="I39" s="102"/>
      <x:c r="J39" s="102"/>
      <x:c r="K39" s="102" t="str">
        <x:v>To populate</x:v>
      </x:c>
      <x:c r="L39" s="102" t="str">
        <x:v>To populate</x:v>
      </x:c>
      <x:c r="M39" s="102" t="str">
        <x:v>To populate</x:v>
      </x:c>
      <x:c r="N39" s="102" t="str">
        <x:v>Road / local transport links to populate</x:v>
      </x:c>
      <x:c r="O39" s="102" t="str">
        <x:v>Active</x:v>
      </x:c>
      <x:c r="P39" s="102" t="str">
        <x:v>Representative route source / system source</x:v>
      </x:c>
    </x:row>
    <x:row r="40">
      <x:c r="A40" s="102" t="str">
        <x:v>FERRY_TERM_0039</x:v>
      </x:c>
      <x:c r="B40" s="102" t="str">
        <x:v>FERRY_SYS_0007</x:v>
      </x:c>
      <x:c r="C40" s="102" t="str">
        <x:v>Oita</x:v>
      </x:c>
      <x:c r="D40" s="102" t="str">
        <x:v>Oita</x:v>
      </x:c>
      <x:c r="E40" s="102"/>
      <x:c r="F40" s="102" t="str">
        <x:v>Japan</x:v>
      </x:c>
      <x:c r="G40" s="102"/>
      <x:c r="H40" s="102" t="str">
        <x:v>COMP_MOL_SUNFLOWER</x:v>
      </x:c>
      <x:c r="I40" s="102"/>
      <x:c r="J40" s="102"/>
      <x:c r="K40" s="102" t="str">
        <x:v>To populate</x:v>
      </x:c>
      <x:c r="L40" s="102" t="str">
        <x:v>To populate</x:v>
      </x:c>
      <x:c r="M40" s="102" t="str">
        <x:v>To populate</x:v>
      </x:c>
      <x:c r="N40" s="102" t="str">
        <x:v>Road / local transport links to populate</x:v>
      </x:c>
      <x:c r="O40" s="102" t="str">
        <x:v>Active</x:v>
      </x:c>
      <x:c r="P40" s="102" t="str">
        <x:v>Representative route source / system source</x:v>
      </x:c>
    </x:row>
    <x:row r="41">
      <x:c r="A41" s="102" t="str">
        <x:v>FERRY_TERM_0040</x:v>
      </x:c>
      <x:c r="B41" s="102" t="str">
        <x:v>FERRY_SYS_0008</x:v>
      </x:c>
      <x:c r="C41" s="102" t="str">
        <x:v>Manila</x:v>
      </x:c>
      <x:c r="D41" s="102" t="str">
        <x:v>Manila</x:v>
      </x:c>
      <x:c r="E41" s="102"/>
      <x:c r="F41" s="102" t="str">
        <x:v>Philippines</x:v>
      </x:c>
      <x:c r="G41" s="102"/>
      <x:c r="H41" s="102" t="str">
        <x:v>COMP_2GO</x:v>
      </x:c>
      <x:c r="I41" s="102"/>
      <x:c r="J41" s="102"/>
      <x:c r="K41" s="102" t="str">
        <x:v>To populate</x:v>
      </x:c>
      <x:c r="L41" s="102" t="str">
        <x:v>To populate</x:v>
      </x:c>
      <x:c r="M41" s="102" t="str">
        <x:v>To populate</x:v>
      </x:c>
      <x:c r="N41" s="102" t="str">
        <x:v>Road / local transport links to populate</x:v>
      </x:c>
      <x:c r="O41" s="102" t="str">
        <x:v>Active</x:v>
      </x:c>
      <x:c r="P41" s="102" t="str">
        <x:v>Representative route source / system source</x:v>
      </x:c>
    </x:row>
    <x:row r="42">
      <x:c r="A42" s="102" t="str">
        <x:v>FERRY_TERM_0041</x:v>
      </x:c>
      <x:c r="B42" s="102" t="str">
        <x:v>FERRY_SYS_0008</x:v>
      </x:c>
      <x:c r="C42" s="102" t="str">
        <x:v>Cebu</x:v>
      </x:c>
      <x:c r="D42" s="102" t="str">
        <x:v>Cebu</x:v>
      </x:c>
      <x:c r="E42" s="102"/>
      <x:c r="F42" s="102" t="str">
        <x:v>Philippines</x:v>
      </x:c>
      <x:c r="G42" s="102"/>
      <x:c r="H42" s="102" t="str">
        <x:v>COMP_2GO</x:v>
      </x:c>
      <x:c r="I42" s="102"/>
      <x:c r="J42" s="102"/>
      <x:c r="K42" s="102" t="str">
        <x:v>To populate</x:v>
      </x:c>
      <x:c r="L42" s="102" t="str">
        <x:v>To populate</x:v>
      </x:c>
      <x:c r="M42" s="102" t="str">
        <x:v>To populate</x:v>
      </x:c>
      <x:c r="N42" s="102" t="str">
        <x:v>Road / local transport links to populate</x:v>
      </x:c>
      <x:c r="O42" s="102" t="str">
        <x:v>Active</x:v>
      </x:c>
      <x:c r="P42" s="102" t="str">
        <x:v>Representative route source / system source</x:v>
      </x:c>
    </x:row>
    <x:row r="43">
      <x:c r="A43" s="102" t="str">
        <x:v>FERRY_TERM_0042</x:v>
      </x:c>
      <x:c r="B43" s="102" t="str">
        <x:v>FERRY_SYS_0008</x:v>
      </x:c>
      <x:c r="C43" s="102" t="str">
        <x:v>Batangas</x:v>
      </x:c>
      <x:c r="D43" s="102" t="str">
        <x:v>Batangas</x:v>
      </x:c>
      <x:c r="E43" s="102"/>
      <x:c r="F43" s="102" t="str">
        <x:v>Philippines</x:v>
      </x:c>
      <x:c r="G43" s="102"/>
      <x:c r="H43" s="102" t="str">
        <x:v>COMP_2GO</x:v>
      </x:c>
      <x:c r="I43" s="102"/>
      <x:c r="J43" s="102"/>
      <x:c r="K43" s="102" t="str">
        <x:v>To populate</x:v>
      </x:c>
      <x:c r="L43" s="102" t="str">
        <x:v>To populate</x:v>
      </x:c>
      <x:c r="M43" s="102" t="str">
        <x:v>To populate</x:v>
      </x:c>
      <x:c r="N43" s="102" t="str">
        <x:v>Road / local transport links to populate</x:v>
      </x:c>
      <x:c r="O43" s="102" t="str">
        <x:v>Active</x:v>
      </x:c>
      <x:c r="P43" s="102" t="str">
        <x:v>Representative route source / system source</x:v>
      </x:c>
    </x:row>
    <x:row r="44">
      <x:c r="A44" s="102" t="str">
        <x:v>FERRY_TERM_0043</x:v>
      </x:c>
      <x:c r="B44" s="102" t="str">
        <x:v>FERRY_SYS_0011</x:v>
      </x:c>
      <x:c r="C44" s="102" t="str">
        <x:v>Aqaba</x:v>
      </x:c>
      <x:c r="D44" s="102" t="str">
        <x:v>Aqaba</x:v>
      </x:c>
      <x:c r="E44" s="102"/>
      <x:c r="F44" s="102" t="str">
        <x:v>Jordan</x:v>
      </x:c>
      <x:c r="G44" s="102"/>
      <x:c r="H44" s="102" t="str">
        <x:v>COMP_AB_MARITIME</x:v>
      </x:c>
      <x:c r="I44" s="102"/>
      <x:c r="J44" s="102"/>
      <x:c r="K44" s="102" t="str">
        <x:v>To populate</x:v>
      </x:c>
      <x:c r="L44" s="102" t="str">
        <x:v>To populate</x:v>
      </x:c>
      <x:c r="M44" s="102" t="str">
        <x:v>To populate</x:v>
      </x:c>
      <x:c r="N44" s="102" t="str">
        <x:v>Road / local transport links to populate</x:v>
      </x:c>
      <x:c r="O44" s="102" t="str">
        <x:v>Active</x:v>
      </x:c>
      <x:c r="P44" s="102" t="str">
        <x:v>Representative route source / system source</x:v>
      </x:c>
    </x:row>
    <x:row r="45">
      <x:c r="A45" s="102" t="str">
        <x:v>FERRY_TERM_0044</x:v>
      </x:c>
      <x:c r="B45" s="102" t="str">
        <x:v>FERRY_SYS_0011</x:v>
      </x:c>
      <x:c r="C45" s="102" t="str">
        <x:v>Nuweiba</x:v>
      </x:c>
      <x:c r="D45" s="102" t="str">
        <x:v>Nuweiba</x:v>
      </x:c>
      <x:c r="E45" s="102"/>
      <x:c r="F45" s="102" t="str">
        <x:v>Egypt</x:v>
      </x:c>
      <x:c r="G45" s="102"/>
      <x:c r="H45" s="102" t="str">
        <x:v>COMP_AB_MARITIME</x:v>
      </x:c>
      <x:c r="I45" s="102"/>
      <x:c r="J45" s="102"/>
      <x:c r="K45" s="102" t="str">
        <x:v>To populate</x:v>
      </x:c>
      <x:c r="L45" s="102" t="str">
        <x:v>To populate</x:v>
      </x:c>
      <x:c r="M45" s="102" t="str">
        <x:v>To populate</x:v>
      </x:c>
      <x:c r="N45" s="102" t="str">
        <x:v>Road / local transport links to populate</x:v>
      </x:c>
      <x:c r="O45" s="102" t="str">
        <x:v>Active</x:v>
      </x:c>
      <x:c r="P45" s="102" t="str">
        <x:v>Representative route source / system source</x:v>
      </x:c>
    </x:row>
    <x:row r="46">
      <x:c r="A46" s="102" t="str">
        <x:v>FERRY_TERM_0045</x:v>
      </x:c>
      <x:c r="B46" s="102" t="str">
        <x:v>FERRY_SYS_0011</x:v>
      </x:c>
      <x:c r="C46" s="102" t="str">
        <x:v>Taba</x:v>
      </x:c>
      <x:c r="D46" s="102" t="str">
        <x:v>Taba</x:v>
      </x:c>
      <x:c r="E46" s="102"/>
      <x:c r="F46" s="102" t="str">
        <x:v>Egypt</x:v>
      </x:c>
      <x:c r="G46" s="102"/>
      <x:c r="H46" s="102" t="str">
        <x:v>COMP_AB_MARITIME</x:v>
      </x:c>
      <x:c r="I46" s="102"/>
      <x:c r="J46" s="102"/>
      <x:c r="K46" s="102" t="str">
        <x:v>To populate</x:v>
      </x:c>
      <x:c r="L46" s="102" t="str">
        <x:v>To populate</x:v>
      </x:c>
      <x:c r="M46" s="102" t="str">
        <x:v>To populate</x:v>
      </x:c>
      <x:c r="N46" s="102" t="str">
        <x:v>Road / local transport links to populate</x:v>
      </x:c>
      <x:c r="O46" s="102" t="str">
        <x:v>Active</x:v>
      </x:c>
      <x:c r="P46" s="102" t="str">
        <x:v>Representative route source / system source</x:v>
      </x:c>
    </x:row>
    <x:row r="47">
      <x:c r="A47" s="102" t="str">
        <x:v>FERRY_TERM_0046</x:v>
      </x:c>
      <x:c r="B47" s="102" t="str">
        <x:v>FERRY_SYS_0012</x:v>
      </x:c>
      <x:c r="C47" s="102" t="str">
        <x:v>Cape Jervis</x:v>
      </x:c>
      <x:c r="D47" s="102" t="str">
        <x:v>Cape Jervis</x:v>
      </x:c>
      <x:c r="E47" s="102"/>
      <x:c r="F47" s="102" t="str">
        <x:v>Australia</x:v>
      </x:c>
      <x:c r="G47" s="102"/>
      <x:c r="H47" s="102" t="str">
        <x:v>COMP_SEALINK_KI</x:v>
      </x:c>
      <x:c r="I47" s="102"/>
      <x:c r="J47" s="102"/>
      <x:c r="K47" s="102" t="str">
        <x:v>To populate</x:v>
      </x:c>
      <x:c r="L47" s="102" t="str">
        <x:v>To populate</x:v>
      </x:c>
      <x:c r="M47" s="102" t="str">
        <x:v>To populate</x:v>
      </x:c>
      <x:c r="N47" s="102" t="str">
        <x:v>Road / local transport links to populate</x:v>
      </x:c>
      <x:c r="O47" s="102" t="str">
        <x:v>Active</x:v>
      </x:c>
      <x:c r="P47" s="102" t="str">
        <x:v>Representative route source / system source</x:v>
      </x:c>
    </x:row>
    <x:row r="48">
      <x:c r="A48" s="102" t="str">
        <x:v>FERRY_TERM_0047</x:v>
      </x:c>
      <x:c r="B48" s="102" t="str">
        <x:v>FERRY_SYS_0012</x:v>
      </x:c>
      <x:c r="C48" s="102" t="str">
        <x:v>Penneshaw</x:v>
      </x:c>
      <x:c r="D48" s="102" t="str">
        <x:v>Penneshaw</x:v>
      </x:c>
      <x:c r="E48" s="102"/>
      <x:c r="F48" s="102" t="str">
        <x:v>Australia</x:v>
      </x:c>
      <x:c r="G48" s="102"/>
      <x:c r="H48" s="102" t="str">
        <x:v>COMP_SEALINK_KI</x:v>
      </x:c>
      <x:c r="I48" s="102"/>
      <x:c r="J48" s="102"/>
      <x:c r="K48" s="102" t="str">
        <x:v>To populate</x:v>
      </x:c>
      <x:c r="L48" s="102" t="str">
        <x:v>To populate</x:v>
      </x:c>
      <x:c r="M48" s="102" t="str">
        <x:v>To populate</x:v>
      </x:c>
      <x:c r="N48" s="102" t="str">
        <x:v>Road / local transport links to populate</x:v>
      </x:c>
      <x:c r="O48" s="102" t="str">
        <x:v>Active</x:v>
      </x:c>
      <x:c r="P48" s="102" t="str">
        <x:v>Representative route source / system source</x:v>
      </x:c>
    </x:row>
    <x:row r="49">
      <x:c r="A49" s="102" t="str">
        <x:v>FERRY_TERM_0048</x:v>
      </x:c>
      <x:c r="B49" s="102" t="str">
        <x:v>FERRY_SYS_0013</x:v>
      </x:c>
      <x:c r="C49" s="102" t="str">
        <x:v>Downtown Auckland</x:v>
      </x:c>
      <x:c r="D49" s="102" t="str">
        <x:v>Downtown Auckland</x:v>
      </x:c>
      <x:c r="E49" s="102"/>
      <x:c r="F49" s="102" t="str">
        <x:v>New Zealand</x:v>
      </x:c>
      <x:c r="G49" s="102"/>
      <x:c r="H49" s="102" t="str">
        <x:v>COMP_FULLERS360</x:v>
      </x:c>
      <x:c r="I49" s="102"/>
      <x:c r="J49" s="102"/>
      <x:c r="K49" s="102" t="str">
        <x:v>To populate</x:v>
      </x:c>
      <x:c r="L49" s="102" t="str">
        <x:v>To populate</x:v>
      </x:c>
      <x:c r="M49" s="102" t="str">
        <x:v>To populate</x:v>
      </x:c>
      <x:c r="N49" s="102" t="str">
        <x:v>Road / local transport links to populate</x:v>
      </x:c>
      <x:c r="O49" s="102" t="str">
        <x:v>Active</x:v>
      </x:c>
      <x:c r="P49" s="102" t="str">
        <x:v>Representative route source / system source</x:v>
      </x:c>
    </x:row>
    <x:row r="50">
      <x:c r="A50" s="102" t="str">
        <x:v>FERRY_TERM_0049</x:v>
      </x:c>
      <x:c r="B50" s="102" t="str">
        <x:v>FERRY_SYS_0013</x:v>
      </x:c>
      <x:c r="C50" s="102" t="str">
        <x:v>Matiatia / Waiheke Island</x:v>
      </x:c>
      <x:c r="D50" s="102" t="str">
        <x:v>Matiatia / Waiheke Island</x:v>
      </x:c>
      <x:c r="E50" s="102"/>
      <x:c r="F50" s="102" t="str">
        <x:v>New Zealand</x:v>
      </x:c>
      <x:c r="G50" s="102"/>
      <x:c r="H50" s="102" t="str">
        <x:v>COMP_FULLERS360</x:v>
      </x:c>
      <x:c r="I50" s="102"/>
      <x:c r="J50" s="102"/>
      <x:c r="K50" s="102" t="str">
        <x:v>To populate</x:v>
      </x:c>
      <x:c r="L50" s="102" t="str">
        <x:v>To populate</x:v>
      </x:c>
      <x:c r="M50" s="102" t="str">
        <x:v>To populate</x:v>
      </x:c>
      <x:c r="N50" s="102" t="str">
        <x:v>Road / local transport links to populate</x:v>
      </x:c>
      <x:c r="O50" s="102" t="str">
        <x:v>Active</x:v>
      </x:c>
      <x:c r="P50" s="102" t="str">
        <x:v>Representative route source / system source</x:v>
      </x:c>
    </x:row>
    <x:row r="51">
      <x:c r="A51" s="102" t="str">
        <x:v>FERRY_TERM_0050</x:v>
      </x:c>
      <x:c r="B51" s="102" t="str">
        <x:v>FERRY_SYS_0013</x:v>
      </x:c>
      <x:c r="C51" s="102" t="str">
        <x:v>Rangitoto Island</x:v>
      </x:c>
      <x:c r="D51" s="102" t="str">
        <x:v>Rangitoto Island</x:v>
      </x:c>
      <x:c r="E51" s="102"/>
      <x:c r="F51" s="102" t="str">
        <x:v>New Zealand</x:v>
      </x:c>
      <x:c r="G51" s="102"/>
      <x:c r="H51" s="102" t="str">
        <x:v>COMP_FULLERS360</x:v>
      </x:c>
      <x:c r="I51" s="102"/>
      <x:c r="J51" s="102"/>
      <x:c r="K51" s="102" t="str">
        <x:v>To populate</x:v>
      </x:c>
      <x:c r="L51" s="102" t="str">
        <x:v>To populate</x:v>
      </x:c>
      <x:c r="M51" s="102" t="str">
        <x:v>To populate</x:v>
      </x:c>
      <x:c r="N51" s="102" t="str">
        <x:v>Road / local transport links to populate</x:v>
      </x:c>
      <x:c r="O51" s="102" t="str">
        <x:v>Active</x:v>
      </x:c>
      <x:c r="P51" s="102" t="str">
        <x:v>Representative route source / system source</x:v>
      </x:c>
    </x:row>
  </x:sheetData>
  <x:pageMargins left="0.7" right="0.7" top="0.75" bottom="0.75" header="0.3" footer="0.3"/>
</x:worksheet>
</file>

<file path=xl/worksheets/sheet49.xml><?xml version="1.0" encoding="utf-8"?>
<x:worksheet xmlns:x="http://schemas.openxmlformats.org/spreadsheetml/2006/main">
  <x:sheetFormatPr defaultRowHeight="15"/>
  <x:cols>
    <x:col min="1" max="1" width="14" hidden="0" customWidth="1"/>
    <x:col min="2" max="2" width="14" hidden="0" customWidth="1"/>
    <x:col min="3" max="3" width="22"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22" hidden="0" customWidth="1"/>
    <x:col min="11" max="11" width="22"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22" hidden="0" customWidth="1"/>
    <x:col min="20" max="20" width="22" hidden="0" customWidth="1"/>
    <x:col min="21" max="21" width="22" hidden="0" customWidth="1"/>
    <x:col min="22" max="22" width="36" hidden="0" customWidth="1"/>
    <x:col min="23" max="23" width="36" hidden="0" customWidth="1"/>
  </x:cols>
  <x:sheetData>
    <x:row r="1">
      <x:c r="A1" s="165" t="str">
        <x:v>Staging ID</x:v>
      </x:c>
      <x:c r="B1" s="165" t="str">
        <x:v>System ID</x:v>
      </x:c>
      <x:c r="C1" s="165" t="str">
        <x:v>Vessel Name</x:v>
      </x:c>
      <x:c r="D1" s="165" t="str">
        <x:v>Canonical Vessel ID</x:v>
      </x:c>
      <x:c r="E1" s="165" t="str">
        <x:v>IMO</x:v>
      </x:c>
      <x:c r="F1" s="165" t="str">
        <x:v>MMSI</x:v>
      </x:c>
      <x:c r="G1" s="165" t="str">
        <x:v>USCG Official Number</x:v>
      </x:c>
      <x:c r="H1" s="165" t="str">
        <x:v>Canadian Official Number</x:v>
      </x:c>
      <x:c r="I1" s="165" t="str">
        <x:v>Call Sign</x:v>
      </x:c>
      <x:c r="J1" s="165" t="str">
        <x:v>Vessel Type</x:v>
      </x:c>
      <x:c r="K1" s="165" t="str">
        <x:v>Subtype / Class</x:v>
      </x:c>
      <x:c r="L1" s="165" t="str">
        <x:v>Flag</x:v>
      </x:c>
      <x:c r="M1" s="165" t="str">
        <x:v>Passenger Capacity</x:v>
      </x:c>
      <x:c r="N1" s="165" t="str">
        <x:v>Vehicle Capacity</x:v>
      </x:c>
      <x:c r="O1" s="165" t="str">
        <x:v>Freight / Lane Metres</x:v>
      </x:c>
      <x:c r="P1" s="165" t="str">
        <x:v>Year Built</x:v>
      </x:c>
      <x:c r="Q1" s="165" t="str">
        <x:v>Shipyard</x:v>
      </x:c>
      <x:c r="R1" s="165" t="str">
        <x:v>Propulsion / Fuel</x:v>
      </x:c>
      <x:c r="S1" s="165" t="str">
        <x:v>Current Status</x:v>
      </x:c>
      <x:c r="T1" s="165" t="str">
        <x:v>Primary Route</x:v>
      </x:c>
      <x:c r="U1" s="165" t="str">
        <x:v>Data Status</x:v>
      </x:c>
      <x:c r="V1" s="165" t="str">
        <x:v>Source URL</x:v>
      </x:c>
      <x:c r="W1" s="165" t="str">
        <x:v>Notes</x:v>
      </x:c>
    </x:row>
    <x:row r="2">
      <x:c r="A2" s="102" t="str">
        <x:v>FERRY_VS_0001</x:v>
      </x:c>
      <x:c r="B2" s="102" t="str">
        <x:v>FERRY_SYS_0001</x:v>
      </x:c>
      <x:c r="C2" s="102" t="str">
        <x:v>Coastal Celebration</x:v>
      </x:c>
      <x:c r="D2" s="102"/>
      <x:c r="E2" s="102"/>
      <x:c r="F2" s="102"/>
      <x:c r="G2" s="102"/>
      <x:c r="H2" s="102"/>
      <x:c r="I2" s="102"/>
      <x:c r="J2" s="102" t="str">
        <x:v>Ro-Pax ferry</x:v>
      </x:c>
      <x:c r="K2" s="102"/>
      <x:c r="L2" s="102"/>
      <x:c r="M2" s="102"/>
      <x:c r="N2" s="102"/>
      <x:c r="O2" s="102"/>
      <x:c r="P2" s="102"/>
      <x:c r="Q2" s="102"/>
      <x:c r="R2" s="102" t="str">
        <x:v>Operating</x:v>
      </x:c>
      <x:c r="S2" s="102" t="str">
        <x:v>Tsawwassen - Swartz Bay</x:v>
      </x:c>
      <x:c r="T2" s="102" t="str">
        <x:v>Research seed</x:v>
      </x:c>
      <x:c r="U2" s="102" t="str">
        <x:v>https://www.bcferries.com/on-the-ferry/our-fleet</x:v>
      </x:c>
      <x:c r="V2" s="102" t="str">
        <x:v>Regular route stated by BC Ferries.</x:v>
      </x:c>
      <x:c r="W2" s="102"/>
    </x:row>
    <x:row r="3">
      <x:c r="A3" s="102" t="str">
        <x:v>FERRY_VS_0002</x:v>
      </x:c>
      <x:c r="B3" s="102" t="str">
        <x:v>FERRY_SYS_0001</x:v>
      </x:c>
      <x:c r="C3" s="102" t="str">
        <x:v>Coastal Inspiration</x:v>
      </x:c>
      <x:c r="D3" s="102"/>
      <x:c r="E3" s="102"/>
      <x:c r="F3" s="102"/>
      <x:c r="G3" s="102"/>
      <x:c r="H3" s="102"/>
      <x:c r="I3" s="102"/>
      <x:c r="J3" s="102" t="str">
        <x:v>Ro-Pax ferry</x:v>
      </x:c>
      <x:c r="K3" s="102"/>
      <x:c r="L3" s="102"/>
      <x:c r="M3" s="102"/>
      <x:c r="N3" s="102"/>
      <x:c r="O3" s="102"/>
      <x:c r="P3" s="102"/>
      <x:c r="Q3" s="102"/>
      <x:c r="R3" s="102" t="str">
        <x:v>Operating</x:v>
      </x:c>
      <x:c r="S3" s="102" t="str">
        <x:v>Tsawwassen - Duke Point</x:v>
      </x:c>
      <x:c r="T3" s="102" t="str">
        <x:v>Research seed</x:v>
      </x:c>
      <x:c r="U3" s="102" t="str">
        <x:v>https://www.bcferries.com/on-the-ferry/our-fleet</x:v>
      </x:c>
      <x:c r="V3" s="102" t="str">
        <x:v>Regular route stated by BC Ferries.</x:v>
      </x:c>
      <x:c r="W3" s="102"/>
    </x:row>
    <x:row r="4">
      <x:c r="A4" s="102" t="str">
        <x:v>FERRY_VS_0003</x:v>
      </x:c>
      <x:c r="B4" s="102" t="str">
        <x:v>FERRY_SYS_0001</x:v>
      </x:c>
      <x:c r="C4" s="102" t="str">
        <x:v>Northern Expedition</x:v>
      </x:c>
      <x:c r="D4" s="102"/>
      <x:c r="E4" s="102"/>
      <x:c r="F4" s="102"/>
      <x:c r="G4" s="102"/>
      <x:c r="H4" s="102"/>
      <x:c r="I4" s="102"/>
      <x:c r="J4" s="102" t="str">
        <x:v>Ro-Pax ferry</x:v>
      </x:c>
      <x:c r="K4" s="102"/>
      <x:c r="L4" s="102"/>
      <x:c r="M4" s="102"/>
      <x:c r="N4" s="102"/>
      <x:c r="O4" s="102"/>
      <x:c r="P4" s="102"/>
      <x:c r="Q4" s="102"/>
      <x:c r="R4" s="102" t="str">
        <x:v>Operating</x:v>
      </x:c>
      <x:c r="S4" s="102" t="str">
        <x:v>Port Hardy - Prince Rupert</x:v>
      </x:c>
      <x:c r="T4" s="102" t="str">
        <x:v>Research seed</x:v>
      </x:c>
      <x:c r="U4" s="102" t="str">
        <x:v>https://www.bcferries.com/on-the-ferry/our-fleet</x:v>
      </x:c>
      <x:c r="V4" s="102" t="str">
        <x:v>Northern route vessel.</x:v>
      </x:c>
      <x:c r="W4" s="102"/>
    </x:row>
    <x:row r="5">
      <x:c r="A5" s="102" t="str">
        <x:v>FERRY_VS_0004</x:v>
      </x:c>
      <x:c r="B5" s="102" t="str">
        <x:v>FERRY_SYS_0001</x:v>
      </x:c>
      <x:c r="C5" s="102" t="str">
        <x:v>Northern Adventure</x:v>
      </x:c>
      <x:c r="D5" s="102"/>
      <x:c r="E5" s="102"/>
      <x:c r="F5" s="102"/>
      <x:c r="G5" s="102"/>
      <x:c r="H5" s="102"/>
      <x:c r="I5" s="102"/>
      <x:c r="J5" s="102" t="str">
        <x:v>Ro-Pax ferry</x:v>
      </x:c>
      <x:c r="K5" s="102"/>
      <x:c r="L5" s="102"/>
      <x:c r="M5" s="102"/>
      <x:c r="N5" s="102"/>
      <x:c r="O5" s="102"/>
      <x:c r="P5" s="102"/>
      <x:c r="Q5" s="102"/>
      <x:c r="R5" s="102" t="str">
        <x:v>Operating</x:v>
      </x:c>
      <x:c r="S5" s="102" t="str">
        <x:v>Port Hardy - Prince Rupert</x:v>
      </x:c>
      <x:c r="T5" s="102" t="str">
        <x:v>Research seed</x:v>
      </x:c>
      <x:c r="U5" s="102" t="str">
        <x:v>https://www.bcferries.com/on-the-ferry/our-fleet</x:v>
      </x:c>
      <x:c r="V5" s="102" t="str">
        <x:v>Northern route vessel.</x:v>
      </x:c>
      <x:c r="W5" s="102"/>
    </x:row>
    <x:row r="6">
      <x:c r="A6" s="102" t="str">
        <x:v>FERRY_VS_0005</x:v>
      </x:c>
      <x:c r="B6" s="102" t="str">
        <x:v>FERRY_SYS_0001</x:v>
      </x:c>
      <x:c r="C6" s="102" t="str">
        <x:v>Kahloke</x:v>
      </x:c>
      <x:c r="D6" s="102"/>
      <x:c r="E6" s="102"/>
      <x:c r="F6" s="102"/>
      <x:c r="G6" s="102"/>
      <x:c r="H6" s="102"/>
      <x:c r="I6" s="102"/>
      <x:c r="J6" s="102" t="str">
        <x:v>Vehicle ferry</x:v>
      </x:c>
      <x:c r="K6" s="102"/>
      <x:c r="L6" s="102"/>
      <x:c r="M6" s="102"/>
      <x:c r="N6" s="102"/>
      <x:c r="O6" s="102"/>
      <x:c r="P6" s="102"/>
      <x:c r="Q6" s="102"/>
      <x:c r="R6" s="102" t="str">
        <x:v>Operating</x:v>
      </x:c>
      <x:c r="S6" s="102" t="str">
        <x:v>Denman Island East - Hornby Island</x:v>
      </x:c>
      <x:c r="T6" s="102" t="str">
        <x:v>Research seed</x:v>
      </x:c>
      <x:c r="U6" s="102" t="str">
        <x:v>https://www.bcferries.com/on-the-ferry/our-fleet</x:v>
      </x:c>
      <x:c r="V6" s="102" t="str">
        <x:v>Mechanical-disruption data candidate.</x:v>
      </x:c>
      <x:c r="W6" s="102"/>
    </x:row>
    <x:row r="7">
      <x:c r="A7" s="102" t="str">
        <x:v>FERRY_VS_0006</x:v>
      </x:c>
      <x:c r="B7" s="102" t="str">
        <x:v>FERRY_SYS_0003</x:v>
      </x:c>
      <x:c r="C7" s="102" t="str">
        <x:v>MV Columbia</x:v>
      </x:c>
      <x:c r="D7" s="102"/>
      <x:c r="E7" s="102"/>
      <x:c r="F7" s="102"/>
      <x:c r="G7" s="102"/>
      <x:c r="H7" s="102"/>
      <x:c r="I7" s="102"/>
      <x:c r="J7" s="102" t="str">
        <x:v>Mainline ferry</x:v>
      </x:c>
      <x:c r="K7" s="102"/>
      <x:c r="L7" s="102"/>
      <x:c r="M7" s="102"/>
      <x:c r="N7" s="102"/>
      <x:c r="O7" s="102"/>
      <x:c r="P7" s="102"/>
      <x:c r="Q7" s="102"/>
      <x:c r="R7" s="102" t="str">
        <x:v>Fleet-listed</x:v>
      </x:c>
      <x:c r="S7" s="102"/>
      <x:c r="T7" s="102" t="str">
        <x:v>Research seed</x:v>
      </x:c>
      <x:c r="U7" s="102" t="str">
        <x:v>https://dot.alaska.gov/amhs/fleet.shtml</x:v>
      </x:c>
      <x:c r="V7" s="102" t="str">
        <x:v>Canonical IMO/USCG identifiers to populate.</x:v>
      </x:c>
      <x:c r="W7" s="102"/>
    </x:row>
    <x:row r="8">
      <x:c r="A8" s="102" t="str">
        <x:v>FERRY_VS_0007</x:v>
      </x:c>
      <x:c r="B8" s="102" t="str">
        <x:v>FERRY_SYS_0003</x:v>
      </x:c>
      <x:c r="C8" s="102" t="str">
        <x:v>MV Kennicott</x:v>
      </x:c>
      <x:c r="D8" s="102"/>
      <x:c r="E8" s="102"/>
      <x:c r="F8" s="102"/>
      <x:c r="G8" s="102"/>
      <x:c r="H8" s="102"/>
      <x:c r="I8" s="102"/>
      <x:c r="J8" s="102" t="str">
        <x:v>Mainline ferry</x:v>
      </x:c>
      <x:c r="K8" s="102"/>
      <x:c r="L8" s="102"/>
      <x:c r="M8" s="102"/>
      <x:c r="N8" s="102"/>
      <x:c r="O8" s="102"/>
      <x:c r="P8" s="102"/>
      <x:c r="Q8" s="102"/>
      <x:c r="R8" s="102" t="str">
        <x:v>Overhaul</x:v>
      </x:c>
      <x:c r="S8" s="102"/>
      <x:c r="T8" s="102" t="str">
        <x:v>Research seed</x:v>
      </x:c>
      <x:c r="U8" s="102" t="str">
        <x:v>https://dot.alaska.gov/amhs/fleet_status.shtml</x:v>
      </x:c>
      <x:c r="V8" s="102" t="str">
        <x:v>Status from AMHS fleet-status source.</x:v>
      </x:c>
      <x:c r="W8" s="102"/>
    </x:row>
    <x:row r="9">
      <x:c r="A9" s="102" t="str">
        <x:v>FERRY_VS_0008</x:v>
      </x:c>
      <x:c r="B9" s="102" t="str">
        <x:v>FERRY_SYS_0003</x:v>
      </x:c>
      <x:c r="C9" s="102" t="str">
        <x:v>MV Tustumena</x:v>
      </x:c>
      <x:c r="D9" s="102"/>
      <x:c r="E9" s="102"/>
      <x:c r="F9" s="102"/>
      <x:c r="G9" s="102"/>
      <x:c r="H9" s="102"/>
      <x:c r="I9" s="102"/>
      <x:c r="J9" s="102" t="str">
        <x:v>Mainline ferry</x:v>
      </x:c>
      <x:c r="K9" s="102"/>
      <x:c r="L9" s="102"/>
      <x:c r="M9" s="102"/>
      <x:c r="N9" s="102"/>
      <x:c r="O9" s="102"/>
      <x:c r="P9" s="102"/>
      <x:c r="Q9" s="102"/>
      <x:c r="R9" s="102" t="str">
        <x:v>Operating</x:v>
      </x:c>
      <x:c r="S9" s="102"/>
      <x:c r="T9" s="102" t="str">
        <x:v>Research seed</x:v>
      </x:c>
      <x:c r="U9" s="102" t="str">
        <x:v>https://dot.alaska.gov/amhs/fleet.shtml</x:v>
      </x:c>
      <x:c r="V9" s="102" t="str">
        <x:v>Canonical IMO/USCG identifiers to populate.</x:v>
      </x:c>
      <x:c r="W9" s="102"/>
    </x:row>
    <x:row r="10">
      <x:c r="A10" s="102" t="str">
        <x:v>FERRY_VS_0009</x:v>
      </x:c>
      <x:c r="B10" s="102" t="str">
        <x:v>FERRY_SYS_0003</x:v>
      </x:c>
      <x:c r="C10" s="102" t="str">
        <x:v>MV Lituya</x:v>
      </x:c>
      <x:c r="D10" s="102"/>
      <x:c r="E10" s="102"/>
      <x:c r="F10" s="102"/>
      <x:c r="G10" s="102"/>
      <x:c r="H10" s="102"/>
      <x:c r="I10" s="102"/>
      <x:c r="J10" s="102" t="str">
        <x:v>Day boat / shuttle ferry</x:v>
      </x:c>
      <x:c r="K10" s="102"/>
      <x:c r="L10" s="102"/>
      <x:c r="M10" s="102"/>
      <x:c r="N10" s="102"/>
      <x:c r="O10" s="102"/>
      <x:c r="P10" s="102"/>
      <x:c r="Q10" s="102"/>
      <x:c r="R10" s="102" t="str">
        <x:v>Operating</x:v>
      </x:c>
      <x:c r="S10" s="102" t="str">
        <x:v>Ketchikan - Annette Bay</x:v>
      </x:c>
      <x:c r="T10" s="102" t="str">
        <x:v>Research seed</x:v>
      </x:c>
      <x:c r="U10" s="102" t="str">
        <x:v>https://dot.alaska.gov/amhs/fleet/fleet_status.shtml</x:v>
      </x:c>
      <x:c r="V10" s="102" t="str">
        <x:v>Current service assignment.</x:v>
      </x:c>
      <x:c r="W10" s="102"/>
    </x:row>
    <x:row r="11">
      <x:c r="A11" s="102" t="str">
        <x:v>FERRY_VS_0010</x:v>
      </x:c>
      <x:c r="B11" s="102" t="str">
        <x:v>FERRY_SYS_0004</x:v>
      </x:c>
      <x:c r="C11" s="102" t="str">
        <x:v>Ala'suinu</x:v>
      </x:c>
      <x:c r="D11" s="102"/>
      <x:c r="E11" s="102"/>
      <x:c r="F11" s="102"/>
      <x:c r="G11" s="102"/>
      <x:c r="H11" s="102"/>
      <x:c r="I11" s="102"/>
      <x:c r="J11" s="102" t="str">
        <x:v>Ro-Pax ferry</x:v>
      </x:c>
      <x:c r="K11" s="102"/>
      <x:c r="L11" s="102"/>
      <x:c r="M11" s="102"/>
      <x:c r="N11" s="102"/>
      <x:c r="O11" s="102"/>
      <x:c r="P11" s="102"/>
      <x:c r="Q11" s="102"/>
      <x:c r="R11" s="102" t="str">
        <x:v>Operating</x:v>
      </x:c>
      <x:c r="S11" s="102" t="str">
        <x:v>North Sydney - Argentia / Port aux Basques</x:v>
      </x:c>
      <x:c r="T11" s="102" t="str">
        <x:v>Research seed</x:v>
      </x:c>
      <x:c r="U11" s="102" t="str">
        <x:v>https://www.marineatlantic.ca/onboard-experience/our-fleet</x:v>
      </x:c>
      <x:c r="V11" s="102" t="str">
        <x:v>Newer Marine Atlantic vessel.</x:v>
      </x:c>
      <x:c r="W11" s="102"/>
    </x:row>
    <x:row r="12">
      <x:c r="A12" s="102" t="str">
        <x:v>FERRY_VS_0011</x:v>
      </x:c>
      <x:c r="B12" s="102" t="str">
        <x:v>FERRY_SYS_0004</x:v>
      </x:c>
      <x:c r="C12" s="102" t="str">
        <x:v>Blue Puttees</x:v>
      </x:c>
      <x:c r="D12" s="102"/>
      <x:c r="E12" s="102"/>
      <x:c r="F12" s="102"/>
      <x:c r="G12" s="102"/>
      <x:c r="H12" s="102"/>
      <x:c r="I12" s="102"/>
      <x:c r="J12" s="102" t="str">
        <x:v>Ro-Pax ferry</x:v>
      </x:c>
      <x:c r="K12" s="102"/>
      <x:c r="L12" s="102"/>
      <x:c r="M12" s="102"/>
      <x:c r="N12" s="102"/>
      <x:c r="O12" s="102"/>
      <x:c r="P12" s="102"/>
      <x:c r="Q12" s="102"/>
      <x:c r="R12" s="102" t="str">
        <x:v>Operating</x:v>
      </x:c>
      <x:c r="S12" s="102" t="str">
        <x:v>North Sydney - Newfoundland</x:v>
      </x:c>
      <x:c r="T12" s="102" t="str">
        <x:v>Research seed</x:v>
      </x:c>
      <x:c r="U12" s="102" t="str">
        <x:v>https://www.marineatlantic.ca/onboard-experience/our-fleet</x:v>
      </x:c>
      <x:c r="V12" s="102" t="str">
        <x:v>Passenger/commercial ferry.</x:v>
      </x:c>
      <x:c r="W12" s="102"/>
    </x:row>
    <x:row r="13">
      <x:c r="A13" s="102" t="str">
        <x:v>FERRY_VS_0012</x:v>
      </x:c>
      <x:c r="B13" s="102" t="str">
        <x:v>FERRY_SYS_0004</x:v>
      </x:c>
      <x:c r="C13" s="102" t="str">
        <x:v>Highlanders</x:v>
      </x:c>
      <x:c r="D13" s="102"/>
      <x:c r="E13" s="102"/>
      <x:c r="F13" s="102"/>
      <x:c r="G13" s="102"/>
      <x:c r="H13" s="102"/>
      <x:c r="I13" s="102"/>
      <x:c r="J13" s="102" t="str">
        <x:v>Ro-Pax ferry</x:v>
      </x:c>
      <x:c r="K13" s="102"/>
      <x:c r="L13" s="102"/>
      <x:c r="M13" s="102"/>
      <x:c r="N13" s="102"/>
      <x:c r="O13" s="102" t="str">
        <x:v>~3 km lane space</x:v>
      </x:c>
      <x:c r="P13" s="102"/>
      <x:c r="Q13" s="102"/>
      <x:c r="R13" s="102"/>
      <x:c r="S13" s="102" t="str">
        <x:v>Operating</x:v>
      </x:c>
      <x:c r="T13" s="102" t="str">
        <x:v>North Sydney - Newfoundland</x:v>
      </x:c>
      <x:c r="U13" s="102" t="str">
        <x:v>Research seed</x:v>
      </x:c>
      <x:c r="V13" s="102" t="str">
        <x:v>https://www.marineatlantic.ca/onboard-experience/our-fleet</x:v>
      </x:c>
      <x:c r="W13" s="102" t="str">
        <x:v>Official source notes almost 3 km of vehicle-deck lane space.</x:v>
      </x:c>
    </x:row>
    <x:row r="14">
      <x:c r="A14" s="102" t="str">
        <x:v>FERRY_VS_0013</x:v>
      </x:c>
      <x:c r="B14" s="102" t="str">
        <x:v>FERRY_SYS_0004</x:v>
      </x:c>
      <x:c r="C14" s="102" t="str">
        <x:v>Leif Ericson</x:v>
      </x:c>
      <x:c r="D14" s="102"/>
      <x:c r="E14" s="102"/>
      <x:c r="F14" s="102"/>
      <x:c r="G14" s="102"/>
      <x:c r="H14" s="102"/>
      <x:c r="I14" s="102"/>
      <x:c r="J14" s="102" t="str">
        <x:v>Commercial ferry</x:v>
      </x:c>
      <x:c r="K14" s="102"/>
      <x:c r="L14" s="102"/>
      <x:c r="M14" s="102"/>
      <x:c r="N14" s="102"/>
      <x:c r="O14" s="102" t="str">
        <x:v>1.5+ km lane space</x:v>
      </x:c>
      <x:c r="P14" s="102"/>
      <x:c r="Q14" s="102"/>
      <x:c r="R14" s="102"/>
      <x:c r="S14" s="102" t="str">
        <x:v>Operating</x:v>
      </x:c>
      <x:c r="T14" s="102" t="str">
        <x:v>North Sydney - Port aux Basques</x:v>
      </x:c>
      <x:c r="U14" s="102" t="str">
        <x:v>Research seed</x:v>
      </x:c>
      <x:c r="V14" s="102" t="str">
        <x:v>https://www.marineatlantic.ca/onboard-experience/our-fleet</x:v>
      </x:c>
      <x:c r="W14" s="102" t="str">
        <x:v>Dedicated commercial ferry / restricted-goods capacity.</x:v>
      </x:c>
    </x:row>
    <x:row r="15">
      <x:c r="A15" s="102" t="str">
        <x:v>FERRY_VS_0014</x:v>
      </x:c>
      <x:c r="B15" s="102" t="str">
        <x:v>FERRY_SYS_0007</x:v>
      </x:c>
      <x:c r="C15" s="102" t="str">
        <x:v>Sunflower Kurenai</x:v>
      </x:c>
      <x:c r="D15" s="102"/>
      <x:c r="E15" s="102"/>
      <x:c r="F15" s="102"/>
      <x:c r="G15" s="102"/>
      <x:c r="H15" s="102"/>
      <x:c r="I15" s="102"/>
      <x:c r="J15" s="102" t="str">
        <x:v>Ro-Pax ferry</x:v>
      </x:c>
      <x:c r="K15" s="102"/>
      <x:c r="L15" s="102"/>
      <x:c r="M15" s="102" t="str">
        <x:v>716</x:v>
      </x:c>
      <x:c r="N15" s="102"/>
      <x:c r="O15" s="102"/>
      <x:c r="P15" s="102" t="str">
        <x:v>2023</x:v>
      </x:c>
      <x:c r="Q15" s="102"/>
      <x:c r="R15" s="102" t="str">
        <x:v>Operating</x:v>
      </x:c>
      <x:c r="S15" s="102" t="str">
        <x:v>Osaka - Beppu</x:v>
      </x:c>
      <x:c r="T15" s="102" t="str">
        <x:v>Research seed</x:v>
      </x:c>
      <x:c r="U15" s="102" t="str">
        <x:v>https://www.ferry-sunflower.co.jp/en/route/osaka-beppu/time/</x:v>
      </x:c>
      <x:c r="V15" s="102" t="str">
        <x:v>Official source: 716 guests; 199.9 m; 22.5 kn service speed; DWT 17,114.</x:v>
      </x:c>
      <x:c r="W15" s="102"/>
    </x:row>
    <x:row r="16">
      <x:c r="A16" s="102" t="str">
        <x:v>FERRY_VS_0015</x:v>
      </x:c>
      <x:c r="B16" s="102" t="str">
        <x:v>FERRY_SYS_0007</x:v>
      </x:c>
      <x:c r="C16" s="102" t="str">
        <x:v>Sunflower Murasaki</x:v>
      </x:c>
      <x:c r="D16" s="102"/>
      <x:c r="E16" s="102"/>
      <x:c r="F16" s="102"/>
      <x:c r="G16" s="102"/>
      <x:c r="H16" s="102"/>
      <x:c r="I16" s="102"/>
      <x:c r="J16" s="102" t="str">
        <x:v>Ro-Pax ferry</x:v>
      </x:c>
      <x:c r="K16" s="102"/>
      <x:c r="L16" s="102"/>
      <x:c r="M16" s="102" t="str">
        <x:v>716</x:v>
      </x:c>
      <x:c r="N16" s="102"/>
      <x:c r="O16" s="102"/>
      <x:c r="P16" s="102" t="str">
        <x:v>2023</x:v>
      </x:c>
      <x:c r="Q16" s="102"/>
      <x:c r="R16" s="102" t="str">
        <x:v>Operating</x:v>
      </x:c>
      <x:c r="S16" s="102" t="str">
        <x:v>Osaka - Beppu</x:v>
      </x:c>
      <x:c r="T16" s="102" t="str">
        <x:v>Research seed</x:v>
      </x:c>
      <x:c r="U16" s="102" t="str">
        <x:v>https://www.ferry-sunflower.co.jp/en/route/osaka-beppu/time/</x:v>
      </x:c>
      <x:c r="V16" s="102" t="str">
        <x:v>Sister vessel / route source.</x:v>
      </x:c>
      <x:c r="W16" s="102"/>
    </x:row>
    <x:row r="17">
      <x:c r="A17" s="102" t="str">
        <x:v>FERRY_VS_0016</x:v>
      </x:c>
      <x:c r="B17" s="102" t="str">
        <x:v>FERRY_SYS_0008</x:v>
      </x:c>
      <x:c r="C17" s="102" t="str">
        <x:v>MV 2GO Maligaya</x:v>
      </x:c>
      <x:c r="D17" s="102"/>
      <x:c r="E17" s="102"/>
      <x:c r="F17" s="102"/>
      <x:c r="G17" s="102"/>
      <x:c r="H17" s="102"/>
      <x:c r="I17" s="102"/>
      <x:c r="J17" s="102" t="str">
        <x:v>Passenger / cargo ferry</x:v>
      </x:c>
      <x:c r="K17" s="102"/>
      <x:c r="L17" s="102"/>
      <x:c r="M17" s="102"/>
      <x:c r="N17" s="102"/>
      <x:c r="O17" s="102"/>
      <x:c r="P17" s="102"/>
      <x:c r="Q17" s="102"/>
      <x:c r="R17" s="102" t="str">
        <x:v>Operating</x:v>
      </x:c>
      <x:c r="S17" s="102" t="str">
        <x:v>Philippine inter-island</x:v>
      </x:c>
      <x:c r="T17" s="102" t="str">
        <x:v>Research seed</x:v>
      </x:c>
      <x:c r="U17" s="102" t="str">
        <x:v>https://2go.com.ph/travel/book/sailing-schedule/</x:v>
      </x:c>
      <x:c r="V17" s="102" t="str">
        <x:v>Published on current 2026 sailing schedule.</x:v>
      </x:c>
      <x:c r="W17" s="102"/>
    </x:row>
    <x:row r="18">
      <x:c r="A18" s="102" t="str">
        <x:v>FERRY_VS_0017</x:v>
      </x:c>
      <x:c r="B18" s="102" t="str">
        <x:v>FERRY_SYS_0008</x:v>
      </x:c>
      <x:c r="C18" s="102" t="str">
        <x:v>MV 2GO Masagana</x:v>
      </x:c>
      <x:c r="D18" s="102"/>
      <x:c r="E18" s="102"/>
      <x:c r="F18" s="102"/>
      <x:c r="G18" s="102"/>
      <x:c r="H18" s="102"/>
      <x:c r="I18" s="102"/>
      <x:c r="J18" s="102" t="str">
        <x:v>Passenger / cargo ferry</x:v>
      </x:c>
      <x:c r="K18" s="102"/>
      <x:c r="L18" s="102"/>
      <x:c r="M18" s="102"/>
      <x:c r="N18" s="102"/>
      <x:c r="O18" s="102"/>
      <x:c r="P18" s="102"/>
      <x:c r="Q18" s="102"/>
      <x:c r="R18" s="102" t="str">
        <x:v>Operating</x:v>
      </x:c>
      <x:c r="S18" s="102" t="str">
        <x:v>Philippine inter-island</x:v>
      </x:c>
      <x:c r="T18" s="102" t="str">
        <x:v>Research seed</x:v>
      </x:c>
      <x:c r="U18" s="102" t="str">
        <x:v>https://2go.com.ph/travel/book/sailing-schedule/</x:v>
      </x:c>
      <x:c r="V18" s="102" t="str">
        <x:v>Published on current 2026 sailing schedule.</x:v>
      </x:c>
      <x:c r="W18" s="102"/>
    </x:row>
    <x:row r="19">
      <x:c r="A19" s="102" t="str">
        <x:v>FERRY_VS_0018</x:v>
      </x:c>
      <x:c r="B19" s="102" t="str">
        <x:v>FERRY_SYS_0008</x:v>
      </x:c>
      <x:c r="C19" s="102" t="str">
        <x:v>MV 2GO Masikap</x:v>
      </x:c>
      <x:c r="D19" s="102"/>
      <x:c r="E19" s="102"/>
      <x:c r="F19" s="102"/>
      <x:c r="G19" s="102"/>
      <x:c r="H19" s="102"/>
      <x:c r="I19" s="102"/>
      <x:c r="J19" s="102" t="str">
        <x:v>Passenger / cargo ferry</x:v>
      </x:c>
      <x:c r="K19" s="102"/>
      <x:c r="L19" s="102"/>
      <x:c r="M19" s="102"/>
      <x:c r="N19" s="102"/>
      <x:c r="O19" s="102"/>
      <x:c r="P19" s="102"/>
      <x:c r="Q19" s="102"/>
      <x:c r="R19" s="102" t="str">
        <x:v>Operating</x:v>
      </x:c>
      <x:c r="S19" s="102" t="str">
        <x:v>Philippine inter-island</x:v>
      </x:c>
      <x:c r="T19" s="102" t="str">
        <x:v>Research seed</x:v>
      </x:c>
      <x:c r="U19" s="102" t="str">
        <x:v>https://2go.com.ph/travel/book/sailing-schedule/</x:v>
      </x:c>
      <x:c r="V19" s="102" t="str">
        <x:v>Published on current 2026 sailing schedule.</x:v>
      </x:c>
      <x:c r="W19" s="102"/>
    </x:row>
    <x:row r="20">
      <x:c r="A20" s="102" t="str">
        <x:v>FERRY_VS_0019</x:v>
      </x:c>
      <x:c r="B20" s="102" t="str">
        <x:v>FERRY_SYS_0008</x:v>
      </x:c>
      <x:c r="C20" s="102" t="str">
        <x:v>MV 2GO Masigla</x:v>
      </x:c>
      <x:c r="D20" s="102"/>
      <x:c r="E20" s="102"/>
      <x:c r="F20" s="102"/>
      <x:c r="G20" s="102"/>
      <x:c r="H20" s="102"/>
      <x:c r="I20" s="102"/>
      <x:c r="J20" s="102" t="str">
        <x:v>Passenger / cargo ferry</x:v>
      </x:c>
      <x:c r="K20" s="102"/>
      <x:c r="L20" s="102"/>
      <x:c r="M20" s="102"/>
      <x:c r="N20" s="102"/>
      <x:c r="O20" s="102"/>
      <x:c r="P20" s="102"/>
      <x:c r="Q20" s="102"/>
      <x:c r="R20" s="102" t="str">
        <x:v>Operating</x:v>
      </x:c>
      <x:c r="S20" s="102" t="str">
        <x:v>Philippine inter-island</x:v>
      </x:c>
      <x:c r="T20" s="102" t="str">
        <x:v>Research seed</x:v>
      </x:c>
      <x:c r="U20" s="102" t="str">
        <x:v>https://2go.com.ph/travel/book/sailing-schedule/</x:v>
      </x:c>
      <x:c r="V20" s="102" t="str">
        <x:v>Published on current 2026 sailing schedule.</x:v>
      </x:c>
      <x:c r="W20" s="102"/>
    </x:row>
    <x:row r="21">
      <x:c r="A21" s="102" t="str">
        <x:v>FERRY_VS_0020</x:v>
      </x:c>
      <x:c r="B21" s="102" t="str">
        <x:v>FERRY_SYS_0008</x:v>
      </x:c>
      <x:c r="C21" s="102" t="str">
        <x:v>MV 2GO Masinag</x:v>
      </x:c>
      <x:c r="D21" s="102"/>
      <x:c r="E21" s="102"/>
      <x:c r="F21" s="102"/>
      <x:c r="G21" s="102"/>
      <x:c r="H21" s="102"/>
      <x:c r="I21" s="102"/>
      <x:c r="J21" s="102" t="str">
        <x:v>Passenger / cargo ferry</x:v>
      </x:c>
      <x:c r="K21" s="102"/>
      <x:c r="L21" s="102"/>
      <x:c r="M21" s="102"/>
      <x:c r="N21" s="102"/>
      <x:c r="O21" s="102"/>
      <x:c r="P21" s="102"/>
      <x:c r="Q21" s="102"/>
      <x:c r="R21" s="102" t="str">
        <x:v>Operating</x:v>
      </x:c>
      <x:c r="S21" s="102" t="str">
        <x:v>Philippine inter-island</x:v>
      </x:c>
      <x:c r="T21" s="102" t="str">
        <x:v>Research seed</x:v>
      </x:c>
      <x:c r="U21" s="102" t="str">
        <x:v>https://2go.com.ph/travel/advisories/travel-advisory-as-of-april-11-2026/</x:v>
      </x:c>
      <x:c r="V21" s="102" t="str">
        <x:v>Published in 2026 operational advisory.</x:v>
      </x:c>
      <x:c r="W21" s="102"/>
    </x:row>
    <x:row r="22">
      <x:c r="A22" s="102" t="str">
        <x:v>FERRY_VS_0021</x:v>
      </x:c>
      <x:c r="B22" s="102" t="str">
        <x:v>FERRY_SYS_0008</x:v>
      </x:c>
      <x:c r="C22" s="102" t="str">
        <x:v>MV St Francis Xavier</x:v>
      </x:c>
      <x:c r="D22" s="102"/>
      <x:c r="E22" s="102"/>
      <x:c r="F22" s="102"/>
      <x:c r="G22" s="102"/>
      <x:c r="H22" s="102"/>
      <x:c r="I22" s="102"/>
      <x:c r="J22" s="102" t="str">
        <x:v>Passenger / cargo ferry</x:v>
      </x:c>
      <x:c r="K22" s="102"/>
      <x:c r="L22" s="102"/>
      <x:c r="M22" s="102"/>
      <x:c r="N22" s="102"/>
      <x:c r="O22" s="102"/>
      <x:c r="P22" s="102"/>
      <x:c r="Q22" s="102"/>
      <x:c r="R22" s="102" t="str">
        <x:v>Operating</x:v>
      </x:c>
      <x:c r="S22" s="102" t="str">
        <x:v>Philippine inter-island</x:v>
      </x:c>
      <x:c r="T22" s="102" t="str">
        <x:v>Research seed</x:v>
      </x:c>
      <x:c r="U22" s="102" t="str">
        <x:v>https://2go.com.ph/travel/advisories/travel-advisory-as-of-march-27-2027/</x:v>
      </x:c>
      <x:c r="V22" s="102" t="str">
        <x:v>Published in 31 Mar 2026 operational advisory.</x:v>
      </x:c>
      <x:c r="W22" s="102"/>
    </x:row>
    <x:row r="23">
      <x:c r="A23" s="102" t="str">
        <x:v>FERRY_VS_0022</x:v>
      </x:c>
      <x:c r="B23" s="102" t="str">
        <x:v>FERRY_SYS_0011</x:v>
      </x:c>
      <x:c r="C23" s="102" t="str">
        <x:v>New Aqaba</x:v>
      </x:c>
      <x:c r="D23" s="102"/>
      <x:c r="E23" s="102"/>
      <x:c r="F23" s="102"/>
      <x:c r="G23" s="102"/>
      <x:c r="H23" s="102"/>
      <x:c r="I23" s="102"/>
      <x:c r="J23" s="102" t="str">
        <x:v>High-speed passenger craft</x:v>
      </x:c>
      <x:c r="K23" s="102"/>
      <x:c r="L23" s="102"/>
      <x:c r="M23" s="102" t="str">
        <x:v>312</x:v>
      </x:c>
      <x:c r="N23" s="102"/>
      <x:c r="O23" s="102"/>
      <x:c r="P23" s="102" t="str">
        <x:v>2023</x:v>
      </x:c>
      <x:c r="Q23" s="102"/>
      <x:c r="R23" s="102" t="str">
        <x:v>Operating</x:v>
      </x:c>
      <x:c r="S23" s="102" t="str">
        <x:v>Aqaba - Nuweiba</x:v>
      </x:c>
      <x:c r="T23" s="102" t="str">
        <x:v>Research seed</x:v>
      </x:c>
      <x:c r="U23" s="102" t="str">
        <x:v>https://www.abmaritime.com.jo/fleet/newaqaba/?lang=ar</x:v>
      </x:c>
      <x:c r="V23" s="102" t="str">
        <x:v>Official source says built 2023, 312 passengers, 30 knots.</x:v>
      </x:c>
      <x:c r="W23" s="102"/>
    </x:row>
    <x:row r="24">
      <x:c r="A24" s="102" t="str">
        <x:v>FERRY_VS_0023</x:v>
      </x:c>
      <x:c r="B24" s="102" t="str">
        <x:v>FERRY_SYS_0012</x:v>
      </x:c>
      <x:c r="C24" s="102" t="str">
        <x:v>SeaLion 2000</x:v>
      </x:c>
      <x:c r="D24" s="102"/>
      <x:c r="E24" s="102"/>
      <x:c r="F24" s="102"/>
      <x:c r="G24" s="102"/>
      <x:c r="H24" s="102"/>
      <x:c r="I24" s="102"/>
      <x:c r="J24" s="102" t="str">
        <x:v>Ro-Ro catamaran ferry</x:v>
      </x:c>
      <x:c r="K24" s="102"/>
      <x:c r="L24" s="102"/>
      <x:c r="M24" s="102" t="str">
        <x:v>378</x:v>
      </x:c>
      <x:c r="N24" s="102" t="str">
        <x:v>50 cars</x:v>
      </x:c>
      <x:c r="O24" s="102"/>
      <x:c r="P24" s="102" t="str">
        <x:v>2000</x:v>
      </x:c>
      <x:c r="Q24" s="102"/>
      <x:c r="R24" s="102" t="str">
        <x:v>Operating</x:v>
      </x:c>
      <x:c r="S24" s="102" t="str">
        <x:v>Cape Jervis - Penneshaw</x:v>
      </x:c>
      <x:c r="T24" s="102" t="str">
        <x:v>Research seed</x:v>
      </x:c>
      <x:c r="U24" s="102" t="str">
        <x:v>https://www.sealink.com.au/kangaroo-island/our-ferries/</x:v>
      </x:c>
      <x:c r="V24" s="102" t="str">
        <x:v>Official capacity: up to 378 passengers and 50 cars or 30 cars + 4 coaches.</x:v>
      </x:c>
      <x:c r="W24" s="102"/>
    </x:row>
    <x:row r="25">
      <x:c r="A25" s="102" t="str">
        <x:v>FERRY_VS_0024</x:v>
      </x:c>
      <x:c r="B25" s="102" t="str">
        <x:v>FERRY_SYS_0012</x:v>
      </x:c>
      <x:c r="C25" s="102" t="str">
        <x:v>Spirit of Kangaroo Island</x:v>
      </x:c>
      <x:c r="D25" s="102"/>
      <x:c r="E25" s="102"/>
      <x:c r="F25" s="102"/>
      <x:c r="G25" s="102"/>
      <x:c r="H25" s="102"/>
      <x:c r="I25" s="102"/>
      <x:c r="J25" s="102" t="str">
        <x:v>Ro-Ro catamaran ferry</x:v>
      </x:c>
      <x:c r="K25" s="102"/>
      <x:c r="L25" s="102"/>
      <x:c r="M25" s="102" t="str">
        <x:v>243</x:v>
      </x:c>
      <x:c r="N25" s="102" t="str">
        <x:v>50 cars / 8 semitrailers + 18 cars</x:v>
      </x:c>
      <x:c r="O25" s="102"/>
      <x:c r="P25" s="102"/>
      <x:c r="Q25" s="102"/>
      <x:c r="R25" s="102" t="str">
        <x:v>Operating</x:v>
      </x:c>
      <x:c r="S25" s="102" t="str">
        <x:v>Cape Jervis - Penneshaw</x:v>
      </x:c>
      <x:c r="T25" s="102" t="str">
        <x:v>Research seed</x:v>
      </x:c>
      <x:c r="U25" s="102" t="str">
        <x:v>https://www.sealink.com.au/kangaroo-island/our-ferries/</x:v>
      </x:c>
      <x:c r="V25" s="102" t="str">
        <x:v>Official capacity stated by SeaLink.</x:v>
      </x:c>
      <x:c r="W25" s="102"/>
    </x:row>
    <x:row r="26">
      <x:c r="A26" s="102" t="str">
        <x:v>FERRY_VS_0025</x:v>
      </x:c>
      <x:c r="B26" s="102" t="str">
        <x:v>FERRY_SYS_0012</x:v>
      </x:c>
      <x:c r="C26" s="102" t="str">
        <x:v>Wanggami</x:v>
      </x:c>
      <x:c r="D26" s="102"/>
      <x:c r="E26" s="102"/>
      <x:c r="F26" s="102"/>
      <x:c r="G26" s="102"/>
      <x:c r="H26" s="102"/>
      <x:c r="I26" s="102"/>
      <x:c r="J26" s="102" t="str">
        <x:v>Newbuild car/passenger ferry</x:v>
      </x:c>
      <x:c r="K26" s="102"/>
      <x:c r="L26" s="102"/>
      <x:c r="M26" s="102"/>
      <x:c r="N26" s="102"/>
      <x:c r="O26" s="102"/>
      <x:c r="P26" s="102"/>
      <x:c r="Q26" s="102" t="str">
        <x:v>2026</x:v>
      </x:c>
      <x:c r="R26" s="102"/>
      <x:c r="S26" s="102" t="str">
        <x:v>Commissioning</x:v>
      </x:c>
      <x:c r="T26" s="102" t="str">
        <x:v>Cape Jervis - Penneshaw</x:v>
      </x:c>
      <x:c r="U26" s="102" t="str">
        <x:v>Newbuild staging</x:v>
      </x:c>
      <x:c r="V26" s="102" t="str">
        <x:v>https://www.sealink.com.au/kangaroo-island/news/-important-update-on-new-ki-ferries/</x:v>
      </x:c>
      <x:c r="W26" s="102" t="str">
        <x:v>First of two new custom-built ferries; commissioning in 2026.</x:v>
      </x:c>
    </x:row>
    <x:row r="27">
      <x:c r="A27" s="102" t="str">
        <x:v>FERRY_VS_0026</x:v>
      </x:c>
      <x:c r="B27" s="102" t="str">
        <x:v>FERRY_SYS_0012</x:v>
      </x:c>
      <x:c r="C27" s="102" t="str">
        <x:v>Ruwi</x:v>
      </x:c>
      <x:c r="D27" s="102"/>
      <x:c r="E27" s="102"/>
      <x:c r="F27" s="102"/>
      <x:c r="G27" s="102"/>
      <x:c r="H27" s="102"/>
      <x:c r="I27" s="102"/>
      <x:c r="J27" s="102" t="str">
        <x:v>Newbuild car/passenger ferry</x:v>
      </x:c>
      <x:c r="K27" s="102"/>
      <x:c r="L27" s="102"/>
      <x:c r="M27" s="102"/>
      <x:c r="N27" s="102"/>
      <x:c r="O27" s="102"/>
      <x:c r="P27" s="102"/>
      <x:c r="Q27" s="102" t="str">
        <x:v>2026</x:v>
      </x:c>
      <x:c r="R27" s="102"/>
      <x:c r="S27" s="102" t="str">
        <x:v>Sea trials / delayed delivery</x:v>
      </x:c>
      <x:c r="T27" s="102" t="str">
        <x:v>Cape Jervis - Penneshaw</x:v>
      </x:c>
      <x:c r="U27" s="102" t="str">
        <x:v>Newbuild staging</x:v>
      </x:c>
      <x:c r="V27" s="102" t="str">
        <x:v>https://www.sealink.com.au/kangaroo-island/news/important-update-on-the-timing-for-new-kifs/</x:v>
      </x:c>
      <x:c r="W27" s="102" t="str">
        <x:v>Commissioning incident delayed delivery / service transition.</x:v>
      </x:c>
    </x:row>
  </x:sheetData>
  <x:pageMargins left="0.7" right="0.7" top="0.75" bottom="0.75" header="0.3" footer="0.3"/>
</x:worksheet>
</file>

<file path=xl/worksheets/sheet50.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22" hidden="0" customWidth="1"/>
  </x:cols>
  <x:sheetData>
    <x:row r="1">
      <x:c r="A1" s="165" t="str">
        <x:v>Cause ID</x:v>
      </x:c>
      <x:c r="B1" s="165" t="str">
        <x:v>Cause Family</x:v>
      </x:c>
      <x:c r="C1" s="165" t="str">
        <x:v>Cause Detail / Examples</x:v>
      </x:c>
      <x:c r="D1" s="165" t="str">
        <x:v>Control Type</x:v>
      </x:c>
    </x:row>
    <x:row r="2">
      <x:c r="A2" s="102" t="str">
        <x:v>FERRY_CAUSE_01</x:v>
      </x:c>
      <x:c r="B2" s="102" t="str">
        <x:v>Weather</x:v>
      </x:c>
      <x:c r="C2" s="102" t="str">
        <x:v>Wind / storm / heavy sea</x:v>
      </x:c>
      <x:c r="D2" s="102" t="str">
        <x:v>External</x:v>
      </x:c>
    </x:row>
    <x:row r="3">
      <x:c r="A3" s="102" t="str">
        <x:v>FERRY_CAUSE_02</x:v>
      </x:c>
      <x:c r="B3" s="102" t="str">
        <x:v>Tides / water level</x:v>
      </x:c>
      <x:c r="C3" s="102" t="str">
        <x:v>Low tide / high tide / current / water level</x:v>
      </x:c>
      <x:c r="D3" s="102" t="str">
        <x:v>External</x:v>
      </x:c>
    </x:row>
    <x:row r="4">
      <x:c r="A4" s="102" t="str">
        <x:v>FERRY_CAUSE_03</x:v>
      </x:c>
      <x:c r="B4" s="102" t="str">
        <x:v>Ice</x:v>
      </x:c>
      <x:c r="C4" s="102" t="str">
        <x:v>Sea ice / lake ice / icebreaking restriction</x:v>
      </x:c>
      <x:c r="D4" s="102" t="str">
        <x:v>External</x:v>
      </x:c>
    </x:row>
    <x:row r="5">
      <x:c r="A5" s="102" t="str">
        <x:v>FERRY_CAUSE_04</x:v>
      </x:c>
      <x:c r="B5" s="102" t="str">
        <x:v>Mechanical</x:v>
      </x:c>
      <x:c r="C5" s="102" t="str">
        <x:v>Propulsion / steering / engine / electrical / machinery</x:v>
      </x:c>
      <x:c r="D5" s="102" t="str">
        <x:v>Internal / asset</x:v>
      </x:c>
    </x:row>
    <x:row r="6">
      <x:c r="A6" s="102" t="str">
        <x:v>FERRY_CAUSE_05</x:v>
      </x:c>
      <x:c r="B6" s="102" t="str">
        <x:v>Crew</x:v>
      </x:c>
      <x:c r="C6" s="102" t="str">
        <x:v>Crew shortage / credential / duty-time availability</x:v>
      </x:c>
      <x:c r="D6" s="102" t="str">
        <x:v>Internal / workforce</x:v>
      </x:c>
    </x:row>
    <x:row r="7">
      <x:c r="A7" s="102" t="str">
        <x:v>FERRY_CAUSE_06</x:v>
      </x:c>
      <x:c r="B7" s="102" t="str">
        <x:v>Terminal mechanical</x:v>
      </x:c>
      <x:c r="C7" s="102" t="str">
        <x:v>Ramp / transfer span / berth / bridge / apron failure</x:v>
      </x:c>
      <x:c r="D7" s="102" t="str">
        <x:v>Infrastructure</x:v>
      </x:c>
    </x:row>
    <x:row r="8">
      <x:c r="A8" s="102" t="str">
        <x:v>FERRY_CAUSE_07</x:v>
      </x:c>
      <x:c r="B8" s="102" t="str">
        <x:v>Traffic / capacity</x:v>
      </x:c>
      <x:c r="C8" s="102" t="str">
        <x:v>Vehicle queues / sold-out sailings / loading delay</x:v>
      </x:c>
      <x:c r="D8" s="102" t="str">
        <x:v>Demand / operational</x:v>
      </x:c>
    </x:row>
    <x:row r="9">
      <x:c r="A9" s="102" t="str">
        <x:v>FERRY_CAUSE_08</x:v>
      </x:c>
      <x:c r="B9" s="102" t="str">
        <x:v>Schedule reset</x:v>
      </x:c>
      <x:c r="C9" s="102" t="str">
        <x:v>Trip dropped to restore schedule after accumulated delay</x:v>
      </x:c>
      <x:c r="D9" s="102" t="str">
        <x:v>Operational</x:v>
      </x:c>
    </x:row>
    <x:row r="10">
      <x:c r="A10" s="102" t="str">
        <x:v>FERRY_CAUSE_09</x:v>
      </x:c>
      <x:c r="B10" s="102" t="str">
        <x:v>Medical / rescue</x:v>
      </x:c>
      <x:c r="C10" s="102" t="str">
        <x:v>Medical emergency / SAR / rescue operation</x:v>
      </x:c>
      <x:c r="D10" s="102" t="str">
        <x:v>External / safety</x:v>
      </x:c>
    </x:row>
    <x:row r="11">
      <x:c r="A11" s="102" t="str">
        <x:v>FERRY_CAUSE_10</x:v>
      </x:c>
      <x:c r="B11" s="102" t="str">
        <x:v>Security / law enforcement</x:v>
      </x:c>
      <x:c r="C11" s="102" t="str">
        <x:v>Police incident / security threat / terminal closure</x:v>
      </x:c>
      <x:c r="D11" s="102" t="str">
        <x:v>External / security</x:v>
      </x:c>
    </x:row>
    <x:row r="12">
      <x:c r="A12" s="102" t="str">
        <x:v>FERRY_CAUSE_11</x:v>
      </x:c>
      <x:c r="B12" s="102" t="str">
        <x:v>Labour / industrial action</x:v>
      </x:c>
      <x:c r="C12" s="102" t="str">
        <x:v>Strike / work stoppage / union action</x:v>
      </x:c>
      <x:c r="D12" s="102" t="str">
        <x:v>Workforce</x:v>
      </x:c>
    </x:row>
    <x:row r="13">
      <x:c r="A13" s="102" t="str">
        <x:v>FERRY_CAUSE_12</x:v>
      </x:c>
      <x:c r="B13" s="102" t="str">
        <x:v>Port / harbour closure</x:v>
      </x:c>
      <x:c r="C13" s="102" t="str">
        <x:v>Port authority closure / navigation restriction</x:v>
      </x:c>
      <x:c r="D13" s="102" t="str">
        <x:v>Infrastructure / regulatory</x:v>
      </x:c>
    </x:row>
    <x:row r="14">
      <x:c r="A14" s="102" t="str">
        <x:v>FERRY_CAUSE_13</x:v>
      </x:c>
      <x:c r="B14" s="102" t="str">
        <x:v>Bridge / lock / channel</x:v>
      </x:c>
      <x:c r="C14" s="102" t="str">
        <x:v>Bridge, lock, dredged-channel or navigational-infrastructure disruption</x:v>
      </x:c>
      <x:c r="D14" s="102" t="str">
        <x:v>Infrastructure</x:v>
      </x:c>
    </x:row>
    <x:row r="15">
      <x:c r="A15" s="102" t="str">
        <x:v>FERRY_CAUSE_14</x:v>
      </x:c>
      <x:c r="B15" s="102" t="str">
        <x:v>IT / cyber / ticketing</x:v>
      </x:c>
      <x:c r="C15" s="102" t="str">
        <x:v>Reservation, ticketing, dispatch, communications or cyber outage</x:v>
      </x:c>
      <x:c r="D15" s="102" t="str">
        <x:v>Digital</x:v>
      </x:c>
    </x:row>
    <x:row r="16">
      <x:c r="A16" s="102" t="str">
        <x:v>FERRY_CAUSE_15</x:v>
      </x:c>
      <x:c r="B16" s="102" t="str">
        <x:v>Vessel casualty</x:v>
      </x:c>
      <x:c r="C16" s="102" t="str">
        <x:v>Collision / allision / grounding / fire / flooding / cargo event</x:v>
      </x:c>
      <x:c r="D16" s="102" t="str">
        <x:v>Safety / casualty</x:v>
      </x:c>
    </x:row>
    <x:row r="17">
      <x:c r="A17" s="102" t="str">
        <x:v>FERRY_CAUSE_16</x:v>
      </x:c>
      <x:c r="B17" s="102" t="str">
        <x:v>Fuel / bunkering</x:v>
      </x:c>
      <x:c r="C17" s="102" t="str">
        <x:v>Fuel supply, bunkering or tanker issue</x:v>
      </x:c>
      <x:c r="D17" s="102" t="str">
        <x:v>Supply / operational</x:v>
      </x:c>
    </x:row>
    <x:row r="18">
      <x:c r="A18" s="102" t="str">
        <x:v>FERRY_CAUSE_17</x:v>
      </x:c>
      <x:c r="B18" s="102" t="str">
        <x:v>Natural hazard</x:v>
      </x:c>
      <x:c r="C18" s="102" t="str">
        <x:v>Earthquake / tsunami / volcanic ash / landslide / wildfire impact</x:v>
      </x:c>
      <x:c r="D18" s="102" t="str">
        <x:v>External / hazard</x:v>
      </x:c>
    </x:row>
    <x:row r="19">
      <x:c r="A19" s="102" t="str">
        <x:v>FERRY_CAUSE_18</x:v>
      </x:c>
      <x:c r="B19" s="102" t="str">
        <x:v>Other operational</x:v>
      </x:c>
      <x:c r="C19" s="102" t="str">
        <x:v>Procedural / demand / loading-unloading / unavailable vehicle / miscellaneous</x:v>
      </x:c>
      <x:c r="D19" s="102" t="str">
        <x:v>Operational</x:v>
      </x:c>
    </x:row>
  </x:sheetData>
  <x:pageMargins left="0.7" right="0.7" top="0.75" bottom="0.75" header="0.3" footer="0.3"/>
</x:worksheet>
</file>

<file path=xl/worksheets/sheet51.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22" hidden="0" customWidth="1"/>
    <x:col min="6" max="6" width="22" hidden="0" customWidth="1"/>
    <x:col min="7" max="7" width="14" hidden="0" customWidth="1"/>
    <x:col min="8" max="8" width="14" hidden="0" customWidth="1"/>
    <x:col min="9" max="9" width="14" hidden="0" customWidth="1"/>
    <x:col min="10" max="10" width="22" hidden="0" customWidth="1"/>
    <x:col min="11" max="11" width="14" hidden="0" customWidth="1"/>
    <x:col min="12" max="12" width="14" hidden="0" customWidth="1"/>
    <x:col min="13" max="13" width="14" hidden="0" customWidth="1"/>
    <x:col min="14" max="14" width="14" hidden="0" customWidth="1"/>
    <x:col min="15" max="15" width="36" hidden="0" customWidth="1"/>
    <x:col min="16" max="16" width="36" hidden="0" customWidth="1"/>
    <x:col min="17" max="17" width="14" hidden="0" customWidth="1"/>
    <x:col min="18" max="18" width="14" hidden="0" customWidth="1"/>
    <x:col min="19" max="19" width="14" hidden="0" customWidth="1"/>
    <x:col min="20" max="20" width="36" hidden="0" customWidth="1"/>
    <x:col min="21" max="21" width="36" hidden="0" customWidth="1"/>
  </x:cols>
  <x:sheetData>
    <x:row r="1">
      <x:c r="A1" s="165" t="str">
        <x:v>Observation ID</x:v>
      </x:c>
      <x:c r="B1" s="165" t="str">
        <x:v>Date</x:v>
      </x:c>
      <x:c r="C1" s="165" t="str">
        <x:v>Timestamp</x:v>
      </x:c>
      <x:c r="D1" s="165" t="str">
        <x:v>System ID</x:v>
      </x:c>
      <x:c r="E1" s="165" t="str">
        <x:v>Route ID</x:v>
      </x:c>
      <x:c r="F1" s="165" t="str">
        <x:v>Vessel Name</x:v>
      </x:c>
      <x:c r="G1" s="165" t="str">
        <x:v>Canonical Vessel ID</x:v>
      </x:c>
      <x:c r="H1" s="165" t="str">
        <x:v>Origin Terminal</x:v>
      </x:c>
      <x:c r="I1" s="165" t="str">
        <x:v>Destination Terminal</x:v>
      </x:c>
      <x:c r="J1" s="165" t="str">
        <x:v>Service Status</x:v>
      </x:c>
      <x:c r="K1" s="165" t="str">
        <x:v>Delay Minutes</x:v>
      </x:c>
      <x:c r="L1" s="165" t="str">
        <x:v>Trips / Sailings Affected</x:v>
      </x:c>
      <x:c r="M1" s="165" t="str">
        <x:v>Cause Family</x:v>
      </x:c>
      <x:c r="N1" s="165" t="str">
        <x:v>Cause Detail</x:v>
      </x:c>
      <x:c r="O1" s="165" t="str">
        <x:v>Service Impact</x:v>
      </x:c>
      <x:c r="P1" s="165" t="str">
        <x:v>Capacity / Wait Impact</x:v>
      </x:c>
      <x:c r="Q1" s="165" t="str">
        <x:v>Alternate Service / Response</x:v>
      </x:c>
      <x:c r="R1" s="165" t="str">
        <x:v>Severity</x:v>
      </x:c>
      <x:c r="S1" s="165" t="str">
        <x:v>Confidence</x:v>
      </x:c>
      <x:c r="T1" s="165" t="str">
        <x:v>Source URL</x:v>
      </x:c>
      <x:c r="U1" s="165" t="str">
        <x:v>Notes</x:v>
      </x:c>
    </x:row>
    <x:row r="2">
      <x:c r="A2" s="102" t="str">
        <x:v>FERRY_OBS_0001</x:v>
      </x:c>
      <x:c r="B2" s="102" t="str">
        <x:v>2026-03-31</x:v>
      </x:c>
      <x:c r="C2" s="102"/>
      <x:c r="D2" s="102" t="str">
        <x:v>FERRY_SYS_0008</x:v>
      </x:c>
      <x:c r="E2" s="102"/>
      <x:c r="F2" s="102"/>
      <x:c r="G2" s="102"/>
      <x:c r="H2" s="102"/>
      <x:c r="I2" s="102"/>
      <x:c r="J2" s="102" t="str">
        <x:v>Schedule / vessel assignment changed</x:v>
      </x:c>
      <x:c r="K2" s="102"/>
      <x:c r="L2" s="102" t="str">
        <x:v>4</x:v>
      </x:c>
      <x:c r="M2" s="102" t="str">
        <x:v>Other operational</x:v>
      </x:c>
      <x:c r="N2" s="102" t="str">
        <x:v>Operational concern</x:v>
      </x:c>
      <x:c r="O2" s="102" t="str">
        <x:v>Multiple 2GO voyages had updated vessel assignments and departure times.</x:v>
      </x:c>
      <x:c r="P2" s="102"/>
      <x:c r="Q2" s="102" t="str">
        <x:v>Rebooking/refund available</x:v>
      </x:c>
      <x:c r="R2" s="102" t="str">
        <x:v>Moderate</x:v>
      </x:c>
      <x:c r="S2" s="102" t="str">
        <x:v>High</x:v>
      </x:c>
      <x:c r="T2" s="102" t="str">
        <x:v>https://2go.com.ph/travel/advisories/travel-advisory-as-of-march-27-2027/</x:v>
      </x:c>
      <x:c r="U2" s="102" t="str">
        <x:v>Aggregate advisory; individual voyage rows should be created during population.</x:v>
      </x:c>
    </x:row>
    <x:row r="3">
      <x:c r="A3" s="102" t="str">
        <x:v>FERRY_OBS_0002</x:v>
      </x:c>
      <x:c r="B3" s="102" t="str">
        <x:v>2026-04-11</x:v>
      </x:c>
      <x:c r="C3" s="102"/>
      <x:c r="D3" s="102" t="str">
        <x:v>FERRY_SYS_0008</x:v>
      </x:c>
      <x:c r="E3" s="102"/>
      <x:c r="F3" s="102"/>
      <x:c r="G3" s="102"/>
      <x:c r="H3" s="102"/>
      <x:c r="I3" s="102"/>
      <x:c r="J3" s="102" t="str">
        <x:v>Schedule / vessel assignment changed</x:v>
      </x:c>
      <x:c r="K3" s="102"/>
      <x:c r="L3" s="102" t="str">
        <x:v>5</x:v>
      </x:c>
      <x:c r="M3" s="102" t="str">
        <x:v>Other operational</x:v>
      </x:c>
      <x:c r="N3" s="102" t="str">
        <x:v>Operational concern</x:v>
      </x:c>
      <x:c r="O3" s="102" t="str">
        <x:v>Multiple 2GO voyages had updated vessel assignments and departure times.</x:v>
      </x:c>
      <x:c r="P3" s="102"/>
      <x:c r="Q3" s="102" t="str">
        <x:v>Rebooking/refund available</x:v>
      </x:c>
      <x:c r="R3" s="102" t="str">
        <x:v>Moderate</x:v>
      </x:c>
      <x:c r="S3" s="102" t="str">
        <x:v>High</x:v>
      </x:c>
      <x:c r="T3" s="102" t="str">
        <x:v>https://2go.com.ph/travel/advisories/travel-advisory-as-of-april-11-2026/</x:v>
      </x:c>
      <x:c r="U3" s="102" t="str">
        <x:v>Aggregate advisory; individual voyage rows should be created during population.</x:v>
      </x:c>
    </x:row>
    <x:row r="4">
      <x:c r="A4" s="102" t="str">
        <x:v>FERRY_OBS_0003</x:v>
      </x:c>
      <x:c r="B4" s="102" t="str">
        <x:v>2026-09-07</x:v>
      </x:c>
      <x:c r="C4" s="102"/>
      <x:c r="D4" s="102" t="str">
        <x:v>FERRY_SYS_0013</x:v>
      </x:c>
      <x:c r="E4" s="102" t="str">
        <x:v>FERRY_ROUTE_0029</x:v>
      </x:c>
      <x:c r="F4" s="102"/>
      <x:c r="G4" s="102"/>
      <x:c r="H4" s="102" t="str">
        <x:v>Downtown Auckland</x:v>
      </x:c>
      <x:c r="I4" s="102" t="str">
        <x:v>Rangitoto Island</x:v>
      </x:c>
      <x:c r="J4" s="102" t="str">
        <x:v>Cancelled</x:v>
      </x:c>
      <x:c r="K4" s="102"/>
      <x:c r="L4" s="102" t="str">
        <x:v>2</x:v>
      </x:c>
      <x:c r="M4" s="102" t="str">
        <x:v>Other operational</x:v>
      </x:c>
      <x:c r="N4" s="102" t="str">
        <x:v>Cause not stated on source snippet</x:v>
      </x:c>
      <x:c r="O4" s="102" t="str">
        <x:v>10:30 and 14:30 Rangitoto services cancelled.</x:v>
      </x:c>
      <x:c r="P4" s="102"/>
      <x:c r="Q4" s="102"/>
      <x:c r="R4" s="102" t="str">
        <x:v>Moderate</x:v>
      </x:c>
      <x:c r="S4" s="102" t="str">
        <x:v>High</x:v>
      </x:c>
      <x:c r="T4" s="102" t="str">
        <x:v>https://www.fullers.co.nz/destinations-and-experiences/destinations/rangitoto-island/</x:v>
      </x:c>
      <x:c r="U4" s="102" t="str">
        <x:v>Source lists the 7 Sep 2026 service cancellation.</x:v>
      </x:c>
    </x:row>
    <x:row r="5">
      <x:c r="A5" s="102" t="str">
        <x:v>FERRY_OBS_0004</x:v>
      </x:c>
      <x:c r="B5" s="102" t="str">
        <x:v>2026-07-25</x:v>
      </x:c>
      <x:c r="C5" s="102"/>
      <x:c r="D5" s="102" t="str">
        <x:v>FERRY_SYS_0010</x:v>
      </x:c>
      <x:c r="E5" s="102"/>
      <x:c r="F5" s="102"/>
      <x:c r="G5" s="102"/>
      <x:c r="H5" s="102"/>
      <x:c r="I5" s="102"/>
      <x:c r="J5" s="102" t="str">
        <x:v>Service suspended</x:v>
      </x:c>
      <x:c r="K5" s="102"/>
      <x:c r="L5" s="102"/>
      <x:c r="M5" s="102" t="str">
        <x:v>Other operational</x:v>
      </x:c>
      <x:c r="N5" s="102" t="str">
        <x:v>Cause not stated on homepage notice index</x:v>
      </x:c>
      <x:c r="O5" s="102" t="str">
        <x:v>Star Ferry service suspension notice published.</x:v>
      </x:c>
      <x:c r="P5" s="102"/>
      <x:c r="Q5" s="102"/>
      <x:c r="R5" s="102" t="str">
        <x:v>Moderate</x:v>
      </x:c>
      <x:c r="S5" s="102" t="str">
        <x:v>Medium</x:v>
      </x:c>
      <x:c r="T5" s="102" t="str">
        <x:v>https://www.starferry.com.hk/</x:v>
      </x:c>
      <x:c r="U5" s="102" t="str">
        <x:v>Homepage notice index shows suspension on 25 Jul 2026.</x:v>
      </x:c>
    </x:row>
    <x:row r="6">
      <x:c r="A6" s="102" t="str">
        <x:v>FERRY_OBS_0005</x:v>
      </x:c>
      <x:c r="B6" s="102" t="str">
        <x:v>2026-07-26</x:v>
      </x:c>
      <x:c r="C6" s="102"/>
      <x:c r="D6" s="102" t="str">
        <x:v>FERRY_SYS_0010</x:v>
      </x:c>
      <x:c r="E6" s="102"/>
      <x:c r="F6" s="102"/>
      <x:c r="G6" s="102"/>
      <x:c r="H6" s="102"/>
      <x:c r="I6" s="102"/>
      <x:c r="J6" s="102" t="str">
        <x:v>Service resumed</x:v>
      </x:c>
      <x:c r="K6" s="102"/>
      <x:c r="L6" s="102"/>
      <x:c r="M6" s="102" t="str">
        <x:v>Other operational</x:v>
      </x:c>
      <x:c r="N6" s="102" t="str">
        <x:v>Service restoration</x:v>
      </x:c>
      <x:c r="O6" s="102" t="str">
        <x:v>Star Ferry service-resumption notice published.</x:v>
      </x:c>
      <x:c r="P6" s="102"/>
      <x:c r="Q6" s="102"/>
      <x:c r="R6" s="102" t="str">
        <x:v>Low</x:v>
      </x:c>
      <x:c r="S6" s="102" t="str">
        <x:v>Medium</x:v>
      </x:c>
      <x:c r="T6" s="102" t="str">
        <x:v>https://www.starferry.com.hk/</x:v>
      </x:c>
      <x:c r="U6" s="102" t="str">
        <x:v>Homepage notice index shows resumption on 26 Jul 2026.</x:v>
      </x:c>
    </x:row>
    <x:row r="7">
      <x:c r="A7" s="102" t="str">
        <x:v>FERRY_OBS_0006</x:v>
      </x:c>
      <x:c r="B7" s="102" t="str">
        <x:v>2026-08-16</x:v>
      </x:c>
      <x:c r="C7" s="102"/>
      <x:c r="D7" s="102" t="str">
        <x:v>FERRY_SYS_0012</x:v>
      </x:c>
      <x:c r="E7" s="102" t="str">
        <x:v>FERRY_ROUTE_0027</x:v>
      </x:c>
      <x:c r="F7" s="102" t="str">
        <x:v>Ruwi</x:v>
      </x:c>
      <x:c r="G7" s="102"/>
      <x:c r="H7" s="102" t="str">
        <x:v>Cape Jervis</x:v>
      </x:c>
      <x:c r="I7" s="102" t="str">
        <x:v>Penneshaw</x:v>
      </x:c>
      <x:c r="J7" s="102" t="str">
        <x:v>Planned service transition delayed</x:v>
      </x:c>
      <x:c r="K7" s="102"/>
      <x:c r="L7" s="102"/>
      <x:c r="M7" s="102" t="str">
        <x:v>Mechanical</x:v>
      </x:c>
      <x:c r="N7" s="102" t="str">
        <x:v>Commissioning test incident</x:v>
      </x:c>
      <x:c r="O7" s="102" t="str">
        <x:v>Temporary test pipe failure discharged water onto electrical components; affected components replaced; vessel delivery delayed.</x:v>
      </x:c>
      <x:c r="P7" s="102" t="str">
        <x:v>New ferry transition delayed</x:v>
      </x:c>
      <x:c r="Q7" s="102"/>
      <x:c r="R7" s="102" t="str">
        <x:v>Moderate</x:v>
      </x:c>
      <x:c r="S7" s="102" t="str">
        <x:v>High</x:v>
      </x:c>
      <x:c r="T7" s="102" t="str">
        <x:v>https://www.sealink.com.au/kangaroo-island/news/important-update-on-the-timing-for-new-kifs/</x:v>
      </x:c>
      <x:c r="U7" s="102" t="str">
        <x:v>Newbuild/commissioning observation, not a passenger sailing casualty.</x:v>
      </x:c>
    </x:row>
  </x:sheetData>
  <x:pageMargins left="0.7" right="0.7" top="0.75" bottom="0.75" header="0.3" footer="0.3"/>
</x:worksheet>
</file>

<file path=xl/worksheets/sheet52.xml><?xml version="1.0" encoding="utf-8"?>
<x:worksheet xmlns:x="http://schemas.openxmlformats.org/spreadsheetml/2006/main">
  <x:sheetFormatPr defaultRowHeight="15"/>
  <x:cols>
    <x:col min="1" max="1" width="14" hidden="0" customWidth="1"/>
    <x:col min="2" max="2" width="22" hidden="0" customWidth="1"/>
    <x:col min="3" max="3" width="14" hidden="0" customWidth="1"/>
    <x:col min="4" max="4" width="14" hidden="0" customWidth="1"/>
    <x:col min="5" max="5" width="14" hidden="0" customWidth="1"/>
    <x:col min="6" max="6" width="22"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36" hidden="0" customWidth="1"/>
    <x:col min="23" max="23" width="36" hidden="0" customWidth="1"/>
  </x:cols>
  <x:sheetData>
    <x:row r="1">
      <x:c r="A1" s="165" t="str">
        <x:v>Performance ID</x:v>
      </x:c>
      <x:c r="B1" s="165" t="str">
        <x:v>Period Type</x:v>
      </x:c>
      <x:c r="C1" s="165" t="str">
        <x:v>Period Start</x:v>
      </x:c>
      <x:c r="D1" s="165" t="str">
        <x:v>Period End</x:v>
      </x:c>
      <x:c r="E1" s="165" t="str">
        <x:v>System ID</x:v>
      </x:c>
      <x:c r="F1" s="165" t="str">
        <x:v>Route ID</x:v>
      </x:c>
      <x:c r="G1" s="165" t="str">
        <x:v>Scheduled Sailings</x:v>
      </x:c>
      <x:c r="H1" s="165" t="str">
        <x:v>Completed Sailings</x:v>
      </x:c>
      <x:c r="I1" s="165" t="str">
        <x:v>Completion %</x:v>
      </x:c>
      <x:c r="J1" s="165" t="str">
        <x:v>Cancelled Sailings</x:v>
      </x:c>
      <x:c r="K1" s="165" t="str">
        <x:v>Weather</x:v>
      </x:c>
      <x:c r="L1" s="165" t="str">
        <x:v>Mechanical / Vessel</x:v>
      </x:c>
      <x:c r="M1" s="165" t="str">
        <x:v>Crew</x:v>
      </x:c>
      <x:c r="N1" s="165" t="str">
        <x:v>Terminal</x:v>
      </x:c>
      <x:c r="O1" s="165" t="str">
        <x:v>Schedule Reset</x:v>
      </x:c>
      <x:c r="P1" s="165" t="str">
        <x:v>Emergency / Security</x:v>
      </x:c>
      <x:c r="Q1" s="165" t="str">
        <x:v>Other</x:v>
      </x:c>
      <x:c r="R1" s="165" t="str">
        <x:v>Ridership</x:v>
      </x:c>
      <x:c r="S1" s="165" t="str">
        <x:v>Vehicle Traffic</x:v>
      </x:c>
      <x:c r="T1" s="165" t="str">
        <x:v>On-Time %</x:v>
      </x:c>
      <x:c r="U1" s="165" t="str">
        <x:v>Capacity Utilization %</x:v>
      </x:c>
      <x:c r="V1" s="165" t="str">
        <x:v>Source URL</x:v>
      </x:c>
      <x:c r="W1" s="165" t="str">
        <x:v>Notes</x:v>
      </x:c>
    </x:row>
    <x:row r="2">
      <x:c r="A2" s="102" t="str">
        <x:v>FERRY_PERF_0001</x:v>
      </x:c>
      <x:c r="B2" s="102" t="str">
        <x:v>Fiscal year</x:v>
      </x:c>
      <x:c r="C2" s="102" t="str">
        <x:v>2025-04-01</x:v>
      </x:c>
      <x:c r="D2" s="102" t="str">
        <x:v>2026-03-31</x:v>
      </x:c>
      <x:c r="E2" s="102" t="str">
        <x:v>FERRY_SYS_0001</x:v>
      </x:c>
      <x:c r="F2" s="102"/>
      <x:c r="G2" s="102" t="str">
        <x:v>197809</x:v>
      </x:c>
      <x:c r="H2" s="102" t="str">
        <x:v>196377</x:v>
      </x:c>
      <x:c r="I2" s="102" t="str">
        <x:v>0.9928</x:v>
      </x:c>
      <x:c r="J2" s="102" t="str">
        <x:v>1432</x:v>
      </x:c>
      <x:c r="K2" s="102" t="str">
        <x:v>463</x:v>
      </x:c>
      <x:c r="L2" s="102" t="str">
        <x:v>715</x:v>
      </x:c>
      <x:c r="M2" s="102" t="str">
        <x:v>110</x:v>
      </x:c>
      <x:c r="N2" s="102"/>
      <x:c r="O2" s="102"/>
      <x:c r="P2" s="102"/>
      <x:c r="Q2" s="102" t="str">
        <x:v>144</x:v>
      </x:c>
      <x:c r="R2" s="102"/>
      <x:c r="S2" s="102"/>
      <x:c r="T2" s="102"/>
      <x:c r="U2" s="102" t="str">
        <x:v>0.679</x:v>
      </x:c>
      <x:c r="V2" s="102" t="str">
        <x:v>https://www.bcferries.com/web_image/hcb/h55/9091176857630.pdf</x:v>
      </x:c>
      <x:c r="W2" s="102" t="str">
        <x:v>BC Ferries FY2026: cancellations by weather/mechanical/crew/other; capacity utilization 67.9%. Completed sailings calculated as scheduled less cancellations.</x:v>
      </x:c>
    </x:row>
    <x:row r="3">
      <x:c r="A3" s="102" t="str">
        <x:v>FERRY_PERF_0002</x:v>
      </x:c>
      <x:c r="B3" s="102" t="str">
        <x:v>Fiscal year</x:v>
      </x:c>
      <x:c r="C3" s="102" t="str">
        <x:v>2024-07-01</x:v>
      </x:c>
      <x:c r="D3" s="102" t="str">
        <x:v>2025-06-30</x:v>
      </x:c>
      <x:c r="E3" s="102" t="str">
        <x:v>FERRY_SYS_0002</x:v>
      </x:c>
      <x:c r="F3" s="102"/>
      <x:c r="G3" s="102"/>
      <x:c r="H3" s="102"/>
      <x:c r="I3" s="102"/>
      <x:c r="J3" s="102" t="str">
        <x:v>2478</x:v>
      </x:c>
      <x:c r="K3" s="102" t="str">
        <x:v>418</x:v>
      </x:c>
      <x:c r="L3" s="102" t="str">
        <x:v>432</x:v>
      </x:c>
      <x:c r="M3" s="102" t="str">
        <x:v>826</x:v>
      </x:c>
      <x:c r="N3" s="102" t="str">
        <x:v>40</x:v>
      </x:c>
      <x:c r="O3" s="102" t="str">
        <x:v>554</x:v>
      </x:c>
      <x:c r="P3" s="102" t="str">
        <x:v>24</x:v>
      </x:c>
      <x:c r="Q3" s="102" t="str">
        <x:v>184</x:v>
      </x:c>
      <x:c r="R3" s="102"/>
      <x:c r="S3" s="102"/>
      <x:c r="T3" s="102"/>
      <x:c r="U3" s="102"/>
      <x:c r="V3" s="102" t="str">
        <x:v>https://wsdot.wa.gov/sites/default/files/2026-01/Ferries-Report-FY2025PerformanceMeasures.pdf</x:v>
      </x:c>
      <x:c r="W3" s="102" t="str">
        <x:v>WSF FY2025 cancellation categories; schedule reset stored separately.</x:v>
      </x:c>
    </x:row>
    <x:row r="4">
      <x:c r="A4" s="102" t="str">
        <x:v>FERRY_PERF_0003</x:v>
      </x:c>
      <x:c r="B4" s="102" t="str">
        <x:v>Calendar year</x:v>
      </x:c>
      <x:c r="C4" s="102" t="str">
        <x:v>2025-01-01</x:v>
      </x:c>
      <x:c r="D4" s="102" t="str">
        <x:v>2025-12-31</x:v>
      </x:c>
      <x:c r="E4" s="102" t="str">
        <x:v>FERRY_SYS_0002</x:v>
      </x:c>
      <x:c r="F4" s="102"/>
      <x:c r="G4" s="102"/>
      <x:c r="H4" s="102"/>
      <x:c r="I4" s="102" t="str">
        <x:v>0.986</x:v>
      </x:c>
      <x:c r="J4" s="102" t="str">
        <x:v>2222</x:v>
      </x:c>
      <x:c r="K4" s="102"/>
      <x:c r="L4" s="102"/>
      <x:c r="M4" s="102"/>
      <x:c r="N4" s="102"/>
      <x:c r="O4" s="102"/>
      <x:c r="P4" s="102"/>
      <x:c r="Q4" s="102"/>
      <x:c r="R4" s="102" t="str">
        <x:v>20100000</x:v>
      </x:c>
      <x:c r="S4" s="102"/>
      <x:c r="T4" s="102"/>
      <x:c r="U4" s="102"/>
      <x:c r="V4" s="102" t="str">
        <x:v>https://wsdot.wa.gov/about/news/2026/state-ferry-ridership-rises-nearly-1-million-2025-full-domestic-service-returns-cancellations-plunge</x:v>
      </x:c>
      <x:c r="W4" s="102" t="str">
        <x:v>Calendar-year WSF source reports 20.1m riders, &gt;150,000 operated trips and 98.6% scheduled sailings completed.</x:v>
      </x:c>
    </x:row>
    <x:row r="5">
      <x:c r="A5" s="102" t="str">
        <x:v>FERRY_PERF_0004</x:v>
      </x:c>
      <x:c r="B5" s="102" t="str">
        <x:v>Week</x:v>
      </x:c>
      <x:c r="C5" s="102" t="str">
        <x:v>2026-08-24</x:v>
      </x:c>
      <x:c r="D5" s="102" t="str">
        <x:v>2026-08-30</x:v>
      </x:c>
      <x:c r="E5" s="102" t="str">
        <x:v>FERRY_SYS_0002</x:v>
      </x:c>
      <x:c r="F5" s="102"/>
      <x:c r="G5" s="102" t="str">
        <x:v>3148</x:v>
      </x:c>
      <x:c r="H5" s="102"/>
      <x:c r="I5" s="102" t="str">
        <x:v>0.981</x:v>
      </x:c>
      <x:c r="J5" s="102" t="str">
        <x:v>65</x:v>
      </x:c>
      <x:c r="K5" s="102" t="str">
        <x:v>4</x:v>
      </x:c>
      <x:c r="L5" s="102" t="str">
        <x:v>23</x:v>
      </x:c>
      <x:c r="M5" s="102" t="str">
        <x:v>21</x:v>
      </x:c>
      <x:c r="N5" s="102"/>
      <x:c r="O5" s="102" t="str">
        <x:v>10</x:v>
      </x:c>
      <x:c r="P5" s="102"/>
      <x:c r="Q5" s="102" t="str">
        <x:v>7</x:v>
      </x:c>
      <x:c r="R5" s="102"/>
      <x:c r="S5" s="102"/>
      <x:c r="T5" s="102"/>
      <x:c r="U5" s="102"/>
      <x:c r="V5" s="102" t="str">
        <x:v>https://apps.wsdot.wa.gov/travel/washington-state-ferries/about-us/weekly-update</x:v>
      </x:c>
      <x:c r="W5" s="102" t="str">
        <x:v>Weekly WSF stats: 65 cancellations; 23 vessel-related, 21 crewing, 10 schedule resets, 7 miscellaneous, 4 weather.</x:v>
      </x:c>
    </x:row>
  </x:sheetData>
  <x:pageMargins left="0.7" right="0.7" top="0.75" bottom="0.75" header="0.3" footer="0.3"/>
</x:worksheet>
</file>

<file path=xl/worksheets/sheet53.xml><?xml version="1.0" encoding="utf-8"?>
<x:worksheet xmlns:x="http://schemas.openxmlformats.org/spreadsheetml/2006/main">
  <x:sheetFormatPr defaultRowHeight="15"/>
  <x:cols>
    <x:col min="1" max="1" width="22" hidden="0" customWidth="1"/>
    <x:col min="2" max="2" width="14" hidden="0" customWidth="1"/>
    <x:col min="3" max="3" width="14" hidden="0" customWidth="1"/>
    <x:col min="4" max="4" width="22" hidden="0" customWidth="1"/>
    <x:col min="5" max="5" width="14" hidden="0" customWidth="1"/>
    <x:col min="6" max="6" width="22" hidden="0" customWidth="1"/>
    <x:col min="7" max="7" width="22" hidden="0" customWidth="1"/>
    <x:col min="8" max="8" width="36" hidden="0" customWidth="1"/>
    <x:col min="9" max="9" width="36" hidden="0" customWidth="1"/>
  </x:cols>
  <x:sheetData>
    <x:row r="1">
      <x:c r="A1" s="165" t="str">
        <x:v>Status ID</x:v>
      </x:c>
      <x:c r="B1" s="165" t="str">
        <x:v>As Of</x:v>
      </x:c>
      <x:c r="C1" s="165" t="str">
        <x:v>System ID</x:v>
      </x:c>
      <x:c r="D1" s="165" t="str">
        <x:v>Vessel Name</x:v>
      </x:c>
      <x:c r="E1" s="165" t="str">
        <x:v>Canonical Vessel ID</x:v>
      </x:c>
      <x:c r="F1" s="165" t="str">
        <x:v>Fleet Status</x:v>
      </x:c>
      <x:c r="G1" s="165" t="str">
        <x:v>Assignment / Location</x:v>
      </x:c>
      <x:c r="H1" s="165" t="str">
        <x:v>Source URL</x:v>
      </x:c>
      <x:c r="I1" s="165" t="str">
        <x:v>Notes</x:v>
      </x:c>
    </x:row>
    <x:row r="2">
      <x:c r="A2" s="102" t="str">
        <x:v>FERRY_STATUS_0001</x:v>
      </x:c>
      <x:c r="B2" s="102" t="str">
        <x:v>2026-05-14</x:v>
      </x:c>
      <x:c r="C2" s="102" t="str">
        <x:v>FERRY_SYS_0003</x:v>
      </x:c>
      <x:c r="D2" s="102" t="str">
        <x:v>MV Lituya</x:v>
      </x:c>
      <x:c r="E2" s="102"/>
      <x:c r="F2" s="102" t="str">
        <x:v>In Service</x:v>
      </x:c>
      <x:c r="G2" s="102" t="str">
        <x:v>Ketchikan - Annette Bay</x:v>
      </x:c>
      <x:c r="H2" s="102" t="str">
        <x:v>https://dot.alaska.gov/amhs/fleet/fleet_status.shtml</x:v>
      </x:c>
      <x:c r="I2" s="102" t="str">
        <x:v>AMHS current fleet status.</x:v>
      </x:c>
    </x:row>
    <x:row r="3">
      <x:c r="A3" s="102" t="str">
        <x:v>FERRY_STATUS_0002</x:v>
      </x:c>
      <x:c r="B3" s="102" t="str">
        <x:v>2026-05-14</x:v>
      </x:c>
      <x:c r="C3" s="102" t="str">
        <x:v>FERRY_SYS_0003</x:v>
      </x:c>
      <x:c r="D3" s="102" t="str">
        <x:v>MV LeConte</x:v>
      </x:c>
      <x:c r="E3" s="102"/>
      <x:c r="F3" s="102" t="str">
        <x:v>In Service</x:v>
      </x:c>
      <x:c r="G3" s="102" t="str">
        <x:v>Southeast communities</x:v>
      </x:c>
      <x:c r="H3" s="102" t="str">
        <x:v>https://dot.alaska.gov/amhs/fleet/fleet_status.shtml</x:v>
      </x:c>
      <x:c r="I3" s="102" t="str">
        <x:v>AMHS current fleet status.</x:v>
      </x:c>
    </x:row>
    <x:row r="4">
      <x:c r="A4" s="102" t="str">
        <x:v>FERRY_STATUS_0003</x:v>
      </x:c>
      <x:c r="B4" s="102" t="str">
        <x:v>2026-05-14</x:v>
      </x:c>
      <x:c r="C4" s="102" t="str">
        <x:v>FERRY_SYS_0003</x:v>
      </x:c>
      <x:c r="D4" s="102" t="str">
        <x:v>MV Kennicott</x:v>
      </x:c>
      <x:c r="E4" s="102"/>
      <x:c r="F4" s="102" t="str">
        <x:v>In Overhaul</x:v>
      </x:c>
      <x:c r="G4" s="102" t="str">
        <x:v>Vigor Shipyard Ketchikan</x:v>
      </x:c>
      <x:c r="H4" s="102" t="str">
        <x:v>https://dot.alaska.gov/amhs/fleet/fleet_status.shtml</x:v>
      </x:c>
      <x:c r="I4" s="102" t="str">
        <x:v>AMHS current fleet status.</x:v>
      </x:c>
    </x:row>
    <x:row r="5">
      <x:c r="A5" s="102" t="str">
        <x:v>FERRY_STATUS_0004</x:v>
      </x:c>
      <x:c r="B5" s="102" t="str">
        <x:v>2026-05-14</x:v>
      </x:c>
      <x:c r="C5" s="102" t="str">
        <x:v>FERRY_SYS_0003</x:v>
      </x:c>
      <x:c r="D5" s="102" t="str">
        <x:v>MV Tustumena</x:v>
      </x:c>
      <x:c r="E5" s="102"/>
      <x:c r="F5" s="102" t="str">
        <x:v>In Service</x:v>
      </x:c>
      <x:c r="G5" s="102" t="str">
        <x:v>Homer / Seldovia / Kodiak</x:v>
      </x:c>
      <x:c r="H5" s="102" t="str">
        <x:v>https://dot.alaska.gov/amhs/fleet/fleet_status.shtml</x:v>
      </x:c>
      <x:c r="I5" s="102" t="str">
        <x:v>AMHS current fleet status.</x:v>
      </x:c>
    </x:row>
    <x:row r="6">
      <x:c r="A6" s="102" t="str">
        <x:v>FERRY_STATUS_0005</x:v>
      </x:c>
      <x:c r="B6" s="102" t="str">
        <x:v>2026-08-16</x:v>
      </x:c>
      <x:c r="C6" s="102" t="str">
        <x:v>FERRY_SYS_0012</x:v>
      </x:c>
      <x:c r="D6" s="102" t="str">
        <x:v>Wanggami</x:v>
      </x:c>
      <x:c r="E6" s="102"/>
      <x:c r="F6" s="102" t="str">
        <x:v>Commissioning</x:v>
      </x:c>
      <x:c r="G6" s="102" t="str">
        <x:v>South Australia</x:v>
      </x:c>
      <x:c r="H6" s="102" t="str">
        <x:v>https://www.sealink.com.au/kangaroo-island/news/important-update-on-the-timing-for-new-kifs/</x:v>
      </x:c>
      <x:c r="I6" s="102" t="str">
        <x:v>First new Kangaroo Island ferry undergoing commissioning / service-preparation process.</x:v>
      </x:c>
    </x:row>
    <x:row r="7">
      <x:c r="A7" s="102" t="str">
        <x:v>FERRY_STATUS_0006</x:v>
      </x:c>
      <x:c r="B7" s="102" t="str">
        <x:v>2026-08-16</x:v>
      </x:c>
      <x:c r="C7" s="102" t="str">
        <x:v>FERRY_SYS_0012</x:v>
      </x:c>
      <x:c r="D7" s="102" t="str">
        <x:v>Ruwi</x:v>
      </x:c>
      <x:c r="E7" s="102"/>
      <x:c r="F7" s="102" t="str">
        <x:v>Sea trials / delivery delayed</x:v>
      </x:c>
      <x:c r="G7" s="102" t="str">
        <x:v>Builder / delivery voyage pending</x:v>
      </x:c>
      <x:c r="H7" s="102" t="str">
        <x:v>https://www.sealink.com.au/kangaroo-island/news/important-update-on-the-timing-for-new-kifs/</x:v>
      </x:c>
      <x:c r="I7" s="102" t="str">
        <x:v>Commissioning incident delayed delivery and new-service transition.</x:v>
      </x:c>
    </x:row>
  </x:sheetData>
  <x:pageMargins left="0.7" right="0.7" top="0.75" bottom="0.75" header="0.3" footer="0.3"/>
</x:worksheet>
</file>

<file path=xl/worksheets/sheet54.xml><?xml version="1.0" encoding="utf-8"?>
<x:worksheet xmlns:x="http://schemas.openxmlformats.org/spreadsheetml/2006/main">
  <x:sheetFormatPr defaultRowHeight="15"/>
  <x:cols>
    <x:col min="1" max="1" width="14" hidden="0" customWidth="1"/>
    <x:col min="2" max="2" width="22" hidden="0" customWidth="1"/>
    <x:col min="3" max="3" width="22"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22" hidden="0" customWidth="1"/>
    <x:col min="14" max="14" width="14" hidden="0" customWidth="1"/>
    <x:col min="15" max="15" width="14" hidden="0" customWidth="1"/>
    <x:col min="16" max="16" width="36" hidden="0" customWidth="1"/>
  </x:cols>
  <x:sheetData>
    <x:row r="1">
      <x:c r="A1" s="165" t="str">
        <x:v>System ID</x:v>
      </x:c>
      <x:c r="B1" s="165" t="str">
        <x:v>System Name</x:v>
      </x:c>
      <x:c r="C1" s="165" t="str">
        <x:v>System Type</x:v>
      </x:c>
      <x:c r="D1" s="165" t="str">
        <x:v>Region</x:v>
      </x:c>
      <x:c r="E1" s="165" t="str">
        <x:v>Countries</x:v>
      </x:c>
      <x:c r="F1" s="165" t="str">
        <x:v>Water Bodies / Geography</x:v>
      </x:c>
      <x:c r="G1" s="165" t="str">
        <x:v>System Limits</x:v>
      </x:c>
      <x:c r="H1" s="165" t="str">
        <x:v>Opened / Established</x:v>
      </x:c>
      <x:c r="I1" s="165" t="str">
        <x:v>Operating Season</x:v>
      </x:c>
      <x:c r="J1" s="165" t="str">
        <x:v>Key Vessel Constraints</x:v>
      </x:c>
      <x:c r="K1" s="165" t="str">
        <x:v>Core Authorities</x:v>
      </x:c>
      <x:c r="L1" s="165" t="str">
        <x:v>Primary Traffic</x:v>
      </x:c>
      <x:c r="M1" s="165" t="str">
        <x:v>Status</x:v>
      </x:c>
      <x:c r="N1" s="165" t="str">
        <x:v>Strategic Criticality</x:v>
      </x:c>
      <x:c r="O1" s="165" t="str">
        <x:v>Source ID</x:v>
      </x:c>
      <x:c r="P1" s="165" t="str">
        <x:v>Description</x:v>
      </x:c>
    </x:row>
    <x:row r="2">
      <x:c r="A2" s="102" t="str">
        <x:v>SYS_GLSS</x:v>
      </x:c>
      <x:c r="B2" s="102" t="str">
        <x:v>Great Lakes-St. Lawrence Seaway System</x:v>
      </x:c>
      <x:c r="C2" s="102" t="str">
        <x:v>Inland sea / lock-and-canal trade system</x:v>
      </x:c>
      <x:c r="D2" s="102" t="str">
        <x:v>North America</x:v>
      </x:c>
      <x:c r="E2" s="102" t="str">
        <x:v>Canada; United States</x:v>
      </x:c>
      <x:c r="F2" s="102" t="str">
        <x:v>Lake Superior; Lake Michigan; Lake Huron; Lake Erie; Lake Ontario; St. Marys River; St. Clair River; Detroit River; St. Lawrence River</x:v>
      </x:c>
      <x:c r="G2" s="102" t="str">
        <x:v>Atlantic Ocean ↔ Duluth-Superior / inland Great Lakes</x:v>
      </x:c>
      <x:c r="H2" s="102" t="str">
        <x:v>1959</x:v>
      </x:c>
      <x:c r="I2" s="102" t="str">
        <x:v>Seasonal deep-draft system; domestic lake navigation season extends longer in some segments</x:v>
      </x:c>
      <x:c r="J2" s="102" t="str">
        <x:v>225.5 m max length; 23.77 m max beam; 8.08 m max draft; 35.5 m max air draft</x:v>
      </x:c>
      <x:c r="K2" s="102" t="str">
        <x:v>St. Lawrence Seaway Management Corporation; Great Lakes St. Lawrence Seaway Development Corporation; USACE at Soo Locks</x:v>
      </x:c>
      <x:c r="L2" s="102" t="str">
        <x:v>Bulk cargo; breakbulk; project cargo; containers; cruise; ferries / passenger where applicable</x:v>
      </x:c>
      <x:c r="M2" s="102" t="str">
        <x:v>Active</x:v>
      </x:c>
      <x:c r="N2" s="102" t="str">
        <x:v>High</x:v>
      </x:c>
      <x:c r="O2" s="102" t="str">
        <x:v>SRC_0145</x:v>
      </x:c>
      <x:c r="P2" s="102" t="str">
        <x:v>Global trade system linking inland North American industrial and agricultural regions to Atlantic markets.</x:v>
      </x:c>
    </x:row>
  </x:sheetData>
  <x:pageMargins left="0.7" right="0.7" top="0.75" bottom="0.75" header="0.3" footer="0.3"/>
</x:worksheet>
</file>

<file path=xl/worksheets/sheet55.xml><?xml version="1.0" encoding="utf-8"?>
<x:worksheet xmlns:x="http://schemas.openxmlformats.org/spreadsheetml/2006/main">
  <x:sheetFormatPr defaultRowHeight="15"/>
  <x:cols>
    <x:col min="1" max="1" width="14" hidden="0" customWidth="1"/>
    <x:col min="2" max="2" width="14" hidden="0" customWidth="1"/>
    <x:col min="3" max="3" width="22" hidden="0" customWidth="1"/>
    <x:col min="4" max="4" width="22" hidden="0" customWidth="1"/>
    <x:col min="5" max="5" width="22" hidden="0" customWidth="1"/>
    <x:col min="6" max="6" width="14" hidden="0" customWidth="1"/>
    <x:col min="7" max="7" width="14" hidden="0" customWidth="1"/>
    <x:col min="8" max="8" width="14" hidden="0" customWidth="1"/>
    <x:col min="9" max="9" width="14" hidden="0" customWidth="1"/>
    <x:col min="10" max="10" width="22" hidden="0" customWidth="1"/>
    <x:col min="11" max="11" width="14" hidden="0" customWidth="1"/>
    <x:col min="12" max="12" width="14" hidden="0" customWidth="1"/>
    <x:col min="13" max="13" width="22" hidden="0" customWidth="1"/>
    <x:col min="14" max="14" width="14" hidden="0" customWidth="1"/>
    <x:col min="15" max="15" width="36" hidden="0" customWidth="1"/>
  </x:cols>
  <x:sheetData>
    <x:row r="1">
      <x:c r="A1" s="165" t="str">
        <x:v>Node ID</x:v>
      </x:c>
      <x:c r="B1" s="165" t="str">
        <x:v>System ID</x:v>
      </x:c>
      <x:c r="C1" s="165" t="str">
        <x:v>Node Type</x:v>
      </x:c>
      <x:c r="D1" s="165" t="str">
        <x:v>Node Name</x:v>
      </x:c>
      <x:c r="E1" s="165" t="str">
        <x:v>Location</x:v>
      </x:c>
      <x:c r="F1" s="165" t="str">
        <x:v>Country</x:v>
      </x:c>
      <x:c r="G1" s="165" t="str">
        <x:v>Waterway</x:v>
      </x:c>
      <x:c r="H1" s="165" t="str">
        <x:v>Owner / Authority</x:v>
      </x:c>
      <x:c r="I1" s="165" t="str">
        <x:v>Function</x:v>
      </x:c>
      <x:c r="J1" s="165" t="str">
        <x:v>System Role</x:v>
      </x:c>
      <x:c r="K1" s="165" t="str">
        <x:v>Criticality</x:v>
      </x:c>
      <x:c r="L1" s="165" t="str">
        <x:v>Primary Disruption Risks</x:v>
      </x:c>
      <x:c r="M1" s="165" t="str">
        <x:v>Status</x:v>
      </x:c>
      <x:c r="N1" s="165" t="str">
        <x:v>Source ID</x:v>
      </x:c>
      <x:c r="O1" s="165" t="str">
        <x:v>Notes</x:v>
      </x:c>
    </x:row>
    <x:row r="2">
      <x:c r="A2" s="102" t="str">
        <x:v>GL_NODE_0001</x:v>
      </x:c>
      <x:c r="B2" s="102" t="str">
        <x:v>SYS_GLSS</x:v>
      </x:c>
      <x:c r="C2" s="102" t="str">
        <x:v>Navigation Infrastructure</x:v>
      </x:c>
      <x:c r="D2" s="102" t="str">
        <x:v>Soo Locks</x:v>
      </x:c>
      <x:c r="E2" s="102" t="str">
        <x:v>Sault Ste. Marie, Michigan</x:v>
      </x:c>
      <x:c r="F2" s="102" t="str">
        <x:v>United States</x:v>
      </x:c>
      <x:c r="G2" s="102" t="str">
        <x:v>St. Marys River</x:v>
      </x:c>
      <x:c r="H2" s="102" t="str">
        <x:v>USACE Detroit District</x:v>
      </x:c>
      <x:c r="I2" s="102" t="str">
        <x:v>Lock complex</x:v>
      </x:c>
      <x:c r="J2" s="102" t="str">
        <x:v>Lake Superior ↔ Lake Huron gateway</x:v>
      </x:c>
      <x:c r="K2" s="102" t="str">
        <x:v>Critical</x:v>
      </x:c>
      <x:c r="L2" s="102" t="str">
        <x:v>Seasonal closure / maintenance; ice</x:v>
      </x:c>
      <x:c r="M2" s="102" t="str">
        <x:v>Active</x:v>
      </x:c>
      <x:c r="N2" s="102" t="str">
        <x:v>SRC_0148</x:v>
      </x:c>
      <x:c r="O2" s="102" t="str">
        <x:v>Parallel lock complex; Great Lakes system source identifies four U.S. parallel locks.</x:v>
      </x:c>
    </x:row>
    <x:row r="3">
      <x:c r="A3" s="102" t="str">
        <x:v>GL_NODE_0002</x:v>
      </x:c>
      <x:c r="B3" s="102" t="str">
        <x:v>SYS_GLSS</x:v>
      </x:c>
      <x:c r="C3" s="102" t="str">
        <x:v>Canal / Lock System</x:v>
      </x:c>
      <x:c r="D3" s="102" t="str">
        <x:v>Welland Canal</x:v>
      </x:c>
      <x:c r="E3" s="102" t="str">
        <x:v>Niagara Region, Ontario</x:v>
      </x:c>
      <x:c r="F3" s="102" t="str">
        <x:v>Canada</x:v>
      </x:c>
      <x:c r="G3" s="102" t="str">
        <x:v>Lake Ontario ↔ Lake Erie</x:v>
      </x:c>
      <x:c r="H3" s="102" t="str">
        <x:v>St. Lawrence Seaway Management Corporation</x:v>
      </x:c>
      <x:c r="I3" s="102" t="str">
        <x:v>8-lock canal</x:v>
      </x:c>
      <x:c r="J3" s="102" t="str">
        <x:v>Bypasses Niagara Falls; required for Seawaymax through traffic</x:v>
      </x:c>
      <x:c r="K3" s="102" t="str">
        <x:v>Critical</x:v>
      </x:c>
      <x:c r="L3" s="102" t="str">
        <x:v>Lock / bridge / depth restrictions; maintenance</x:v>
      </x:c>
      <x:c r="M3" s="102" t="str">
        <x:v>Active</x:v>
      </x:c>
      <x:c r="N3" s="102" t="str">
        <x:v>SRC_0145</x:v>
      </x:c>
      <x:c r="O3" s="102" t="str">
        <x:v>Eight Canadian locks; 2026 notices include lock outages, bridge assessments and shallow-depth restrictions.</x:v>
      </x:c>
    </x:row>
    <x:row r="4">
      <x:c r="A4" s="102" t="str">
        <x:v>GL_NODE_0003</x:v>
      </x:c>
      <x:c r="B4" s="102" t="str">
        <x:v>SYS_GLSS</x:v>
      </x:c>
      <x:c r="C4" s="102" t="str">
        <x:v>Lock System</x:v>
      </x:c>
      <x:c r="D4" s="102" t="str">
        <x:v>Montreal-Lake Ontario Section</x:v>
      </x:c>
      <x:c r="E4" s="102" t="str">
        <x:v>St. Lawrence River</x:v>
      </x:c>
      <x:c r="F4" s="102" t="str">
        <x:v>Canada / United States</x:v>
      </x:c>
      <x:c r="G4" s="102" t="str">
        <x:v>Montreal ↔ Lake Ontario</x:v>
      </x:c>
      <x:c r="H4" s="102" t="str">
        <x:v>SLSMC + GLS</x:v>
      </x:c>
      <x:c r="I4" s="102" t="str">
        <x:v>7-lock section</x:v>
      </x:c>
      <x:c r="J4" s="102" t="str">
        <x:v>Atlantic / St. Lawrence ↔ Lake Ontario gateway</x:v>
      </x:c>
      <x:c r="K4" s="102" t="str">
        <x:v>Critical</x:v>
      </x:c>
      <x:c r="L4" s="102" t="str">
        <x:v>Lock outage; water levels; bridge / channel restrictions</x:v>
      </x:c>
      <x:c r="M4" s="102" t="str">
        <x:v>Active</x:v>
      </x:c>
      <x:c r="N4" s="102" t="str">
        <x:v>SRC_0145</x:v>
      </x:c>
      <x:c r="O4" s="102" t="str">
        <x:v>Two U.S. and five Canadian locks.</x:v>
      </x:c>
    </x:row>
    <x:row r="5">
      <x:c r="A5" s="102" t="str">
        <x:v>GL_NODE_0004</x:v>
      </x:c>
      <x:c r="B5" s="102" t="str">
        <x:v>SYS_GLSS</x:v>
      </x:c>
      <x:c r="C5" s="102" t="str">
        <x:v>River / Channel</x:v>
      </x:c>
      <x:c r="D5" s="102" t="str">
        <x:v>St. Marys River</x:v>
      </x:c>
      <x:c r="E5" s="102" t="str">
        <x:v>Michigan / Ontario</x:v>
      </x:c>
      <x:c r="F5" s="102" t="str">
        <x:v>Canada / United States</x:v>
      </x:c>
      <x:c r="G5" s="102" t="str">
        <x:v>Lake Superior ↔ Lake Huron</x:v>
      </x:c>
      <x:c r="H5" s="102" t="str">
        <x:v>US / Canadian navigation authorities</x:v>
      </x:c>
      <x:c r="I5" s="102" t="str">
        <x:v>Connecting channel</x:v>
      </x:c>
      <x:c r="J5" s="102" t="str">
        <x:v>Carries Lake Superior bulk flows</x:v>
      </x:c>
      <x:c r="K5" s="102" t="str">
        <x:v>High</x:v>
      </x:c>
      <x:c r="L5" s="102" t="str">
        <x:v>Ice; current; lock dependency; navigation casualty</x:v>
      </x:c>
      <x:c r="M5" s="102" t="str">
        <x:v>Active</x:v>
      </x:c>
      <x:c r="N5" s="102" t="str">
        <x:v>SRC_0145</x:v>
      </x:c>
      <x:c r="O5" s="102"/>
    </x:row>
    <x:row r="6">
      <x:c r="A6" s="102" t="str">
        <x:v>GL_NODE_0005</x:v>
      </x:c>
      <x:c r="B6" s="102" t="str">
        <x:v>SYS_GLSS</x:v>
      </x:c>
      <x:c r="C6" s="102" t="str">
        <x:v>River / Channel</x:v>
      </x:c>
      <x:c r="D6" s="102" t="str">
        <x:v>St. Clair River</x:v>
      </x:c>
      <x:c r="E6" s="102" t="str">
        <x:v>Michigan / Ontario</x:v>
      </x:c>
      <x:c r="F6" s="102" t="str">
        <x:v>Canada / United States</x:v>
      </x:c>
      <x:c r="G6" s="102" t="str">
        <x:v>Lake Huron ↔ Lake St. Clair</x:v>
      </x:c>
      <x:c r="H6" s="102" t="str">
        <x:v>US / Canadian navigation authorities</x:v>
      </x:c>
      <x:c r="I6" s="102" t="str">
        <x:v>Connecting channel</x:v>
      </x:c>
      <x:c r="J6" s="102" t="str">
        <x:v>Upper Lakes ↔ Detroit / Lake Erie</x:v>
      </x:c>
      <x:c r="K6" s="102" t="str">
        <x:v>High</x:v>
      </x:c>
      <x:c r="L6" s="102" t="str">
        <x:v>Ice; current; channel restrictions; casualty</x:v>
      </x:c>
      <x:c r="M6" s="102" t="str">
        <x:v>Active</x:v>
      </x:c>
      <x:c r="N6" s="102" t="str">
        <x:v>SRC_0145</x:v>
      </x:c>
      <x:c r="O6" s="102"/>
    </x:row>
    <x:row r="7">
      <x:c r="A7" s="102" t="str">
        <x:v>GL_NODE_0006</x:v>
      </x:c>
      <x:c r="B7" s="102" t="str">
        <x:v>SYS_GLSS</x:v>
      </x:c>
      <x:c r="C7" s="102" t="str">
        <x:v>River / Channel</x:v>
      </x:c>
      <x:c r="D7" s="102" t="str">
        <x:v>Detroit River</x:v>
      </x:c>
      <x:c r="E7" s="102" t="str">
        <x:v>Michigan / Ontario</x:v>
      </x:c>
      <x:c r="F7" s="102" t="str">
        <x:v>Canada / United States</x:v>
      </x:c>
      <x:c r="G7" s="102" t="str">
        <x:v>Lake St. Clair ↔ Lake Erie</x:v>
      </x:c>
      <x:c r="H7" s="102" t="str">
        <x:v>US / Canadian navigation authorities</x:v>
      </x:c>
      <x:c r="I7" s="102" t="str">
        <x:v>Connecting channel</x:v>
      </x:c>
      <x:c r="J7" s="102" t="str">
        <x:v>Detroit/Windsor industrial corridor</x:v>
      </x:c>
      <x:c r="K7" s="102" t="str">
        <x:v>High</x:v>
      </x:c>
      <x:c r="L7" s="102" t="str">
        <x:v>Traffic density; bridges; channel restrictions; casualty</x:v>
      </x:c>
      <x:c r="M7" s="102" t="str">
        <x:v>Active</x:v>
      </x:c>
      <x:c r="N7" s="102" t="str">
        <x:v>SRC_0145</x:v>
      </x:c>
      <x:c r="O7" s="102"/>
    </x:row>
    <x:row r="8">
      <x:c r="A8" s="102" t="str">
        <x:v>GL_NODE_0007</x:v>
      </x:c>
      <x:c r="B8" s="102" t="str">
        <x:v>SYS_GLSS</x:v>
      </x:c>
      <x:c r="C8" s="102" t="str">
        <x:v>Strait</x:v>
      </x:c>
      <x:c r="D8" s="102" t="str">
        <x:v>Straits of Mackinac</x:v>
      </x:c>
      <x:c r="E8" s="102" t="str">
        <x:v>Michigan</x:v>
      </x:c>
      <x:c r="F8" s="102" t="str">
        <x:v>United States</x:v>
      </x:c>
      <x:c r="G8" s="102" t="str">
        <x:v>Lake Michigan ↔ Lake Huron</x:v>
      </x:c>
      <x:c r="H8" s="102" t="str">
        <x:v>US navigation authorities</x:v>
      </x:c>
      <x:c r="I8" s="102" t="str">
        <x:v>Natural strait</x:v>
      </x:c>
      <x:c r="J8" s="102" t="str">
        <x:v>Connects Lake Michigan with Lake Huron</x:v>
      </x:c>
      <x:c r="K8" s="102" t="str">
        <x:v>High</x:v>
      </x:c>
      <x:c r="L8" s="102" t="str">
        <x:v>Weather; ice; casualty; bridge proximity</x:v>
      </x:c>
      <x:c r="M8" s="102" t="str">
        <x:v>Active</x:v>
      </x:c>
      <x:c r="N8" s="102" t="str">
        <x:v>SRC_0145</x:v>
      </x:c>
      <x:c r="O8" s="102"/>
    </x:row>
  </x:sheetData>
  <x:pageMargins left="0.7" right="0.7" top="0.75" bottom="0.75" header="0.3" footer="0.3"/>
</x:worksheet>
</file>

<file path=xl/worksheets/sheet56.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22" hidden="0" customWidth="1"/>
    <x:col min="6" max="6" width="14" hidden="0" customWidth="1"/>
    <x:col min="7" max="7" width="14" hidden="0" customWidth="1"/>
    <x:col min="8" max="8" width="14" hidden="0" customWidth="1"/>
    <x:col min="9" max="9" width="36" hidden="0" customWidth="1"/>
    <x:col min="10" max="10" width="14" hidden="0" customWidth="1"/>
    <x:col min="11" max="11" width="36" hidden="0" customWidth="1"/>
    <x:col min="12" max="12" width="14" hidden="0" customWidth="1"/>
  </x:cols>
  <x:sheetData>
    <x:row r="1">
      <x:c r="A1" s="165" t="str">
        <x:v>Link ID</x:v>
      </x:c>
      <x:c r="B1" s="165" t="str">
        <x:v>System ID</x:v>
      </x:c>
      <x:c r="C1" s="165" t="str">
        <x:v>From Node / Area</x:v>
      </x:c>
      <x:c r="D1" s="165" t="str">
        <x:v>To Node / Area</x:v>
      </x:c>
      <x:c r="E1" s="165" t="str">
        <x:v>Segment / Route</x:v>
      </x:c>
      <x:c r="F1" s="165" t="str">
        <x:v>Mode</x:v>
      </x:c>
      <x:c r="G1" s="165" t="str">
        <x:v>Vessel Classes</x:v>
      </x:c>
      <x:c r="H1" s="165" t="str">
        <x:v>Seasonal</x:v>
      </x:c>
      <x:c r="I1" s="165" t="str">
        <x:v>Infrastructure Dependencies</x:v>
      </x:c>
      <x:c r="J1" s="165" t="str">
        <x:v>Criticality</x:v>
      </x:c>
      <x:c r="K1" s="165" t="str">
        <x:v>Notes</x:v>
      </x:c>
      <x:c r="L1" s="165" t="str">
        <x:v>Source ID</x:v>
      </x:c>
    </x:row>
    <x:row r="2">
      <x:c r="A2" s="102" t="str">
        <x:v>GL_LINK_0001</x:v>
      </x:c>
      <x:c r="B2" s="102" t="str">
        <x:v>SYS_GLSS</x:v>
      </x:c>
      <x:c r="C2" s="102" t="str">
        <x:v>Atlantic / Montreal</x:v>
      </x:c>
      <x:c r="D2" s="102" t="str">
        <x:v>Lake Ontario</x:v>
      </x:c>
      <x:c r="E2" s="102" t="str">
        <x:v>St. Lawrence Seaway</x:v>
      </x:c>
      <x:c r="F2" s="102" t="str">
        <x:v>Deep-draft maritime</x:v>
      </x:c>
      <x:c r="G2" s="102" t="str">
        <x:v>Seawaymax / ocean-going</x:v>
      </x:c>
      <x:c r="H2" s="102" t="str">
        <x:v>Yes</x:v>
      </x:c>
      <x:c r="I2" s="102" t="str">
        <x:v>Montreal-Lake Ontario lock section</x:v>
      </x:c>
      <x:c r="J2" s="102" t="str">
        <x:v>Critical</x:v>
      </x:c>
      <x:c r="K2" s="102" t="str">
        <x:v>Atlantic ↔ Great Lakes entry corridor</x:v>
      </x:c>
      <x:c r="L2" s="102" t="str">
        <x:v>SRC_0145</x:v>
      </x:c>
    </x:row>
    <x:row r="3">
      <x:c r="A3" s="102" t="str">
        <x:v>GL_LINK_0002</x:v>
      </x:c>
      <x:c r="B3" s="102" t="str">
        <x:v>SYS_GLSS</x:v>
      </x:c>
      <x:c r="C3" s="102" t="str">
        <x:v>Lake Ontario</x:v>
      </x:c>
      <x:c r="D3" s="102" t="str">
        <x:v>Lake Erie</x:v>
      </x:c>
      <x:c r="E3" s="102" t="str">
        <x:v>Welland Canal</x:v>
      </x:c>
      <x:c r="F3" s="102" t="str">
        <x:v>Canal / locks</x:v>
      </x:c>
      <x:c r="G3" s="102" t="str">
        <x:v>Seawaymax</x:v>
      </x:c>
      <x:c r="H3" s="102" t="str">
        <x:v>Yes</x:v>
      </x:c>
      <x:c r="I3" s="102" t="str">
        <x:v>8 Canadian locks</x:v>
      </x:c>
      <x:c r="J3" s="102" t="str">
        <x:v>Critical</x:v>
      </x:c>
      <x:c r="K3" s="102" t="str">
        <x:v>Required to bypass Niagara Falls</x:v>
      </x:c>
      <x:c r="L3" s="102" t="str">
        <x:v>SRC_0145</x:v>
      </x:c>
    </x:row>
    <x:row r="4">
      <x:c r="A4" s="102" t="str">
        <x:v>GL_LINK_0003</x:v>
      </x:c>
      <x:c r="B4" s="102" t="str">
        <x:v>SYS_GLSS</x:v>
      </x:c>
      <x:c r="C4" s="102" t="str">
        <x:v>Lake Erie</x:v>
      </x:c>
      <x:c r="D4" s="102" t="str">
        <x:v>Lake Huron</x:v>
      </x:c>
      <x:c r="E4" s="102" t="str">
        <x:v>Detroit River / Lake St. Clair / St. Clair River</x:v>
      </x:c>
      <x:c r="F4" s="102" t="str">
        <x:v>Connecting waterways</x:v>
      </x:c>
      <x:c r="G4" s="102" t="str">
        <x:v>Lakers / Seawaymax</x:v>
      </x:c>
      <x:c r="H4" s="102" t="str">
        <x:v>Yes</x:v>
      </x:c>
      <x:c r="I4" s="102" t="str">
        <x:v>Narrow river / lake channels</x:v>
      </x:c>
      <x:c r="J4" s="102" t="str">
        <x:v>High</x:v>
      </x:c>
      <x:c r="K4" s="102" t="str">
        <x:v>Detroit-Windsor industrial route</x:v>
      </x:c>
      <x:c r="L4" s="102" t="str">
        <x:v>SRC_0145</x:v>
      </x:c>
    </x:row>
    <x:row r="5">
      <x:c r="A5" s="102" t="str">
        <x:v>GL_LINK_0004</x:v>
      </x:c>
      <x:c r="B5" s="102" t="str">
        <x:v>SYS_GLSS</x:v>
      </x:c>
      <x:c r="C5" s="102" t="str">
        <x:v>Lake Huron</x:v>
      </x:c>
      <x:c r="D5" s="102" t="str">
        <x:v>Lake Superior</x:v>
      </x:c>
      <x:c r="E5" s="102" t="str">
        <x:v>St. Marys River / Soo Locks</x:v>
      </x:c>
      <x:c r="F5" s="102" t="str">
        <x:v>Lock / river</x:v>
      </x:c>
      <x:c r="G5" s="102" t="str">
        <x:v>Lakers / Seawaymax</x:v>
      </x:c>
      <x:c r="H5" s="102" t="str">
        <x:v>Yes</x:v>
      </x:c>
      <x:c r="I5" s="102" t="str">
        <x:v>Soo Locks</x:v>
      </x:c>
      <x:c r="J5" s="102" t="str">
        <x:v>Critical</x:v>
      </x:c>
      <x:c r="K5" s="102" t="str">
        <x:v>Primary Lake Superior gateway</x:v>
      </x:c>
      <x:c r="L5" s="102" t="str">
        <x:v>SRC_0148</x:v>
      </x:c>
    </x:row>
    <x:row r="6">
      <x:c r="A6" s="102" t="str">
        <x:v>GL_LINK_0005</x:v>
      </x:c>
      <x:c r="B6" s="102" t="str">
        <x:v>SYS_GLSS</x:v>
      </x:c>
      <x:c r="C6" s="102" t="str">
        <x:v>Lake Huron</x:v>
      </x:c>
      <x:c r="D6" s="102" t="str">
        <x:v>Lake Michigan</x:v>
      </x:c>
      <x:c r="E6" s="102" t="str">
        <x:v>Straits of Mackinac</x:v>
      </x:c>
      <x:c r="F6" s="102" t="str">
        <x:v>Natural strait</x:v>
      </x:c>
      <x:c r="G6" s="102" t="str">
        <x:v>Lakers / regional / cruise</x:v>
      </x:c>
      <x:c r="H6" s="102" t="str">
        <x:v>Yes</x:v>
      </x:c>
      <x:c r="I6" s="102" t="str">
        <x:v>Straits of Mackinac</x:v>
      </x:c>
      <x:c r="J6" s="102" t="str">
        <x:v>High</x:v>
      </x:c>
      <x:c r="K6" s="102" t="str">
        <x:v>Lake Michigan connection</x:v>
      </x:c>
      <x:c r="L6" s="102" t="str">
        <x:v>SRC_0145</x:v>
      </x:c>
    </x:row>
  </x:sheetData>
  <x:pageMargins left="0.7" right="0.7" top="0.75" bottom="0.75" header="0.3" footer="0.3"/>
</x:worksheet>
</file>

<file path=xl/worksheets/sheet57.xml><?xml version="1.0" encoding="utf-8"?>
<x:worksheet xmlns:x="http://schemas.openxmlformats.org/spreadsheetml/2006/main">
  <x:sheetFormatPr defaultRowHeight="15"/>
  <x:cols>
    <x:col min="1" max="1" width="14" hidden="0" customWidth="1"/>
    <x:col min="2" max="2" width="14" hidden="0" customWidth="1"/>
    <x:col min="3" max="3" width="22" hidden="0" customWidth="1"/>
    <x:col min="4" max="4" width="14" hidden="0" customWidth="1"/>
    <x:col min="5" max="5" width="14" hidden="0" customWidth="1"/>
    <x:col min="6" max="6" width="14" hidden="0" customWidth="1"/>
    <x:col min="7" max="7" width="14" hidden="0" customWidth="1"/>
    <x:col min="8" max="8" width="14" hidden="0" customWidth="1"/>
    <x:col min="9" max="9" width="22" hidden="0" customWidth="1"/>
    <x:col min="10" max="10" width="36" hidden="0" customWidth="1"/>
    <x:col min="11" max="11" width="22" hidden="0" customWidth="1"/>
    <x:col min="12" max="12" width="36" hidden="0" customWidth="1"/>
    <x:col min="13" max="13" width="22" hidden="0" customWidth="1"/>
    <x:col min="14" max="14" width="22" hidden="0" customWidth="1"/>
    <x:col min="15" max="15" width="14" hidden="0" customWidth="1"/>
    <x:col min="16" max="16" width="36" hidden="0" customWidth="1"/>
  </x:cols>
  <x:sheetData>
    <x:row r="1">
      <x:c r="A1" s="165" t="str">
        <x:v>GL Port ID</x:v>
      </x:c>
      <x:c r="B1" s="165" t="str">
        <x:v>System ID</x:v>
      </x:c>
      <x:c r="C1" s="165" t="str">
        <x:v>Port Name</x:v>
      </x:c>
      <x:c r="D1" s="165" t="str">
        <x:v>Country</x:v>
      </x:c>
      <x:c r="E1" s="165" t="str">
        <x:v>State / Province</x:v>
      </x:c>
      <x:c r="F1" s="165" t="str">
        <x:v>Waterway</x:v>
      </x:c>
      <x:c r="G1" s="165" t="str">
        <x:v>Port Model</x:v>
      </x:c>
      <x:c r="H1" s="165" t="str">
        <x:v>Authority / Operator</x:v>
      </x:c>
      <x:c r="I1" s="165" t="str">
        <x:v>Cargo Focus</x:v>
      </x:c>
      <x:c r="J1" s="165" t="str">
        <x:v>Rail / Inland Connectivity</x:v>
      </x:c>
      <x:c r="K1" s="165" t="str">
        <x:v>Cruise Role</x:v>
      </x:c>
      <x:c r="L1" s="165" t="str">
        <x:v>Industrial / Infrastructure Notes</x:v>
      </x:c>
      <x:c r="M1" s="165" t="str">
        <x:v>System Role</x:v>
      </x:c>
      <x:c r="N1" s="165" t="str">
        <x:v>Research Status</x:v>
      </x:c>
      <x:c r="O1" s="165" t="str">
        <x:v>Source ID</x:v>
      </x:c>
      <x:c r="P1" s="165" t="str">
        <x:v>Source URL</x:v>
      </x:c>
    </x:row>
    <x:row r="2">
      <x:c r="A2" s="102" t="str">
        <x:v>GL_PORT_0001</x:v>
      </x:c>
      <x:c r="B2" s="102" t="str">
        <x:v>SYS_GLSS</x:v>
      </x:c>
      <x:c r="C2" s="102" t="str">
        <x:v>Ashtabula</x:v>
      </x:c>
      <x:c r="D2" s="102" t="str">
        <x:v>United States</x:v>
      </x:c>
      <x:c r="E2" s="102" t="str">
        <x:v>Ohio</x:v>
      </x:c>
      <x:c r="F2" s="102" t="str">
        <x:v>Lake Erie</x:v>
      </x:c>
      <x:c r="G2" s="102" t="str">
        <x:v>Public / private port complex</x:v>
      </x:c>
      <x:c r="H2" s="102" t="str">
        <x:v>To populate</x:v>
      </x:c>
      <x:c r="I2" s="102" t="str">
        <x:v>Bulk / general cargo / industrial mix to populate</x:v>
      </x:c>
      <x:c r="J2" s="102" t="str">
        <x:v>To populate</x:v>
      </x:c>
      <x:c r="K2" s="102" t="str">
        <x:v>To populate</x:v>
      </x:c>
      <x:c r="L2" s="102" t="str">
        <x:v>To populate</x:v>
      </x:c>
      <x:c r="M2" s="102" t="str">
        <x:v>Core AGLPA economic-impact port</x:v>
      </x:c>
      <x:c r="N2" s="102" t="str">
        <x:v>Seeded</x:v>
      </x:c>
      <x:c r="O2" s="102" t="str">
        <x:v>SRC_0149</x:v>
      </x:c>
      <x:c r="P2" s="102" t="str">
        <x:v>https://www.greatlakesports.org/wp-content/uploads/2024/03/2023-Chicago-v2-9-13-23.pdf</x:v>
      </x:c>
    </x:row>
    <x:row r="3">
      <x:c r="A3" s="102" t="str">
        <x:v>GL_PORT_0002</x:v>
      </x:c>
      <x:c r="B3" s="102" t="str">
        <x:v>SYS_GLSS</x:v>
      </x:c>
      <x:c r="C3" s="102" t="str">
        <x:v>Burns Harbor</x:v>
      </x:c>
      <x:c r="D3" s="102" t="str">
        <x:v>United States</x:v>
      </x:c>
      <x:c r="E3" s="102" t="str">
        <x:v>Indiana</x:v>
      </x:c>
      <x:c r="F3" s="102" t="str">
        <x:v>Lake Michigan</x:v>
      </x:c>
      <x:c r="G3" s="102" t="str">
        <x:v>Public / private port complex</x:v>
      </x:c>
      <x:c r="H3" s="102" t="str">
        <x:v>To populate</x:v>
      </x:c>
      <x:c r="I3" s="102" t="str">
        <x:v>Bulk / general cargo / industrial mix to populate</x:v>
      </x:c>
      <x:c r="J3" s="102" t="str">
        <x:v>To populate</x:v>
      </x:c>
      <x:c r="K3" s="102" t="str">
        <x:v>To populate</x:v>
      </x:c>
      <x:c r="L3" s="102" t="str">
        <x:v>To populate</x:v>
      </x:c>
      <x:c r="M3" s="102" t="str">
        <x:v>Core AGLPA economic-impact port</x:v>
      </x:c>
      <x:c r="N3" s="102" t="str">
        <x:v>Seeded</x:v>
      </x:c>
      <x:c r="O3" s="102" t="str">
        <x:v>SRC_0149</x:v>
      </x:c>
      <x:c r="P3" s="102" t="str">
        <x:v>https://www.greatlakesports.org/wp-content/uploads/2024/03/2023-Chicago-v2-9-13-23.pdf</x:v>
      </x:c>
    </x:row>
    <x:row r="4">
      <x:c r="A4" s="102" t="str">
        <x:v>GL_PORT_0003</x:v>
      </x:c>
      <x:c r="B4" s="102" t="str">
        <x:v>SYS_GLSS</x:v>
      </x:c>
      <x:c r="C4" s="102" t="str">
        <x:v>Calcite</x:v>
      </x:c>
      <x:c r="D4" s="102" t="str">
        <x:v>United States</x:v>
      </x:c>
      <x:c r="E4" s="102" t="str">
        <x:v>Michigan</x:v>
      </x:c>
      <x:c r="F4" s="102" t="str">
        <x:v>Lake Huron</x:v>
      </x:c>
      <x:c r="G4" s="102" t="str">
        <x:v>Public / private port complex</x:v>
      </x:c>
      <x:c r="H4" s="102" t="str">
        <x:v>To populate</x:v>
      </x:c>
      <x:c r="I4" s="102" t="str">
        <x:v>Bulk / general cargo / industrial mix to populate</x:v>
      </x:c>
      <x:c r="J4" s="102" t="str">
        <x:v>To populate</x:v>
      </x:c>
      <x:c r="K4" s="102" t="str">
        <x:v>To populate</x:v>
      </x:c>
      <x:c r="L4" s="102" t="str">
        <x:v>To populate</x:v>
      </x:c>
      <x:c r="M4" s="102" t="str">
        <x:v>Core AGLPA economic-impact port</x:v>
      </x:c>
      <x:c r="N4" s="102" t="str">
        <x:v>Seeded</x:v>
      </x:c>
      <x:c r="O4" s="102" t="str">
        <x:v>SRC_0149</x:v>
      </x:c>
      <x:c r="P4" s="102" t="str">
        <x:v>https://www.greatlakesports.org/wp-content/uploads/2024/03/2023-Chicago-v2-9-13-23.pdf</x:v>
      </x:c>
    </x:row>
    <x:row r="5">
      <x:c r="A5" s="102" t="str">
        <x:v>GL_PORT_0004</x:v>
      </x:c>
      <x:c r="B5" s="102" t="str">
        <x:v>SYS_GLSS</x:v>
      </x:c>
      <x:c r="C5" s="102" t="str">
        <x:v>Chicago</x:v>
      </x:c>
      <x:c r="D5" s="102" t="str">
        <x:v>United States</x:v>
      </x:c>
      <x:c r="E5" s="102" t="str">
        <x:v>Illinois</x:v>
      </x:c>
      <x:c r="F5" s="102" t="str">
        <x:v>Lake Michigan</x:v>
      </x:c>
      <x:c r="G5" s="102" t="str">
        <x:v>Public / private port complex</x:v>
      </x:c>
      <x:c r="H5" s="102" t="str">
        <x:v>To populate</x:v>
      </x:c>
      <x:c r="I5" s="102" t="str">
        <x:v>Bulk / general cargo / industrial mix to populate</x:v>
      </x:c>
      <x:c r="J5" s="102" t="str">
        <x:v>To populate</x:v>
      </x:c>
      <x:c r="K5" s="102" t="str">
        <x:v>To populate</x:v>
      </x:c>
      <x:c r="L5" s="102" t="str">
        <x:v>To populate</x:v>
      </x:c>
      <x:c r="M5" s="102" t="str">
        <x:v>Core AGLPA economic-impact port</x:v>
      </x:c>
      <x:c r="N5" s="102" t="str">
        <x:v>Seeded</x:v>
      </x:c>
      <x:c r="O5" s="102" t="str">
        <x:v>SRC_0149</x:v>
      </x:c>
      <x:c r="P5" s="102" t="str">
        <x:v>https://www.greatlakesports.org/wp-content/uploads/2024/03/2023-Chicago-v2-9-13-23.pdf</x:v>
      </x:c>
    </x:row>
    <x:row r="6">
      <x:c r="A6" s="102" t="str">
        <x:v>GL_PORT_0005</x:v>
      </x:c>
      <x:c r="B6" s="102" t="str">
        <x:v>SYS_GLSS</x:v>
      </x:c>
      <x:c r="C6" s="102" t="str">
        <x:v>Cleveland</x:v>
      </x:c>
      <x:c r="D6" s="102" t="str">
        <x:v>United States</x:v>
      </x:c>
      <x:c r="E6" s="102" t="str">
        <x:v>Ohio</x:v>
      </x:c>
      <x:c r="F6" s="102" t="str">
        <x:v>Lake Erie</x:v>
      </x:c>
      <x:c r="G6" s="102" t="str">
        <x:v>Public / private port complex</x:v>
      </x:c>
      <x:c r="H6" s="102" t="str">
        <x:v>To populate</x:v>
      </x:c>
      <x:c r="I6" s="102" t="str">
        <x:v>Bulk; steel/industrial; containerized cargo; general cargo</x:v>
      </x:c>
      <x:c r="J6" s="102" t="str">
        <x:v>To populate</x:v>
      </x:c>
      <x:c r="K6" s="102" t="str">
        <x:v>Cruise capable</x:v>
      </x:c>
      <x:c r="L6" s="102" t="str">
        <x:v>To populate</x:v>
      </x:c>
      <x:c r="M6" s="102" t="str">
        <x:v>Core AGLPA economic-impact port</x:v>
      </x:c>
      <x:c r="N6" s="102" t="str">
        <x:v>Seeded</x:v>
      </x:c>
      <x:c r="O6" s="102" t="str">
        <x:v>SRC_0149</x:v>
      </x:c>
      <x:c r="P6" s="102" t="str">
        <x:v>https://www.greatlakesports.org/aglpa-members/port-of-cleveland/</x:v>
      </x:c>
    </x:row>
    <x:row r="7">
      <x:c r="A7" s="102" t="str">
        <x:v>GL_PORT_0006</x:v>
      </x:c>
      <x:c r="B7" s="102" t="str">
        <x:v>SYS_GLSS</x:v>
      </x:c>
      <x:c r="C7" s="102" t="str">
        <x:v>Conneaut</x:v>
      </x:c>
      <x:c r="D7" s="102" t="str">
        <x:v>United States</x:v>
      </x:c>
      <x:c r="E7" s="102" t="str">
        <x:v>Ohio</x:v>
      </x:c>
      <x:c r="F7" s="102" t="str">
        <x:v>Lake Erie</x:v>
      </x:c>
      <x:c r="G7" s="102" t="str">
        <x:v>Public / private port complex</x:v>
      </x:c>
      <x:c r="H7" s="102" t="str">
        <x:v>To populate</x:v>
      </x:c>
      <x:c r="I7" s="102" t="str">
        <x:v>Bulk / general cargo / industrial mix to populate</x:v>
      </x:c>
      <x:c r="J7" s="102" t="str">
        <x:v>To populate</x:v>
      </x:c>
      <x:c r="K7" s="102" t="str">
        <x:v>To populate</x:v>
      </x:c>
      <x:c r="L7" s="102" t="str">
        <x:v>To populate</x:v>
      </x:c>
      <x:c r="M7" s="102" t="str">
        <x:v>Core AGLPA economic-impact port</x:v>
      </x:c>
      <x:c r="N7" s="102" t="str">
        <x:v>Seeded</x:v>
      </x:c>
      <x:c r="O7" s="102" t="str">
        <x:v>SRC_0149</x:v>
      </x:c>
      <x:c r="P7" s="102" t="str">
        <x:v>https://www.greatlakesports.org/wp-content/uploads/2024/03/2023-Chicago-v2-9-13-23.pdf</x:v>
      </x:c>
    </x:row>
    <x:row r="8">
      <x:c r="A8" s="102" t="str">
        <x:v>GL_PORT_0007</x:v>
      </x:c>
      <x:c r="B8" s="102" t="str">
        <x:v>SYS_GLSS</x:v>
      </x:c>
      <x:c r="C8" s="102" t="str">
        <x:v>Detroit</x:v>
      </x:c>
      <x:c r="D8" s="102" t="str">
        <x:v>United States</x:v>
      </x:c>
      <x:c r="E8" s="102" t="str">
        <x:v>Michigan</x:v>
      </x:c>
      <x:c r="F8" s="102" t="str">
        <x:v>Detroit River</x:v>
      </x:c>
      <x:c r="G8" s="102" t="str">
        <x:v>Public / private port complex</x:v>
      </x:c>
      <x:c r="H8" s="102" t="str">
        <x:v>To populate</x:v>
      </x:c>
      <x:c r="I8" s="102" t="str">
        <x:v>Dry bulk; industrial; international commerce</x:v>
      </x:c>
      <x:c r="J8" s="102" t="str">
        <x:v>To populate</x:v>
      </x:c>
      <x:c r="K8" s="102" t="str">
        <x:v>Cruise/passenger capable</x:v>
      </x:c>
      <x:c r="L8" s="102" t="str">
        <x:v>To populate</x:v>
      </x:c>
      <x:c r="M8" s="102" t="str">
        <x:v>Core AGLPA economic-impact port</x:v>
      </x:c>
      <x:c r="N8" s="102" t="str">
        <x:v>Seeded</x:v>
      </x:c>
      <x:c r="O8" s="102" t="str">
        <x:v>SRC_0149</x:v>
      </x:c>
      <x:c r="P8" s="102" t="str">
        <x:v>https://www.greatlakesports.org/aglpa-members/port-detroit/</x:v>
      </x:c>
    </x:row>
    <x:row r="9">
      <x:c r="A9" s="102" t="str">
        <x:v>GL_PORT_0008</x:v>
      </x:c>
      <x:c r="B9" s="102" t="str">
        <x:v>SYS_GLSS</x:v>
      </x:c>
      <x:c r="C9" s="102" t="str">
        <x:v>Duluth</x:v>
      </x:c>
      <x:c r="D9" s="102" t="str">
        <x:v>United States</x:v>
      </x:c>
      <x:c r="E9" s="102" t="str">
        <x:v>Minnesota</x:v>
      </x:c>
      <x:c r="F9" s="102" t="str">
        <x:v>Lake Superior</x:v>
      </x:c>
      <x:c r="G9" s="102" t="str">
        <x:v>Public / private port complex</x:v>
      </x:c>
      <x:c r="H9" s="102" t="str">
        <x:v>Duluth Seaway Port Authority + private terminal operators</x:v>
      </x:c>
      <x:c r="I9" s="102" t="str">
        <x:v>Iron ore; coal; grain; limestone; breakbulk; project cargo; containers</x:v>
      </x:c>
      <x:c r="J9" s="102" t="str">
        <x:v>Four Class I rail carriers at Clure terminal</x:v>
      </x:c>
      <x:c r="K9" s="102" t="str">
        <x:v>Yes / Great Lakes cruise capability</x:v>
      </x:c>
      <x:c r="L9" s="102" t="str">
        <x:v>Shipyard; dry docks; fueling; intermodal terminal; warehouses</x:v>
      </x:c>
      <x:c r="M9" s="102" t="str">
        <x:v>Core AGLPA economic-impact port</x:v>
      </x:c>
      <x:c r="N9" s="102" t="str">
        <x:v>Seeded</x:v>
      </x:c>
      <x:c r="O9" s="102" t="str">
        <x:v>SRC_0151</x:v>
      </x:c>
      <x:c r="P9" s="102" t="str">
        <x:v>https://duluthport.com/business/port-operations-and-facilities/</x:v>
      </x:c>
    </x:row>
    <x:row r="10">
      <x:c r="A10" s="102" t="str">
        <x:v>GL_PORT_0009</x:v>
      </x:c>
      <x:c r="B10" s="102" t="str">
        <x:v>SYS_GLSS</x:v>
      </x:c>
      <x:c r="C10" s="102" t="str">
        <x:v>Erie</x:v>
      </x:c>
      <x:c r="D10" s="102" t="str">
        <x:v>United States</x:v>
      </x:c>
      <x:c r="E10" s="102" t="str">
        <x:v>Pennsylvania</x:v>
      </x:c>
      <x:c r="F10" s="102" t="str">
        <x:v>Lake Erie</x:v>
      </x:c>
      <x:c r="G10" s="102" t="str">
        <x:v>Public / private port complex</x:v>
      </x:c>
      <x:c r="H10" s="102" t="str">
        <x:v>To populate</x:v>
      </x:c>
      <x:c r="I10" s="102" t="str">
        <x:v>Bulk / general cargo / industrial mix to populate</x:v>
      </x:c>
      <x:c r="J10" s="102" t="str">
        <x:v>To populate</x:v>
      </x:c>
      <x:c r="K10" s="102" t="str">
        <x:v>To populate</x:v>
      </x:c>
      <x:c r="L10" s="102" t="str">
        <x:v>To populate</x:v>
      </x:c>
      <x:c r="M10" s="102" t="str">
        <x:v>Core AGLPA economic-impact port</x:v>
      </x:c>
      <x:c r="N10" s="102" t="str">
        <x:v>Seeded</x:v>
      </x:c>
      <x:c r="O10" s="102" t="str">
        <x:v>SRC_0149</x:v>
      </x:c>
      <x:c r="P10" s="102" t="str">
        <x:v>https://www.greatlakesports.org/wp-content/uploads/2024/03/2023-Chicago-v2-9-13-23.pdf</x:v>
      </x:c>
    </x:row>
    <x:row r="11">
      <x:c r="A11" s="102" t="str">
        <x:v>GL_PORT_0010</x:v>
      </x:c>
      <x:c r="B11" s="102" t="str">
        <x:v>SYS_GLSS</x:v>
      </x:c>
      <x:c r="C11" s="102" t="str">
        <x:v>Green Bay</x:v>
      </x:c>
      <x:c r="D11" s="102" t="str">
        <x:v>United States</x:v>
      </x:c>
      <x:c r="E11" s="102" t="str">
        <x:v>Wisconsin</x:v>
      </x:c>
      <x:c r="F11" s="102" t="str">
        <x:v>Green Bay / Lake Michigan</x:v>
      </x:c>
      <x:c r="G11" s="102" t="str">
        <x:v>Public / private port complex</x:v>
      </x:c>
      <x:c r="H11" s="102" t="str">
        <x:v>To populate</x:v>
      </x:c>
      <x:c r="I11" s="102" t="str">
        <x:v>Bulk / general cargo / industrial mix to populate</x:v>
      </x:c>
      <x:c r="J11" s="102" t="str">
        <x:v>To populate</x:v>
      </x:c>
      <x:c r="K11" s="102" t="str">
        <x:v>To populate</x:v>
      </x:c>
      <x:c r="L11" s="102" t="str">
        <x:v>To populate</x:v>
      </x:c>
      <x:c r="M11" s="102" t="str">
        <x:v>Core AGLPA economic-impact port</x:v>
      </x:c>
      <x:c r="N11" s="102" t="str">
        <x:v>Seeded</x:v>
      </x:c>
      <x:c r="O11" s="102" t="str">
        <x:v>SRC_0149</x:v>
      </x:c>
      <x:c r="P11" s="102" t="str">
        <x:v>https://www.greatlakesports.org/wp-content/uploads/2024/03/2023-Chicago-v2-9-13-23.pdf</x:v>
      </x:c>
    </x:row>
    <x:row r="12">
      <x:c r="A12" s="102" t="str">
        <x:v>GL_PORT_0011</x:v>
      </x:c>
      <x:c r="B12" s="102" t="str">
        <x:v>SYS_GLSS</x:v>
      </x:c>
      <x:c r="C12" s="102" t="str">
        <x:v>Lorain</x:v>
      </x:c>
      <x:c r="D12" s="102" t="str">
        <x:v>United States</x:v>
      </x:c>
      <x:c r="E12" s="102" t="str">
        <x:v>Ohio</x:v>
      </x:c>
      <x:c r="F12" s="102" t="str">
        <x:v>Lake Erie</x:v>
      </x:c>
      <x:c r="G12" s="102" t="str">
        <x:v>Public / private port complex</x:v>
      </x:c>
      <x:c r="H12" s="102" t="str">
        <x:v>To populate</x:v>
      </x:c>
      <x:c r="I12" s="102" t="str">
        <x:v>Bulk / general cargo / industrial mix to populate</x:v>
      </x:c>
      <x:c r="J12" s="102" t="str">
        <x:v>To populate</x:v>
      </x:c>
      <x:c r="K12" s="102" t="str">
        <x:v>To populate</x:v>
      </x:c>
      <x:c r="L12" s="102" t="str">
        <x:v>To populate</x:v>
      </x:c>
      <x:c r="M12" s="102" t="str">
        <x:v>Core AGLPA economic-impact port</x:v>
      </x:c>
      <x:c r="N12" s="102" t="str">
        <x:v>Seeded</x:v>
      </x:c>
      <x:c r="O12" s="102" t="str">
        <x:v>SRC_0149</x:v>
      </x:c>
      <x:c r="P12" s="102" t="str">
        <x:v>https://www.greatlakesports.org/wp-content/uploads/2024/03/2023-Chicago-v2-9-13-23.pdf</x:v>
      </x:c>
    </x:row>
    <x:row r="13">
      <x:c r="A13" s="102" t="str">
        <x:v>GL_PORT_0012</x:v>
      </x:c>
      <x:c r="B13" s="102" t="str">
        <x:v>SYS_GLSS</x:v>
      </x:c>
      <x:c r="C13" s="102" t="str">
        <x:v>Milwaukee</x:v>
      </x:c>
      <x:c r="D13" s="102" t="str">
        <x:v>United States</x:v>
      </x:c>
      <x:c r="E13" s="102" t="str">
        <x:v>Wisconsin</x:v>
      </x:c>
      <x:c r="F13" s="102" t="str">
        <x:v>Lake Michigan</x:v>
      </x:c>
      <x:c r="G13" s="102" t="str">
        <x:v>Public / private port complex</x:v>
      </x:c>
      <x:c r="H13" s="102" t="str">
        <x:v>To populate</x:v>
      </x:c>
      <x:c r="I13" s="102" t="str">
        <x:v>Grain; steel; bulk; general cargo</x:v>
      </x:c>
      <x:c r="J13" s="102" t="str">
        <x:v>Two Class I railroads; interstate; Inland River System connection</x:v>
      </x:c>
      <x:c r="K13" s="102" t="str">
        <x:v>To populate</x:v>
      </x:c>
      <x:c r="L13" s="102" t="str">
        <x:v>To populate</x:v>
      </x:c>
      <x:c r="M13" s="102" t="str">
        <x:v>Core AGLPA economic-impact port</x:v>
      </x:c>
      <x:c r="N13" s="102" t="str">
        <x:v>Seeded</x:v>
      </x:c>
      <x:c r="O13" s="102" t="str">
        <x:v>SRC_0149</x:v>
      </x:c>
      <x:c r="P13" s="102" t="str">
        <x:v>https://www.greatlakesports.org/aglpa-members/port-milwaukee/</x:v>
      </x:c>
    </x:row>
    <x:row r="14">
      <x:c r="A14" s="102" t="str">
        <x:v>GL_PORT_0013</x:v>
      </x:c>
      <x:c r="B14" s="102" t="str">
        <x:v>SYS_GLSS</x:v>
      </x:c>
      <x:c r="C14" s="102" t="str">
        <x:v>Monroe</x:v>
      </x:c>
      <x:c r="D14" s="102" t="str">
        <x:v>United States</x:v>
      </x:c>
      <x:c r="E14" s="102" t="str">
        <x:v>Michigan</x:v>
      </x:c>
      <x:c r="F14" s="102" t="str">
        <x:v>River Raisin / Lake Erie</x:v>
      </x:c>
      <x:c r="G14" s="102" t="str">
        <x:v>Public / private port complex</x:v>
      </x:c>
      <x:c r="H14" s="102" t="str">
        <x:v>To populate</x:v>
      </x:c>
      <x:c r="I14" s="102" t="str">
        <x:v>Bulk / general cargo / industrial mix to populate</x:v>
      </x:c>
      <x:c r="J14" s="102" t="str">
        <x:v>To populate</x:v>
      </x:c>
      <x:c r="K14" s="102" t="str">
        <x:v>To populate</x:v>
      </x:c>
      <x:c r="L14" s="102" t="str">
        <x:v>To populate</x:v>
      </x:c>
      <x:c r="M14" s="102" t="str">
        <x:v>Core AGLPA economic-impact port</x:v>
      </x:c>
      <x:c r="N14" s="102" t="str">
        <x:v>Seeded</x:v>
      </x:c>
      <x:c r="O14" s="102" t="str">
        <x:v>SRC_0149</x:v>
      </x:c>
      <x:c r="P14" s="102" t="str">
        <x:v>https://www.greatlakesports.org/wp-content/uploads/2024/03/2023-Chicago-v2-9-13-23.pdf</x:v>
      </x:c>
    </x:row>
    <x:row r="15">
      <x:c r="A15" s="102" t="str">
        <x:v>GL_PORT_0014</x:v>
      </x:c>
      <x:c r="B15" s="102" t="str">
        <x:v>SYS_GLSS</x:v>
      </x:c>
      <x:c r="C15" s="102" t="str">
        <x:v>Muskegon</x:v>
      </x:c>
      <x:c r="D15" s="102" t="str">
        <x:v>United States</x:v>
      </x:c>
      <x:c r="E15" s="102" t="str">
        <x:v>Michigan</x:v>
      </x:c>
      <x:c r="F15" s="102" t="str">
        <x:v>Lake Michigan</x:v>
      </x:c>
      <x:c r="G15" s="102" t="str">
        <x:v>Public / private port complex</x:v>
      </x:c>
      <x:c r="H15" s="102" t="str">
        <x:v>To populate</x:v>
      </x:c>
      <x:c r="I15" s="102" t="str">
        <x:v>Bulk / general cargo / industrial mix to populate</x:v>
      </x:c>
      <x:c r="J15" s="102" t="str">
        <x:v>To populate</x:v>
      </x:c>
      <x:c r="K15" s="102" t="str">
        <x:v>To populate</x:v>
      </x:c>
      <x:c r="L15" s="102" t="str">
        <x:v>To populate</x:v>
      </x:c>
      <x:c r="M15" s="102" t="str">
        <x:v>Core AGLPA economic-impact port</x:v>
      </x:c>
      <x:c r="N15" s="102" t="str">
        <x:v>Seeded</x:v>
      </x:c>
      <x:c r="O15" s="102" t="str">
        <x:v>SRC_0149</x:v>
      </x:c>
      <x:c r="P15" s="102" t="str">
        <x:v>https://www.greatlakesports.org/wp-content/uploads/2024/03/2023-Chicago-v2-9-13-23.pdf</x:v>
      </x:c>
    </x:row>
    <x:row r="16">
      <x:c r="A16" s="102" t="str">
        <x:v>GL_PORT_0015</x:v>
      </x:c>
      <x:c r="B16" s="102" t="str">
        <x:v>SYS_GLSS</x:v>
      </x:c>
      <x:c r="C16" s="102" t="str">
        <x:v>Oswego</x:v>
      </x:c>
      <x:c r="D16" s="102" t="str">
        <x:v>United States</x:v>
      </x:c>
      <x:c r="E16" s="102" t="str">
        <x:v>New York</x:v>
      </x:c>
      <x:c r="F16" s="102" t="str">
        <x:v>Lake Ontario</x:v>
      </x:c>
      <x:c r="G16" s="102" t="str">
        <x:v>Public / private port complex</x:v>
      </x:c>
      <x:c r="H16" s="102" t="str">
        <x:v>To populate</x:v>
      </x:c>
      <x:c r="I16" s="102" t="str">
        <x:v>Bulk / general cargo / industrial mix to populate</x:v>
      </x:c>
      <x:c r="J16" s="102" t="str">
        <x:v>To populate</x:v>
      </x:c>
      <x:c r="K16" s="102" t="str">
        <x:v>To populate</x:v>
      </x:c>
      <x:c r="L16" s="102" t="str">
        <x:v>To populate</x:v>
      </x:c>
      <x:c r="M16" s="102" t="str">
        <x:v>Core AGLPA economic-impact port</x:v>
      </x:c>
      <x:c r="N16" s="102" t="str">
        <x:v>Seeded</x:v>
      </x:c>
      <x:c r="O16" s="102" t="str">
        <x:v>SRC_0149</x:v>
      </x:c>
      <x:c r="P16" s="102" t="str">
        <x:v>https://www.greatlakesports.org/wp-content/uploads/2024/03/2023-Chicago-v2-9-13-23.pdf</x:v>
      </x:c>
    </x:row>
    <x:row r="17">
      <x:c r="A17" s="102" t="str">
        <x:v>GL_PORT_0016</x:v>
      </x:c>
      <x:c r="B17" s="102" t="str">
        <x:v>SYS_GLSS</x:v>
      </x:c>
      <x:c r="C17" s="102" t="str">
        <x:v>Saginaw River</x:v>
      </x:c>
      <x:c r="D17" s="102" t="str">
        <x:v>United States</x:v>
      </x:c>
      <x:c r="E17" s="102" t="str">
        <x:v>Michigan</x:v>
      </x:c>
      <x:c r="F17" s="102" t="str">
        <x:v>Saginaw River / Lake Huron</x:v>
      </x:c>
      <x:c r="G17" s="102" t="str">
        <x:v>Public / private port complex</x:v>
      </x:c>
      <x:c r="H17" s="102" t="str">
        <x:v>To populate</x:v>
      </x:c>
      <x:c r="I17" s="102" t="str">
        <x:v>Bulk / general cargo / industrial mix to populate</x:v>
      </x:c>
      <x:c r="J17" s="102" t="str">
        <x:v>To populate</x:v>
      </x:c>
      <x:c r="K17" s="102" t="str">
        <x:v>To populate</x:v>
      </x:c>
      <x:c r="L17" s="102" t="str">
        <x:v>To populate</x:v>
      </x:c>
      <x:c r="M17" s="102" t="str">
        <x:v>Core AGLPA economic-impact port</x:v>
      </x:c>
      <x:c r="N17" s="102" t="str">
        <x:v>Seeded</x:v>
      </x:c>
      <x:c r="O17" s="102" t="str">
        <x:v>SRC_0149</x:v>
      </x:c>
      <x:c r="P17" s="102" t="str">
        <x:v>https://www.greatlakesports.org/wp-content/uploads/2024/03/2023-Chicago-v2-9-13-23.pdf</x:v>
      </x:c>
    </x:row>
    <x:row r="18">
      <x:c r="A18" s="102" t="str">
        <x:v>GL_PORT_0017</x:v>
      </x:c>
      <x:c r="B18" s="102" t="str">
        <x:v>SYS_GLSS</x:v>
      </x:c>
      <x:c r="C18" s="102" t="str">
        <x:v>Superior</x:v>
      </x:c>
      <x:c r="D18" s="102" t="str">
        <x:v>United States</x:v>
      </x:c>
      <x:c r="E18" s="102" t="str">
        <x:v>Wisconsin</x:v>
      </x:c>
      <x:c r="F18" s="102" t="str">
        <x:v>Lake Superior</x:v>
      </x:c>
      <x:c r="G18" s="102" t="str">
        <x:v>Public / private port complex</x:v>
      </x:c>
      <x:c r="H18" s="102" t="str">
        <x:v>To populate</x:v>
      </x:c>
      <x:c r="I18" s="102" t="str">
        <x:v>Bulk / general cargo / industrial mix to populate</x:v>
      </x:c>
      <x:c r="J18" s="102" t="str">
        <x:v>To populate</x:v>
      </x:c>
      <x:c r="K18" s="102" t="str">
        <x:v>To populate</x:v>
      </x:c>
      <x:c r="L18" s="102" t="str">
        <x:v>To populate</x:v>
      </x:c>
      <x:c r="M18" s="102" t="str">
        <x:v>Core AGLPA economic-impact port</x:v>
      </x:c>
      <x:c r="N18" s="102" t="str">
        <x:v>Seeded</x:v>
      </x:c>
      <x:c r="O18" s="102" t="str">
        <x:v>SRC_0149</x:v>
      </x:c>
      <x:c r="P18" s="102" t="str">
        <x:v>https://www.greatlakesports.org/wp-content/uploads/2024/03/2023-Chicago-v2-9-13-23.pdf</x:v>
      </x:c>
    </x:row>
    <x:row r="19">
      <x:c r="A19" s="102" t="str">
        <x:v>GL_PORT_0018</x:v>
      </x:c>
      <x:c r="B19" s="102" t="str">
        <x:v>SYS_GLSS</x:v>
      </x:c>
      <x:c r="C19" s="102" t="str">
        <x:v>Toledo</x:v>
      </x:c>
      <x:c r="D19" s="102" t="str">
        <x:v>United States</x:v>
      </x:c>
      <x:c r="E19" s="102" t="str">
        <x:v>Ohio</x:v>
      </x:c>
      <x:c r="F19" s="102" t="str">
        <x:v>Maumee River / Lake Erie</x:v>
      </x:c>
      <x:c r="G19" s="102" t="str">
        <x:v>Public / private port complex</x:v>
      </x:c>
      <x:c r="H19" s="102" t="str">
        <x:v>To populate</x:v>
      </x:c>
      <x:c r="I19" s="102" t="str">
        <x:v>Grain; petroleum; cement; coal; iron ore; steel; project cargo</x:v>
      </x:c>
      <x:c r="J19" s="102" t="str">
        <x:v>CSX; NS; CN; interstate highway access</x:v>
      </x:c>
      <x:c r="K19" s="102" t="str">
        <x:v>To populate</x:v>
      </x:c>
      <x:c r="L19" s="102" t="str">
        <x:v>To populate</x:v>
      </x:c>
      <x:c r="M19" s="102" t="str">
        <x:v>Core AGLPA economic-impact port</x:v>
      </x:c>
      <x:c r="N19" s="102" t="str">
        <x:v>Seeded</x:v>
      </x:c>
      <x:c r="O19" s="102" t="str">
        <x:v>SRC_0149</x:v>
      </x:c>
      <x:c r="P19" s="102" t="str">
        <x:v>https://www.greatlakesports.org/aglpa-members/port-of-toldedo/</x:v>
      </x:c>
    </x:row>
    <x:row r="20">
      <x:c r="A20" s="102" t="str">
        <x:v>GL_PORT_0019</x:v>
      </x:c>
      <x:c r="B20" s="102" t="str">
        <x:v>SYS_GLSS</x:v>
      </x:c>
      <x:c r="C20" s="102" t="str">
        <x:v>Two Harbors</x:v>
      </x:c>
      <x:c r="D20" s="102" t="str">
        <x:v>United States</x:v>
      </x:c>
      <x:c r="E20" s="102" t="str">
        <x:v>Minnesota</x:v>
      </x:c>
      <x:c r="F20" s="102" t="str">
        <x:v>Lake Superior</x:v>
      </x:c>
      <x:c r="G20" s="102" t="str">
        <x:v>Public / private port complex</x:v>
      </x:c>
      <x:c r="H20" s="102" t="str">
        <x:v>To populate</x:v>
      </x:c>
      <x:c r="I20" s="102" t="str">
        <x:v>Bulk / general cargo / industrial mix to populate</x:v>
      </x:c>
      <x:c r="J20" s="102" t="str">
        <x:v>To populate</x:v>
      </x:c>
      <x:c r="K20" s="102" t="str">
        <x:v>To populate</x:v>
      </x:c>
      <x:c r="L20" s="102" t="str">
        <x:v>To populate</x:v>
      </x:c>
      <x:c r="M20" s="102" t="str">
        <x:v>Core AGLPA economic-impact port</x:v>
      </x:c>
      <x:c r="N20" s="102" t="str">
        <x:v>Seeded</x:v>
      </x:c>
      <x:c r="O20" s="102" t="str">
        <x:v>SRC_0149</x:v>
      </x:c>
      <x:c r="P20" s="102" t="str">
        <x:v>https://www.greatlakesports.org/wp-content/uploads/2024/03/2023-Chicago-v2-9-13-23.pdf</x:v>
      </x:c>
    </x:row>
    <x:row r="21">
      <x:c r="A21" s="102" t="str">
        <x:v>GL_PORT_0020</x:v>
      </x:c>
      <x:c r="B21" s="102" t="str">
        <x:v>SYS_GLSS</x:v>
      </x:c>
      <x:c r="C21" s="102" t="str">
        <x:v>Baie-Comeau</x:v>
      </x:c>
      <x:c r="D21" s="102" t="str">
        <x:v>Canada</x:v>
      </x:c>
      <x:c r="E21" s="102" t="str">
        <x:v>Quebec</x:v>
      </x:c>
      <x:c r="F21" s="102" t="str">
        <x:v>St. Lawrence River</x:v>
      </x:c>
      <x:c r="G21" s="102" t="str">
        <x:v>Public / private port complex</x:v>
      </x:c>
      <x:c r="H21" s="102" t="str">
        <x:v>To populate</x:v>
      </x:c>
      <x:c r="I21" s="102" t="str">
        <x:v>Bulk / general cargo / industrial mix to populate</x:v>
      </x:c>
      <x:c r="J21" s="102" t="str">
        <x:v>To populate</x:v>
      </x:c>
      <x:c r="K21" s="102" t="str">
        <x:v>To populate</x:v>
      </x:c>
      <x:c r="L21" s="102" t="str">
        <x:v>To populate</x:v>
      </x:c>
      <x:c r="M21" s="102" t="str">
        <x:v>Core Great Lakes-St. Lawrence economic-impact port</x:v>
      </x:c>
      <x:c r="N21" s="102" t="str">
        <x:v>Seeded</x:v>
      </x:c>
      <x:c r="O21" s="102" t="str">
        <x:v>SRC_0149</x:v>
      </x:c>
      <x:c r="P21" s="102" t="str">
        <x:v>https://www.greatlakesports.org/wp-content/uploads/2024/03/2023-Chicago-v2-9-13-23.pdf</x:v>
      </x:c>
    </x:row>
    <x:row r="22">
      <x:c r="A22" s="102" t="str">
        <x:v>GL_PORT_0021</x:v>
      </x:c>
      <x:c r="B22" s="102" t="str">
        <x:v>SYS_GLSS</x:v>
      </x:c>
      <x:c r="C22" s="102" t="str">
        <x:v>Bécancour</x:v>
      </x:c>
      <x:c r="D22" s="102" t="str">
        <x:v>Canada</x:v>
      </x:c>
      <x:c r="E22" s="102" t="str">
        <x:v>Quebec</x:v>
      </x:c>
      <x:c r="F22" s="102" t="str">
        <x:v>St. Lawrence River</x:v>
      </x:c>
      <x:c r="G22" s="102" t="str">
        <x:v>Public / private port complex</x:v>
      </x:c>
      <x:c r="H22" s="102" t="str">
        <x:v>To populate</x:v>
      </x:c>
      <x:c r="I22" s="102" t="str">
        <x:v>Bulk / general cargo / industrial mix to populate</x:v>
      </x:c>
      <x:c r="J22" s="102" t="str">
        <x:v>To populate</x:v>
      </x:c>
      <x:c r="K22" s="102" t="str">
        <x:v>To populate</x:v>
      </x:c>
      <x:c r="L22" s="102" t="str">
        <x:v>To populate</x:v>
      </x:c>
      <x:c r="M22" s="102" t="str">
        <x:v>Core Great Lakes-St. Lawrence economic-impact port</x:v>
      </x:c>
      <x:c r="N22" s="102" t="str">
        <x:v>Seeded</x:v>
      </x:c>
      <x:c r="O22" s="102" t="str">
        <x:v>SRC_0149</x:v>
      </x:c>
      <x:c r="P22" s="102" t="str">
        <x:v>https://www.greatlakesports.org/wp-content/uploads/2024/03/2023-Chicago-v2-9-13-23.pdf</x:v>
      </x:c>
    </x:row>
    <x:row r="23">
      <x:c r="A23" s="102" t="str">
        <x:v>GL_PORT_0022</x:v>
      </x:c>
      <x:c r="B23" s="102" t="str">
        <x:v>SYS_GLSS</x:v>
      </x:c>
      <x:c r="C23" s="102" t="str">
        <x:v>Goderich</x:v>
      </x:c>
      <x:c r="D23" s="102" t="str">
        <x:v>Canada</x:v>
      </x:c>
      <x:c r="E23" s="102" t="str">
        <x:v>Ontario</x:v>
      </x:c>
      <x:c r="F23" s="102" t="str">
        <x:v>Lake Huron</x:v>
      </x:c>
      <x:c r="G23" s="102" t="str">
        <x:v>Public / private port complex</x:v>
      </x:c>
      <x:c r="H23" s="102" t="str">
        <x:v>To populate</x:v>
      </x:c>
      <x:c r="I23" s="102" t="str">
        <x:v>Bulk / general cargo / industrial mix to populate</x:v>
      </x:c>
      <x:c r="J23" s="102" t="str">
        <x:v>To populate</x:v>
      </x:c>
      <x:c r="K23" s="102" t="str">
        <x:v>To populate</x:v>
      </x:c>
      <x:c r="L23" s="102" t="str">
        <x:v>To populate</x:v>
      </x:c>
      <x:c r="M23" s="102" t="str">
        <x:v>Core Great Lakes-St. Lawrence economic-impact port</x:v>
      </x:c>
      <x:c r="N23" s="102" t="str">
        <x:v>Seeded</x:v>
      </x:c>
      <x:c r="O23" s="102" t="str">
        <x:v>SRC_0149</x:v>
      </x:c>
      <x:c r="P23" s="102" t="str">
        <x:v>https://www.greatlakesports.org/wp-content/uploads/2024/03/2023-Chicago-v2-9-13-23.pdf</x:v>
      </x:c>
    </x:row>
    <x:row r="24">
      <x:c r="A24" s="102" t="str">
        <x:v>GL_PORT_0023</x:v>
      </x:c>
      <x:c r="B24" s="102" t="str">
        <x:v>SYS_GLSS</x:v>
      </x:c>
      <x:c r="C24" s="102" t="str">
        <x:v>Hamilton</x:v>
      </x:c>
      <x:c r="D24" s="102" t="str">
        <x:v>Canada</x:v>
      </x:c>
      <x:c r="E24" s="102" t="str">
        <x:v>Ontario</x:v>
      </x:c>
      <x:c r="F24" s="102" t="str">
        <x:v>Lake Ontario</x:v>
      </x:c>
      <x:c r="G24" s="102" t="str">
        <x:v>Public / private port complex</x:v>
      </x:c>
      <x:c r="H24" s="102" t="str">
        <x:v>To populate</x:v>
      </x:c>
      <x:c r="I24" s="102" t="str">
        <x:v>Bulk / general cargo / industrial mix to populate</x:v>
      </x:c>
      <x:c r="J24" s="102" t="str">
        <x:v>To populate</x:v>
      </x:c>
      <x:c r="K24" s="102" t="str">
        <x:v>To populate</x:v>
      </x:c>
      <x:c r="L24" s="102" t="str">
        <x:v>To populate</x:v>
      </x:c>
      <x:c r="M24" s="102" t="str">
        <x:v>Core Great Lakes-St. Lawrence economic-impact port</x:v>
      </x:c>
      <x:c r="N24" s="102" t="str">
        <x:v>Seeded</x:v>
      </x:c>
      <x:c r="O24" s="102" t="str">
        <x:v>SRC_0149</x:v>
      </x:c>
      <x:c r="P24" s="102" t="str">
        <x:v>https://www.greatlakesports.org/wp-content/uploads/2024/03/2023-Chicago-v2-9-13-23.pdf</x:v>
      </x:c>
    </x:row>
    <x:row r="25">
      <x:c r="A25" s="102" t="str">
        <x:v>GL_PORT_0024</x:v>
      </x:c>
      <x:c r="B25" s="102" t="str">
        <x:v>SYS_GLSS</x:v>
      </x:c>
      <x:c r="C25" s="102" t="str">
        <x:v>Havre-Saint-Pierre</x:v>
      </x:c>
      <x:c r="D25" s="102" t="str">
        <x:v>Canada</x:v>
      </x:c>
      <x:c r="E25" s="102" t="str">
        <x:v>Quebec</x:v>
      </x:c>
      <x:c r="F25" s="102" t="str">
        <x:v>Gulf of St. Lawrence</x:v>
      </x:c>
      <x:c r="G25" s="102" t="str">
        <x:v>Public / private port complex</x:v>
      </x:c>
      <x:c r="H25" s="102" t="str">
        <x:v>To populate</x:v>
      </x:c>
      <x:c r="I25" s="102" t="str">
        <x:v>Bulk / general cargo / industrial mix to populate</x:v>
      </x:c>
      <x:c r="J25" s="102" t="str">
        <x:v>To populate</x:v>
      </x:c>
      <x:c r="K25" s="102" t="str">
        <x:v>To populate</x:v>
      </x:c>
      <x:c r="L25" s="102" t="str">
        <x:v>To populate</x:v>
      </x:c>
      <x:c r="M25" s="102" t="str">
        <x:v>Core Great Lakes-St. Lawrence economic-impact port</x:v>
      </x:c>
      <x:c r="N25" s="102" t="str">
        <x:v>Seeded</x:v>
      </x:c>
      <x:c r="O25" s="102" t="str">
        <x:v>SRC_0149</x:v>
      </x:c>
      <x:c r="P25" s="102" t="str">
        <x:v>https://www.greatlakesports.org/wp-content/uploads/2024/03/2023-Chicago-v2-9-13-23.pdf</x:v>
      </x:c>
    </x:row>
    <x:row r="26">
      <x:c r="A26" s="102" t="str">
        <x:v>GL_PORT_0025</x:v>
      </x:c>
      <x:c r="B26" s="102" t="str">
        <x:v>SYS_GLSS</x:v>
      </x:c>
      <x:c r="C26" s="102" t="str">
        <x:v>Johnstown</x:v>
      </x:c>
      <x:c r="D26" s="102" t="str">
        <x:v>Canada</x:v>
      </x:c>
      <x:c r="E26" s="102" t="str">
        <x:v>Ontario</x:v>
      </x:c>
      <x:c r="F26" s="102" t="str">
        <x:v>St. Lawrence River</x:v>
      </x:c>
      <x:c r="G26" s="102" t="str">
        <x:v>Public / private port complex</x:v>
      </x:c>
      <x:c r="H26" s="102" t="str">
        <x:v>To populate</x:v>
      </x:c>
      <x:c r="I26" s="102" t="str">
        <x:v>Bulk / general cargo / industrial mix to populate</x:v>
      </x:c>
      <x:c r="J26" s="102" t="str">
        <x:v>To populate</x:v>
      </x:c>
      <x:c r="K26" s="102" t="str">
        <x:v>To populate</x:v>
      </x:c>
      <x:c r="L26" s="102" t="str">
        <x:v>To populate</x:v>
      </x:c>
      <x:c r="M26" s="102" t="str">
        <x:v>Core Great Lakes-St. Lawrence economic-impact port</x:v>
      </x:c>
      <x:c r="N26" s="102" t="str">
        <x:v>Seeded</x:v>
      </x:c>
      <x:c r="O26" s="102" t="str">
        <x:v>SRC_0149</x:v>
      </x:c>
      <x:c r="P26" s="102" t="str">
        <x:v>https://www.greatlakesports.org/wp-content/uploads/2024/03/2023-Chicago-v2-9-13-23.pdf</x:v>
      </x:c>
    </x:row>
    <x:row r="27">
      <x:c r="A27" s="102" t="str">
        <x:v>GL_PORT_0026</x:v>
      </x:c>
      <x:c r="B27" s="102" t="str">
        <x:v>SYS_GLSS</x:v>
      </x:c>
      <x:c r="C27" s="102" t="str">
        <x:v>Meldrum Bay</x:v>
      </x:c>
      <x:c r="D27" s="102" t="str">
        <x:v>Canada</x:v>
      </x:c>
      <x:c r="E27" s="102" t="str">
        <x:v>Ontario</x:v>
      </x:c>
      <x:c r="F27" s="102" t="str">
        <x:v>Lake Huron</x:v>
      </x:c>
      <x:c r="G27" s="102" t="str">
        <x:v>Public / private port complex</x:v>
      </x:c>
      <x:c r="H27" s="102" t="str">
        <x:v>To populate</x:v>
      </x:c>
      <x:c r="I27" s="102" t="str">
        <x:v>Bulk / general cargo / industrial mix to populate</x:v>
      </x:c>
      <x:c r="J27" s="102" t="str">
        <x:v>To populate</x:v>
      </x:c>
      <x:c r="K27" s="102" t="str">
        <x:v>To populate</x:v>
      </x:c>
      <x:c r="L27" s="102" t="str">
        <x:v>To populate</x:v>
      </x:c>
      <x:c r="M27" s="102" t="str">
        <x:v>Core Great Lakes-St. Lawrence economic-impact port</x:v>
      </x:c>
      <x:c r="N27" s="102" t="str">
        <x:v>Seeded</x:v>
      </x:c>
      <x:c r="O27" s="102" t="str">
        <x:v>SRC_0149</x:v>
      </x:c>
      <x:c r="P27" s="102" t="str">
        <x:v>https://www.greatlakesports.org/wp-content/uploads/2024/03/2023-Chicago-v2-9-13-23.pdf</x:v>
      </x:c>
    </x:row>
    <x:row r="28">
      <x:c r="A28" s="102" t="str">
        <x:v>GL_PORT_0027</x:v>
      </x:c>
      <x:c r="B28" s="102" t="str">
        <x:v>SYS_GLSS</x:v>
      </x:c>
      <x:c r="C28" s="102" t="str">
        <x:v>Montreal</x:v>
      </x:c>
      <x:c r="D28" s="102" t="str">
        <x:v>Canada</x:v>
      </x:c>
      <x:c r="E28" s="102" t="str">
        <x:v>Quebec</x:v>
      </x:c>
      <x:c r="F28" s="102" t="str">
        <x:v>St. Lawrence River</x:v>
      </x:c>
      <x:c r="G28" s="102" t="str">
        <x:v>Public / private port complex</x:v>
      </x:c>
      <x:c r="H28" s="102" t="str">
        <x:v>To populate</x:v>
      </x:c>
      <x:c r="I28" s="102" t="str">
        <x:v>Bulk / general cargo / industrial mix to populate</x:v>
      </x:c>
      <x:c r="J28" s="102" t="str">
        <x:v>To populate</x:v>
      </x:c>
      <x:c r="K28" s="102" t="str">
        <x:v>To populate</x:v>
      </x:c>
      <x:c r="L28" s="102" t="str">
        <x:v>To populate</x:v>
      </x:c>
      <x:c r="M28" s="102" t="str">
        <x:v>Core Great Lakes-St. Lawrence economic-impact port</x:v>
      </x:c>
      <x:c r="N28" s="102" t="str">
        <x:v>Seeded</x:v>
      </x:c>
      <x:c r="O28" s="102" t="str">
        <x:v>SRC_0149</x:v>
      </x:c>
      <x:c r="P28" s="102" t="str">
        <x:v>https://www.greatlakesports.org/wp-content/uploads/2024/03/2023-Chicago-v2-9-13-23.pdf</x:v>
      </x:c>
    </x:row>
    <x:row r="29">
      <x:c r="A29" s="102" t="str">
        <x:v>GL_PORT_0028</x:v>
      </x:c>
      <x:c r="B29" s="102" t="str">
        <x:v>SYS_GLSS</x:v>
      </x:c>
      <x:c r="C29" s="102" t="str">
        <x:v>Nanticoke</x:v>
      </x:c>
      <x:c r="D29" s="102" t="str">
        <x:v>Canada</x:v>
      </x:c>
      <x:c r="E29" s="102" t="str">
        <x:v>Ontario</x:v>
      </x:c>
      <x:c r="F29" s="102" t="str">
        <x:v>Lake Erie</x:v>
      </x:c>
      <x:c r="G29" s="102" t="str">
        <x:v>Public / private port complex</x:v>
      </x:c>
      <x:c r="H29" s="102" t="str">
        <x:v>To populate</x:v>
      </x:c>
      <x:c r="I29" s="102" t="str">
        <x:v>Bulk / general cargo / industrial mix to populate</x:v>
      </x:c>
      <x:c r="J29" s="102" t="str">
        <x:v>To populate</x:v>
      </x:c>
      <x:c r="K29" s="102" t="str">
        <x:v>To populate</x:v>
      </x:c>
      <x:c r="L29" s="102" t="str">
        <x:v>To populate</x:v>
      </x:c>
      <x:c r="M29" s="102" t="str">
        <x:v>Core Great Lakes-St. Lawrence economic-impact port</x:v>
      </x:c>
      <x:c r="N29" s="102" t="str">
        <x:v>Seeded</x:v>
      </x:c>
      <x:c r="O29" s="102" t="str">
        <x:v>SRC_0149</x:v>
      </x:c>
      <x:c r="P29" s="102" t="str">
        <x:v>https://www.greatlakesports.org/wp-content/uploads/2024/03/2023-Chicago-v2-9-13-23.pdf</x:v>
      </x:c>
    </x:row>
    <x:row r="30">
      <x:c r="A30" s="102" t="str">
        <x:v>GL_PORT_0029</x:v>
      </x:c>
      <x:c r="B30" s="102" t="str">
        <x:v>SYS_GLSS</x:v>
      </x:c>
      <x:c r="C30" s="102" t="str">
        <x:v>Oshawa</x:v>
      </x:c>
      <x:c r="D30" s="102" t="str">
        <x:v>Canada</x:v>
      </x:c>
      <x:c r="E30" s="102" t="str">
        <x:v>Ontario</x:v>
      </x:c>
      <x:c r="F30" s="102" t="str">
        <x:v>Lake Ontario</x:v>
      </x:c>
      <x:c r="G30" s="102" t="str">
        <x:v>Public / private port complex</x:v>
      </x:c>
      <x:c r="H30" s="102" t="str">
        <x:v>To populate</x:v>
      </x:c>
      <x:c r="I30" s="102" t="str">
        <x:v>Bulk / general cargo / industrial mix to populate</x:v>
      </x:c>
      <x:c r="J30" s="102" t="str">
        <x:v>To populate</x:v>
      </x:c>
      <x:c r="K30" s="102" t="str">
        <x:v>To populate</x:v>
      </x:c>
      <x:c r="L30" s="102" t="str">
        <x:v>To populate</x:v>
      </x:c>
      <x:c r="M30" s="102" t="str">
        <x:v>Core Great Lakes-St. Lawrence economic-impact port</x:v>
      </x:c>
      <x:c r="N30" s="102" t="str">
        <x:v>Seeded</x:v>
      </x:c>
      <x:c r="O30" s="102" t="str">
        <x:v>SRC_0149</x:v>
      </x:c>
      <x:c r="P30" s="102" t="str">
        <x:v>https://www.greatlakesports.org/wp-content/uploads/2024/03/2023-Chicago-v2-9-13-23.pdf</x:v>
      </x:c>
    </x:row>
    <x:row r="31">
      <x:c r="A31" s="102" t="str">
        <x:v>GL_PORT_0030</x:v>
      </x:c>
      <x:c r="B31" s="102" t="str">
        <x:v>SYS_GLSS</x:v>
      </x:c>
      <x:c r="C31" s="102" t="str">
        <x:v>Port Alfred</x:v>
      </x:c>
      <x:c r="D31" s="102" t="str">
        <x:v>Canada</x:v>
      </x:c>
      <x:c r="E31" s="102" t="str">
        <x:v>Quebec</x:v>
      </x:c>
      <x:c r="F31" s="102" t="str">
        <x:v>Saguenay River</x:v>
      </x:c>
      <x:c r="G31" s="102" t="str">
        <x:v>Public / private port complex</x:v>
      </x:c>
      <x:c r="H31" s="102" t="str">
        <x:v>To populate</x:v>
      </x:c>
      <x:c r="I31" s="102" t="str">
        <x:v>Bulk / general cargo / industrial mix to populate</x:v>
      </x:c>
      <x:c r="J31" s="102" t="str">
        <x:v>To populate</x:v>
      </x:c>
      <x:c r="K31" s="102" t="str">
        <x:v>To populate</x:v>
      </x:c>
      <x:c r="L31" s="102" t="str">
        <x:v>To populate</x:v>
      </x:c>
      <x:c r="M31" s="102" t="str">
        <x:v>Core Great Lakes-St. Lawrence economic-impact port</x:v>
      </x:c>
      <x:c r="N31" s="102" t="str">
        <x:v>Seeded</x:v>
      </x:c>
      <x:c r="O31" s="102" t="str">
        <x:v>SRC_0149</x:v>
      </x:c>
      <x:c r="P31" s="102" t="str">
        <x:v>https://www.greatlakesports.org/wp-content/uploads/2024/03/2023-Chicago-v2-9-13-23.pdf</x:v>
      </x:c>
    </x:row>
    <x:row r="32">
      <x:c r="A32" s="102" t="str">
        <x:v>GL_PORT_0031</x:v>
      </x:c>
      <x:c r="B32" s="102" t="str">
        <x:v>SYS_GLSS</x:v>
      </x:c>
      <x:c r="C32" s="102" t="str">
        <x:v>Port-Cartier</x:v>
      </x:c>
      <x:c r="D32" s="102" t="str">
        <x:v>Canada</x:v>
      </x:c>
      <x:c r="E32" s="102" t="str">
        <x:v>Quebec</x:v>
      </x:c>
      <x:c r="F32" s="102" t="str">
        <x:v>Gulf of St. Lawrence</x:v>
      </x:c>
      <x:c r="G32" s="102" t="str">
        <x:v>Public / private port complex</x:v>
      </x:c>
      <x:c r="H32" s="102" t="str">
        <x:v>To populate</x:v>
      </x:c>
      <x:c r="I32" s="102" t="str">
        <x:v>Bulk / general cargo / industrial mix to populate</x:v>
      </x:c>
      <x:c r="J32" s="102" t="str">
        <x:v>To populate</x:v>
      </x:c>
      <x:c r="K32" s="102" t="str">
        <x:v>To populate</x:v>
      </x:c>
      <x:c r="L32" s="102" t="str">
        <x:v>To populate</x:v>
      </x:c>
      <x:c r="M32" s="102" t="str">
        <x:v>Core Great Lakes-St. Lawrence economic-impact port</x:v>
      </x:c>
      <x:c r="N32" s="102" t="str">
        <x:v>Seeded</x:v>
      </x:c>
      <x:c r="O32" s="102" t="str">
        <x:v>SRC_0149</x:v>
      </x:c>
      <x:c r="P32" s="102" t="str">
        <x:v>https://www.greatlakesports.org/wp-content/uploads/2024/03/2023-Chicago-v2-9-13-23.pdf</x:v>
      </x:c>
    </x:row>
    <x:row r="33">
      <x:c r="A33" s="102" t="str">
        <x:v>GL_PORT_0032</x:v>
      </x:c>
      <x:c r="B33" s="102" t="str">
        <x:v>SYS_GLSS</x:v>
      </x:c>
      <x:c r="C33" s="102" t="str">
        <x:v>Quebec</x:v>
      </x:c>
      <x:c r="D33" s="102" t="str">
        <x:v>Canada</x:v>
      </x:c>
      <x:c r="E33" s="102" t="str">
        <x:v>Quebec</x:v>
      </x:c>
      <x:c r="F33" s="102" t="str">
        <x:v>St. Lawrence River</x:v>
      </x:c>
      <x:c r="G33" s="102" t="str">
        <x:v>Public / private port complex</x:v>
      </x:c>
      <x:c r="H33" s="102" t="str">
        <x:v>To populate</x:v>
      </x:c>
      <x:c r="I33" s="102" t="str">
        <x:v>Bulk / general cargo / industrial mix to populate</x:v>
      </x:c>
      <x:c r="J33" s="102" t="str">
        <x:v>To populate</x:v>
      </x:c>
      <x:c r="K33" s="102" t="str">
        <x:v>To populate</x:v>
      </x:c>
      <x:c r="L33" s="102" t="str">
        <x:v>To populate</x:v>
      </x:c>
      <x:c r="M33" s="102" t="str">
        <x:v>Core Great Lakes-St. Lawrence economic-impact port</x:v>
      </x:c>
      <x:c r="N33" s="102" t="str">
        <x:v>Seeded</x:v>
      </x:c>
      <x:c r="O33" s="102" t="str">
        <x:v>SRC_0149</x:v>
      </x:c>
      <x:c r="P33" s="102" t="str">
        <x:v>https://www.greatlakesports.org/wp-content/uploads/2024/03/2023-Chicago-v2-9-13-23.pdf</x:v>
      </x:c>
    </x:row>
    <x:row r="34">
      <x:c r="A34" s="102" t="str">
        <x:v>GL_PORT_0033</x:v>
      </x:c>
      <x:c r="B34" s="102" t="str">
        <x:v>SYS_GLSS</x:v>
      </x:c>
      <x:c r="C34" s="102" t="str">
        <x:v>Saguenay</x:v>
      </x:c>
      <x:c r="D34" s="102" t="str">
        <x:v>Canada</x:v>
      </x:c>
      <x:c r="E34" s="102" t="str">
        <x:v>Quebec</x:v>
      </x:c>
      <x:c r="F34" s="102" t="str">
        <x:v>Saguenay River</x:v>
      </x:c>
      <x:c r="G34" s="102" t="str">
        <x:v>Public / private port complex</x:v>
      </x:c>
      <x:c r="H34" s="102" t="str">
        <x:v>To populate</x:v>
      </x:c>
      <x:c r="I34" s="102" t="str">
        <x:v>Bulk / general cargo / industrial mix to populate</x:v>
      </x:c>
      <x:c r="J34" s="102" t="str">
        <x:v>To populate</x:v>
      </x:c>
      <x:c r="K34" s="102" t="str">
        <x:v>To populate</x:v>
      </x:c>
      <x:c r="L34" s="102" t="str">
        <x:v>To populate</x:v>
      </x:c>
      <x:c r="M34" s="102" t="str">
        <x:v>Core Great Lakes-St. Lawrence economic-impact port</x:v>
      </x:c>
      <x:c r="N34" s="102" t="str">
        <x:v>Seeded</x:v>
      </x:c>
      <x:c r="O34" s="102" t="str">
        <x:v>SRC_0149</x:v>
      </x:c>
      <x:c r="P34" s="102" t="str">
        <x:v>https://www.greatlakesports.org/wp-content/uploads/2024/03/2023-Chicago-v2-9-13-23.pdf</x:v>
      </x:c>
    </x:row>
    <x:row r="35">
      <x:c r="A35" s="102" t="str">
        <x:v>GL_PORT_0034</x:v>
      </x:c>
      <x:c r="B35" s="102" t="str">
        <x:v>SYS_GLSS</x:v>
      </x:c>
      <x:c r="C35" s="102" t="str">
        <x:v>Sarnia</x:v>
      </x:c>
      <x:c r="D35" s="102" t="str">
        <x:v>Canada</x:v>
      </x:c>
      <x:c r="E35" s="102" t="str">
        <x:v>Ontario</x:v>
      </x:c>
      <x:c r="F35" s="102" t="str">
        <x:v>St. Clair River / Lake Huron</x:v>
      </x:c>
      <x:c r="G35" s="102" t="str">
        <x:v>Public / private port complex</x:v>
      </x:c>
      <x:c r="H35" s="102" t="str">
        <x:v>To populate</x:v>
      </x:c>
      <x:c r="I35" s="102" t="str">
        <x:v>Bulk / general cargo / industrial mix to populate</x:v>
      </x:c>
      <x:c r="J35" s="102" t="str">
        <x:v>To populate</x:v>
      </x:c>
      <x:c r="K35" s="102" t="str">
        <x:v>To populate</x:v>
      </x:c>
      <x:c r="L35" s="102" t="str">
        <x:v>To populate</x:v>
      </x:c>
      <x:c r="M35" s="102" t="str">
        <x:v>Core Great Lakes-St. Lawrence economic-impact port</x:v>
      </x:c>
      <x:c r="N35" s="102" t="str">
        <x:v>Seeded</x:v>
      </x:c>
      <x:c r="O35" s="102" t="str">
        <x:v>SRC_0149</x:v>
      </x:c>
      <x:c r="P35" s="102" t="str">
        <x:v>https://www.greatlakesports.org/wp-content/uploads/2024/03/2023-Chicago-v2-9-13-23.pdf</x:v>
      </x:c>
    </x:row>
    <x:row r="36">
      <x:c r="A36" s="102" t="str">
        <x:v>GL_PORT_0035</x:v>
      </x:c>
      <x:c r="B36" s="102" t="str">
        <x:v>SYS_GLSS</x:v>
      </x:c>
      <x:c r="C36" s="102" t="str">
        <x:v>Sept-Îles</x:v>
      </x:c>
      <x:c r="D36" s="102" t="str">
        <x:v>Canada</x:v>
      </x:c>
      <x:c r="E36" s="102" t="str">
        <x:v>Quebec</x:v>
      </x:c>
      <x:c r="F36" s="102" t="str">
        <x:v>Gulf of St. Lawrence</x:v>
      </x:c>
      <x:c r="G36" s="102" t="str">
        <x:v>Public / private port complex</x:v>
      </x:c>
      <x:c r="H36" s="102" t="str">
        <x:v>To populate</x:v>
      </x:c>
      <x:c r="I36" s="102" t="str">
        <x:v>Bulk / general cargo / industrial mix to populate</x:v>
      </x:c>
      <x:c r="J36" s="102" t="str">
        <x:v>To populate</x:v>
      </x:c>
      <x:c r="K36" s="102" t="str">
        <x:v>To populate</x:v>
      </x:c>
      <x:c r="L36" s="102" t="str">
        <x:v>To populate</x:v>
      </x:c>
      <x:c r="M36" s="102" t="str">
        <x:v>Core Great Lakes-St. Lawrence economic-impact port</x:v>
      </x:c>
      <x:c r="N36" s="102" t="str">
        <x:v>Seeded</x:v>
      </x:c>
      <x:c r="O36" s="102" t="str">
        <x:v>SRC_0149</x:v>
      </x:c>
      <x:c r="P36" s="102" t="str">
        <x:v>https://www.greatlakesports.org/wp-content/uploads/2024/03/2023-Chicago-v2-9-13-23.pdf</x:v>
      </x:c>
    </x:row>
    <x:row r="37">
      <x:c r="A37" s="102" t="str">
        <x:v>GL_PORT_0036</x:v>
      </x:c>
      <x:c r="B37" s="102" t="str">
        <x:v>SYS_GLSS</x:v>
      </x:c>
      <x:c r="C37" s="102" t="str">
        <x:v>Sorel</x:v>
      </x:c>
      <x:c r="D37" s="102" t="str">
        <x:v>Canada</x:v>
      </x:c>
      <x:c r="E37" s="102" t="str">
        <x:v>Quebec</x:v>
      </x:c>
      <x:c r="F37" s="102" t="str">
        <x:v>St. Lawrence River</x:v>
      </x:c>
      <x:c r="G37" s="102" t="str">
        <x:v>Public / private port complex</x:v>
      </x:c>
      <x:c r="H37" s="102" t="str">
        <x:v>To populate</x:v>
      </x:c>
      <x:c r="I37" s="102" t="str">
        <x:v>Bulk / general cargo / industrial mix to populate</x:v>
      </x:c>
      <x:c r="J37" s="102" t="str">
        <x:v>To populate</x:v>
      </x:c>
      <x:c r="K37" s="102" t="str">
        <x:v>To populate</x:v>
      </x:c>
      <x:c r="L37" s="102" t="str">
        <x:v>To populate</x:v>
      </x:c>
      <x:c r="M37" s="102" t="str">
        <x:v>Core Great Lakes-St. Lawrence economic-impact port</x:v>
      </x:c>
      <x:c r="N37" s="102" t="str">
        <x:v>Seeded</x:v>
      </x:c>
      <x:c r="O37" s="102" t="str">
        <x:v>SRC_0149</x:v>
      </x:c>
      <x:c r="P37" s="102" t="str">
        <x:v>https://www.greatlakesports.org/wp-content/uploads/2024/03/2023-Chicago-v2-9-13-23.pdf</x:v>
      </x:c>
    </x:row>
    <x:row r="38">
      <x:c r="A38" s="102" t="str">
        <x:v>GL_PORT_0037</x:v>
      </x:c>
      <x:c r="B38" s="102" t="str">
        <x:v>SYS_GLSS</x:v>
      </x:c>
      <x:c r="C38" s="102" t="str">
        <x:v>Thunder Bay</x:v>
      </x:c>
      <x:c r="D38" s="102" t="str">
        <x:v>Canada</x:v>
      </x:c>
      <x:c r="E38" s="102" t="str">
        <x:v>Ontario</x:v>
      </x:c>
      <x:c r="F38" s="102" t="str">
        <x:v>Lake Superior</x:v>
      </x:c>
      <x:c r="G38" s="102" t="str">
        <x:v>Public / private port complex</x:v>
      </x:c>
      <x:c r="H38" s="102" t="str">
        <x:v>To populate</x:v>
      </x:c>
      <x:c r="I38" s="102" t="str">
        <x:v>Bulk / general cargo / industrial mix to populate</x:v>
      </x:c>
      <x:c r="J38" s="102" t="str">
        <x:v>To populate</x:v>
      </x:c>
      <x:c r="K38" s="102" t="str">
        <x:v>To populate</x:v>
      </x:c>
      <x:c r="L38" s="102" t="str">
        <x:v>To populate</x:v>
      </x:c>
      <x:c r="M38" s="102" t="str">
        <x:v>Core Great Lakes-St. Lawrence economic-impact port</x:v>
      </x:c>
      <x:c r="N38" s="102" t="str">
        <x:v>Seeded</x:v>
      </x:c>
      <x:c r="O38" s="102" t="str">
        <x:v>SRC_0149</x:v>
      </x:c>
      <x:c r="P38" s="102" t="str">
        <x:v>https://www.greatlakesports.org/wp-content/uploads/2024/03/2023-Chicago-v2-9-13-23.pdf</x:v>
      </x:c>
    </x:row>
    <x:row r="39">
      <x:c r="A39" s="102" t="str">
        <x:v>GL_PORT_0038</x:v>
      </x:c>
      <x:c r="B39" s="102" t="str">
        <x:v>SYS_GLSS</x:v>
      </x:c>
      <x:c r="C39" s="102" t="str">
        <x:v>Toronto</x:v>
      </x:c>
      <x:c r="D39" s="102" t="str">
        <x:v>Canada</x:v>
      </x:c>
      <x:c r="E39" s="102" t="str">
        <x:v>Ontario</x:v>
      </x:c>
      <x:c r="F39" s="102" t="str">
        <x:v>Lake Ontario</x:v>
      </x:c>
      <x:c r="G39" s="102" t="str">
        <x:v>Public / private port complex</x:v>
      </x:c>
      <x:c r="H39" s="102" t="str">
        <x:v>To populate</x:v>
      </x:c>
      <x:c r="I39" s="102" t="str">
        <x:v>Bulk / general cargo / industrial mix to populate</x:v>
      </x:c>
      <x:c r="J39" s="102" t="str">
        <x:v>To populate</x:v>
      </x:c>
      <x:c r="K39" s="102" t="str">
        <x:v>To populate</x:v>
      </x:c>
      <x:c r="L39" s="102" t="str">
        <x:v>To populate</x:v>
      </x:c>
      <x:c r="M39" s="102" t="str">
        <x:v>Core Great Lakes-St. Lawrence economic-impact port</x:v>
      </x:c>
      <x:c r="N39" s="102" t="str">
        <x:v>Seeded</x:v>
      </x:c>
      <x:c r="O39" s="102" t="str">
        <x:v>SRC_0149</x:v>
      </x:c>
      <x:c r="P39" s="102" t="str">
        <x:v>https://www.greatlakesports.org/wp-content/uploads/2024/03/2023-Chicago-v2-9-13-23.pdf</x:v>
      </x:c>
    </x:row>
    <x:row r="40">
      <x:c r="A40" s="102" t="str">
        <x:v>GL_PORT_0039</x:v>
      </x:c>
      <x:c r="B40" s="102" t="str">
        <x:v>SYS_GLSS</x:v>
      </x:c>
      <x:c r="C40" s="102" t="str">
        <x:v>Trois-Rivières</x:v>
      </x:c>
      <x:c r="D40" s="102" t="str">
        <x:v>Canada</x:v>
      </x:c>
      <x:c r="E40" s="102" t="str">
        <x:v>Quebec</x:v>
      </x:c>
      <x:c r="F40" s="102" t="str">
        <x:v>St. Lawrence River</x:v>
      </x:c>
      <x:c r="G40" s="102" t="str">
        <x:v>Public / private port complex</x:v>
      </x:c>
      <x:c r="H40" s="102" t="str">
        <x:v>To populate</x:v>
      </x:c>
      <x:c r="I40" s="102" t="str">
        <x:v>Bulk / general cargo / industrial mix to populate</x:v>
      </x:c>
      <x:c r="J40" s="102" t="str">
        <x:v>To populate</x:v>
      </x:c>
      <x:c r="K40" s="102" t="str">
        <x:v>To populate</x:v>
      </x:c>
      <x:c r="L40" s="102" t="str">
        <x:v>To populate</x:v>
      </x:c>
      <x:c r="M40" s="102" t="str">
        <x:v>Core Great Lakes-St. Lawrence economic-impact port</x:v>
      </x:c>
      <x:c r="N40" s="102" t="str">
        <x:v>Seeded</x:v>
      </x:c>
      <x:c r="O40" s="102" t="str">
        <x:v>SRC_0149</x:v>
      </x:c>
      <x:c r="P40" s="102" t="str">
        <x:v>https://www.greatlakesports.org/wp-content/uploads/2024/03/2023-Chicago-v2-9-13-23.pdf</x:v>
      </x:c>
    </x:row>
    <x:row r="41">
      <x:c r="A41" s="102" t="str">
        <x:v>GL_PORT_0040</x:v>
      </x:c>
      <x:c r="B41" s="102" t="str">
        <x:v>SYS_GLSS</x:v>
      </x:c>
      <x:c r="C41" s="102" t="str">
        <x:v>Valleyfield</x:v>
      </x:c>
      <x:c r="D41" s="102" t="str">
        <x:v>Canada</x:v>
      </x:c>
      <x:c r="E41" s="102" t="str">
        <x:v>Quebec</x:v>
      </x:c>
      <x:c r="F41" s="102" t="str">
        <x:v>St. Lawrence River</x:v>
      </x:c>
      <x:c r="G41" s="102" t="str">
        <x:v>Public / private port complex</x:v>
      </x:c>
      <x:c r="H41" s="102" t="str">
        <x:v>To populate</x:v>
      </x:c>
      <x:c r="I41" s="102" t="str">
        <x:v>Bulk / general cargo / industrial mix to populate</x:v>
      </x:c>
      <x:c r="J41" s="102" t="str">
        <x:v>To populate</x:v>
      </x:c>
      <x:c r="K41" s="102" t="str">
        <x:v>To populate</x:v>
      </x:c>
      <x:c r="L41" s="102" t="str">
        <x:v>To populate</x:v>
      </x:c>
      <x:c r="M41" s="102" t="str">
        <x:v>Core Great Lakes-St. Lawrence economic-impact port</x:v>
      </x:c>
      <x:c r="N41" s="102" t="str">
        <x:v>Seeded</x:v>
      </x:c>
      <x:c r="O41" s="102" t="str">
        <x:v>SRC_0149</x:v>
      </x:c>
      <x:c r="P41" s="102" t="str">
        <x:v>https://www.greatlakesports.org/wp-content/uploads/2024/03/2023-Chicago-v2-9-13-23.pdf</x:v>
      </x:c>
    </x:row>
    <x:row r="42">
      <x:c r="A42" s="102" t="str">
        <x:v>GL_PORT_0041</x:v>
      </x:c>
      <x:c r="B42" s="102" t="str">
        <x:v>SYS_GLSS</x:v>
      </x:c>
      <x:c r="C42" s="102" t="str">
        <x:v>Windsor</x:v>
      </x:c>
      <x:c r="D42" s="102" t="str">
        <x:v>Canada</x:v>
      </x:c>
      <x:c r="E42" s="102" t="str">
        <x:v>Ontario</x:v>
      </x:c>
      <x:c r="F42" s="102" t="str">
        <x:v>Detroit River</x:v>
      </x:c>
      <x:c r="G42" s="102" t="str">
        <x:v>Public / private port complex</x:v>
      </x:c>
      <x:c r="H42" s="102" t="str">
        <x:v>To populate</x:v>
      </x:c>
      <x:c r="I42" s="102" t="str">
        <x:v>Bulk / general cargo / industrial mix to populate</x:v>
      </x:c>
      <x:c r="J42" s="102" t="str">
        <x:v>To populate</x:v>
      </x:c>
      <x:c r="K42" s="102" t="str">
        <x:v>To populate</x:v>
      </x:c>
      <x:c r="L42" s="102" t="str">
        <x:v>To populate</x:v>
      </x:c>
      <x:c r="M42" s="102" t="str">
        <x:v>Core Great Lakes-St. Lawrence economic-impact port</x:v>
      </x:c>
      <x:c r="N42" s="102" t="str">
        <x:v>Seeded</x:v>
      </x:c>
      <x:c r="O42" s="102" t="str">
        <x:v>SRC_0149</x:v>
      </x:c>
      <x:c r="P42" s="102" t="str">
        <x:v>https://www.greatlakesports.org/wp-content/uploads/2024/03/2023-Chicago-v2-9-13-23.pdf</x:v>
      </x:c>
    </x:row>
  </x:sheetData>
  <x:pageMargins left="0.7" right="0.7" top="0.75" bottom="0.75" header="0.3" footer="0.3"/>
</x:worksheet>
</file>

<file path=xl/worksheets/sheet58.xml><?xml version="1.0" encoding="utf-8"?>
<x:worksheet xmlns:x="http://schemas.openxmlformats.org/spreadsheetml/2006/main">
  <x:sheetFormatPr defaultRowHeight="15"/>
  <x:cols>
    <x:col min="1" max="1" width="14" hidden="0" customWidth="1"/>
    <x:col min="2" max="2" width="22" hidden="0" customWidth="1"/>
    <x:col min="3" max="3" width="14" hidden="0" customWidth="1"/>
    <x:col min="4" max="4" width="22" hidden="0" customWidth="1"/>
    <x:col min="5" max="5" width="14" hidden="0" customWidth="1"/>
    <x:col min="6" max="6" width="14" hidden="0" customWidth="1"/>
    <x:col min="7" max="7" width="36" hidden="0" customWidth="1"/>
    <x:col min="8" max="8" width="14" hidden="0" customWidth="1"/>
    <x:col min="9" max="9" width="14" hidden="0" customWidth="1"/>
    <x:col min="10" max="10" width="36" hidden="0" customWidth="1"/>
  </x:cols>
  <x:sheetData>
    <x:row r="1">
      <x:c r="A1" s="165" t="str">
        <x:v>Footprint ID</x:v>
      </x:c>
      <x:c r="B1" s="165" t="str">
        <x:v>Company ID</x:v>
      </x:c>
      <x:c r="C1" s="165" t="str">
        <x:v>System ID</x:v>
      </x:c>
      <x:c r="D1" s="165" t="str">
        <x:v>Role in System</x:v>
      </x:c>
      <x:c r="E1" s="165" t="str">
        <x:v>Other Regional Footprints</x:v>
      </x:c>
      <x:c r="F1" s="165" t="str">
        <x:v>Fleet / Scale Note</x:v>
      </x:c>
      <x:c r="G1" s="165" t="str">
        <x:v>Cargo / Service Exposure</x:v>
      </x:c>
      <x:c r="H1" s="165" t="str">
        <x:v>Strategic Relevance</x:v>
      </x:c>
      <x:c r="I1" s="165" t="str">
        <x:v>Source ID</x:v>
      </x:c>
      <x:c r="J1" s="165" t="str">
        <x:v>Notes</x:v>
      </x:c>
    </x:row>
    <x:row r="2">
      <x:c r="A2" s="102" t="str">
        <x:v>GL_FOOT_0001</x:v>
      </x:c>
      <x:c r="B2" s="102" t="str">
        <x:v>COMP_CSL_GROUP</x:v>
      </x:c>
      <x:c r="C2" s="102" t="str">
        <x:v>SYS_GLSS</x:v>
      </x:c>
      <x:c r="D2" s="102" t="str">
        <x:v>Parent group / global marine solutions</x:v>
      </x:c>
      <x:c r="E2" s="102" t="str">
        <x:v>Great Lakes/St. Lawrence plus Australia/Asia, Americas/Caribbean/Africa, Europe</x:v>
      </x:c>
      <x:c r="F2" s="102" t="str">
        <x:v>99-vessel global fleet headline</x:v>
      </x:c>
      <x:c r="G2" s="102" t="str">
        <x:v>Regional divisions; self-unloaders; transhippers; cement; MPP</x:v>
      </x:c>
      <x:c r="H2" s="102" t="str">
        <x:v>High</x:v>
      </x:c>
      <x:c r="I2" s="102" t="str">
        <x:v>SRC_0153</x:v>
      </x:c>
      <x:c r="J2" s="102" t="str">
        <x:v>CSL is deliberately modeled globally, not as a Great Lakes-only company.</x:v>
      </x:c>
    </x:row>
    <x:row r="3">
      <x:c r="A3" s="102" t="str">
        <x:v>GL_FOOT_0002</x:v>
      </x:c>
      <x:c r="B3" s="102" t="str">
        <x:v>COMP_CSL_CANADA</x:v>
      </x:c>
      <x:c r="C3" s="102" t="str">
        <x:v>SYS_GLSS</x:v>
      </x:c>
      <x:c r="D3" s="102" t="str">
        <x:v>Core Great Lakes/St. Lawrence operator</x:v>
      </x:c>
      <x:c r="E3" s="102" t="str">
        <x:v>Great Lakes/St. Lawrence</x:v>
      </x:c>
      <x:c r="F3" s="102" t="str">
        <x:v>17-vessel Great Lakes/St. Lawrence fleet on current global-fleet page</x:v>
      </x:c>
      <x:c r="G3" s="102" t="str">
        <x:v>Iron ore; salt; grain; aggregates; dry bulk</x:v>
      </x:c>
      <x:c r="H3" s="102" t="str">
        <x:v>High</x:v>
      </x:c>
      <x:c r="I3" s="102" t="str">
        <x:v>SRC_0152</x:v>
      </x:c>
      <x:c r="J3" s="102"/>
    </x:row>
    <x:row r="4">
      <x:c r="A4" s="102" t="str">
        <x:v>GL_FOOT_0003</x:v>
      </x:c>
      <x:c r="B4" s="102" t="str">
        <x:v>COMP_CSL_AUSTRALIA</x:v>
      </x:c>
      <x:c r="C4" s="102" t="str">
        <x:v>SYS_GLSS</x:v>
      </x:c>
      <x:c r="D4" s="102" t="str">
        <x:v>Same parent group / external regional footprint</x:v>
      </x:c>
      <x:c r="E4" s="102" t="str">
        <x:v>Australia and Asia</x:v>
      </x:c>
      <x:c r="F4" s="102" t="str">
        <x:v>15-vessel Australia/Asia fleet on current global-fleet page</x:v>
      </x:c>
      <x:c r="G4" s="102" t="str">
        <x:v>Dry bulk; cement; iron ore; transhipment</x:v>
      </x:c>
      <x:c r="H4" s="102" t="str">
        <x:v>Medium</x:v>
      </x:c>
      <x:c r="I4" s="102" t="str">
        <x:v>SRC_0153</x:v>
      </x:c>
      <x:c r="J4" s="102" t="str">
        <x:v>Included to preserve cross-regional corporate relationships and allow group-wide asset exposure queries.</x:v>
      </x:c>
    </x:row>
    <x:row r="5">
      <x:c r="A5" s="102" t="str">
        <x:v>GL_FOOT_0004</x:v>
      </x:c>
      <x:c r="B5" s="102" t="str">
        <x:v>COMP_CSL_AMERICAS</x:v>
      </x:c>
      <x:c r="C5" s="102" t="str">
        <x:v>SYS_GLSS</x:v>
      </x:c>
      <x:c r="D5" s="102" t="str">
        <x:v>Same parent group / external regional footprint</x:v>
      </x:c>
      <x:c r="E5" s="102" t="str">
        <x:v>Americas / Caribbean / Africa</x:v>
      </x:c>
      <x:c r="F5" s="102"/>
      <x:c r="G5" s="102" t="str">
        <x:v>Self-unloaders; transhipment</x:v>
      </x:c>
      <x:c r="H5" s="102" t="str">
        <x:v>Medium</x:v>
      </x:c>
      <x:c r="I5" s="102" t="str">
        <x:v>SRC_0152</x:v>
      </x:c>
      <x:c r="J5" s="102"/>
    </x:row>
    <x:row r="6">
      <x:c r="A6" s="102" t="str">
        <x:v>GL_FOOT_0005</x:v>
      </x:c>
      <x:c r="B6" s="102" t="str">
        <x:v>COMP_ALGOMA</x:v>
      </x:c>
      <x:c r="C6" s="102" t="str">
        <x:v>SYS_GLSS</x:v>
      </x:c>
      <x:c r="D6" s="102" t="str">
        <x:v>Core Canadian laker operator</x:v>
      </x:c>
      <x:c r="E6" s="102" t="str">
        <x:v>Great Lakes/St. Lawrence + international ocean self-unloaders</x:v>
      </x:c>
      <x:c r="F6" s="102" t="str">
        <x:v>Current laker fleet plus 12 vessels on order/under construction at corporate level</x:v>
      </x:c>
      <x:c r="G6" s="102" t="str">
        <x:v>Dry bulk; product tankers; cement / short sea via JVs</x:v>
      </x:c>
      <x:c r="H6" s="102" t="str">
        <x:v>High</x:v>
      </x:c>
      <x:c r="I6" s="102" t="str">
        <x:v>SRC_0155</x:v>
      </x:c>
      <x:c r="J6" s="102"/>
    </x:row>
    <x:row r="7">
      <x:c r="A7" s="102" t="str">
        <x:v>GL_FOOT_0006</x:v>
      </x:c>
      <x:c r="B7" s="102" t="str">
        <x:v>COMP_INTERLAKE</x:v>
      </x:c>
      <x:c r="C7" s="102" t="str">
        <x:v>SYS_GLSS</x:v>
      </x:c>
      <x:c r="D7" s="102" t="str">
        <x:v>Core U.S. laker operator</x:v>
      </x:c>
      <x:c r="E7" s="102" t="str">
        <x:v>Great Lakes</x:v>
      </x:c>
      <x:c r="F7" s="102" t="str">
        <x:v>11 commercial vessels in 2026</x:v>
      </x:c>
      <x:c r="G7" s="102" t="str">
        <x:v>Iron ore / taconite; coal; limestone; salt and other bulk</x:v>
      </x:c>
      <x:c r="H7" s="102" t="str">
        <x:v>High</x:v>
      </x:c>
      <x:c r="I7" s="102" t="str">
        <x:v>SRC_0157</x:v>
      </x:c>
      <x:c r="J7" s="102"/>
    </x:row>
    <x:row r="8">
      <x:c r="A8" s="102" t="str">
        <x:v>GL_FOOT_0007</x:v>
      </x:c>
      <x:c r="B8" s="102" t="str">
        <x:v>COMP_GREAT_LAKES_FLEET</x:v>
      </x:c>
      <x:c r="C8" s="102" t="str">
        <x:v>SYS_GLSS</x:v>
      </x:c>
      <x:c r="D8" s="102" t="str">
        <x:v>Core U.S. laker operator</x:v>
      </x:c>
      <x:c r="E8" s="102" t="str">
        <x:v>Great Lakes</x:v>
      </x:c>
      <x:c r="F8" s="102"/>
      <x:c r="G8" s="102" t="str">
        <x:v>Iron ore; limestone; coal; specialty bulk</x:v>
      </x:c>
      <x:c r="H8" s="102" t="str">
        <x:v>High</x:v>
      </x:c>
      <x:c r="I8" s="102" t="str">
        <x:v>SRC_0158</x:v>
      </x:c>
      <x:c r="J8" s="102" t="str">
        <x:v>Directly linked to CN rail network.</x:v>
      </x:c>
    </x:row>
    <x:row r="9">
      <x:c r="A9" s="102" t="str">
        <x:v>GL_FOOT_0008</x:v>
      </x:c>
      <x:c r="B9" s="102" t="str">
        <x:v>COMP_FEDNAV</x:v>
      </x:c>
      <x:c r="C9" s="102" t="str">
        <x:v>SYS_GLSS</x:v>
      </x:c>
      <x:c r="D9" s="102" t="str">
        <x:v>Seaway / ocean carrier</x:v>
      </x:c>
      <x:c r="E9" s="102" t="str">
        <x:v>Great Lakes/St. Lawrence + global</x:v>
      </x:c>
      <x:c r="F9" s="102" t="str">
        <x:v>130+ dry bulk carriers at group level</x:v>
      </x:c>
      <x:c r="G9" s="102" t="str">
        <x:v>Dry bulk; ice-class / ocean trades</x:v>
      </x:c>
      <x:c r="H9" s="102" t="str">
        <x:v>High</x:v>
      </x:c>
      <x:c r="I9" s="102" t="str">
        <x:v>SRC_0159</x:v>
      </x:c>
      <x:c r="J9" s="102"/>
    </x:row>
    <x:row r="10">
      <x:c r="A10" s="102" t="str">
        <x:v>GL_FOOT_0009</x:v>
      </x:c>
      <x:c r="B10" s="102" t="str">
        <x:v>COMP_MCKEIL</x:v>
      </x:c>
      <x:c r="C10" s="102" t="str">
        <x:v>SYS_GLSS</x:v>
      </x:c>
      <x:c r="D10" s="102" t="str">
        <x:v>Regional marine services and cargo operator</x:v>
      </x:c>
      <x:c r="E10" s="102" t="str">
        <x:v>Great Lakes/St. Lawrence + East Coast + Arctic</x:v>
      </x:c>
      <x:c r="F10" s="102"/>
      <x:c r="G10" s="102" t="str">
        <x:v>Bulk; tanker; tug/barge; project cargo</x:v>
      </x:c>
      <x:c r="H10" s="102" t="str">
        <x:v>High</x:v>
      </x:c>
      <x:c r="I10" s="102" t="str">
        <x:v>SRC_0160</x:v>
      </x:c>
      <x:c r="J10" s="102"/>
    </x:row>
    <x:row r="11">
      <x:c r="A11" s="102" t="str">
        <x:v>GL_FOOT_0010</x:v>
      </x:c>
      <x:c r="B11" s="102" t="str">
        <x:v>COMP_MAINSTAY</x:v>
      </x:c>
      <x:c r="C11" s="102" t="str">
        <x:v>SYS_GLSS</x:v>
      </x:c>
      <x:c r="D11" s="102" t="str">
        <x:v>Great Lakes marine logistics group</x:v>
      </x:c>
      <x:c r="E11" s="102" t="str">
        <x:v>Great Lakes</x:v>
      </x:c>
      <x:c r="F11" s="102"/>
      <x:c r="G11" s="102" t="str">
        <x:v>Bulk; liquid bulk; ship repair; warehousing / logistics</x:v>
      </x:c>
      <x:c r="H11" s="102" t="str">
        <x:v>High</x:v>
      </x:c>
      <x:c r="I11" s="102" t="str">
        <x:v>SRC_0161</x:v>
      </x:c>
      <x:c r="J11" s="102"/>
    </x:row>
    <x:row r="12">
      <x:c r="A12" s="102" t="str">
        <x:v>GL_FOOT_0011</x:v>
      </x:c>
      <x:c r="B12" s="102" t="str">
        <x:v>COMP_ASC</x:v>
      </x:c>
      <x:c r="C12" s="102" t="str">
        <x:v>SYS_GLSS</x:v>
      </x:c>
      <x:c r="D12" s="102" t="str">
        <x:v>Great Lakes operator</x:v>
      </x:c>
      <x:c r="E12" s="102" t="str">
        <x:v>Great Lakes</x:v>
      </x:c>
      <x:c r="F12" s="102"/>
      <x:c r="G12" s="102" t="str">
        <x:v>Self-unloading bulk</x:v>
      </x:c>
      <x:c r="H12" s="102" t="str">
        <x:v>High</x:v>
      </x:c>
      <x:c r="I12" s="102" t="str">
        <x:v>SRC_0161</x:v>
      </x:c>
      <x:c r="J12" s="102"/>
    </x:row>
    <x:row r="13">
      <x:c r="A13" s="102" t="str">
        <x:v>GL_FOOT_0012</x:v>
      </x:c>
      <x:c r="B13" s="102" t="str">
        <x:v>COMP_GRN</x:v>
      </x:c>
      <x:c r="C13" s="102" t="str">
        <x:v>SYS_GLSS</x:v>
      </x:c>
      <x:c r="D13" s="102" t="str">
        <x:v>Great Lakes operator</x:v>
      </x:c>
      <x:c r="E13" s="102" t="str">
        <x:v>Great Lakes</x:v>
      </x:c>
      <x:c r="F13" s="102"/>
      <x:c r="G13" s="102" t="str">
        <x:v>Bulk shipping</x:v>
      </x:c>
      <x:c r="H13" s="102" t="str">
        <x:v>High</x:v>
      </x:c>
      <x:c r="I13" s="102" t="str">
        <x:v>SRC_0162</x:v>
      </x:c>
      <x:c r="J13" s="102"/>
    </x:row>
    <x:row r="14">
      <x:c r="A14" s="102" t="str">
        <x:v>GL_FOOT_0013</x:v>
      </x:c>
      <x:c r="B14" s="102" t="str">
        <x:v>COMP_ANDRIE</x:v>
      </x:c>
      <x:c r="C14" s="102" t="str">
        <x:v>SYS_GLSS</x:v>
      </x:c>
      <x:c r="D14" s="102" t="str">
        <x:v>Great Lakes liquid-bulk operator</x:v>
      </x:c>
      <x:c r="E14" s="102" t="str">
        <x:v>Great Lakes</x:v>
      </x:c>
      <x:c r="F14" s="102"/>
      <x:c r="G14" s="102" t="str">
        <x:v>Liquid bulk / tank barge</x:v>
      </x:c>
      <x:c r="H14" s="102" t="str">
        <x:v>High</x:v>
      </x:c>
      <x:c r="I14" s="102" t="str">
        <x:v>SRC_0161</x:v>
      </x:c>
      <x:c r="J14" s="102"/>
    </x:row>
  </x:sheetData>
  <x:pageMargins left="0.7" right="0.7" top="0.75" bottom="0.75" header="0.3" footer="0.3"/>
</x:worksheet>
</file>

<file path=xl/worksheets/sheet59.xml><?xml version="1.0" encoding="utf-8"?>
<x:worksheet xmlns:x="http://schemas.openxmlformats.org/spreadsheetml/2006/main">
  <x:sheetFormatPr defaultRowHeight="15"/>
  <x:cols>
    <x:col min="1" max="1" width="14" hidden="0" customWidth="1"/>
    <x:col min="2" max="2" width="22" hidden="0" customWidth="1"/>
    <x:col min="3" max="3" width="22" hidden="0" customWidth="1"/>
    <x:col min="4" max="4" width="14" hidden="0" customWidth="1"/>
    <x:col min="5" max="5" width="14" hidden="0" customWidth="1"/>
    <x:col min="6" max="6" width="14" hidden="0" customWidth="1"/>
    <x:col min="7" max="7" width="22" hidden="0" customWidth="1"/>
    <x:col min="8" max="8" width="14" hidden="0" customWidth="1"/>
    <x:col min="9" max="9" width="14" hidden="0" customWidth="1"/>
    <x:col min="10" max="10" width="14" hidden="0" customWidth="1"/>
    <x:col min="11" max="11" width="22" hidden="0" customWidth="1"/>
    <x:col min="12" max="12" width="22" hidden="0" customWidth="1"/>
    <x:col min="13" max="13" width="36" hidden="0" customWidth="1"/>
    <x:col min="14" max="14" width="14" hidden="0" customWidth="1"/>
    <x:col min="15" max="15" width="22" hidden="0" customWidth="1"/>
    <x:col min="16" max="16" width="14" hidden="0" customWidth="1"/>
    <x:col min="17" max="17" width="36" hidden="0" customWidth="1"/>
  </x:cols>
  <x:sheetData>
    <x:row r="1">
      <x:c r="A1" s="165" t="str">
        <x:v>Staging ID</x:v>
      </x:c>
      <x:c r="B1" s="165" t="str">
        <x:v>Company ID</x:v>
      </x:c>
      <x:c r="C1" s="165" t="str">
        <x:v>Vessel Name</x:v>
      </x:c>
      <x:c r="D1" s="165" t="str">
        <x:v>Canonical Vessel ID</x:v>
      </x:c>
      <x:c r="E1" s="165" t="str">
        <x:v>IMO</x:v>
      </x:c>
      <x:c r="F1" s="165" t="str">
        <x:v>National / Official Number</x:v>
      </x:c>
      <x:c r="G1" s="165" t="str">
        <x:v>Vessel Type</x:v>
      </x:c>
      <x:c r="H1" s="165" t="str">
        <x:v>Capacity</x:v>
      </x:c>
      <x:c r="I1" s="165" t="str">
        <x:v>Year Built</x:v>
      </x:c>
      <x:c r="J1" s="165" t="str">
        <x:v>Operating Region</x:v>
      </x:c>
      <x:c r="K1" s="165" t="str">
        <x:v>Status</x:v>
      </x:c>
      <x:c r="L1" s="165" t="str">
        <x:v>Primary Cargo</x:v>
      </x:c>
      <x:c r="M1" s="165" t="str">
        <x:v>Infrastructure / Corridor Exposure</x:v>
      </x:c>
      <x:c r="N1" s="165" t="str">
        <x:v>Priority</x:v>
      </x:c>
      <x:c r="O1" s="165" t="str">
        <x:v>Data Status</x:v>
      </x:c>
      <x:c r="P1" s="165" t="str">
        <x:v>Source ID</x:v>
      </x:c>
      <x:c r="Q1" s="165" t="str">
        <x:v>Notes</x:v>
      </x:c>
    </x:row>
    <x:row r="2">
      <x:c r="A2" s="102" t="str">
        <x:v>GL_VS_0001</x:v>
      </x:c>
      <x:c r="B2" s="102" t="str">
        <x:v>COMP_INTERLAKE</x:v>
      </x:c>
      <x:c r="C2" s="102" t="str">
        <x:v>Paul R. Tregurtha</x:v>
      </x:c>
      <x:c r="D2" s="102" t="str">
        <x:v>VESSEL_00315</x:v>
      </x:c>
      <x:c r="E2" s="102" t="str">
        <x:v>7729057</x:v>
      </x:c>
      <x:c r="F2" s="102" t="str">
        <x:v>U.S. Official Number to populate</x:v>
      </x:c>
      <x:c r="G2" s="102" t="str">
        <x:v>Self-unloading bulk carrier</x:v>
      </x:c>
      <x:c r="H2" s="102" t="str">
        <x:v>68,000 gross tons capacity</x:v>
      </x:c>
      <x:c r="I2" s="102" t="str">
        <x:v>1981</x:v>
      </x:c>
      <x:c r="J2" s="102" t="str">
        <x:v>Great Lakes</x:v>
      </x:c>
      <x:c r="K2" s="102" t="str">
        <x:v>Operating</x:v>
      </x:c>
      <x:c r="L2" s="102" t="str">
        <x:v>Iron ore / bulk</x:v>
      </x:c>
      <x:c r="M2" s="102" t="str">
        <x:v>Soo Locks; lower Great Lakes steel corridor</x:v>
      </x:c>
      <x:c r="N2" s="102" t="str">
        <x:v>High</x:v>
      </x:c>
      <x:c r="O2" s="102" t="str">
        <x:v>Promoted to canonical vessel</x:v>
      </x:c>
      <x:c r="P2" s="102" t="str">
        <x:v>SRC_0156</x:v>
      </x:c>
      <x:c r="Q2" s="102" t="str">
        <x:v>Longest vessel on Great Lakes per Interlake.</x:v>
      </x:c>
    </x:row>
    <x:row r="3">
      <x:c r="A3" s="102" t="str">
        <x:v>GL_VS_0002</x:v>
      </x:c>
      <x:c r="B3" s="102" t="str">
        <x:v>COMP_INTERLAKE</x:v>
      </x:c>
      <x:c r="C3" s="102" t="str">
        <x:v>Mark W. Barker</x:v>
      </x:c>
      <x:c r="D3" s="102" t="str">
        <x:v>VESSEL_00314</x:v>
      </x:c>
      <x:c r="E3" s="102" t="str">
        <x:v>9962445</x:v>
      </x:c>
      <x:c r="F3" s="102" t="str">
        <x:v>U.S. Official Number to populate</x:v>
      </x:c>
      <x:c r="G3" s="102" t="str">
        <x:v>Self-unloading bulk carrier</x:v>
      </x:c>
      <x:c r="H3" s="102" t="str">
        <x:v>26,000 gross tons capacity</x:v>
      </x:c>
      <x:c r="I3" s="102" t="str">
        <x:v>2022</x:v>
      </x:c>
      <x:c r="J3" s="102" t="str">
        <x:v>Great Lakes</x:v>
      </x:c>
      <x:c r="K3" s="102" t="str">
        <x:v>Operating</x:v>
      </x:c>
      <x:c r="L3" s="102" t="str">
        <x:v>Bulk</x:v>
      </x:c>
      <x:c r="M3" s="102" t="str">
        <x:v>Multiple Great Lakes ports</x:v>
      </x:c>
      <x:c r="N3" s="102" t="str">
        <x:v>High</x:v>
      </x:c>
      <x:c r="O3" s="102" t="str">
        <x:v>Promoted to canonical vessel</x:v>
      </x:c>
      <x:c r="P3" s="102" t="str">
        <x:v>SRC_0156</x:v>
      </x:c>
      <x:c r="Q3" s="102" t="str">
        <x:v>Newest Interlake vessel in public fleet list.</x:v>
      </x:c>
    </x:row>
    <x:row r="4">
      <x:c r="A4" s="102" t="str">
        <x:v>GL_VS_0003</x:v>
      </x:c>
      <x:c r="B4" s="102" t="str">
        <x:v>COMP_INTERLAKE</x:v>
      </x:c>
      <x:c r="C4" s="102" t="str">
        <x:v>James R. Barker</x:v>
      </x:c>
      <x:c r="D4" s="102" t="str">
        <x:v>VESSEL_00316</x:v>
      </x:c>
      <x:c r="E4" s="102" t="str">
        <x:v>7390260</x:v>
      </x:c>
      <x:c r="F4" s="102" t="str">
        <x:v>U.S. Official Number to populate</x:v>
      </x:c>
      <x:c r="G4" s="102" t="str">
        <x:v>Self-unloading bulk carrier</x:v>
      </x:c>
      <x:c r="H4" s="102" t="str">
        <x:v>63,300 gross tons capacity</x:v>
      </x:c>
      <x:c r="I4" s="102" t="str">
        <x:v>1976</x:v>
      </x:c>
      <x:c r="J4" s="102" t="str">
        <x:v>Great Lakes</x:v>
      </x:c>
      <x:c r="K4" s="102" t="str">
        <x:v>Operating</x:v>
      </x:c>
      <x:c r="L4" s="102" t="str">
        <x:v>Bulk</x:v>
      </x:c>
      <x:c r="M4" s="102" t="str">
        <x:v>Soo Locks / Great Lakes</x:v>
      </x:c>
      <x:c r="N4" s="102" t="str">
        <x:v>High</x:v>
      </x:c>
      <x:c r="O4" s="102" t="str">
        <x:v>Promoted to canonical vessel</x:v>
      </x:c>
      <x:c r="P4" s="102" t="str">
        <x:v>SRC_0156</x:v>
      </x:c>
      <x:c r="Q4" s="102"/>
    </x:row>
    <x:row r="5">
      <x:c r="A5" s="102" t="str">
        <x:v>GL_VS_0004</x:v>
      </x:c>
      <x:c r="B5" s="102" t="str">
        <x:v>COMP_CSL_CANADA</x:v>
      </x:c>
      <x:c r="C5" s="102" t="str">
        <x:v>Baie Comeau</x:v>
      </x:c>
      <x:c r="D5" s="102" t="str">
        <x:v>VESSEL_00274</x:v>
      </x:c>
      <x:c r="E5" s="102" t="str">
        <x:v>9639892</x:v>
      </x:c>
      <x:c r="F5" s="102"/>
      <x:c r="G5" s="102" t="str">
        <x:v>Self-unloading bulk carrier</x:v>
      </x:c>
      <x:c r="H5" s="102" t="str">
        <x:v>34,400 DWT</x:v>
      </x:c>
      <x:c r="I5" s="102"/>
      <x:c r="J5" s="102" t="str">
        <x:v>Great Lakes/St. Lawrence</x:v>
      </x:c>
      <x:c r="K5" s="102" t="str">
        <x:v>Operating</x:v>
      </x:c>
      <x:c r="L5" s="102" t="str">
        <x:v>Dry bulk</x:v>
      </x:c>
      <x:c r="M5" s="102" t="str">
        <x:v>Seawaymax system</x:v>
      </x:c>
      <x:c r="N5" s="102" t="str">
        <x:v>High</x:v>
      </x:c>
      <x:c r="O5" s="102" t="str">
        <x:v>Promoted to canonical vessel</x:v>
      </x:c>
      <x:c r="P5" s="102" t="str">
        <x:v>SRC_0153</x:v>
      </x:c>
      <x:c r="Q5" s="102"/>
    </x:row>
    <x:row r="6">
      <x:c r="A6" s="102" t="str">
        <x:v>GL_VS_0005</x:v>
      </x:c>
      <x:c r="B6" s="102" t="str">
        <x:v>COMP_CSL_CANADA</x:v>
      </x:c>
      <x:c r="C6" s="102" t="str">
        <x:v>Baie St. Paul</x:v>
      </x:c>
      <x:c r="D6" s="102" t="str">
        <x:v>VESSEL_00275</x:v>
      </x:c>
      <x:c r="E6" s="102" t="str">
        <x:v>9601027</x:v>
      </x:c>
      <x:c r="F6" s="102"/>
      <x:c r="G6" s="102" t="str">
        <x:v>Self-unloading bulk carrier</x:v>
      </x:c>
      <x:c r="H6" s="102" t="str">
        <x:v>35,250 DWT</x:v>
      </x:c>
      <x:c r="I6" s="102"/>
      <x:c r="J6" s="102" t="str">
        <x:v>Great Lakes/St. Lawrence</x:v>
      </x:c>
      <x:c r="K6" s="102" t="str">
        <x:v>Operating</x:v>
      </x:c>
      <x:c r="L6" s="102" t="str">
        <x:v>Dry bulk</x:v>
      </x:c>
      <x:c r="M6" s="102" t="str">
        <x:v>Seawaymax system</x:v>
      </x:c>
      <x:c r="N6" s="102" t="str">
        <x:v>High</x:v>
      </x:c>
      <x:c r="O6" s="102" t="str">
        <x:v>Promoted to canonical vessel</x:v>
      </x:c>
      <x:c r="P6" s="102" t="str">
        <x:v>SRC_0153</x:v>
      </x:c>
      <x:c r="Q6" s="102"/>
    </x:row>
    <x:row r="7">
      <x:c r="A7" s="102" t="str">
        <x:v>GL_VS_0006</x:v>
      </x:c>
      <x:c r="B7" s="102" t="str">
        <x:v>COMP_CSL_CANADA</x:v>
      </x:c>
      <x:c r="C7" s="102" t="str">
        <x:v>CSL Assiniboine</x:v>
      </x:c>
      <x:c r="D7" s="102" t="str">
        <x:v>VESSEL_00276</x:v>
      </x:c>
      <x:c r="E7" s="102" t="str">
        <x:v>7413218</x:v>
      </x:c>
      <x:c r="F7" s="102"/>
      <x:c r="G7" s="102" t="str">
        <x:v>Self-unloading bulk carrier</x:v>
      </x:c>
      <x:c r="H7" s="102" t="str">
        <x:v>36,050 DWT</x:v>
      </x:c>
      <x:c r="I7" s="102"/>
      <x:c r="J7" s="102" t="str">
        <x:v>Great Lakes/St. Lawrence</x:v>
      </x:c>
      <x:c r="K7" s="102" t="str">
        <x:v>Operating</x:v>
      </x:c>
      <x:c r="L7" s="102" t="str">
        <x:v>Dry bulk</x:v>
      </x:c>
      <x:c r="M7" s="102" t="str">
        <x:v>Seawaymax system</x:v>
      </x:c>
      <x:c r="N7" s="102" t="str">
        <x:v>High</x:v>
      </x:c>
      <x:c r="O7" s="102" t="str">
        <x:v>Promoted to canonical vessel</x:v>
      </x:c>
      <x:c r="P7" s="102" t="str">
        <x:v>SRC_0153</x:v>
      </x:c>
      <x:c r="Q7" s="102"/>
    </x:row>
    <x:row r="8">
      <x:c r="A8" s="102" t="str">
        <x:v>GL_VS_0007</x:v>
      </x:c>
      <x:c r="B8" s="102" t="str">
        <x:v>COMP_CSL_CANADA</x:v>
      </x:c>
      <x:c r="C8" s="102" t="str">
        <x:v>CSL Laurentien</x:v>
      </x:c>
      <x:c r="D8" s="102" t="str">
        <x:v>VESSEL_00277</x:v>
      </x:c>
      <x:c r="E8" s="102" t="str">
        <x:v>7423108</x:v>
      </x:c>
      <x:c r="F8" s="102"/>
      <x:c r="G8" s="102" t="str">
        <x:v>Self-unloading bulk carrier</x:v>
      </x:c>
      <x:c r="H8" s="102" t="str">
        <x:v>37,200 DWT</x:v>
      </x:c>
      <x:c r="I8" s="102"/>
      <x:c r="J8" s="102" t="str">
        <x:v>Great Lakes/St. Lawrence</x:v>
      </x:c>
      <x:c r="K8" s="102" t="str">
        <x:v>Operating</x:v>
      </x:c>
      <x:c r="L8" s="102" t="str">
        <x:v>Dry bulk</x:v>
      </x:c>
      <x:c r="M8" s="102" t="str">
        <x:v>Seawaymax system</x:v>
      </x:c>
      <x:c r="N8" s="102" t="str">
        <x:v>High</x:v>
      </x:c>
      <x:c r="O8" s="102" t="str">
        <x:v>Promoted to canonical vessel</x:v>
      </x:c>
      <x:c r="P8" s="102" t="str">
        <x:v>SRC_0153</x:v>
      </x:c>
      <x:c r="Q8" s="102"/>
    </x:row>
    <x:row r="9">
      <x:c r="A9" s="102" t="str">
        <x:v>GL_VS_0008</x:v>
      </x:c>
      <x:c r="B9" s="102" t="str">
        <x:v>COMP_CSL_CANADA</x:v>
      </x:c>
      <x:c r="C9" s="102" t="str">
        <x:v>CSL Niagara</x:v>
      </x:c>
      <x:c r="D9" s="102" t="str">
        <x:v>VESSEL_00278</x:v>
      </x:c>
      <x:c r="E9" s="102" t="str">
        <x:v>7128423</x:v>
      </x:c>
      <x:c r="F9" s="102"/>
      <x:c r="G9" s="102" t="str">
        <x:v>Self-unloading bulk carrier</x:v>
      </x:c>
      <x:c r="H9" s="102" t="str">
        <x:v>37,200 DWT</x:v>
      </x:c>
      <x:c r="I9" s="102"/>
      <x:c r="J9" s="102" t="str">
        <x:v>Great Lakes/St. Lawrence</x:v>
      </x:c>
      <x:c r="K9" s="102" t="str">
        <x:v>Operating</x:v>
      </x:c>
      <x:c r="L9" s="102" t="str">
        <x:v>Dry bulk</x:v>
      </x:c>
      <x:c r="M9" s="102" t="str">
        <x:v>Seawaymax system</x:v>
      </x:c>
      <x:c r="N9" s="102" t="str">
        <x:v>High</x:v>
      </x:c>
      <x:c r="O9" s="102" t="str">
        <x:v>Promoted to canonical vessel</x:v>
      </x:c>
      <x:c r="P9" s="102" t="str">
        <x:v>SRC_0153</x:v>
      </x:c>
      <x:c r="Q9" s="102"/>
    </x:row>
    <x:row r="10">
      <x:c r="A10" s="102" t="str">
        <x:v>GL_VS_0009</x:v>
      </x:c>
      <x:c r="B10" s="102" t="str">
        <x:v>COMP_CSL_CANADA</x:v>
      </x:c>
      <x:c r="C10" s="102" t="str">
        <x:v>CSL St-Laurent</x:v>
      </x:c>
      <x:c r="D10" s="102" t="str">
        <x:v>VESSEL_00285</x:v>
      </x:c>
      <x:c r="E10" s="102" t="str">
        <x:v>9665281</x:v>
      </x:c>
      <x:c r="F10" s="102"/>
      <x:c r="G10" s="102" t="str">
        <x:v>Gearless bulk carrier</x:v>
      </x:c>
      <x:c r="H10" s="102" t="str">
        <x:v>34,425 DWT</x:v>
      </x:c>
      <x:c r="I10" s="102"/>
      <x:c r="J10" s="102" t="str">
        <x:v>Great Lakes/St. Lawrence</x:v>
      </x:c>
      <x:c r="K10" s="102" t="str">
        <x:v>Operating</x:v>
      </x:c>
      <x:c r="L10" s="102" t="str">
        <x:v>Dry bulk</x:v>
      </x:c>
      <x:c r="M10" s="102" t="str">
        <x:v>Seawaymax system</x:v>
      </x:c>
      <x:c r="N10" s="102" t="str">
        <x:v>High</x:v>
      </x:c>
      <x:c r="O10" s="102" t="str">
        <x:v>Promoted to canonical vessel</x:v>
      </x:c>
      <x:c r="P10" s="102" t="str">
        <x:v>SRC_0153</x:v>
      </x:c>
      <x:c r="Q10" s="102"/>
    </x:row>
    <x:row r="11">
      <x:c r="A11" s="102" t="str">
        <x:v>GL_VS_0010</x:v>
      </x:c>
      <x:c r="B11" s="102" t="str">
        <x:v>COMP_CSL_CANADA</x:v>
      </x:c>
      <x:c r="C11" s="102" t="str">
        <x:v>CSL Tadoussac</x:v>
      </x:c>
      <x:c r="D11" s="102" t="str">
        <x:v>VESSEL_00279</x:v>
      </x:c>
      <x:c r="E11" s="102" t="str">
        <x:v>6918716</x:v>
      </x:c>
      <x:c r="F11" s="102"/>
      <x:c r="G11" s="102" t="str">
        <x:v>Self-unloading bulk carrier</x:v>
      </x:c>
      <x:c r="H11" s="102" t="str">
        <x:v>29,630 DWT</x:v>
      </x:c>
      <x:c r="I11" s="102"/>
      <x:c r="J11" s="102" t="str">
        <x:v>Great Lakes/St. Lawrence</x:v>
      </x:c>
      <x:c r="K11" s="102" t="str">
        <x:v>Operating</x:v>
      </x:c>
      <x:c r="L11" s="102" t="str">
        <x:v>Dry bulk</x:v>
      </x:c>
      <x:c r="M11" s="102" t="str">
        <x:v>Seawaymax system</x:v>
      </x:c>
      <x:c r="N11" s="102" t="str">
        <x:v>High</x:v>
      </x:c>
      <x:c r="O11" s="102" t="str">
        <x:v>Promoted to canonical vessel</x:v>
      </x:c>
      <x:c r="P11" s="102" t="str">
        <x:v>SRC_0153</x:v>
      </x:c>
      <x:c r="Q11" s="102"/>
    </x:row>
    <x:row r="12">
      <x:c r="A12" s="102" t="str">
        <x:v>GL_VS_0011</x:v>
      </x:c>
      <x:c r="B12" s="102" t="str">
        <x:v>COMP_CSL_CANADA</x:v>
      </x:c>
      <x:c r="C12" s="102" t="str">
        <x:v>Frontenac</x:v>
      </x:c>
      <x:c r="D12" s="102" t="str">
        <x:v>VESSEL_00280</x:v>
      </x:c>
      <x:c r="E12" s="102" t="str">
        <x:v>6804848</x:v>
      </x:c>
      <x:c r="F12" s="102"/>
      <x:c r="G12" s="102" t="str">
        <x:v>Self-unloading bulk carrier</x:v>
      </x:c>
      <x:c r="H12" s="102" t="str">
        <x:v>26,325 DWT</x:v>
      </x:c>
      <x:c r="I12" s="102" t="str">
        <x:v>1968</x:v>
      </x:c>
      <x:c r="J12" s="102" t="str">
        <x:v>Great Lakes / St. Lawrence</x:v>
      </x:c>
      <x:c r="K12" s="102" t="str">
        <x:v>Operating</x:v>
      </x:c>
      <x:c r="L12" s="102" t="str">
        <x:v>Dry bulk / cement</x:v>
      </x:c>
      <x:c r="M12" s="102" t="str">
        <x:v>Seaway / Great Lakes corridor</x:v>
      </x:c>
      <x:c r="N12" s="102" t="str">
        <x:v>High</x:v>
      </x:c>
      <x:c r="O12" s="102" t="str">
        <x:v>Promoted to canonical vessel</x:v>
      </x:c>
      <x:c r="P12" s="102" t="str">
        <x:v>SRC_0153</x:v>
      </x:c>
      <x:c r="Q12" s="102" t="str">
        <x:v>Current 2026 CSL regional fleet.</x:v>
      </x:c>
    </x:row>
    <x:row r="13">
      <x:c r="A13" s="102" t="str">
        <x:v>GL_VS_0012</x:v>
      </x:c>
      <x:c r="B13" s="102" t="str">
        <x:v>COMP_CSL_CANADA</x:v>
      </x:c>
      <x:c r="C13" s="102" t="str">
        <x:v>Nukumi</x:v>
      </x:c>
      <x:c r="D13" s="102" t="str">
        <x:v>VESSEL_00281</x:v>
      </x:c>
      <x:c r="E13" s="102" t="str">
        <x:v>9914711</x:v>
      </x:c>
      <x:c r="F13" s="102"/>
      <x:c r="G13" s="102" t="str">
        <x:v>Self-unloading bulk carrier</x:v>
      </x:c>
      <x:c r="H13" s="102" t="str">
        <x:v>32,085.7 DWT</x:v>
      </x:c>
      <x:c r="I13" s="102" t="str">
        <x:v>2021</x:v>
      </x:c>
      <x:c r="J13" s="102" t="str">
        <x:v>Great Lakes / St. Lawrence</x:v>
      </x:c>
      <x:c r="K13" s="102" t="str">
        <x:v>Operating</x:v>
      </x:c>
      <x:c r="L13" s="102" t="str">
        <x:v>Dry bulk / cement</x:v>
      </x:c>
      <x:c r="M13" s="102" t="str">
        <x:v>Seaway / Great Lakes corridor</x:v>
      </x:c>
      <x:c r="N13" s="102" t="str">
        <x:v>High</x:v>
      </x:c>
      <x:c r="O13" s="102" t="str">
        <x:v>Promoted to canonical vessel</x:v>
      </x:c>
      <x:c r="P13" s="102" t="str">
        <x:v>SRC_0153</x:v>
      </x:c>
      <x:c r="Q13" s="102" t="str">
        <x:v>Current 2026 CSL regional fleet.</x:v>
      </x:c>
    </x:row>
    <x:row r="14">
      <x:c r="A14" s="102" t="str">
        <x:v>GL_VS_0013</x:v>
      </x:c>
      <x:c r="B14" s="102" t="str">
        <x:v>COMP_CSL_CANADA</x:v>
      </x:c>
      <x:c r="C14" s="102" t="str">
        <x:v>Rt. Hon. Paul J. Martin</x:v>
      </x:c>
      <x:c r="D14" s="102" t="str">
        <x:v>VESSEL_00282</x:v>
      </x:c>
      <x:c r="E14" s="102" t="str">
        <x:v>7324405</x:v>
      </x:c>
      <x:c r="F14" s="102"/>
      <x:c r="G14" s="102" t="str">
        <x:v>Self-unloading bulk carrier</x:v>
      </x:c>
      <x:c r="H14" s="102" t="str">
        <x:v>37,200 DWT</x:v>
      </x:c>
      <x:c r="I14" s="102" t="str">
        <x:v>1973</x:v>
      </x:c>
      <x:c r="J14" s="102" t="str">
        <x:v>Great Lakes / St. Lawrence</x:v>
      </x:c>
      <x:c r="K14" s="102" t="str">
        <x:v>Operating</x:v>
      </x:c>
      <x:c r="L14" s="102" t="str">
        <x:v>Dry bulk / cement</x:v>
      </x:c>
      <x:c r="M14" s="102" t="str">
        <x:v>Seaway / Great Lakes corridor</x:v>
      </x:c>
      <x:c r="N14" s="102" t="str">
        <x:v>High</x:v>
      </x:c>
      <x:c r="O14" s="102" t="str">
        <x:v>Promoted to canonical vessel</x:v>
      </x:c>
      <x:c r="P14" s="102" t="str">
        <x:v>SRC_0153</x:v>
      </x:c>
      <x:c r="Q14" s="102" t="str">
        <x:v>Current 2026 CSL regional fleet.</x:v>
      </x:c>
    </x:row>
    <x:row r="15">
      <x:c r="A15" s="102" t="str">
        <x:v>GL_VS_0014</x:v>
      </x:c>
      <x:c r="B15" s="102" t="str">
        <x:v>COMP_CSL_CANADA</x:v>
      </x:c>
      <x:c r="C15" s="102" t="str">
        <x:v>Thunder Bay</x:v>
      </x:c>
      <x:c r="D15" s="102" t="str">
        <x:v>VESSEL_00283</x:v>
      </x:c>
      <x:c r="E15" s="102" t="str">
        <x:v>9601039</x:v>
      </x:c>
      <x:c r="F15" s="102"/>
      <x:c r="G15" s="102" t="str">
        <x:v>Self-unloading bulk carrier</x:v>
      </x:c>
      <x:c r="H15" s="102" t="str">
        <x:v>35,250 DWT</x:v>
      </x:c>
      <x:c r="I15" s="102" t="str">
        <x:v>2013</x:v>
      </x:c>
      <x:c r="J15" s="102" t="str">
        <x:v>Great Lakes / St. Lawrence</x:v>
      </x:c>
      <x:c r="K15" s="102" t="str">
        <x:v>Operating</x:v>
      </x:c>
      <x:c r="L15" s="102" t="str">
        <x:v>Dry bulk / cement</x:v>
      </x:c>
      <x:c r="M15" s="102" t="str">
        <x:v>Seaway / Great Lakes corridor</x:v>
      </x:c>
      <x:c r="N15" s="102" t="str">
        <x:v>High</x:v>
      </x:c>
      <x:c r="O15" s="102" t="str">
        <x:v>Promoted to canonical vessel</x:v>
      </x:c>
      <x:c r="P15" s="102" t="str">
        <x:v>SRC_0153</x:v>
      </x:c>
      <x:c r="Q15" s="102" t="str">
        <x:v>Current 2026 CSL regional fleet.</x:v>
      </x:c>
    </x:row>
    <x:row r="16">
      <x:c r="A16" s="102" t="str">
        <x:v>GL_VS_0015</x:v>
      </x:c>
      <x:c r="B16" s="102" t="str">
        <x:v>COMP_CSL_CANADA</x:v>
      </x:c>
      <x:c r="C16" s="102" t="str">
        <x:v>Whitefish Bay</x:v>
      </x:c>
      <x:c r="D16" s="102" t="str">
        <x:v>VESSEL_00284</x:v>
      </x:c>
      <x:c r="E16" s="102" t="str">
        <x:v>9639880</x:v>
      </x:c>
      <x:c r="F16" s="102"/>
      <x:c r="G16" s="102" t="str">
        <x:v>Self-unloading bulk carrier</x:v>
      </x:c>
      <x:c r="H16" s="102" t="str">
        <x:v>34,400 DWT</x:v>
      </x:c>
      <x:c r="I16" s="102" t="str">
        <x:v>2013</x:v>
      </x:c>
      <x:c r="J16" s="102" t="str">
        <x:v>Great Lakes / St. Lawrence</x:v>
      </x:c>
      <x:c r="K16" s="102" t="str">
        <x:v>Operating</x:v>
      </x:c>
      <x:c r="L16" s="102" t="str">
        <x:v>Dry bulk / cement</x:v>
      </x:c>
      <x:c r="M16" s="102" t="str">
        <x:v>Seaway / Great Lakes corridor</x:v>
      </x:c>
      <x:c r="N16" s="102" t="str">
        <x:v>High</x:v>
      </x:c>
      <x:c r="O16" s="102" t="str">
        <x:v>Promoted to canonical vessel</x:v>
      </x:c>
      <x:c r="P16" s="102" t="str">
        <x:v>SRC_0153</x:v>
      </x:c>
      <x:c r="Q16" s="102" t="str">
        <x:v>Current 2026 CSL regional fleet.</x:v>
      </x:c>
    </x:row>
    <x:row r="17">
      <x:c r="A17" s="102" t="str">
        <x:v>GL_VS_0016</x:v>
      </x:c>
      <x:c r="B17" s="102" t="str">
        <x:v>COMP_CSL_CANADA</x:v>
      </x:c>
      <x:c r="C17" s="102" t="str">
        <x:v>CSL Welland</x:v>
      </x:c>
      <x:c r="D17" s="102" t="str">
        <x:v>VESSEL_00286</x:v>
      </x:c>
      <x:c r="E17" s="102" t="str">
        <x:v>9665279</x:v>
      </x:c>
      <x:c r="F17" s="102"/>
      <x:c r="G17" s="102" t="str">
        <x:v>Gearless bulk carrier</x:v>
      </x:c>
      <x:c r="H17" s="102" t="str">
        <x:v>35,425 DWT</x:v>
      </x:c>
      <x:c r="I17" s="102" t="str">
        <x:v>2014</x:v>
      </x:c>
      <x:c r="J17" s="102" t="str">
        <x:v>Great Lakes / St. Lawrence</x:v>
      </x:c>
      <x:c r="K17" s="102" t="str">
        <x:v>Operating</x:v>
      </x:c>
      <x:c r="L17" s="102" t="str">
        <x:v>Dry bulk / cement</x:v>
      </x:c>
      <x:c r="M17" s="102" t="str">
        <x:v>Seaway / Great Lakes corridor</x:v>
      </x:c>
      <x:c r="N17" s="102" t="str">
        <x:v>High</x:v>
      </x:c>
      <x:c r="O17" s="102" t="str">
        <x:v>Promoted to canonical vessel</x:v>
      </x:c>
      <x:c r="P17" s="102" t="str">
        <x:v>SRC_0153</x:v>
      </x:c>
      <x:c r="Q17" s="102" t="str">
        <x:v>Current 2026 CSL regional fleet.</x:v>
      </x:c>
    </x:row>
    <x:row r="18">
      <x:c r="A18" s="102" t="str">
        <x:v>GL_VS_0017</x:v>
      </x:c>
      <x:c r="B18" s="102" t="str">
        <x:v>COMP_CSL_CANADA</x:v>
      </x:c>
      <x:c r="C18" s="102" t="str">
        <x:v>Ferbec</x:v>
      </x:c>
      <x:c r="D18" s="102" t="str">
        <x:v>VESSEL_00287</x:v>
      </x:c>
      <x:c r="E18" s="102" t="str">
        <x:v>9259848</x:v>
      </x:c>
      <x:c r="F18" s="102"/>
      <x:c r="G18" s="102" t="str">
        <x:v>Gearless bulk carrier</x:v>
      </x:c>
      <x:c r="H18" s="102" t="str">
        <x:v>51,209 DWT</x:v>
      </x:c>
      <x:c r="I18" s="102" t="str">
        <x:v>2002</x:v>
      </x:c>
      <x:c r="J18" s="102" t="str">
        <x:v>Great Lakes / St. Lawrence</x:v>
      </x:c>
      <x:c r="K18" s="102" t="str">
        <x:v>Operating</x:v>
      </x:c>
      <x:c r="L18" s="102" t="str">
        <x:v>Dry bulk / cement</x:v>
      </x:c>
      <x:c r="M18" s="102" t="str">
        <x:v>Seaway / Great Lakes corridor</x:v>
      </x:c>
      <x:c r="N18" s="102" t="str">
        <x:v>High</x:v>
      </x:c>
      <x:c r="O18" s="102" t="str">
        <x:v>Promoted to canonical vessel</x:v>
      </x:c>
      <x:c r="P18" s="102" t="str">
        <x:v>SRC_0153</x:v>
      </x:c>
      <x:c r="Q18" s="102" t="str">
        <x:v>Current 2026 CSL regional fleet.</x:v>
      </x:c>
    </x:row>
    <x:row r="19">
      <x:c r="A19" s="102" t="str">
        <x:v>GL_VS_0018</x:v>
      </x:c>
      <x:c r="B19" s="102" t="str">
        <x:v>COMP_CSL_CANADA</x:v>
      </x:c>
      <x:c r="C19" s="102" t="str">
        <x:v>Oakglen</x:v>
      </x:c>
      <x:c r="D19" s="102" t="str">
        <x:v>VESSEL_00288</x:v>
      </x:c>
      <x:c r="E19" s="102" t="str">
        <x:v>7901148</x:v>
      </x:c>
      <x:c r="F19" s="102"/>
      <x:c r="G19" s="102" t="str">
        <x:v>Gearless bulk carrier</x:v>
      </x:c>
      <x:c r="H19" s="102" t="str">
        <x:v>34,540 DWT</x:v>
      </x:c>
      <x:c r="I19" s="102"/>
      <x:c r="J19" s="102" t="str">
        <x:v>Great Lakes / St. Lawrence</x:v>
      </x:c>
      <x:c r="K19" s="102" t="str">
        <x:v>Operating</x:v>
      </x:c>
      <x:c r="L19" s="102" t="str">
        <x:v>Dry bulk / cement</x:v>
      </x:c>
      <x:c r="M19" s="102" t="str">
        <x:v>Seaway / Great Lakes corridor</x:v>
      </x:c>
      <x:c r="N19" s="102" t="str">
        <x:v>High</x:v>
      </x:c>
      <x:c r="O19" s="102" t="str">
        <x:v>Promoted to canonical vessel</x:v>
      </x:c>
      <x:c r="P19" s="102" t="str">
        <x:v>SRC_0153</x:v>
      </x:c>
      <x:c r="Q19" s="102" t="str">
        <x:v>Current 2026 CSL regional fleet.</x:v>
      </x:c>
    </x:row>
    <x:row r="20">
      <x:c r="A20" s="102" t="str">
        <x:v>GL_VS_0019</x:v>
      </x:c>
      <x:c r="B20" s="102" t="str">
        <x:v>COMP_CSL_CANADA</x:v>
      </x:c>
      <x:c r="C20" s="102" t="str">
        <x:v>Spruceglen</x:v>
      </x:c>
      <x:c r="D20" s="102" t="str">
        <x:v>VESSEL_00289</x:v>
      </x:c>
      <x:c r="E20" s="102" t="str">
        <x:v>8119261</x:v>
      </x:c>
      <x:c r="F20" s="102"/>
      <x:c r="G20" s="102" t="str">
        <x:v>Gearless bulk carrier</x:v>
      </x:c>
      <x:c r="H20" s="102" t="str">
        <x:v>34,150 DWT</x:v>
      </x:c>
      <x:c r="I20" s="102"/>
      <x:c r="J20" s="102" t="str">
        <x:v>Great Lakes / St. Lawrence</x:v>
      </x:c>
      <x:c r="K20" s="102" t="str">
        <x:v>Operating</x:v>
      </x:c>
      <x:c r="L20" s="102" t="str">
        <x:v>Dry bulk / cement</x:v>
      </x:c>
      <x:c r="M20" s="102" t="str">
        <x:v>Seaway / Great Lakes corridor</x:v>
      </x:c>
      <x:c r="N20" s="102" t="str">
        <x:v>High</x:v>
      </x:c>
      <x:c r="O20" s="102" t="str">
        <x:v>Promoted to canonical vessel</x:v>
      </x:c>
      <x:c r="P20" s="102" t="str">
        <x:v>SRC_0153</x:v>
      </x:c>
      <x:c r="Q20" s="102" t="str">
        <x:v>Current 2026 CSL regional fleet.</x:v>
      </x:c>
    </x:row>
    <x:row r="21">
      <x:c r="A21" s="102" t="str">
        <x:v>GL_VS_0020</x:v>
      </x:c>
      <x:c r="B21" s="102" t="str">
        <x:v>COMP_CSL_CANADA</x:v>
      </x:c>
      <x:c r="C21" s="102" t="str">
        <x:v>Tamarack</x:v>
      </x:c>
      <x:c r="D21" s="102" t="str">
        <x:v>VESSEL_00290</x:v>
      </x:c>
      <x:c r="E21" s="102" t="str">
        <x:v>1037153</x:v>
      </x:c>
      <x:c r="F21" s="102"/>
      <x:c r="G21" s="102" t="str">
        <x:v>Cement carrier</x:v>
      </x:c>
      <x:c r="H21" s="102" t="str">
        <x:v>12,500 DWT</x:v>
      </x:c>
      <x:c r="I21" s="102" t="str">
        <x:v>2025</x:v>
      </x:c>
      <x:c r="J21" s="102" t="str">
        <x:v>Great Lakes / St. Lawrence</x:v>
      </x:c>
      <x:c r="K21" s="102" t="str">
        <x:v>Operating</x:v>
      </x:c>
      <x:c r="L21" s="102" t="str">
        <x:v>Dry bulk / cement</x:v>
      </x:c>
      <x:c r="M21" s="102" t="str">
        <x:v>Seaway / Great Lakes corridor</x:v>
      </x:c>
      <x:c r="N21" s="102" t="str">
        <x:v>High</x:v>
      </x:c>
      <x:c r="O21" s="102" t="str">
        <x:v>Promoted to canonical vessel</x:v>
      </x:c>
      <x:c r="P21" s="102" t="str">
        <x:v>SRC_0153</x:v>
      </x:c>
      <x:c r="Q21" s="102" t="str">
        <x:v>Current 2026 CSL regional fleet.</x:v>
      </x:c>
    </x:row>
    <x:row r="22">
      <x:c r="A22" s="102" t="str">
        <x:v>GL_VS_0021</x:v>
      </x:c>
      <x:c r="B22" s="102" t="str">
        <x:v>COMP_INTERLAKE</x:v>
      </x:c>
      <x:c r="C22" s="102" t="str">
        <x:v>Mesabi Miner</x:v>
      </x:c>
      <x:c r="D22" s="102" t="str">
        <x:v>VESSEL_00317</x:v>
      </x:c>
      <x:c r="E22" s="102" t="str">
        <x:v>7390272</x:v>
      </x:c>
      <x:c r="F22" s="102"/>
      <x:c r="G22" s="102" t="str">
        <x:v>Self-unloading bulk carrier</x:v>
      </x:c>
      <x:c r="H22" s="102" t="str">
        <x:v>63,300 gross tons</x:v>
      </x:c>
      <x:c r="I22" s="102" t="str">
        <x:v>1977</x:v>
      </x:c>
      <x:c r="J22" s="102" t="str">
        <x:v>Great Lakes / St. Lawrence</x:v>
      </x:c>
      <x:c r="K22" s="102" t="str">
        <x:v>Operating</x:v>
      </x:c>
      <x:c r="L22" s="102" t="str">
        <x:v>Dry bulk</x:v>
      </x:c>
      <x:c r="M22" s="102" t="str">
        <x:v>Great Lakes / Soo / industrial corridor</x:v>
      </x:c>
      <x:c r="N22" s="102" t="str">
        <x:v>High</x:v>
      </x:c>
      <x:c r="O22" s="102" t="str">
        <x:v>Promoted to canonical vessel</x:v>
      </x:c>
      <x:c r="P22" s="102" t="str">
        <x:v>SRC_0156</x:v>
      </x:c>
      <x:c r="Q22" s="102" t="str">
        <x:v>Current official Interlake fleet.</x:v>
      </x:c>
    </x:row>
    <x:row r="23">
      <x:c r="A23" s="102" t="str">
        <x:v>GL_VS_0022</x:v>
      </x:c>
      <x:c r="B23" s="102" t="str">
        <x:v>COMP_INTERLAKE</x:v>
      </x:c>
      <x:c r="C23" s="102" t="str">
        <x:v>Lee A. Tregurtha</x:v>
      </x:c>
      <x:c r="D23" s="102" t="str">
        <x:v>VESSEL_00318</x:v>
      </x:c>
      <x:c r="E23" s="102" t="str">
        <x:v>5385625</x:v>
      </x:c>
      <x:c r="F23" s="102"/>
      <x:c r="G23" s="102" t="str">
        <x:v>Self-unloading bulk carrier</x:v>
      </x:c>
      <x:c r="H23" s="102" t="str">
        <x:v>29,360 gross tons</x:v>
      </x:c>
      <x:c r="I23" s="102" t="str">
        <x:v>1942</x:v>
      </x:c>
      <x:c r="J23" s="102" t="str">
        <x:v>Great Lakes / St. Lawrence</x:v>
      </x:c>
      <x:c r="K23" s="102" t="str">
        <x:v>Operating</x:v>
      </x:c>
      <x:c r="L23" s="102" t="str">
        <x:v>Dry bulk</x:v>
      </x:c>
      <x:c r="M23" s="102" t="str">
        <x:v>Great Lakes / Soo / industrial corridor</x:v>
      </x:c>
      <x:c r="N23" s="102" t="str">
        <x:v>High</x:v>
      </x:c>
      <x:c r="O23" s="102" t="str">
        <x:v>Promoted to canonical vessel</x:v>
      </x:c>
      <x:c r="P23" s="102" t="str">
        <x:v>SRC_0156</x:v>
      </x:c>
      <x:c r="Q23" s="102" t="str">
        <x:v>Current official Interlake fleet.</x:v>
      </x:c>
    </x:row>
    <x:row r="24">
      <x:c r="A24" s="102" t="str">
        <x:v>GL_VS_0023</x:v>
      </x:c>
      <x:c r="B24" s="102" t="str">
        <x:v>COMP_INTERLAKE</x:v>
      </x:c>
      <x:c r="C24" s="102" t="str">
        <x:v>Honorable James L. Oberstar</x:v>
      </x:c>
      <x:c r="D24" s="102" t="str">
        <x:v>VESSEL_00319</x:v>
      </x:c>
      <x:c r="E24" s="102" t="str">
        <x:v>5322518</x:v>
      </x:c>
      <x:c r="F24" s="102"/>
      <x:c r="G24" s="102" t="str">
        <x:v>Self-unloading bulk carrier</x:v>
      </x:c>
      <x:c r="H24" s="102" t="str">
        <x:v>31,000 gross tons</x:v>
      </x:c>
      <x:c r="I24" s="102" t="str">
        <x:v>1959</x:v>
      </x:c>
      <x:c r="J24" s="102" t="str">
        <x:v>Great Lakes / St. Lawrence</x:v>
      </x:c>
      <x:c r="K24" s="102" t="str">
        <x:v>Operating</x:v>
      </x:c>
      <x:c r="L24" s="102" t="str">
        <x:v>Dry bulk</x:v>
      </x:c>
      <x:c r="M24" s="102" t="str">
        <x:v>Great Lakes / Soo / industrial corridor</x:v>
      </x:c>
      <x:c r="N24" s="102" t="str">
        <x:v>High</x:v>
      </x:c>
      <x:c r="O24" s="102" t="str">
        <x:v>Promoted to canonical vessel</x:v>
      </x:c>
      <x:c r="P24" s="102" t="str">
        <x:v>SRC_0156</x:v>
      </x:c>
      <x:c r="Q24" s="102" t="str">
        <x:v>Current official Interlake fleet.</x:v>
      </x:c>
    </x:row>
    <x:row r="25">
      <x:c r="A25" s="102" t="str">
        <x:v>GL_VS_0024</x:v>
      </x:c>
      <x:c r="B25" s="102" t="str">
        <x:v>COMP_INTERLAKE</x:v>
      </x:c>
      <x:c r="C25" s="102" t="str">
        <x:v>Kaye E. Barker</x:v>
      </x:c>
      <x:c r="D25" s="102" t="str">
        <x:v>VESSEL_00320</x:v>
      </x:c>
      <x:c r="E25" s="102" t="str">
        <x:v>5097450</x:v>
      </x:c>
      <x:c r="F25" s="102"/>
      <x:c r="G25" s="102" t="str">
        <x:v>Self-unloading bulk carrier</x:v>
      </x:c>
      <x:c r="H25" s="102" t="str">
        <x:v>25,900 gross tons</x:v>
      </x:c>
      <x:c r="I25" s="102" t="str">
        <x:v>1952</x:v>
      </x:c>
      <x:c r="J25" s="102" t="str">
        <x:v>Great Lakes / St. Lawrence</x:v>
      </x:c>
      <x:c r="K25" s="102" t="str">
        <x:v>Operating</x:v>
      </x:c>
      <x:c r="L25" s="102" t="str">
        <x:v>Dry bulk</x:v>
      </x:c>
      <x:c r="M25" s="102" t="str">
        <x:v>Great Lakes / Soo / industrial corridor</x:v>
      </x:c>
      <x:c r="N25" s="102" t="str">
        <x:v>High</x:v>
      </x:c>
      <x:c r="O25" s="102" t="str">
        <x:v>Promoted to canonical vessel</x:v>
      </x:c>
      <x:c r="P25" s="102" t="str">
        <x:v>SRC_0156</x:v>
      </x:c>
      <x:c r="Q25" s="102" t="str">
        <x:v>Current official Interlake fleet.</x:v>
      </x:c>
    </x:row>
    <x:row r="26">
      <x:c r="A26" s="102" t="str">
        <x:v>GL_VS_0025</x:v>
      </x:c>
      <x:c r="B26" s="102" t="str">
        <x:v>COMP_INTERLAKE</x:v>
      </x:c>
      <x:c r="C26" s="102" t="str">
        <x:v>Herbert C. Jackson</x:v>
      </x:c>
      <x:c r="D26" s="102" t="str">
        <x:v>VESSEL_00321</x:v>
      </x:c>
      <x:c r="E26" s="102" t="str">
        <x:v>5148417</x:v>
      </x:c>
      <x:c r="F26" s="102"/>
      <x:c r="G26" s="102" t="str">
        <x:v>Self-unloading bulk carrier</x:v>
      </x:c>
      <x:c r="H26" s="102" t="str">
        <x:v>24,800 gross tons</x:v>
      </x:c>
      <x:c r="I26" s="102" t="str">
        <x:v>1959</x:v>
      </x:c>
      <x:c r="J26" s="102" t="str">
        <x:v>Great Lakes / St. Lawrence</x:v>
      </x:c>
      <x:c r="K26" s="102" t="str">
        <x:v>Operating</x:v>
      </x:c>
      <x:c r="L26" s="102" t="str">
        <x:v>Dry bulk</x:v>
      </x:c>
      <x:c r="M26" s="102" t="str">
        <x:v>Great Lakes / Soo / industrial corridor</x:v>
      </x:c>
      <x:c r="N26" s="102" t="str">
        <x:v>High</x:v>
      </x:c>
      <x:c r="O26" s="102" t="str">
        <x:v>Promoted to canonical vessel</x:v>
      </x:c>
      <x:c r="P26" s="102" t="str">
        <x:v>SRC_0156</x:v>
      </x:c>
      <x:c r="Q26" s="102" t="str">
        <x:v>Current official Interlake fleet.</x:v>
      </x:c>
    </x:row>
    <x:row r="27">
      <x:c r="A27" s="102" t="str">
        <x:v>GL_VS_0026</x:v>
      </x:c>
      <x:c r="B27" s="102" t="str">
        <x:v>COMP_INTERLAKE</x:v>
      </x:c>
      <x:c r="C27" s="102" t="str">
        <x:v>Dorothy Ann</x:v>
      </x:c>
      <x:c r="D27" s="102" t="str">
        <x:v>VESSEL_00322</x:v>
      </x:c>
      <x:c r="E27" s="102" t="str">
        <x:v>8955732</x:v>
      </x:c>
      <x:c r="F27" s="102"/>
      <x:c r="G27" s="102" t="str">
        <x:v>Tug</x:v>
      </x:c>
      <x:c r="H27" s="102"/>
      <x:c r="I27" s="102"/>
      <x:c r="J27" s="102" t="str">
        <x:v>Great Lakes / St. Lawrence</x:v>
      </x:c>
      <x:c r="K27" s="102" t="str">
        <x:v>Operating</x:v>
      </x:c>
      <x:c r="L27" s="102" t="str">
        <x:v>Dry bulk</x:v>
      </x:c>
      <x:c r="M27" s="102" t="str">
        <x:v>Great Lakes / Soo / industrial corridor</x:v>
      </x:c>
      <x:c r="N27" s="102" t="str">
        <x:v>High</x:v>
      </x:c>
      <x:c r="O27" s="102" t="str">
        <x:v>Promoted to canonical vessel</x:v>
      </x:c>
      <x:c r="P27" s="102" t="str">
        <x:v>SRC_0156</x:v>
      </x:c>
      <x:c r="Q27" s="102" t="str">
        <x:v>Current official Interlake fleet.</x:v>
      </x:c>
    </x:row>
    <x:row r="28">
      <x:c r="A28" s="102" t="str">
        <x:v>GL_VS_0027</x:v>
      </x:c>
      <x:c r="B28" s="102" t="str">
        <x:v>COMP_INTERLAKE</x:v>
      </x:c>
      <x:c r="C28" s="102" t="str">
        <x:v>Stewart J. Cort</x:v>
      </x:c>
      <x:c r="D28" s="102" t="str">
        <x:v>VESSEL_00323</x:v>
      </x:c>
      <x:c r="E28" s="102" t="str">
        <x:v>7105495</x:v>
      </x:c>
      <x:c r="F28" s="102"/>
      <x:c r="G28" s="102" t="str">
        <x:v>Self-unloading bulk carrier</x:v>
      </x:c>
      <x:c r="H28" s="102" t="str">
        <x:v>58,000 gross tons</x:v>
      </x:c>
      <x:c r="I28" s="102" t="str">
        <x:v>1972</x:v>
      </x:c>
      <x:c r="J28" s="102" t="str">
        <x:v>Great Lakes / St. Lawrence</x:v>
      </x:c>
      <x:c r="K28" s="102" t="str">
        <x:v>Operating</x:v>
      </x:c>
      <x:c r="L28" s="102" t="str">
        <x:v>Dry bulk</x:v>
      </x:c>
      <x:c r="M28" s="102" t="str">
        <x:v>Great Lakes / Soo / industrial corridor</x:v>
      </x:c>
      <x:c r="N28" s="102" t="str">
        <x:v>High</x:v>
      </x:c>
      <x:c r="O28" s="102" t="str">
        <x:v>Promoted to canonical vessel</x:v>
      </x:c>
      <x:c r="P28" s="102" t="str">
        <x:v>SRC_0156</x:v>
      </x:c>
      <x:c r="Q28" s="102" t="str">
        <x:v>Current official Interlake fleet.</x:v>
      </x:c>
    </x:row>
  </x:sheetData>
  <x:pageMargins left="0.7" right="0.7" top="0.75" bottom="0.75" header="0.3" footer="0.3"/>
</x:worksheet>
</file>

<file path=xl/worksheets/sheet60.xml><?xml version="1.0" encoding="utf-8"?>
<x:worksheet xmlns:x="http://schemas.openxmlformats.org/spreadsheetml/2006/main">
  <x:sheetFormatPr defaultRowHeight="15"/>
  <x:cols>
    <x:col min="1" max="1" width="14" hidden="0" customWidth="1"/>
    <x:col min="2" max="2" width="14" hidden="0" customWidth="1"/>
    <x:col min="3" max="3" width="22" hidden="0" customWidth="1"/>
    <x:col min="4" max="4" width="14" hidden="0" customWidth="1"/>
    <x:col min="5" max="5" width="14" hidden="0" customWidth="1"/>
    <x:col min="6" max="6" width="14" hidden="0" customWidth="1"/>
    <x:col min="7" max="7" width="22" hidden="0" customWidth="1"/>
    <x:col min="8" max="8" width="14" hidden="0" customWidth="1"/>
    <x:col min="9" max="9" width="36" hidden="0" customWidth="1"/>
    <x:col min="10" max="10" width="14" hidden="0" customWidth="1"/>
    <x:col min="11" max="11" width="14" hidden="0" customWidth="1"/>
    <x:col min="12" max="12" width="14" hidden="0" customWidth="1"/>
    <x:col min="13" max="13" width="14" hidden="0" customWidth="1"/>
    <x:col min="14" max="14" width="14" hidden="0" customWidth="1"/>
    <x:col min="15" max="15" width="36" hidden="0" customWidth="1"/>
  </x:cols>
  <x:sheetData>
    <x:row r="1">
      <x:c r="A1" s="165" t="str">
        <x:v>Corridor ID</x:v>
      </x:c>
      <x:c r="B1" s="165" t="str">
        <x:v>System ID</x:v>
      </x:c>
      <x:c r="C1" s="165" t="str">
        <x:v>Corridor Name</x:v>
      </x:c>
      <x:c r="D1" s="165" t="str">
        <x:v>Origin / Production Region</x:v>
      </x:c>
      <x:c r="E1" s="165" t="str">
        <x:v>Primary Load Ports</x:v>
      </x:c>
      <x:c r="F1" s="165" t="str">
        <x:v>Primary Destination Region / Ports</x:v>
      </x:c>
      <x:c r="G1" s="165" t="str">
        <x:v>Cargo / Flow</x:v>
      </x:c>
      <x:c r="H1" s="165" t="str">
        <x:v>Vessel / Mode</x:v>
      </x:c>
      <x:c r="I1" s="165" t="str">
        <x:v>Critical Infrastructure</x:v>
      </x:c>
      <x:c r="J1" s="165" t="str">
        <x:v>Industrial Demand Node</x:v>
      </x:c>
      <x:c r="K1" s="165" t="str">
        <x:v>Inland Connection</x:v>
      </x:c>
      <x:c r="L1" s="165" t="str">
        <x:v>Criticality</x:v>
      </x:c>
      <x:c r="M1" s="165" t="str">
        <x:v>Primary Risks</x:v>
      </x:c>
      <x:c r="N1" s="165" t="str">
        <x:v>Source ID</x:v>
      </x:c>
      <x:c r="O1" s="165" t="str">
        <x:v>Notes</x:v>
      </x:c>
    </x:row>
    <x:row r="2">
      <x:c r="A2" s="102" t="str">
        <x:v>GL_COR_0001</x:v>
      </x:c>
      <x:c r="B2" s="102" t="str">
        <x:v>SYS_GLSS</x:v>
      </x:c>
      <x:c r="C2" s="102" t="str">
        <x:v>Lake Superior iron ore / taconite</x:v>
      </x:c>
      <x:c r="D2" s="102" t="str">
        <x:v>Iron Range / Upper Peninsula</x:v>
      </x:c>
      <x:c r="E2" s="102" t="str">
        <x:v>Duluth-Superior; Two Harbors; Lake Superior ore docks</x:v>
      </x:c>
      <x:c r="F2" s="102" t="str">
        <x:v>Lower Lake Michigan; Detroit; Lake Erie steelmaking centers</x:v>
      </x:c>
      <x:c r="G2" s="102" t="str">
        <x:v>Iron ore / taconite</x:v>
      </x:c>
      <x:c r="H2" s="102" t="str">
        <x:v>Lakers / self-unloaders</x:v>
      </x:c>
      <x:c r="I2" s="102" t="str">
        <x:v>Soo Locks; St. Marys River</x:v>
      </x:c>
      <x:c r="J2" s="102" t="str">
        <x:v>Steel mills; blast furnaces</x:v>
      </x:c>
      <x:c r="K2" s="102" t="str">
        <x:v>CN; BNSF; other rail at origin/destination</x:v>
      </x:c>
      <x:c r="L2" s="102" t="str">
        <x:v>High</x:v>
      </x:c>
      <x:c r="M2" s="102" t="str">
        <x:v>Ice / Soo lock outage / mechanical / steel demand</x:v>
      </x:c>
      <x:c r="N2" s="102" t="str">
        <x:v>SRC_0158</x:v>
      </x:c>
      <x:c r="O2" s="102" t="str">
        <x:v>Core industrial corridor.</x:v>
      </x:c>
    </x:row>
    <x:row r="3">
      <x:c r="A3" s="102" t="str">
        <x:v>GL_COR_0002</x:v>
      </x:c>
      <x:c r="B3" s="102" t="str">
        <x:v>SYS_GLSS</x:v>
      </x:c>
      <x:c r="C3" s="102" t="str">
        <x:v>Prairie / Midwest grain export</x:v>
      </x:c>
      <x:c r="D3" s="102" t="str">
        <x:v>Canadian Prairies + U.S. Midwest</x:v>
      </x:c>
      <x:c r="E3" s="102" t="str">
        <x:v>Thunder Bay; Duluth-Superior; Toledo; other grain ports</x:v>
      </x:c>
      <x:c r="F3" s="102" t="str">
        <x:v>St. Lawrence / Atlantic export markets</x:v>
      </x:c>
      <x:c r="G3" s="102" t="str">
        <x:v>Wheat; canola; corn; soybeans; other grain</x:v>
      </x:c>
      <x:c r="H3" s="102" t="str">
        <x:v>Lakers + ocean / Seaway vessels</x:v>
      </x:c>
      <x:c r="I3" s="102" t="str">
        <x:v>Welland Canal; Montreal-Lake Ontario locks</x:v>
      </x:c>
      <x:c r="J3" s="102" t="str">
        <x:v>Export elevators / processors</x:v>
      </x:c>
      <x:c r="K3" s="102" t="str">
        <x:v>Rail-to-port grain corridors</x:v>
      </x:c>
      <x:c r="L3" s="102" t="str">
        <x:v>High</x:v>
      </x:c>
      <x:c r="M3" s="102" t="str">
        <x:v>Harvest surge / labour / lock outage / ice / low water</x:v>
      </x:c>
      <x:c r="N3" s="102" t="str">
        <x:v>SRC_0145</x:v>
      </x:c>
      <x:c r="O3" s="102"/>
    </x:row>
    <x:row r="4">
      <x:c r="A4" s="102" t="str">
        <x:v>GL_COR_0003</x:v>
      </x:c>
      <x:c r="B4" s="102" t="str">
        <x:v>SYS_GLSS</x:v>
      </x:c>
      <x:c r="C4" s="102" t="str">
        <x:v>Limestone / aggregates</x:v>
      </x:c>
      <x:c r="D4" s="102" t="str">
        <x:v>Northern Lake Huron / Michigan quarry areas</x:v>
      </x:c>
      <x:c r="E4" s="102" t="str">
        <x:v>Calcite and other quarry terminals</x:v>
      </x:c>
      <x:c r="F4" s="102" t="str">
        <x:v>Steel, cement and construction ports across Lakes</x:v>
      </x:c>
      <x:c r="G4" s="102" t="str">
        <x:v>Limestone; aggregates</x:v>
      </x:c>
      <x:c r="H4" s="102" t="str">
        <x:v>Self-unloaders</x:v>
      </x:c>
      <x:c r="I4" s="102" t="str">
        <x:v>Straits / rivers / lake routes</x:v>
      </x:c>
      <x:c r="J4" s="102" t="str">
        <x:v>Steel / cement / construction</x:v>
      </x:c>
      <x:c r="K4" s="102" t="str">
        <x:v>Road / rail at destination</x:v>
      </x:c>
      <x:c r="L4" s="102" t="str">
        <x:v>Medium</x:v>
      </x:c>
      <x:c r="M4" s="102" t="str">
        <x:v>Weather / ice / vessel availability</x:v>
      </x:c>
      <x:c r="N4" s="102" t="str">
        <x:v>SRC_0158</x:v>
      </x:c>
      <x:c r="O4" s="102"/>
    </x:row>
    <x:row r="5">
      <x:c r="A5" s="102" t="str">
        <x:v>GL_COR_0004</x:v>
      </x:c>
      <x:c r="B5" s="102" t="str">
        <x:v>SYS_GLSS</x:v>
      </x:c>
      <x:c r="C5" s="102" t="str">
        <x:v>Great Lakes coal corridor</x:v>
      </x:c>
      <x:c r="D5" s="102" t="str">
        <x:v>Lake Erie / Lake Michigan / Lake Superior origins</x:v>
      </x:c>
      <x:c r="E5" s="102" t="str">
        <x:v>Multiple bulk terminals</x:v>
      </x:c>
      <x:c r="F5" s="102" t="str">
        <x:v>Industrial and utility users across Lakes</x:v>
      </x:c>
      <x:c r="G5" s="102" t="str">
        <x:v>Coal / coke</x:v>
      </x:c>
      <x:c r="H5" s="102" t="str">
        <x:v>Self-unloaders</x:v>
      </x:c>
      <x:c r="I5" s="102" t="str">
        <x:v>Soo / rivers / lake routes</x:v>
      </x:c>
      <x:c r="J5" s="102" t="str">
        <x:v>Utilities / industrial users</x:v>
      </x:c>
      <x:c r="K5" s="102" t="str">
        <x:v>Rail-to-port / port-to-industry</x:v>
      </x:c>
      <x:c r="L5" s="102" t="str">
        <x:v>Medium</x:v>
      </x:c>
      <x:c r="M5" s="102" t="str">
        <x:v>Demand shifts / closures / weather / lock outages</x:v>
      </x:c>
      <x:c r="N5" s="102" t="str">
        <x:v>SRC_0158</x:v>
      </x:c>
      <x:c r="O5" s="102"/>
    </x:row>
    <x:row r="6">
      <x:c r="A6" s="102" t="str">
        <x:v>GL_COR_0005</x:v>
      </x:c>
      <x:c r="B6" s="102" t="str">
        <x:v>SYS_GLSS</x:v>
      </x:c>
      <x:c r="C6" s="102" t="str">
        <x:v>Great Lakes project cargo / wind</x:v>
      </x:c>
      <x:c r="D6" s="102" t="str">
        <x:v>Atlantic / overseas suppliers</x:v>
      </x:c>
      <x:c r="E6" s="102" t="str">
        <x:v>Seaway entry ports; Cleveland; Duluth-Superior</x:v>
      </x:c>
      <x:c r="F6" s="102" t="str">
        <x:v>Midwest wind / industrial projects</x:v>
      </x:c>
      <x:c r="G6" s="102" t="str">
        <x:v>Wind components; heavy-lift; breakbulk</x:v>
      </x:c>
      <x:c r="H6" s="102" t="str">
        <x:v>Ocean-going + project cargo vessels</x:v>
      </x:c>
      <x:c r="I6" s="102" t="str">
        <x:v>Seaway locks; Welland Canal</x:v>
      </x:c>
      <x:c r="J6" s="102" t="str">
        <x:v>Project sites / industrial customers</x:v>
      </x:c>
      <x:c r="K6" s="102" t="str">
        <x:v>On-dock rail + truck heavy haul</x:v>
      </x:c>
      <x:c r="L6" s="102" t="str">
        <x:v>Medium</x:v>
      </x:c>
      <x:c r="M6" s="102" t="str">
        <x:v>Lock dimensions / bridge clearance / terminal capacity</x:v>
      </x:c>
      <x:c r="N6" s="102" t="str">
        <x:v>SRC_0151</x:v>
      </x:c>
      <x:c r="O6" s="102"/>
    </x:row>
    <x:row r="7">
      <x:c r="A7" s="102" t="str">
        <x:v>GL_COR_0006</x:v>
      </x:c>
      <x:c r="B7" s="102" t="str">
        <x:v>SYS_GLSS</x:v>
      </x:c>
      <x:c r="C7" s="102" t="str">
        <x:v>Great Lakes container / intermodal niche</x:v>
      </x:c>
      <x:c r="D7" s="102" t="str">
        <x:v>Atlantic / overseas + regional shippers</x:v>
      </x:c>
      <x:c r="E7" s="102" t="str">
        <x:v>Cleveland; Duluth-Superior; selected Seaway ports</x:v>
      </x:c>
      <x:c r="F7" s="102" t="str">
        <x:v>Midwest inland markets</x:v>
      </x:c>
      <x:c r="G7" s="102" t="str">
        <x:v>Containers / general cargo</x:v>
      </x:c>
      <x:c r="H7" s="102" t="str">
        <x:v>Ocean-going / feeder / rail-linked</x:v>
      </x:c>
      <x:c r="I7" s="102" t="str">
        <x:v>Seaway locks</x:v>
      </x:c>
      <x:c r="J7" s="102" t="str">
        <x:v>Manufacturers / distributors</x:v>
      </x:c>
      <x:c r="K7" s="102" t="str">
        <x:v>Class I rail / truck</x:v>
      </x:c>
      <x:c r="L7" s="102" t="str">
        <x:v>Medium</x:v>
      </x:c>
      <x:c r="M7" s="102" t="str">
        <x:v>Service frequency / seasonal closure / scale economics</x:v>
      </x:c>
      <x:c r="N7" s="102" t="str">
        <x:v>SRC_0151</x:v>
      </x:c>
      <x:c r="O7" s="102"/>
    </x:row>
    <x:row r="8">
      <x:c r="A8" s="102" t="str">
        <x:v>GL_COR_0007</x:v>
      </x:c>
      <x:c r="B8" s="102" t="str">
        <x:v>SYS_GLSS</x:v>
      </x:c>
      <x:c r="C8" s="102" t="str">
        <x:v>Great Lakes-St. Lawrence cruise corridor</x:v>
      </x:c>
      <x:c r="D8" s="102" t="str">
        <x:v>Toronto / Chicago / Duluth / Montreal / Quebec and regional ports</x:v>
      </x:c>
      <x:c r="E8" s="102" t="str">
        <x:v>Multiple cruise ports</x:v>
      </x:c>
      <x:c r="F8" s="102" t="str">
        <x:v>Multiple Great Lakes / St. Lawrence destinations</x:v>
      </x:c>
      <x:c r="G8" s="102" t="str">
        <x:v>Passengers / tourism</x:v>
      </x:c>
      <x:c r="H8" s="102" t="str">
        <x:v>Small cruise / expedition vessels</x:v>
      </x:c>
      <x:c r="I8" s="102" t="str">
        <x:v>Welland Canal; Soo Locks; port berths</x:v>
      </x:c>
      <x:c r="J8" s="102" t="str">
        <x:v>Tourism / hospitality / local transport</x:v>
      </x:c>
      <x:c r="K8" s="102" t="str">
        <x:v>Air / coach / local transit</x:v>
      </x:c>
      <x:c r="L8" s="102" t="str">
        <x:v>Medium</x:v>
      </x:c>
      <x:c r="M8" s="102" t="str">
        <x:v>Weather / lock delays / berth conflict / mechanical / border processing</x:v>
      </x:c>
      <x:c r="N8" s="102" t="str">
        <x:v>SRC_0163</x:v>
      </x:c>
      <x:c r="O8" s="102"/>
    </x:row>
  </x:sheetData>
  <x:pageMargins left="0.7" right="0.7" top="0.75" bottom="0.75" header="0.3" footer="0.3"/>
</x:worksheet>
</file>

<file path=xl/worksheets/sheet61.xml><?xml version="1.0" encoding="utf-8"?>
<x:worksheet xmlns:x="http://schemas.openxmlformats.org/spreadsheetml/2006/main">
  <x:sheetFormatPr defaultRowHeight="15"/>
  <x:cols>
    <x:col min="1" max="1" width="14" hidden="0" customWidth="1"/>
    <x:col min="2" max="2" width="22" hidden="0" customWidth="1"/>
    <x:col min="3" max="3" width="22" hidden="0" customWidth="1"/>
    <x:col min="4" max="4" width="14" hidden="0" customWidth="1"/>
    <x:col min="5" max="5" width="14" hidden="0" customWidth="1"/>
    <x:col min="6" max="6" width="36" hidden="0" customWidth="1"/>
    <x:col min="7" max="7" width="22" hidden="0" customWidth="1"/>
    <x:col min="8" max="8" width="14" hidden="0" customWidth="1"/>
    <x:col min="9" max="9" width="22" hidden="0" customWidth="1"/>
    <x:col min="10" max="10" width="14" hidden="0" customWidth="1"/>
    <x:col min="11" max="11" width="36" hidden="0" customWidth="1"/>
  </x:cols>
  <x:sheetData>
    <x:row r="1">
      <x:c r="A1" s="165" t="str">
        <x:v>Cruise Record ID</x:v>
      </x:c>
      <x:c r="B1" s="165" t="str">
        <x:v>Company ID</x:v>
      </x:c>
      <x:c r="C1" s="165" t="str">
        <x:v>Vessel Name</x:v>
      </x:c>
      <x:c r="D1" s="165" t="str">
        <x:v>Canonical Vessel ID</x:v>
      </x:c>
      <x:c r="E1" s="165" t="str">
        <x:v>Operating Area</x:v>
      </x:c>
      <x:c r="F1" s="165" t="str">
        <x:v>Representative Ports / Infrastructure</x:v>
      </x:c>
      <x:c r="G1" s="165" t="str">
        <x:v>Vessel / Service Type</x:v>
      </x:c>
      <x:c r="H1" s="165" t="str">
        <x:v>Season</x:v>
      </x:c>
      <x:c r="I1" s="165" t="str">
        <x:v>Status</x:v>
      </x:c>
      <x:c r="J1" s="165" t="str">
        <x:v>Source ID</x:v>
      </x:c>
      <x:c r="K1" s="165" t="str">
        <x:v>Notes</x:v>
      </x:c>
    </x:row>
    <x:row r="2">
      <x:c r="A2" s="102" t="str">
        <x:v>GL_CR_0001</x:v>
      </x:c>
      <x:c r="B2" s="102" t="str">
        <x:v>COMP_PEARL_SEAS</x:v>
      </x:c>
      <x:c r="C2" s="102" t="str">
        <x:v>Pearl Mist</x:v>
      </x:c>
      <x:c r="D2" s="102"/>
      <x:c r="E2" s="102" t="str">
        <x:v>Great Lakes / Georgian Bay / St. Lawrence</x:v>
      </x:c>
      <x:c r="F2" s="102" t="str">
        <x:v>Toronto; Milwaukee; regional ports</x:v>
      </x:c>
      <x:c r="G2" s="102" t="str">
        <x:v>Small ship cruise</x:v>
      </x:c>
      <x:c r="H2" s="102" t="str">
        <x:v>2026</x:v>
      </x:c>
      <x:c r="I2" s="102" t="str">
        <x:v>Operating</x:v>
      </x:c>
      <x:c r="J2" s="102" t="str">
        <x:v>SRC_0165</x:v>
      </x:c>
      <x:c r="K2" s="102" t="str">
        <x:v>Pearl Seas began its 2026 Great Lakes season May 22.</x:v>
      </x:c>
    </x:row>
    <x:row r="3">
      <x:c r="A3" s="102" t="str">
        <x:v>GL_CR_0002</x:v>
      </x:c>
      <x:c r="B3" s="102" t="str">
        <x:v>COMP_ST_LAWRENCE_CRUISE</x:v>
      </x:c>
      <x:c r="C3" s="102" t="str">
        <x:v>Canadian Empress</x:v>
      </x:c>
      <x:c r="D3" s="102"/>
      <x:c r="E3" s="102" t="str">
        <x:v>St. Lawrence / Great Lakes</x:v>
      </x:c>
      <x:c r="F3" s="102" t="str">
        <x:v>St. Lawrence / Great Lakes ports</x:v>
      </x:c>
      <x:c r="G3" s="102" t="str">
        <x:v>Small ship cruise</x:v>
      </x:c>
      <x:c r="H3" s="102" t="str">
        <x:v>2026</x:v>
      </x:c>
      <x:c r="I3" s="102" t="str">
        <x:v>Operating</x:v>
      </x:c>
      <x:c r="J3" s="102" t="str">
        <x:v>SRC_0163</x:v>
      </x:c>
      <x:c r="K3" s="102"/>
    </x:row>
    <x:row r="4">
      <x:c r="A4" s="102" t="str">
        <x:v>GL_CR_0003</x:v>
      </x:c>
      <x:c r="B4" s="102" t="str">
        <x:v>COMP_VIKING</x:v>
      </x:c>
      <x:c r="C4" s="102" t="str">
        <x:v>Octantis</x:v>
      </x:c>
      <x:c r="D4" s="102"/>
      <x:c r="E4" s="102" t="str">
        <x:v>Great Lakes expedition</x:v>
      </x:c>
      <x:c r="F4" s="102" t="str">
        <x:v>Toronto; Duluth; Thunder Bay; Cleveland; Detroit; Soo Locks and others</x:v>
      </x:c>
      <x:c r="G4" s="102" t="str">
        <x:v>Expedition cruise</x:v>
      </x:c>
      <x:c r="H4" s="102" t="str">
        <x:v>2026</x:v>
      </x:c>
      <x:c r="I4" s="102" t="str">
        <x:v>Operating</x:v>
      </x:c>
      <x:c r="J4" s="102" t="str">
        <x:v>SRC_0163</x:v>
      </x:c>
      <x:c r="K4" s="102" t="str">
        <x:v>Viking itinerary traverses Soo Locks and all five Great Lakes.</x:v>
      </x:c>
    </x:row>
    <x:row r="5">
      <x:c r="A5" s="102" t="str">
        <x:v>GL_CR_0004</x:v>
      </x:c>
      <x:c r="B5" s="102" t="str">
        <x:v>COMP_VIKING</x:v>
      </x:c>
      <x:c r="C5" s="102" t="str">
        <x:v>Polaris</x:v>
      </x:c>
      <x:c r="D5" s="102"/>
      <x:c r="E5" s="102" t="str">
        <x:v>Great Lakes expedition</x:v>
      </x:c>
      <x:c r="F5" s="102" t="str">
        <x:v>Great Lakes / St. Lawrence ports</x:v>
      </x:c>
      <x:c r="G5" s="102" t="str">
        <x:v>Expedition cruise</x:v>
      </x:c>
      <x:c r="H5" s="102" t="str">
        <x:v>2026</x:v>
      </x:c>
      <x:c r="I5" s="102" t="str">
        <x:v>Operating</x:v>
      </x:c>
      <x:c r="J5" s="102" t="str">
        <x:v>SRC_0163</x:v>
      </x:c>
      <x:c r="K5" s="102"/>
    </x:row>
    <x:row r="6">
      <x:c r="A6" s="102" t="str">
        <x:v>GL_CR_0005</x:v>
      </x:c>
      <x:c r="B6" s="102" t="str">
        <x:v>COMP_PONANT</x:v>
      </x:c>
      <x:c r="C6" s="102" t="str">
        <x:v>Le Bellot</x:v>
      </x:c>
      <x:c r="D6" s="102"/>
      <x:c r="E6" s="102" t="str">
        <x:v>Great Lakes / St. Lawrence</x:v>
      </x:c>
      <x:c r="F6" s="102" t="str">
        <x:v>Regional ports</x:v>
      </x:c>
      <x:c r="G6" s="102" t="str">
        <x:v>Expedition cruise</x:v>
      </x:c>
      <x:c r="H6" s="102" t="str">
        <x:v>2026</x:v>
      </x:c>
      <x:c r="I6" s="102" t="str">
        <x:v>Operating</x:v>
      </x:c>
      <x:c r="J6" s="102" t="str">
        <x:v>SRC_0163</x:v>
      </x:c>
      <x:c r="K6" s="102"/>
    </x:row>
    <x:row r="7">
      <x:c r="A7" s="102" t="str">
        <x:v>GL_CR_0006</x:v>
      </x:c>
      <x:c r="B7" s="102" t="str">
        <x:v>COMP_PONANT</x:v>
      </x:c>
      <x:c r="C7" s="102" t="str">
        <x:v>Le Champlain</x:v>
      </x:c>
      <x:c r="D7" s="102"/>
      <x:c r="E7" s="102" t="str">
        <x:v>Great Lakes / St. Lawrence</x:v>
      </x:c>
      <x:c r="F7" s="102" t="str">
        <x:v>Regional ports</x:v>
      </x:c>
      <x:c r="G7" s="102" t="str">
        <x:v>Expedition cruise</x:v>
      </x:c>
      <x:c r="H7" s="102" t="str">
        <x:v>2026</x:v>
      </x:c>
      <x:c r="I7" s="102" t="str">
        <x:v>Operating</x:v>
      </x:c>
      <x:c r="J7" s="102" t="str">
        <x:v>SRC_0163</x:v>
      </x:c>
      <x:c r="K7" s="102"/>
    </x:row>
    <x:row r="8">
      <x:c r="A8" s="102" t="str">
        <x:v>GL_CR_0007</x:v>
      </x:c>
      <x:c r="B8" s="102" t="str">
        <x:v>COMP_HAPAG_LLOYD_CRUISES</x:v>
      </x:c>
      <x:c r="C8" s="102" t="str">
        <x:v>Hanseatic Inspiration</x:v>
      </x:c>
      <x:c r="D8" s="102"/>
      <x:c r="E8" s="102" t="str">
        <x:v>Great Lakes / St. Lawrence</x:v>
      </x:c>
      <x:c r="F8" s="102" t="str">
        <x:v>Regional ports</x:v>
      </x:c>
      <x:c r="G8" s="102" t="str">
        <x:v>Expedition cruise</x:v>
      </x:c>
      <x:c r="H8" s="102" t="str">
        <x:v>2026</x:v>
      </x:c>
      <x:c r="I8" s="102" t="str">
        <x:v>Operating</x:v>
      </x:c>
      <x:c r="J8" s="102" t="str">
        <x:v>SRC_0163</x:v>
      </x:c>
      <x:c r="K8" s="102"/>
    </x:row>
    <x:row r="9">
      <x:c r="A9" s="102" t="str">
        <x:v>GL_CR_0008</x:v>
      </x:c>
      <x:c r="B9" s="102" t="str">
        <x:v>COMP_VICTORY_CRUISE</x:v>
      </x:c>
      <x:c r="C9" s="102" t="str">
        <x:v>Victory I</x:v>
      </x:c>
      <x:c r="D9" s="102"/>
      <x:c r="E9" s="102" t="str">
        <x:v>All Five Great Lakes / St. Lawrence</x:v>
      </x:c>
      <x:c r="F9" s="102" t="str">
        <x:v>Toronto; Chicago; Montreal; regional ports</x:v>
      </x:c>
      <x:c r="G9" s="102" t="str">
        <x:v>Small ship cruise</x:v>
      </x:c>
      <x:c r="H9" s="102" t="str">
        <x:v>2026</x:v>
      </x:c>
      <x:c r="I9" s="102" t="str">
        <x:v>Operating</x:v>
      </x:c>
      <x:c r="J9" s="102" t="str">
        <x:v>SRC_0164</x:v>
      </x:c>
      <x:c r="K9" s="102"/>
    </x:row>
    <x:row r="10">
      <x:c r="A10" s="102" t="str">
        <x:v>GL_CR_0009</x:v>
      </x:c>
      <x:c r="B10" s="102" t="str">
        <x:v>COMP_VICTORY_CRUISE</x:v>
      </x:c>
      <x:c r="C10" s="102" t="str">
        <x:v>Victory II</x:v>
      </x:c>
      <x:c r="D10" s="102"/>
      <x:c r="E10" s="102" t="str">
        <x:v>All Five Great Lakes / St. Lawrence</x:v>
      </x:c>
      <x:c r="F10" s="102" t="str">
        <x:v>Toronto; Chicago; Thunder Bay; Quebec City; regional ports</x:v>
      </x:c>
      <x:c r="G10" s="102" t="str">
        <x:v>Small ship cruise</x:v>
      </x:c>
      <x:c r="H10" s="102" t="str">
        <x:v>2026</x:v>
      </x:c>
      <x:c r="I10" s="102" t="str">
        <x:v>Operating</x:v>
      </x:c>
      <x:c r="J10" s="102" t="str">
        <x:v>SRC_0164</x:v>
      </x:c>
      <x:c r="K10" s="102"/>
    </x:row>
    <x:row r="11">
      <x:c r="A11" s="102" t="str">
        <x:v>GL_CR_0010</x:v>
      </x:c>
      <x:c r="B11" s="102" t="str">
        <x:v>COMP_AMERICAN_CRUISE</x:v>
      </x:c>
      <x:c r="C11" s="102" t="str">
        <x:v>American Patriot</x:v>
      </x:c>
      <x:c r="D11" s="102"/>
      <x:c r="E11" s="102" t="str">
        <x:v>Great Lakes</x:v>
      </x:c>
      <x:c r="F11" s="102" t="str">
        <x:v>U.S. Great Lakes ports</x:v>
      </x:c>
      <x:c r="G11" s="102" t="str">
        <x:v>Small ship cruise</x:v>
      </x:c>
      <x:c r="H11" s="102" t="str">
        <x:v>2026</x:v>
      </x:c>
      <x:c r="I11" s="102" t="str">
        <x:v>Operating / market entry</x:v>
      </x:c>
      <x:c r="J11" s="102" t="str">
        <x:v>SRC_0163</x:v>
      </x:c>
      <x:c r="K11" s="102" t="str">
        <x:v>American Cruise Lines entered Great Lakes market in 2026.</x:v>
      </x:c>
    </x:row>
  </x:sheetData>
  <x:pageMargins left="0.7" right="0.7" top="0.75" bottom="0.75" header="0.3" footer="0.3"/>
</x:worksheet>
</file>

<file path=xl/worksheets/sheet62.xml><?xml version="1.0" encoding="utf-8"?>
<x:worksheet xmlns:x="http://schemas.openxmlformats.org/spreadsheetml/2006/main">
  <x:sheetFormatPr defaultRowHeight="15"/>
  <x:cols>
    <x:col min="1" max="1" width="14" hidden="0" customWidth="1"/>
    <x:col min="2" max="2" width="14" hidden="0" customWidth="1"/>
    <x:col min="3" max="3" width="22" hidden="0" customWidth="1"/>
    <x:col min="4" max="4" width="22" hidden="0" customWidth="1"/>
    <x:col min="5" max="5" width="36" hidden="0" customWidth="1"/>
    <x:col min="6" max="6" width="14" hidden="0" customWidth="1"/>
  </x:cols>
  <x:sheetData>
    <x:row r="1">
      <x:c r="A1" s="165" t="str">
        <x:v>GL Cause ID</x:v>
      </x:c>
      <x:c r="B1" s="165" t="str">
        <x:v>Event Family</x:v>
      </x:c>
      <x:c r="C1" s="165" t="str">
        <x:v>Event Type</x:v>
      </x:c>
      <x:c r="D1" s="165" t="str">
        <x:v>Primary Location Type</x:v>
      </x:c>
      <x:c r="E1" s="165" t="str">
        <x:v>Potential Trade / Operational Impact</x:v>
      </x:c>
      <x:c r="F1" s="165" t="str">
        <x:v>Priority</x:v>
      </x:c>
    </x:row>
    <x:row r="2">
      <x:c r="A2" s="102" t="str">
        <x:v>GL_DISR_01</x:v>
      </x:c>
      <x:c r="B2" s="102" t="str">
        <x:v>Navigation Infrastructure</x:v>
      </x:c>
      <x:c r="C2" s="102" t="str">
        <x:v>Lock outage / reduced lock availability</x:v>
      </x:c>
      <x:c r="D2" s="102" t="str">
        <x:v>Soo / Welland / Seaway locks</x:v>
      </x:c>
      <x:c r="E2" s="102" t="str">
        <x:v>Vessel queues; cargo delay; voyage cancellation / reroute</x:v>
      </x:c>
      <x:c r="F2" s="102" t="str">
        <x:v>High</x:v>
      </x:c>
    </x:row>
    <x:row r="3">
      <x:c r="A3" s="102" t="str">
        <x:v>GL_DISR_02</x:v>
      </x:c>
      <x:c r="B3" s="102" t="str">
        <x:v>Navigation Infrastructure</x:v>
      </x:c>
      <x:c r="C3" s="102" t="str">
        <x:v>Bridge restriction / malfunction</x:v>
      </x:c>
      <x:c r="D3" s="102" t="str">
        <x:v>Welland / urban channels</x:v>
      </x:c>
      <x:c r="E3" s="102" t="str">
        <x:v>Transit delay; height restriction; queue</x:v>
      </x:c>
      <x:c r="F3" s="102" t="str">
        <x:v>Medium-High</x:v>
      </x:c>
    </x:row>
    <x:row r="4">
      <x:c r="A4" s="102" t="str">
        <x:v>GL_DISR_03</x:v>
      </x:c>
      <x:c r="B4" s="102" t="str">
        <x:v>Hydrographic</x:v>
      </x:c>
      <x:c r="C4" s="102" t="str">
        <x:v>Shallow water / low water / draft restriction</x:v>
      </x:c>
      <x:c r="D4" s="102" t="str">
        <x:v>Canals / ports / channels</x:v>
      </x:c>
      <x:c r="E4" s="102" t="str">
        <x:v>Reduced cargo lift; delay; vessel restriction</x:v>
      </x:c>
      <x:c r="F4" s="102" t="str">
        <x:v>High</x:v>
      </x:c>
    </x:row>
    <x:row r="5">
      <x:c r="A5" s="102" t="str">
        <x:v>GL_DISR_04</x:v>
      </x:c>
      <x:c r="B5" s="102" t="str">
        <x:v>Weather</x:v>
      </x:c>
      <x:c r="C5" s="102" t="str">
        <x:v>Severe storm / high wind / waves / fog</x:v>
      </x:c>
      <x:c r="D5" s="102" t="str">
        <x:v>Open Lakes / approaches</x:v>
      </x:c>
      <x:c r="E5" s="102" t="str">
        <x:v>Delay; anchorage; casualty risk</x:v>
      </x:c>
      <x:c r="F5" s="102" t="str">
        <x:v>High</x:v>
      </x:c>
    </x:row>
    <x:row r="6">
      <x:c r="A6" s="102" t="str">
        <x:v>GL_DISR_05</x:v>
      </x:c>
      <x:c r="B6" s="102" t="str">
        <x:v>Ice</x:v>
      </x:c>
      <x:c r="C6" s="102" t="str">
        <x:v>Freeze-up / ice congestion / icebreaking constraint</x:v>
      </x:c>
      <x:c r="D6" s="102" t="str">
        <x:v>Lakes / rivers / locks</x:v>
      </x:c>
      <x:c r="E6" s="102" t="str">
        <x:v>Season delay; convoy / assistance; reduced speed</x:v>
      </x:c>
      <x:c r="F6" s="102" t="str">
        <x:v>High</x:v>
      </x:c>
    </x:row>
    <x:row r="7">
      <x:c r="A7" s="102" t="str">
        <x:v>GL_DISR_06</x:v>
      </x:c>
      <x:c r="B7" s="102" t="str">
        <x:v>Vessel Casualty</x:v>
      </x:c>
      <x:c r="C7" s="102" t="str">
        <x:v>Grounding / allision / collision</x:v>
      </x:c>
      <x:c r="D7" s="102" t="str">
        <x:v>Ports / rivers / locks</x:v>
      </x:c>
      <x:c r="E7" s="102" t="str">
        <x:v>Channel closure; pollution; cargo / passenger delay</x:v>
      </x:c>
      <x:c r="F7" s="102" t="str">
        <x:v>High</x:v>
      </x:c>
    </x:row>
    <x:row r="8">
      <x:c r="A8" s="102" t="str">
        <x:v>GL_DISR_07</x:v>
      </x:c>
      <x:c r="B8" s="102" t="str">
        <x:v>Vessel Mechanical</x:v>
      </x:c>
      <x:c r="C8" s="102" t="str">
        <x:v>Propulsion / steering / power failure</x:v>
      </x:c>
      <x:c r="D8" s="102" t="str">
        <x:v>System-wide</x:v>
      </x:c>
      <x:c r="E8" s="102" t="str">
        <x:v>Delay; tow / repair; cargo schedule impact</x:v>
      </x:c>
      <x:c r="F8" s="102" t="str">
        <x:v>Medium-High</x:v>
      </x:c>
    </x:row>
    <x:row r="9">
      <x:c r="A9" s="102" t="str">
        <x:v>GL_DISR_08</x:v>
      </x:c>
      <x:c r="B9" s="102" t="str">
        <x:v>Cargo / Pollution</x:v>
      </x:c>
      <x:c r="C9" s="102" t="str">
        <x:v>Cargo spill / fuel spill / loss overboard</x:v>
      </x:c>
      <x:c r="D9" s="102" t="str">
        <x:v>Ports / channels / lakes</x:v>
      </x:c>
      <x:c r="E9" s="102" t="str">
        <x:v>Closure; cleanup; environmental / regulatory impact</x:v>
      </x:c>
      <x:c r="F9" s="102" t="str">
        <x:v>High</x:v>
      </x:c>
    </x:row>
    <x:row r="10">
      <x:c r="A10" s="102" t="str">
        <x:v>GL_DISR_09</x:v>
      </x:c>
      <x:c r="B10" s="102" t="str">
        <x:v>Labour</x:v>
      </x:c>
      <x:c r="C10" s="102" t="str">
        <x:v>Port / Seaway / pilotage / rail / terminal labour action</x:v>
      </x:c>
      <x:c r="D10" s="102" t="str">
        <x:v>Ports / locks / hinterland</x:v>
      </x:c>
      <x:c r="E10" s="102" t="str">
        <x:v>Cargo backlog; reduced capacity; diversions</x:v>
      </x:c>
      <x:c r="F10" s="102" t="str">
        <x:v>High</x:v>
      </x:c>
    </x:row>
    <x:row r="11">
      <x:c r="A11" s="102" t="str">
        <x:v>GL_DISR_10</x:v>
      </x:c>
      <x:c r="B11" s="102" t="str">
        <x:v>Pilotage / Regulatory</x:v>
      </x:c>
      <x:c r="C11" s="102" t="str">
        <x:v>Pilot shortage / rule / inspection / customs delay</x:v>
      </x:c>
      <x:c r="D11" s="102" t="str">
        <x:v>Seaway / cross-border segments</x:v>
      </x:c>
      <x:c r="E11" s="102" t="str">
        <x:v>Transit delay; berth / schedule disruption</x:v>
      </x:c>
      <x:c r="F11" s="102" t="str">
        <x:v>Medium</x:v>
      </x:c>
    </x:row>
    <x:row r="12">
      <x:c r="A12" s="102" t="str">
        <x:v>GL_DISR_11</x:v>
      </x:c>
      <x:c r="B12" s="102" t="str">
        <x:v>Port / Terminal</x:v>
      </x:c>
      <x:c r="C12" s="102" t="str">
        <x:v>Berth, loader, conveyor, crane or rail failure</x:v>
      </x:c>
      <x:c r="D12" s="102" t="str">
        <x:v>Cargo terminals</x:v>
      </x:c>
      <x:c r="E12" s="102" t="str">
        <x:v>Loading/unloading delay; vessel queue</x:v>
      </x:c>
      <x:c r="F12" s="102" t="str">
        <x:v>Medium-High</x:v>
      </x:c>
    </x:row>
    <x:row r="13">
      <x:c r="A13" s="102" t="str">
        <x:v>GL_DISR_12</x:v>
      </x:c>
      <x:c r="B13" s="102" t="str">
        <x:v>Industrial Demand</x:v>
      </x:c>
      <x:c r="C13" s="102" t="str">
        <x:v>Steel mill / mine / grain elevator outage</x:v>
      </x:c>
      <x:c r="D13" s="102" t="str">
        <x:v>Origin or destination industry</x:v>
      </x:c>
      <x:c r="E13" s="102" t="str">
        <x:v>Voyage cancellations; cargo-flow shift</x:v>
      </x:c>
      <x:c r="F13" s="102" t="str">
        <x:v>Medium-High</x:v>
      </x:c>
    </x:row>
    <x:row r="14">
      <x:c r="A14" s="102" t="str">
        <x:v>GL_DISR_13</x:v>
      </x:c>
      <x:c r="B14" s="102" t="str">
        <x:v>Cruise / Passenger</x:v>
      </x:c>
      <x:c r="C14" s="102" t="str">
        <x:v>Cruise vessel casualty / berth conflict / passenger disruption</x:v>
      </x:c>
      <x:c r="D14" s="102" t="str">
        <x:v>Cruise ports / locks</x:v>
      </x:c>
      <x:c r="E14" s="102" t="str">
        <x:v>Passenger disruption; commercial-vessel delay if navigation affected</x:v>
      </x:c>
      <x:c r="F14" s="102" t="str">
        <x:v>Medium</x:v>
      </x:c>
    </x:row>
    <x:row r="15">
      <x:c r="A15" s="102" t="str">
        <x:v>GL_DISR_14</x:v>
      </x:c>
      <x:c r="B15" s="102" t="str">
        <x:v>Cyber / IT</x:v>
      </x:c>
      <x:c r="C15" s="102" t="str">
        <x:v>Port, lock, terminal, rail or carrier system outage</x:v>
      </x:c>
      <x:c r="D15" s="102" t="str">
        <x:v>Digital / operational systems</x:v>
      </x:c>
      <x:c r="E15" s="102" t="str">
        <x:v>Scheduling, access or cargo-handling disruption</x:v>
      </x:c>
      <x:c r="F15" s="102" t="str">
        <x:v>Medium-High</x:v>
      </x:c>
    </x:row>
    <x:row r="16">
      <x:c r="A16" s="102" t="str">
        <x:v>GL_DISR_15</x:v>
      </x:c>
      <x:c r="B16" s="102" t="str">
        <x:v>Seasonal Closure</x:v>
      </x:c>
      <x:c r="C16" s="102" t="str">
        <x:v>Planned winter shutdown / opening delay</x:v>
      </x:c>
      <x:c r="D16" s="102" t="str">
        <x:v>Seaway / Soo Locks</x:v>
      </x:c>
      <x:c r="E16" s="102" t="str">
        <x:v>Structural seasonal capacity constraint</x:v>
      </x:c>
      <x:c r="F16" s="102" t="str">
        <x:v>High</x:v>
      </x:c>
    </x:row>
  </x:sheetData>
  <x:pageMargins left="0.7" right="0.7" top="0.75" bottom="0.75" header="0.3" footer="0.3"/>
</x:worksheet>
</file>

<file path=xl/worksheets/sheet63.xml><?xml version="1.0" encoding="utf-8"?>
<x:worksheet xmlns:x="http://schemas.openxmlformats.org/spreadsheetml/2006/main">
  <x:sheetFormatPr defaultRowHeight="15"/>
  <x:cols>
    <x:col min="1" max="1" width="36" hidden="0" customWidth="1"/>
    <x:col min="2" max="2" width="14" hidden="0" customWidth="1"/>
    <x:col min="3" max="3" width="22" hidden="0" customWidth="1"/>
    <x:col min="4" max="4" width="14" hidden="0" customWidth="1"/>
    <x:col min="5" max="5" width="22" hidden="0" customWidth="1"/>
    <x:col min="6" max="6" width="36" hidden="0" customWidth="1"/>
    <x:col min="7" max="7" width="14" hidden="0" customWidth="1"/>
    <x:col min="8" max="8" width="36" hidden="0" customWidth="1"/>
    <x:col min="9" max="9" width="14" hidden="0" customWidth="1"/>
    <x:col min="10" max="10" width="14" hidden="0" customWidth="1"/>
    <x:col min="11" max="11" width="14" hidden="0" customWidth="1"/>
    <x:col min="12" max="12" width="14" hidden="0" customWidth="1"/>
    <x:col min="13" max="13" width="22" hidden="0" customWidth="1"/>
    <x:col min="14" max="14" width="14" hidden="0" customWidth="1"/>
    <x:col min="15" max="15" width="36" hidden="0" customWidth="1"/>
  </x:cols>
  <x:sheetData>
    <x:row r="1">
      <x:c r="A1" s="165" t="str">
        <x:v>Dependency ID</x:v>
      </x:c>
      <x:c r="B1" s="165" t="str">
        <x:v>System ID</x:v>
      </x:c>
      <x:c r="C1" s="165" t="str">
        <x:v>Subject Type</x:v>
      </x:c>
      <x:c r="D1" s="165" t="str">
        <x:v>Subject ID</x:v>
      </x:c>
      <x:c r="E1" s="165" t="str">
        <x:v>Subject Name</x:v>
      </x:c>
      <x:c r="F1" s="165" t="str">
        <x:v>Dependency Type</x:v>
      </x:c>
      <x:c r="G1" s="165" t="str">
        <x:v>Node / Link ID</x:v>
      </x:c>
      <x:c r="H1" s="165" t="str">
        <x:v>Dependency Node / Link</x:v>
      </x:c>
      <x:c r="I1" s="165" t="str">
        <x:v>Criticality</x:v>
      </x:c>
      <x:c r="J1" s="165" t="str">
        <x:v>Alternative / Redundancy</x:v>
      </x:c>
      <x:c r="K1" s="165" t="str">
        <x:v>Time Horizon</x:v>
      </x:c>
      <x:c r="L1" s="165" t="str">
        <x:v>Operational / Trade Consequence</x:v>
      </x:c>
      <x:c r="M1" s="165" t="str">
        <x:v>Status</x:v>
      </x:c>
      <x:c r="N1" s="165" t="str">
        <x:v>Source ID</x:v>
      </x:c>
      <x:c r="O1" s="165" t="str">
        <x:v>Notes</x:v>
      </x:c>
    </x:row>
    <x:row r="2">
      <x:c r="A2" s="102" t="str">
        <x:v>GL_DEP_0001</x:v>
      </x:c>
      <x:c r="B2" s="102" t="str">
        <x:v>SYS_GLSS</x:v>
      </x:c>
      <x:c r="C2" s="102" t="str">
        <x:v>Cargo Corridor</x:v>
      </x:c>
      <x:c r="D2" s="102" t="str">
        <x:v>GL_COR_0001</x:v>
      </x:c>
      <x:c r="E2" s="102" t="str">
        <x:v>Lake Superior iron ore / taconite</x:v>
      </x:c>
      <x:c r="F2" s="102" t="str">
        <x:v>DEPENDS_ON</x:v>
      </x:c>
      <x:c r="G2" s="102" t="str">
        <x:v>GL_NODE_0001</x:v>
      </x:c>
      <x:c r="H2" s="102" t="str">
        <x:v>Soo Locks</x:v>
      </x:c>
      <x:c r="I2" s="102" t="str">
        <x:v>Critical</x:v>
      </x:c>
      <x:c r="J2" s="102" t="str">
        <x:v>No equivalent high-capacity water bypass within system</x:v>
      </x:c>
      <x:c r="K2" s="102" t="str">
        <x:v>Hours-days for disruption; longer for outage</x:v>
      </x:c>
      <x:c r="L2" s="102" t="str">
        <x:v>Steel production exposure</x:v>
      </x:c>
      <x:c r="M2" s="102" t="str">
        <x:v>Seeded</x:v>
      </x:c>
      <x:c r="N2" s="102" t="str">
        <x:v>SRC_0148</x:v>
      </x:c>
      <x:c r="O2" s="102"/>
    </x:row>
    <x:row r="3">
      <x:c r="A3" s="102" t="str">
        <x:v>GL_DEP_0002</x:v>
      </x:c>
      <x:c r="B3" s="102" t="str">
        <x:v>SYS_GLSS</x:v>
      </x:c>
      <x:c r="C3" s="102" t="str">
        <x:v>Cargo Corridor</x:v>
      </x:c>
      <x:c r="D3" s="102" t="str">
        <x:v>GL_COR_0002</x:v>
      </x:c>
      <x:c r="E3" s="102" t="str">
        <x:v>Prairie / Midwest grain export</x:v>
      </x:c>
      <x:c r="F3" s="102" t="str">
        <x:v>DEPENDS_ON</x:v>
      </x:c>
      <x:c r="G3" s="102" t="str">
        <x:v>GL_NODE_0002</x:v>
      </x:c>
      <x:c r="H3" s="102" t="str">
        <x:v>Welland Canal</x:v>
      </x:c>
      <x:c r="I3" s="102" t="str">
        <x:v>High</x:v>
      </x:c>
      <x:c r="J3" s="102" t="str">
        <x:v>Rail / Atlantic alternatives exist but change cost/capacity</x:v>
      </x:c>
      <x:c r="K3" s="102" t="str">
        <x:v>Days-weeks</x:v>
      </x:c>
      <x:c r="L3" s="102" t="str">
        <x:v>Export timing / elevator congestion</x:v>
      </x:c>
      <x:c r="M3" s="102" t="str">
        <x:v>Seeded</x:v>
      </x:c>
      <x:c r="N3" s="102" t="str">
        <x:v>SRC_0145</x:v>
      </x:c>
      <x:c r="O3" s="102"/>
    </x:row>
    <x:row r="4">
      <x:c r="A4" s="102" t="str">
        <x:v>GL_DEP_0003</x:v>
      </x:c>
      <x:c r="B4" s="102" t="str">
        <x:v>SYS_GLSS</x:v>
      </x:c>
      <x:c r="C4" s="102" t="str">
        <x:v>Cruise Flow</x:v>
      </x:c>
      <x:c r="D4" s="102" t="str">
        <x:v>GL_CR_0003</x:v>
      </x:c>
      <x:c r="E4" s="102" t="str">
        <x:v>Viking Great Lakes itinerary</x:v>
      </x:c>
      <x:c r="F4" s="102" t="str">
        <x:v>DEPENDS_ON</x:v>
      </x:c>
      <x:c r="G4" s="102" t="str">
        <x:v>GL_NODE_0001</x:v>
      </x:c>
      <x:c r="H4" s="102" t="str">
        <x:v>Soo Locks</x:v>
      </x:c>
      <x:c r="I4" s="102" t="str">
        <x:v>High</x:v>
      </x:c>
      <x:c r="J4" s="102" t="str">
        <x:v>Itinerary adjustment possible</x:v>
      </x:c>
      <x:c r="K4" s="102" t="str">
        <x:v>Hours-days</x:v>
      </x:c>
      <x:c r="L4" s="102" t="str">
        <x:v>Passenger schedule / port calls</x:v>
      </x:c>
      <x:c r="M4" s="102" t="str">
        <x:v>Seeded</x:v>
      </x:c>
      <x:c r="N4" s="102" t="str">
        <x:v>SRC_0166</x:v>
      </x:c>
      <x:c r="O4" s="102"/>
    </x:row>
    <x:row r="5">
      <x:c r="A5" s="102" t="str">
        <x:v>GL_DEP_0004</x:v>
      </x:c>
      <x:c r="B5" s="102" t="str">
        <x:v>SYS_GLSS</x:v>
      </x:c>
      <x:c r="C5" s="102" t="str">
        <x:v>Company</x:v>
      </x:c>
      <x:c r="D5" s="102" t="str">
        <x:v>COMP_CSL_CANADA</x:v>
      </x:c>
      <x:c r="E5" s="102" t="str">
        <x:v>Canada Steamship Lines</x:v>
      </x:c>
      <x:c r="F5" s="102" t="str">
        <x:v>OPERATES_WITHIN</x:v>
      </x:c>
      <x:c r="G5" s="102" t="str">
        <x:v>GL_NODE_0002</x:v>
      </x:c>
      <x:c r="H5" s="102" t="str">
        <x:v>Welland Canal / Seaway</x:v>
      </x:c>
      <x:c r="I5" s="102" t="str">
        <x:v>High</x:v>
      </x:c>
      <x:c r="J5" s="102" t="str">
        <x:v>Some domestic lake trades avoid full Seaway transit</x:v>
      </x:c>
      <x:c r="K5" s="102" t="str">
        <x:v>Ongoing</x:v>
      </x:c>
      <x:c r="L5" s="102" t="str">
        <x:v>Fleet utilization / customer delivery</x:v>
      </x:c>
      <x:c r="M5" s="102" t="str">
        <x:v>Seeded</x:v>
      </x:c>
      <x:c r="N5" s="102" t="str">
        <x:v>SRC_0152</x:v>
      </x:c>
      <x:c r="O5" s="102"/>
    </x:row>
    <x:row r="6">
      <x:c r="A6" s="102" t="str">
        <x:v>GL_DEP_0005</x:v>
      </x:c>
      <x:c r="B6" s="102" t="str">
        <x:v>SYS_GLSS</x:v>
      </x:c>
      <x:c r="C6" s="102" t="str">
        <x:v>Company</x:v>
      </x:c>
      <x:c r="D6" s="102" t="str">
        <x:v>COMP_INTERLAKE</x:v>
      </x:c>
      <x:c r="E6" s="102" t="str">
        <x:v>Interlake Steamship</x:v>
      </x:c>
      <x:c r="F6" s="102" t="str">
        <x:v>OPERATES_WITHIN</x:v>
      </x:c>
      <x:c r="G6" s="102" t="str">
        <x:v>GL_NODE_0001</x:v>
      </x:c>
      <x:c r="H6" s="102" t="str">
        <x:v>Soo Locks</x:v>
      </x:c>
      <x:c r="I6" s="102" t="str">
        <x:v>High</x:v>
      </x:c>
      <x:c r="J6" s="102" t="str">
        <x:v>Route-specific alternatives limited</x:v>
      </x:c>
      <x:c r="K6" s="102" t="str">
        <x:v>Ongoing</x:v>
      </x:c>
      <x:c r="L6" s="102" t="str">
        <x:v>Bulk delivery schedule</x:v>
      </x:c>
      <x:c r="M6" s="102" t="str">
        <x:v>Seeded</x:v>
      </x:c>
      <x:c r="N6" s="102" t="str">
        <x:v>SRC_0157</x:v>
      </x:c>
      <x:c r="O6" s="102"/>
    </x:row>
    <x:row r="7">
      <x:c r="A7" s="102" t="str">
        <x:v>GL_DEP_0006</x:v>
      </x:c>
      <x:c r="B7" s="102" t="str">
        <x:v>SYS_GLSS</x:v>
      </x:c>
      <x:c r="C7" s="102" t="str">
        <x:v>Port</x:v>
      </x:c>
      <x:c r="D7" s="102" t="str">
        <x:v>GL_PORT_0008</x:v>
      </x:c>
      <x:c r="E7" s="102" t="str">
        <x:v>Duluth</x:v>
      </x:c>
      <x:c r="F7" s="102" t="str">
        <x:v>CONNECTS_TO</x:v>
      </x:c>
      <x:c r="G7" s="102" t="str">
        <x:v>GL_NODE_0001</x:v>
      </x:c>
      <x:c r="H7" s="102" t="str">
        <x:v>Soo Locks</x:v>
      </x:c>
      <x:c r="I7" s="102" t="str">
        <x:v>High</x:v>
      </x:c>
      <x:c r="J7" s="102" t="str">
        <x:v>Rail alternatives exist for some cargoes</x:v>
      </x:c>
      <x:c r="K7" s="102" t="str">
        <x:v>Days-weeks</x:v>
      </x:c>
      <x:c r="L7" s="102" t="str">
        <x:v>Iron ore / grain / project cargo flows</x:v>
      </x:c>
      <x:c r="M7" s="102" t="str">
        <x:v>Seeded</x:v>
      </x:c>
      <x:c r="N7" s="102" t="str">
        <x:v>SRC_0151</x:v>
      </x:c>
      <x:c r="O7" s="102"/>
    </x:row>
  </x:sheetData>
  <x:pageMargins left="0.7" right="0.7" top="0.75" bottom="0.75" header="0.3" footer="0.3"/>
</x:worksheet>
</file>

<file path=xl/worksheets/sheet64.xml><?xml version="1.0" encoding="utf-8"?>
<x:worksheet xmlns:x="http://schemas.openxmlformats.org/spreadsheetml/2006/main">
  <x:sheetFormatPr defaultRowHeight="15"/>
  <x:cols>
    <x:col min="1" max="1" width="14" hidden="0" customWidth="1"/>
    <x:col min="2" max="2" width="22" hidden="0" customWidth="1"/>
    <x:col min="3" max="3" width="22" hidden="0" customWidth="1"/>
    <x:col min="4" max="4" width="14" hidden="0" customWidth="1"/>
    <x:col min="5" max="5" width="14" hidden="0" customWidth="1"/>
    <x:col min="6" max="6" width="14" hidden="0" customWidth="1"/>
    <x:col min="7" max="7" width="14" hidden="0" customWidth="1"/>
    <x:col min="8" max="8" width="14" hidden="0" customWidth="1"/>
    <x:col min="9" max="9" width="22" hidden="0" customWidth="1"/>
    <x:col min="10" max="10" width="14" hidden="0" customWidth="1"/>
    <x:col min="11" max="11" width="14" hidden="0" customWidth="1"/>
    <x:col min="12" max="12" width="22" hidden="0" customWidth="1"/>
    <x:col min="13" max="13" width="22" hidden="0" customWidth="1"/>
    <x:col min="14" max="14" width="14" hidden="0" customWidth="1"/>
    <x:col min="15" max="15" width="36" hidden="0" customWidth="1"/>
    <x:col min="16" max="16" width="36" hidden="0" customWidth="1"/>
  </x:cols>
  <x:sheetData>
    <x:row r="1">
      <x:c r="A1" s="165" t="str">
        <x:v>Staging ID</x:v>
      </x:c>
      <x:c r="B1" s="165" t="str">
        <x:v>Company ID</x:v>
      </x:c>
      <x:c r="C1" s="165" t="str">
        <x:v>Vessel Name</x:v>
      </x:c>
      <x:c r="D1" s="165" t="str">
        <x:v>Canonical Vessel ID</x:v>
      </x:c>
      <x:c r="E1" s="165" t="str">
        <x:v>IMO</x:v>
      </x:c>
      <x:c r="F1" s="165" t="str">
        <x:v>MMSI</x:v>
      </x:c>
      <x:c r="G1" s="165" t="str">
        <x:v>National / Official Number</x:v>
      </x:c>
      <x:c r="H1" s="165" t="str">
        <x:v>Operating Region</x:v>
      </x:c>
      <x:c r="I1" s="165" t="str">
        <x:v>Vessel Type</x:v>
      </x:c>
      <x:c r="J1" s="165" t="str">
        <x:v>DWT / Capacity</x:v>
      </x:c>
      <x:c r="K1" s="165" t="str">
        <x:v>Year Built</x:v>
      </x:c>
      <x:c r="L1" s="165" t="str">
        <x:v>Status</x:v>
      </x:c>
      <x:c r="M1" s="165" t="str">
        <x:v>Data Status</x:v>
      </x:c>
      <x:c r="N1" s="165" t="str">
        <x:v>Priority</x:v>
      </x:c>
      <x:c r="O1" s="165" t="str">
        <x:v>Source URL</x:v>
      </x:c>
      <x:c r="P1" s="165" t="str">
        <x:v>Notes</x:v>
      </x:c>
    </x:row>
    <x:row r="2">
      <x:c r="A2" s="102" t="str">
        <x:v>GSTAGE_00001</x:v>
      </x:c>
      <x:c r="B2" s="102" t="str">
        <x:v>COMP_CSL_AUSTRALIA</x:v>
      </x:c>
      <x:c r="C2" s="102" t="str">
        <x:v>Adelie</x:v>
      </x:c>
      <x:c r="D2" s="102"/>
      <x:c r="E2" s="102"/>
      <x:c r="F2" s="102"/>
      <x:c r="G2" s="102"/>
      <x:c r="H2" s="102" t="str">
        <x:v>Australia and Asia</x:v>
      </x:c>
      <x:c r="I2" s="102" t="str">
        <x:v>Self-unloader</x:v>
      </x:c>
      <x:c r="J2" s="102" t="str">
        <x:v>45155.2</x:v>
      </x:c>
      <x:c r="K2" s="102" t="str">
        <x:v>1999</x:v>
      </x:c>
      <x:c r="L2" s="102" t="str">
        <x:v>Current official fleet</x:v>
      </x:c>
      <x:c r="M2" s="102" t="str">
        <x:v>Research / identity enrichment</x:v>
      </x:c>
      <x:c r="N2" s="102" t="str">
        <x:v>High</x:v>
      </x:c>
      <x:c r="O2" s="102" t="str">
        <x:v>https://cslships.com/global-fleet/</x:v>
      </x:c>
      <x:c r="P2" s="102" t="str">
        <x:v>Current CSL Australia/Asia regional fleet seed; IMO/MMSI/registry enrichment pending.</x:v>
      </x:c>
    </x:row>
    <x:row r="3">
      <x:c r="A3" s="102" t="str">
        <x:v>GSTAGE_00002</x:v>
      </x:c>
      <x:c r="B3" s="102" t="str">
        <x:v>COMP_CSL_AUSTRALIA</x:v>
      </x:c>
      <x:c r="C3" s="102" t="str">
        <x:v>CSL Reliance</x:v>
      </x:c>
      <x:c r="D3" s="102"/>
      <x:c r="E3" s="102"/>
      <x:c r="F3" s="102"/>
      <x:c r="G3" s="102"/>
      <x:c r="H3" s="102" t="str">
        <x:v>Australia and Asia</x:v>
      </x:c>
      <x:c r="I3" s="102" t="str">
        <x:v>Self-unloader</x:v>
      </x:c>
      <x:c r="J3" s="102" t="str">
        <x:v>47665</x:v>
      </x:c>
      <x:c r="K3" s="102"/>
      <x:c r="L3" s="102" t="str">
        <x:v>Current official fleet</x:v>
      </x:c>
      <x:c r="M3" s="102" t="str">
        <x:v>Research / identity enrichment</x:v>
      </x:c>
      <x:c r="N3" s="102" t="str">
        <x:v>High</x:v>
      </x:c>
      <x:c r="O3" s="102" t="str">
        <x:v>https://cslships.com/global-fleet/</x:v>
      </x:c>
      <x:c r="P3" s="102" t="str">
        <x:v>Current CSL Australia/Asia regional fleet seed; IMO/MMSI/registry enrichment pending.</x:v>
      </x:c>
    </x:row>
    <x:row r="4">
      <x:c r="A4" s="102" t="str">
        <x:v>GSTAGE_00003</x:v>
      </x:c>
      <x:c r="B4" s="102" t="str">
        <x:v>COMP_CSL_AUSTRALIA</x:v>
      </x:c>
      <x:c r="C4" s="102" t="str">
        <x:v>Elanora</x:v>
      </x:c>
      <x:c r="D4" s="102"/>
      <x:c r="E4" s="102"/>
      <x:c r="F4" s="102"/>
      <x:c r="G4" s="102"/>
      <x:c r="H4" s="102" t="str">
        <x:v>Australia and Asia</x:v>
      </x:c>
      <x:c r="I4" s="102" t="str">
        <x:v>Self-unloader</x:v>
      </x:c>
      <x:c r="J4" s="102" t="str">
        <x:v>45546</x:v>
      </x:c>
      <x:c r="K4" s="102"/>
      <x:c r="L4" s="102" t="str">
        <x:v>Current official fleet</x:v>
      </x:c>
      <x:c r="M4" s="102" t="str">
        <x:v>Research / identity enrichment</x:v>
      </x:c>
      <x:c r="N4" s="102" t="str">
        <x:v>High</x:v>
      </x:c>
      <x:c r="O4" s="102" t="str">
        <x:v>https://cslships.com/global-fleet/</x:v>
      </x:c>
      <x:c r="P4" s="102" t="str">
        <x:v>Current CSL Australia/Asia regional fleet seed; IMO/MMSI/registry enrichment pending.</x:v>
      </x:c>
    </x:row>
    <x:row r="5">
      <x:c r="A5" s="102" t="str">
        <x:v>GSTAGE_00004</x:v>
      </x:c>
      <x:c r="B5" s="102" t="str">
        <x:v>COMP_CSL_AUSTRALIA</x:v>
      </x:c>
      <x:c r="C5" s="102" t="str">
        <x:v>Yampu</x:v>
      </x:c>
      <x:c r="D5" s="102"/>
      <x:c r="E5" s="102"/>
      <x:c r="F5" s="102"/>
      <x:c r="G5" s="102"/>
      <x:c r="H5" s="102" t="str">
        <x:v>Australia and Asia</x:v>
      </x:c>
      <x:c r="I5" s="102" t="str">
        <x:v>Self-unloader</x:v>
      </x:c>
      <x:c r="J5" s="102" t="str">
        <x:v>11900</x:v>
      </x:c>
      <x:c r="K5" s="102" t="str">
        <x:v>2026</x:v>
      </x:c>
      <x:c r="L5" s="102" t="str">
        <x:v>Current official fleet</x:v>
      </x:c>
      <x:c r="M5" s="102" t="str">
        <x:v>Research / identity enrichment</x:v>
      </x:c>
      <x:c r="N5" s="102" t="str">
        <x:v>High</x:v>
      </x:c>
      <x:c r="O5" s="102" t="str">
        <x:v>https://cslships.com/global-fleet/</x:v>
      </x:c>
      <x:c r="P5" s="102" t="str">
        <x:v>Current CSL Australia/Asia regional fleet seed; IMO/MMSI/registry enrichment pending.</x:v>
      </x:c>
    </x:row>
    <x:row r="6">
      <x:c r="A6" s="102" t="str">
        <x:v>GSTAGE_00005</x:v>
      </x:c>
      <x:c r="B6" s="102" t="str">
        <x:v>COMP_CSL_AUSTRALIA</x:v>
      </x:c>
      <x:c r="C6" s="102" t="str">
        <x:v>Akuna</x:v>
      </x:c>
      <x:c r="D6" s="102"/>
      <x:c r="E6" s="102"/>
      <x:c r="F6" s="102"/>
      <x:c r="G6" s="102"/>
      <x:c r="H6" s="102" t="str">
        <x:v>Australia and Asia</x:v>
      </x:c>
      <x:c r="I6" s="102" t="str">
        <x:v>Cement carrier</x:v>
      </x:c>
      <x:c r="J6" s="102" t="str">
        <x:v>26544</x:v>
      </x:c>
      <x:c r="K6" s="102" t="str">
        <x:v>2009</x:v>
      </x:c>
      <x:c r="L6" s="102" t="str">
        <x:v>Current official fleet</x:v>
      </x:c>
      <x:c r="M6" s="102" t="str">
        <x:v>Research / identity enrichment</x:v>
      </x:c>
      <x:c r="N6" s="102" t="str">
        <x:v>High</x:v>
      </x:c>
      <x:c r="O6" s="102" t="str">
        <x:v>https://cslships.com/global-fleet/</x:v>
      </x:c>
      <x:c r="P6" s="102" t="str">
        <x:v>Current CSL Australia/Asia regional fleet seed; IMO/MMSI/registry enrichment pending.</x:v>
      </x:c>
    </x:row>
    <x:row r="7">
      <x:c r="A7" s="102" t="str">
        <x:v>GSTAGE_00006</x:v>
      </x:c>
      <x:c r="B7" s="102" t="str">
        <x:v>COMP_CSL_AUSTRALIA</x:v>
      </x:c>
      <x:c r="C7" s="102" t="str">
        <x:v>Goliath</x:v>
      </x:c>
      <x:c r="D7" s="102"/>
      <x:c r="E7" s="102"/>
      <x:c r="F7" s="102"/>
      <x:c r="G7" s="102"/>
      <x:c r="H7" s="102" t="str">
        <x:v>Australia and Asia</x:v>
      </x:c>
      <x:c r="I7" s="102" t="str">
        <x:v>Cement carrier</x:v>
      </x:c>
      <x:c r="J7" s="102" t="str">
        <x:v>15599</x:v>
      </x:c>
      <x:c r="K7" s="102" t="str">
        <x:v>1993</x:v>
      </x:c>
      <x:c r="L7" s="102" t="str">
        <x:v>Current official fleet</x:v>
      </x:c>
      <x:c r="M7" s="102" t="str">
        <x:v>Research / identity enrichment</x:v>
      </x:c>
      <x:c r="N7" s="102" t="str">
        <x:v>High</x:v>
      </x:c>
      <x:c r="O7" s="102" t="str">
        <x:v>https://cslships.com/global-fleet/</x:v>
      </x:c>
      <x:c r="P7" s="102" t="str">
        <x:v>Current CSL Australia/Asia regional fleet seed; IMO/MMSI/registry enrichment pending.</x:v>
      </x:c>
    </x:row>
    <x:row r="8">
      <x:c r="A8" s="102" t="str">
        <x:v>GSTAGE_00007</x:v>
      </x:c>
      <x:c r="B8" s="102" t="str">
        <x:v>COMP_CSL_AUSTRALIA</x:v>
      </x:c>
      <x:c r="C8" s="102" t="str">
        <x:v>Kondili</x:v>
      </x:c>
      <x:c r="D8" s="102"/>
      <x:c r="E8" s="102"/>
      <x:c r="F8" s="102"/>
      <x:c r="G8" s="102"/>
      <x:c r="H8" s="102" t="str">
        <x:v>Australia and Asia</x:v>
      </x:c>
      <x:c r="I8" s="102" t="str">
        <x:v>Cement carrier</x:v>
      </x:c>
      <x:c r="J8" s="102" t="str">
        <x:v>26730.93</x:v>
      </x:c>
      <x:c r="K8" s="102" t="str">
        <x:v>2006</x:v>
      </x:c>
      <x:c r="L8" s="102" t="str">
        <x:v>Current official fleet</x:v>
      </x:c>
      <x:c r="M8" s="102" t="str">
        <x:v>Research / identity enrichment</x:v>
      </x:c>
      <x:c r="N8" s="102" t="str">
        <x:v>High</x:v>
      </x:c>
      <x:c r="O8" s="102" t="str">
        <x:v>https://cslships.com/global-fleet/</x:v>
      </x:c>
      <x:c r="P8" s="102" t="str">
        <x:v>Current CSL Australia/Asia regional fleet seed; IMO/MMSI/registry enrichment pending.</x:v>
      </x:c>
    </x:row>
    <x:row r="9">
      <x:c r="A9" s="102" t="str">
        <x:v>GSTAGE_00008</x:v>
      </x:c>
      <x:c r="B9" s="102" t="str">
        <x:v>COMP_CSL_AUSTRALIA</x:v>
      </x:c>
      <x:c r="C9" s="102" t="str">
        <x:v>Luga</x:v>
      </x:c>
      <x:c r="D9" s="102"/>
      <x:c r="E9" s="102"/>
      <x:c r="F9" s="102"/>
      <x:c r="G9" s="102"/>
      <x:c r="H9" s="102" t="str">
        <x:v>Australia and Asia</x:v>
      </x:c>
      <x:c r="I9" s="102" t="str">
        <x:v>Cement carrier</x:v>
      </x:c>
      <x:c r="J9" s="102" t="str">
        <x:v>28979</x:v>
      </x:c>
      <x:c r="K9" s="102" t="str">
        <x:v>1984</x:v>
      </x:c>
      <x:c r="L9" s="102" t="str">
        <x:v>Current official fleet</x:v>
      </x:c>
      <x:c r="M9" s="102" t="str">
        <x:v>Research / identity enrichment</x:v>
      </x:c>
      <x:c r="N9" s="102" t="str">
        <x:v>High</x:v>
      </x:c>
      <x:c r="O9" s="102" t="str">
        <x:v>https://cslships.com/global-fleet/</x:v>
      </x:c>
      <x:c r="P9" s="102" t="str">
        <x:v>Current CSL Australia/Asia regional fleet seed; IMO/MMSI/registry enrichment pending.</x:v>
      </x:c>
    </x:row>
    <x:row r="10">
      <x:c r="A10" s="102" t="str">
        <x:v>GSTAGE_00009</x:v>
      </x:c>
      <x:c r="B10" s="102" t="str">
        <x:v>COMP_CSL_AUSTRALIA</x:v>
      </x:c>
      <x:c r="C10" s="102" t="str">
        <x:v>Wyuna</x:v>
      </x:c>
      <x:c r="D10" s="102"/>
      <x:c r="E10" s="102"/>
      <x:c r="F10" s="102"/>
      <x:c r="G10" s="102"/>
      <x:c r="H10" s="102" t="str">
        <x:v>Australia and Asia</x:v>
      </x:c>
      <x:c r="I10" s="102" t="str">
        <x:v>Cement carrier</x:v>
      </x:c>
      <x:c r="J10" s="102" t="str">
        <x:v>26699.27</x:v>
      </x:c>
      <x:c r="K10" s="102" t="str">
        <x:v>2010</x:v>
      </x:c>
      <x:c r="L10" s="102" t="str">
        <x:v>Current official fleet</x:v>
      </x:c>
      <x:c r="M10" s="102" t="str">
        <x:v>Research / identity enrichment</x:v>
      </x:c>
      <x:c r="N10" s="102" t="str">
        <x:v>High</x:v>
      </x:c>
      <x:c r="O10" s="102" t="str">
        <x:v>https://cslships.com/global-fleet/</x:v>
      </x:c>
      <x:c r="P10" s="102" t="str">
        <x:v>Current CSL Australia/Asia regional fleet seed; IMO/MMSI/registry enrichment pending.</x:v>
      </x:c>
    </x:row>
    <x:row r="11">
      <x:c r="A11" s="102" t="str">
        <x:v>GSTAGE_00010</x:v>
      </x:c>
      <x:c r="B11" s="102" t="str">
        <x:v>COMP_CSL_AUSTRALIA</x:v>
      </x:c>
      <x:c r="C11" s="102" t="str">
        <x:v>Donnacona</x:v>
      </x:c>
      <x:c r="D11" s="102"/>
      <x:c r="E11" s="102"/>
      <x:c r="F11" s="102"/>
      <x:c r="G11" s="102"/>
      <x:c r="H11" s="102" t="str">
        <x:v>Australia and Asia</x:v>
      </x:c>
      <x:c r="I11" s="102" t="str">
        <x:v>Transhipper</x:v>
      </x:c>
      <x:c r="J11" s="102" t="str">
        <x:v>27172.6</x:v>
      </x:c>
      <x:c r="K11" s="102" t="str">
        <x:v>2001</x:v>
      </x:c>
      <x:c r="L11" s="102" t="str">
        <x:v>Current official fleet</x:v>
      </x:c>
      <x:c r="M11" s="102" t="str">
        <x:v>Research / identity enrichment</x:v>
      </x:c>
      <x:c r="N11" s="102" t="str">
        <x:v>High</x:v>
      </x:c>
      <x:c r="O11" s="102" t="str">
        <x:v>https://cslships.com/global-fleet/</x:v>
      </x:c>
      <x:c r="P11" s="102" t="str">
        <x:v>Current CSL Australia/Asia regional fleet seed; IMO/MMSI/registry enrichment pending.</x:v>
      </x:c>
    </x:row>
    <x:row r="12">
      <x:c r="A12" s="102" t="str">
        <x:v>GSTAGE_00011</x:v>
      </x:c>
      <x:c r="B12" s="102" t="str">
        <x:v>COMP_CSL_AUSTRALIA</x:v>
      </x:c>
      <x:c r="C12" s="102" t="str">
        <x:v>FOTB Spencer Gulf</x:v>
      </x:c>
      <x:c r="D12" s="102"/>
      <x:c r="E12" s="102"/>
      <x:c r="F12" s="102"/>
      <x:c r="G12" s="102"/>
      <x:c r="H12" s="102" t="str">
        <x:v>Australia and Asia</x:v>
      </x:c>
      <x:c r="I12" s="102" t="str">
        <x:v>Floating transfer barge</x:v>
      </x:c>
      <x:c r="J12" s="102" t="str">
        <x:v>4766.6</x:v>
      </x:c>
      <x:c r="K12" s="102" t="str">
        <x:v>2006</x:v>
      </x:c>
      <x:c r="L12" s="102" t="str">
        <x:v>Current official fleet</x:v>
      </x:c>
      <x:c r="M12" s="102" t="str">
        <x:v>Research / identity enrichment</x:v>
      </x:c>
      <x:c r="N12" s="102" t="str">
        <x:v>High</x:v>
      </x:c>
      <x:c r="O12" s="102" t="str">
        <x:v>https://cslships.com/global-fleet/</x:v>
      </x:c>
      <x:c r="P12" s="102" t="str">
        <x:v>Current CSL Australia/Asia regional fleet seed; IMO/MMSI/registry enrichment pending.</x:v>
      </x:c>
    </x:row>
    <x:row r="13">
      <x:c r="A13" s="102" t="str">
        <x:v>GSTAGE_00012</x:v>
      </x:c>
      <x:c r="B13" s="102" t="str">
        <x:v>COMP_CSL_AUSTRALIA</x:v>
      </x:c>
      <x:c r="C13" s="102" t="str">
        <x:v>Osprey</x:v>
      </x:c>
      <x:c r="D13" s="102"/>
      <x:c r="E13" s="102"/>
      <x:c r="F13" s="102"/>
      <x:c r="G13" s="102"/>
      <x:c r="H13" s="102" t="str">
        <x:v>Australia and Asia</x:v>
      </x:c>
      <x:c r="I13" s="102" t="str">
        <x:v>Transhipper</x:v>
      </x:c>
      <x:c r="J13" s="102" t="str">
        <x:v>13800</x:v>
      </x:c>
      <x:c r="K13" s="102" t="str">
        <x:v>2015</x:v>
      </x:c>
      <x:c r="L13" s="102" t="str">
        <x:v>Current official fleet</x:v>
      </x:c>
      <x:c r="M13" s="102" t="str">
        <x:v>Research / identity enrichment</x:v>
      </x:c>
      <x:c r="N13" s="102" t="str">
        <x:v>High</x:v>
      </x:c>
      <x:c r="O13" s="102" t="str">
        <x:v>https://cslships.com/global-fleet/</x:v>
      </x:c>
      <x:c r="P13" s="102" t="str">
        <x:v>Current CSL Australia/Asia regional fleet seed; IMO/MMSI/registry enrichment pending.</x:v>
      </x:c>
    </x:row>
    <x:row r="14">
      <x:c r="A14" s="102" t="str">
        <x:v>GSTAGE_00013</x:v>
      </x:c>
      <x:c r="B14" s="102" t="str">
        <x:v>COMP_CSL_AUSTRALIA</x:v>
      </x:c>
      <x:c r="C14" s="102" t="str">
        <x:v>Whyalla</x:v>
      </x:c>
      <x:c r="D14" s="102"/>
      <x:c r="E14" s="102"/>
      <x:c r="F14" s="102"/>
      <x:c r="G14" s="102"/>
      <x:c r="H14" s="102" t="str">
        <x:v>Australia and Asia</x:v>
      </x:c>
      <x:c r="I14" s="102" t="str">
        <x:v>Transhipper</x:v>
      </x:c>
      <x:c r="J14" s="102" t="str">
        <x:v>12740.4</x:v>
      </x:c>
      <x:c r="K14" s="102" t="str">
        <x:v>1987</x:v>
      </x:c>
      <x:c r="L14" s="102" t="str">
        <x:v>Current official fleet</x:v>
      </x:c>
      <x:c r="M14" s="102" t="str">
        <x:v>Research / identity enrichment</x:v>
      </x:c>
      <x:c r="N14" s="102" t="str">
        <x:v>High</x:v>
      </x:c>
      <x:c r="O14" s="102" t="str">
        <x:v>https://cslships.com/global-fleet/</x:v>
      </x:c>
      <x:c r="P14" s="102" t="str">
        <x:v>Current CSL Australia/Asia regional fleet seed; IMO/MMSI/registry enrichment pending.</x:v>
      </x:c>
    </x:row>
    <x:row r="15">
      <x:c r="A15" s="102" t="str">
        <x:v>GSTAGE_00014</x:v>
      </x:c>
      <x:c r="B15" s="102" t="str">
        <x:v>COMP_CSL_AUSTRALIA</x:v>
      </x:c>
      <x:c r="C15" s="102" t="str">
        <x:v>SUB Barngarla</x:v>
      </x:c>
      <x:c r="D15" s="102"/>
      <x:c r="E15" s="102"/>
      <x:c r="F15" s="102"/>
      <x:c r="G15" s="102"/>
      <x:c r="H15" s="102" t="str">
        <x:v>Australia and Asia</x:v>
      </x:c>
      <x:c r="I15" s="102" t="str">
        <x:v>Barge</x:v>
      </x:c>
      <x:c r="J15" s="102" t="str">
        <x:v>12000</x:v>
      </x:c>
      <x:c r="K15" s="102"/>
      <x:c r="L15" s="102" t="str">
        <x:v>Current official fleet</x:v>
      </x:c>
      <x:c r="M15" s="102" t="str">
        <x:v>Research / identity enrichment</x:v>
      </x:c>
      <x:c r="N15" s="102" t="str">
        <x:v>High</x:v>
      </x:c>
      <x:c r="O15" s="102" t="str">
        <x:v>https://cslships.com/global-fleet/</x:v>
      </x:c>
      <x:c r="P15" s="102" t="str">
        <x:v>Current CSL Australia/Asia regional fleet seed; IMO/MMSI/registry enrichment pending.</x:v>
      </x:c>
    </x:row>
    <x:row r="16">
      <x:c r="A16" s="102" t="str">
        <x:v>GSTAGE_00015</x:v>
      </x:c>
      <x:c r="B16" s="102" t="str">
        <x:v>COMP_CSL_AUSTRALIA</x:v>
      </x:c>
      <x:c r="C16" s="102" t="str">
        <x:v>SUB Middleback</x:v>
      </x:c>
      <x:c r="D16" s="102"/>
      <x:c r="E16" s="102"/>
      <x:c r="F16" s="102"/>
      <x:c r="G16" s="102"/>
      <x:c r="H16" s="102" t="str">
        <x:v>Australia and Asia</x:v>
      </x:c>
      <x:c r="I16" s="102" t="str">
        <x:v>Barge</x:v>
      </x:c>
      <x:c r="J16" s="102" t="str">
        <x:v>12000</x:v>
      </x:c>
      <x:c r="K16" s="102"/>
      <x:c r="L16" s="102" t="str">
        <x:v>Current official fleet</x:v>
      </x:c>
      <x:c r="M16" s="102" t="str">
        <x:v>Research / identity enrichment</x:v>
      </x:c>
      <x:c r="N16" s="102" t="str">
        <x:v>High</x:v>
      </x:c>
      <x:c r="O16" s="102" t="str">
        <x:v>https://cslships.com/global-fleet/</x:v>
      </x:c>
      <x:c r="P16" s="102" t="str">
        <x:v>Current CSL Australia/Asia regional fleet seed; IMO/MMSI/registry enrichment pending.</x:v>
      </x:c>
    </x:row>
    <x:row r="17">
      <x:c r="A17" s="102" t="str">
        <x:v>GSTAGE_00016</x:v>
      </x:c>
      <x:c r="B17" s="102" t="str">
        <x:v>COMP_MCKEIL</x:v>
      </x:c>
      <x:c r="C17" s="102" t="str">
        <x:v>Alouette Spirit</x:v>
      </x:c>
      <x:c r="D17" s="102"/>
      <x:c r="E17" s="102"/>
      <x:c r="F17" s="102"/>
      <x:c r="G17" s="102"/>
      <x:c r="H17" s="102" t="str">
        <x:v>Great Lakes / St. Lawrence / East Coast / Arctic</x:v>
      </x:c>
      <x:c r="I17" s="102" t="str">
        <x:v>Type to enrich</x:v>
      </x:c>
      <x:c r="J17" s="102"/>
      <x:c r="K17" s="102"/>
      <x:c r="L17" s="102" t="str">
        <x:v>Current official fleet</x:v>
      </x:c>
      <x:c r="M17" s="102" t="str">
        <x:v>Research / identity enrichment</x:v>
      </x:c>
      <x:c r="N17" s="102" t="str">
        <x:v>High</x:v>
      </x:c>
      <x:c r="O17" s="102" t="str">
        <x:v>https://mckeil.com/our-fleet/</x:v>
      </x:c>
      <x:c r="P17" s="102" t="str">
        <x:v>Current McKeil public fleet name; IMO/type/capacity enrichment pending.</x:v>
      </x:c>
    </x:row>
    <x:row r="18">
      <x:c r="A18" s="102" t="str">
        <x:v>GSTAGE_00017</x:v>
      </x:c>
      <x:c r="B18" s="102" t="str">
        <x:v>COMP_MCKEIL</x:v>
      </x:c>
      <x:c r="C18" s="102" t="str">
        <x:v>Beverly M I</x:v>
      </x:c>
      <x:c r="D18" s="102"/>
      <x:c r="E18" s="102"/>
      <x:c r="F18" s="102"/>
      <x:c r="G18" s="102"/>
      <x:c r="H18" s="102" t="str">
        <x:v>Great Lakes / St. Lawrence / East Coast / Arctic</x:v>
      </x:c>
      <x:c r="I18" s="102" t="str">
        <x:v>Type to enrich</x:v>
      </x:c>
      <x:c r="J18" s="102"/>
      <x:c r="K18" s="102"/>
      <x:c r="L18" s="102" t="str">
        <x:v>Current official fleet</x:v>
      </x:c>
      <x:c r="M18" s="102" t="str">
        <x:v>Research / identity enrichment</x:v>
      </x:c>
      <x:c r="N18" s="102" t="str">
        <x:v>High</x:v>
      </x:c>
      <x:c r="O18" s="102" t="str">
        <x:v>https://mckeil.com/our-fleet/</x:v>
      </x:c>
      <x:c r="P18" s="102" t="str">
        <x:v>Current McKeil public fleet name; IMO/type/capacity enrichment pending.</x:v>
      </x:c>
    </x:row>
    <x:row r="19">
      <x:c r="A19" s="102" t="str">
        <x:v>GSTAGE_00018</x:v>
      </x:c>
      <x:c r="B19" s="102" t="str">
        <x:v>COMP_MCKEIL</x:v>
      </x:c>
      <x:c r="C19" s="102" t="str">
        <x:v>Blair McKeil</x:v>
      </x:c>
      <x:c r="D19" s="102"/>
      <x:c r="E19" s="102"/>
      <x:c r="F19" s="102"/>
      <x:c r="G19" s="102"/>
      <x:c r="H19" s="102" t="str">
        <x:v>Great Lakes / St. Lawrence / East Coast / Arctic</x:v>
      </x:c>
      <x:c r="I19" s="102" t="str">
        <x:v>Type to enrich</x:v>
      </x:c>
      <x:c r="J19" s="102"/>
      <x:c r="K19" s="102"/>
      <x:c r="L19" s="102" t="str">
        <x:v>Current official fleet</x:v>
      </x:c>
      <x:c r="M19" s="102" t="str">
        <x:v>Research / identity enrichment</x:v>
      </x:c>
      <x:c r="N19" s="102" t="str">
        <x:v>High</x:v>
      </x:c>
      <x:c r="O19" s="102" t="str">
        <x:v>https://mckeil.com/our-fleet/</x:v>
      </x:c>
      <x:c r="P19" s="102" t="str">
        <x:v>Current McKeil public fleet name; IMO/type/capacity enrichment pending.</x:v>
      </x:c>
    </x:row>
    <x:row r="20">
      <x:c r="A20" s="102" t="str">
        <x:v>GSTAGE_00019</x:v>
      </x:c>
      <x:c r="B20" s="102" t="str">
        <x:v>COMP_MCKEIL</x:v>
      </x:c>
      <x:c r="C20" s="102" t="str">
        <x:v>Dover Spirit</x:v>
      </x:c>
      <x:c r="D20" s="102"/>
      <x:c r="E20" s="102"/>
      <x:c r="F20" s="102"/>
      <x:c r="G20" s="102"/>
      <x:c r="H20" s="102" t="str">
        <x:v>Great Lakes / St. Lawrence / East Coast / Arctic</x:v>
      </x:c>
      <x:c r="I20" s="102" t="str">
        <x:v>Type to enrich</x:v>
      </x:c>
      <x:c r="J20" s="102"/>
      <x:c r="K20" s="102"/>
      <x:c r="L20" s="102" t="str">
        <x:v>Current official fleet</x:v>
      </x:c>
      <x:c r="M20" s="102" t="str">
        <x:v>Research / identity enrichment</x:v>
      </x:c>
      <x:c r="N20" s="102" t="str">
        <x:v>High</x:v>
      </x:c>
      <x:c r="O20" s="102" t="str">
        <x:v>https://mckeil.com/our-fleet/</x:v>
      </x:c>
      <x:c r="P20" s="102" t="str">
        <x:v>Current McKeil public fleet name; IMO/type/capacity enrichment pending.</x:v>
      </x:c>
    </x:row>
    <x:row r="21">
      <x:c r="A21" s="102" t="str">
        <x:v>GSTAGE_00020</x:v>
      </x:c>
      <x:c r="B21" s="102" t="str">
        <x:v>COMP_MCKEIL</x:v>
      </x:c>
      <x:c r="C21" s="102" t="str">
        <x:v>DW100</x:v>
      </x:c>
      <x:c r="D21" s="102"/>
      <x:c r="E21" s="102"/>
      <x:c r="F21" s="102"/>
      <x:c r="G21" s="102"/>
      <x:c r="H21" s="102" t="str">
        <x:v>Great Lakes / St. Lawrence / East Coast / Arctic</x:v>
      </x:c>
      <x:c r="I21" s="102" t="str">
        <x:v>Type to enrich</x:v>
      </x:c>
      <x:c r="J21" s="102"/>
      <x:c r="K21" s="102"/>
      <x:c r="L21" s="102" t="str">
        <x:v>Current official fleet</x:v>
      </x:c>
      <x:c r="M21" s="102" t="str">
        <x:v>Research / identity enrichment</x:v>
      </x:c>
      <x:c r="N21" s="102" t="str">
        <x:v>High</x:v>
      </x:c>
      <x:c r="O21" s="102" t="str">
        <x:v>https://mckeil.com/our-fleet/</x:v>
      </x:c>
      <x:c r="P21" s="102" t="str">
        <x:v>Current McKeil public fleet name; IMO/type/capacity enrichment pending.</x:v>
      </x:c>
    </x:row>
    <x:row r="22">
      <x:c r="A22" s="102" t="str">
        <x:v>GSTAGE_00021</x:v>
      </x:c>
      <x:c r="B22" s="102" t="str">
        <x:v>COMP_MCKEIL</x:v>
      </x:c>
      <x:c r="C22" s="102" t="str">
        <x:v>Ecosse</x:v>
      </x:c>
      <x:c r="D22" s="102"/>
      <x:c r="E22" s="102"/>
      <x:c r="F22" s="102"/>
      <x:c r="G22" s="102"/>
      <x:c r="H22" s="102" t="str">
        <x:v>Great Lakes / St. Lawrence / East Coast / Arctic</x:v>
      </x:c>
      <x:c r="I22" s="102" t="str">
        <x:v>Type to enrich</x:v>
      </x:c>
      <x:c r="J22" s="102"/>
      <x:c r="K22" s="102"/>
      <x:c r="L22" s="102" t="str">
        <x:v>Current official fleet</x:v>
      </x:c>
      <x:c r="M22" s="102" t="str">
        <x:v>Research / identity enrichment</x:v>
      </x:c>
      <x:c r="N22" s="102" t="str">
        <x:v>High</x:v>
      </x:c>
      <x:c r="O22" s="102" t="str">
        <x:v>https://mckeil.com/our-fleet/</x:v>
      </x:c>
      <x:c r="P22" s="102" t="str">
        <x:v>Current McKeil public fleet name; IMO/type/capacity enrichment pending.</x:v>
      </x:c>
    </x:row>
    <x:row r="23">
      <x:c r="A23" s="102" t="str">
        <x:v>GSTAGE_00022</x:v>
      </x:c>
      <x:c r="B23" s="102" t="str">
        <x:v>COMP_MCKEIL</x:v>
      </x:c>
      <x:c r="C23" s="102" t="str">
        <x:v>Evans Spirit</x:v>
      </x:c>
      <x:c r="D23" s="102"/>
      <x:c r="E23" s="102"/>
      <x:c r="F23" s="102"/>
      <x:c r="G23" s="102"/>
      <x:c r="H23" s="102" t="str">
        <x:v>Great Lakes / St. Lawrence / East Coast / Arctic</x:v>
      </x:c>
      <x:c r="I23" s="102" t="str">
        <x:v>Type to enrich</x:v>
      </x:c>
      <x:c r="J23" s="102"/>
      <x:c r="K23" s="102"/>
      <x:c r="L23" s="102" t="str">
        <x:v>Current official fleet</x:v>
      </x:c>
      <x:c r="M23" s="102" t="str">
        <x:v>Research / identity enrichment</x:v>
      </x:c>
      <x:c r="N23" s="102" t="str">
        <x:v>High</x:v>
      </x:c>
      <x:c r="O23" s="102" t="str">
        <x:v>https://mckeil.com/our-fleet/</x:v>
      </x:c>
      <x:c r="P23" s="102" t="str">
        <x:v>Current McKeil public fleet name; IMO/type/capacity enrichment pending.</x:v>
      </x:c>
    </x:row>
    <x:row r="24">
      <x:c r="A24" s="102" t="str">
        <x:v>GSTAGE_00023</x:v>
      </x:c>
      <x:c r="B24" s="102" t="str">
        <x:v>COMP_MCKEIL</x:v>
      </x:c>
      <x:c r="C24" s="102" t="str">
        <x:v>Glovertown Spirit</x:v>
      </x:c>
      <x:c r="D24" s="102"/>
      <x:c r="E24" s="102"/>
      <x:c r="F24" s="102"/>
      <x:c r="G24" s="102"/>
      <x:c r="H24" s="102" t="str">
        <x:v>Great Lakes / St. Lawrence / East Coast / Arctic</x:v>
      </x:c>
      <x:c r="I24" s="102" t="str">
        <x:v>Type to enrich</x:v>
      </x:c>
      <x:c r="J24" s="102"/>
      <x:c r="K24" s="102"/>
      <x:c r="L24" s="102" t="str">
        <x:v>Current official fleet</x:v>
      </x:c>
      <x:c r="M24" s="102" t="str">
        <x:v>Research / identity enrichment</x:v>
      </x:c>
      <x:c r="N24" s="102" t="str">
        <x:v>High</x:v>
      </x:c>
      <x:c r="O24" s="102" t="str">
        <x:v>https://mckeil.com/our-fleet/</x:v>
      </x:c>
      <x:c r="P24" s="102" t="str">
        <x:v>Current McKeil public fleet name; IMO/type/capacity enrichment pending.</x:v>
      </x:c>
    </x:row>
    <x:row r="25">
      <x:c r="A25" s="102" t="str">
        <x:v>GSTAGE_00024</x:v>
      </x:c>
      <x:c r="B25" s="102" t="str">
        <x:v>COMP_MCKEIL</x:v>
      </x:c>
      <x:c r="C25" s="102" t="str">
        <x:v>Harvest Spirit</x:v>
      </x:c>
      <x:c r="D25" s="102"/>
      <x:c r="E25" s="102"/>
      <x:c r="F25" s="102"/>
      <x:c r="G25" s="102"/>
      <x:c r="H25" s="102" t="str">
        <x:v>Great Lakes / St. Lawrence / East Coast / Arctic</x:v>
      </x:c>
      <x:c r="I25" s="102" t="str">
        <x:v>Type to enrich</x:v>
      </x:c>
      <x:c r="J25" s="102"/>
      <x:c r="K25" s="102"/>
      <x:c r="L25" s="102" t="str">
        <x:v>Current official fleet</x:v>
      </x:c>
      <x:c r="M25" s="102" t="str">
        <x:v>Research / identity enrichment</x:v>
      </x:c>
      <x:c r="N25" s="102" t="str">
        <x:v>High</x:v>
      </x:c>
      <x:c r="O25" s="102" t="str">
        <x:v>https://mckeil.com/our-fleet/</x:v>
      </x:c>
      <x:c r="P25" s="102" t="str">
        <x:v>Current McKeil public fleet name; IMO/type/capacity enrichment pending.</x:v>
      </x:c>
    </x:row>
    <x:row r="26">
      <x:c r="A26" s="102" t="str">
        <x:v>GSTAGE_00025</x:v>
      </x:c>
      <x:c r="B26" s="102" t="str">
        <x:v>COMP_MCKEIL</x:v>
      </x:c>
      <x:c r="C26" s="102" t="str">
        <x:v>Hinch Spirit</x:v>
      </x:c>
      <x:c r="D26" s="102"/>
      <x:c r="E26" s="102"/>
      <x:c r="F26" s="102"/>
      <x:c r="G26" s="102"/>
      <x:c r="H26" s="102" t="str">
        <x:v>Great Lakes / St. Lawrence / East Coast / Arctic</x:v>
      </x:c>
      <x:c r="I26" s="102" t="str">
        <x:v>Type to enrich</x:v>
      </x:c>
      <x:c r="J26" s="102"/>
      <x:c r="K26" s="102"/>
      <x:c r="L26" s="102" t="str">
        <x:v>Current official fleet</x:v>
      </x:c>
      <x:c r="M26" s="102" t="str">
        <x:v>Research / identity enrichment</x:v>
      </x:c>
      <x:c r="N26" s="102" t="str">
        <x:v>High</x:v>
      </x:c>
      <x:c r="O26" s="102" t="str">
        <x:v>https://mckeil.com/our-fleet/</x:v>
      </x:c>
      <x:c r="P26" s="102" t="str">
        <x:v>Current McKeil public fleet name; IMO/type/capacity enrichment pending.</x:v>
      </x:c>
    </x:row>
    <x:row r="27">
      <x:c r="A27" s="102" t="str">
        <x:v>GSTAGE_00026</x:v>
      </x:c>
      <x:c r="B27" s="102" t="str">
        <x:v>COMP_MCKEIL</x:v>
      </x:c>
      <x:c r="C27" s="102" t="str">
        <x:v>Huron Spirit</x:v>
      </x:c>
      <x:c r="D27" s="102"/>
      <x:c r="E27" s="102"/>
      <x:c r="F27" s="102"/>
      <x:c r="G27" s="102"/>
      <x:c r="H27" s="102" t="str">
        <x:v>Great Lakes / St. Lawrence / East Coast / Arctic</x:v>
      </x:c>
      <x:c r="I27" s="102" t="str">
        <x:v>Type to enrich</x:v>
      </x:c>
      <x:c r="J27" s="102"/>
      <x:c r="K27" s="102"/>
      <x:c r="L27" s="102" t="str">
        <x:v>Current official fleet</x:v>
      </x:c>
      <x:c r="M27" s="102" t="str">
        <x:v>Research / identity enrichment</x:v>
      </x:c>
      <x:c r="N27" s="102" t="str">
        <x:v>High</x:v>
      </x:c>
      <x:c r="O27" s="102" t="str">
        <x:v>https://mckeil.com/our-fleet/</x:v>
      </x:c>
      <x:c r="P27" s="102" t="str">
        <x:v>Current McKeil public fleet name; IMO/type/capacity enrichment pending.</x:v>
      </x:c>
    </x:row>
    <x:row r="28">
      <x:c r="A28" s="102" t="str">
        <x:v>GSTAGE_00027</x:v>
      </x:c>
      <x:c r="B28" s="102" t="str">
        <x:v>COMP_MCKEIL</x:v>
      </x:c>
      <x:c r="C28" s="102" t="str">
        <x:v>Manitoulin</x:v>
      </x:c>
      <x:c r="D28" s="102"/>
      <x:c r="E28" s="102"/>
      <x:c r="F28" s="102"/>
      <x:c r="G28" s="102"/>
      <x:c r="H28" s="102" t="str">
        <x:v>Great Lakes / St. Lawrence / East Coast / Arctic</x:v>
      </x:c>
      <x:c r="I28" s="102" t="str">
        <x:v>Type to enrich</x:v>
      </x:c>
      <x:c r="J28" s="102"/>
      <x:c r="K28" s="102"/>
      <x:c r="L28" s="102" t="str">
        <x:v>Current official fleet</x:v>
      </x:c>
      <x:c r="M28" s="102" t="str">
        <x:v>Research / identity enrichment</x:v>
      </x:c>
      <x:c r="N28" s="102" t="str">
        <x:v>High</x:v>
      </x:c>
      <x:c r="O28" s="102" t="str">
        <x:v>https://mckeil.com/our-fleet/</x:v>
      </x:c>
      <x:c r="P28" s="102" t="str">
        <x:v>Current McKeil public fleet name; IMO/type/capacity enrichment pending.</x:v>
      </x:c>
    </x:row>
    <x:row r="29">
      <x:c r="A29" s="102" t="str">
        <x:v>GSTAGE_00028</x:v>
      </x:c>
      <x:c r="B29" s="102" t="str">
        <x:v>COMP_MCKEIL</x:v>
      </x:c>
      <x:c r="C29" s="102" t="str">
        <x:v>Ontario Venture</x:v>
      </x:c>
      <x:c r="D29" s="102"/>
      <x:c r="E29" s="102"/>
      <x:c r="F29" s="102"/>
      <x:c r="G29" s="102"/>
      <x:c r="H29" s="102" t="str">
        <x:v>Great Lakes / St. Lawrence / East Coast / Arctic</x:v>
      </x:c>
      <x:c r="I29" s="102" t="str">
        <x:v>Type to enrich</x:v>
      </x:c>
      <x:c r="J29" s="102"/>
      <x:c r="K29" s="102"/>
      <x:c r="L29" s="102" t="str">
        <x:v>Current official fleet</x:v>
      </x:c>
      <x:c r="M29" s="102" t="str">
        <x:v>Research / identity enrichment</x:v>
      </x:c>
      <x:c r="N29" s="102" t="str">
        <x:v>High</x:v>
      </x:c>
      <x:c r="O29" s="102" t="str">
        <x:v>https://mckeil.com/our-fleet/</x:v>
      </x:c>
      <x:c r="P29" s="102" t="str">
        <x:v>Current McKeil public fleet name; IMO/type/capacity enrichment pending.</x:v>
      </x:c>
    </x:row>
    <x:row r="30">
      <x:c r="A30" s="102" t="str">
        <x:v>GSTAGE_00029</x:v>
      </x:c>
      <x:c r="B30" s="102" t="str">
        <x:v>COMP_MCKEIL</x:v>
      </x:c>
      <x:c r="C30" s="102" t="str">
        <x:v>Kathy McKeil</x:v>
      </x:c>
      <x:c r="D30" s="102"/>
      <x:c r="E30" s="102"/>
      <x:c r="F30" s="102"/>
      <x:c r="G30" s="102"/>
      <x:c r="H30" s="102" t="str">
        <x:v>Great Lakes / St. Lawrence / East Coast / Arctic</x:v>
      </x:c>
      <x:c r="I30" s="102" t="str">
        <x:v>Type to enrich</x:v>
      </x:c>
      <x:c r="J30" s="102"/>
      <x:c r="K30" s="102"/>
      <x:c r="L30" s="102" t="str">
        <x:v>Current official fleet</x:v>
      </x:c>
      <x:c r="M30" s="102" t="str">
        <x:v>Research / identity enrichment</x:v>
      </x:c>
      <x:c r="N30" s="102" t="str">
        <x:v>High</x:v>
      </x:c>
      <x:c r="O30" s="102" t="str">
        <x:v>https://mckeil.com/our-fleet/</x:v>
      </x:c>
      <x:c r="P30" s="102" t="str">
        <x:v>Current McKeil public fleet name; IMO/type/capacity enrichment pending.</x:v>
      </x:c>
    </x:row>
    <x:row r="31">
      <x:c r="A31" s="102" t="str">
        <x:v>GSTAGE_00030</x:v>
      </x:c>
      <x:c r="B31" s="102" t="str">
        <x:v>COMP_MCKEIL</x:v>
      </x:c>
      <x:c r="C31" s="102" t="str">
        <x:v>Northern Venture</x:v>
      </x:c>
      <x:c r="D31" s="102"/>
      <x:c r="E31" s="102"/>
      <x:c r="F31" s="102"/>
      <x:c r="G31" s="102"/>
      <x:c r="H31" s="102" t="str">
        <x:v>Great Lakes / St. Lawrence / East Coast / Arctic</x:v>
      </x:c>
      <x:c r="I31" s="102" t="str">
        <x:v>Type to enrich</x:v>
      </x:c>
      <x:c r="J31" s="102"/>
      <x:c r="K31" s="102"/>
      <x:c r="L31" s="102" t="str">
        <x:v>Current official fleet</x:v>
      </x:c>
      <x:c r="M31" s="102" t="str">
        <x:v>Research / identity enrichment</x:v>
      </x:c>
      <x:c r="N31" s="102" t="str">
        <x:v>High</x:v>
      </x:c>
      <x:c r="O31" s="102" t="str">
        <x:v>https://mckeil.com/our-fleet/</x:v>
      </x:c>
      <x:c r="P31" s="102" t="str">
        <x:v>Current McKeil public fleet name; IMO/type/capacity enrichment pending.</x:v>
      </x:c>
    </x:row>
    <x:row r="32">
      <x:c r="A32" s="102" t="str">
        <x:v>GSTAGE_00031</x:v>
      </x:c>
      <x:c r="B32" s="102" t="str">
        <x:v>COMP_MCKEIL</x:v>
      </x:c>
      <x:c r="C32" s="102" t="str">
        <x:v>Wilf Seymour</x:v>
      </x:c>
      <x:c r="D32" s="102"/>
      <x:c r="E32" s="102"/>
      <x:c r="F32" s="102"/>
      <x:c r="G32" s="102"/>
      <x:c r="H32" s="102" t="str">
        <x:v>Great Lakes / St. Lawrence / East Coast / Arctic</x:v>
      </x:c>
      <x:c r="I32" s="102" t="str">
        <x:v>Type to enrich</x:v>
      </x:c>
      <x:c r="J32" s="102"/>
      <x:c r="K32" s="102"/>
      <x:c r="L32" s="102" t="str">
        <x:v>Current official fleet</x:v>
      </x:c>
      <x:c r="M32" s="102" t="str">
        <x:v>Research / identity enrichment</x:v>
      </x:c>
      <x:c r="N32" s="102" t="str">
        <x:v>High</x:v>
      </x:c>
      <x:c r="O32" s="102" t="str">
        <x:v>https://mckeil.com/our-fleet/</x:v>
      </x:c>
      <x:c r="P32" s="102" t="str">
        <x:v>Current McKeil public fleet name; IMO/type/capacity enrichment pending.</x:v>
      </x:c>
    </x:row>
    <x:row r="33">
      <x:c r="A33" s="102" t="str">
        <x:v>GSTAGE_00032</x:v>
      </x:c>
      <x:c r="B33" s="102" t="str">
        <x:v>COMP_MCKEIL</x:v>
      </x:c>
      <x:c r="C33" s="102" t="str">
        <x:v>McKeil Spirit</x:v>
      </x:c>
      <x:c r="D33" s="102"/>
      <x:c r="E33" s="102"/>
      <x:c r="F33" s="102"/>
      <x:c r="G33" s="102"/>
      <x:c r="H33" s="102" t="str">
        <x:v>Great Lakes / St. Lawrence / East Coast / Arctic</x:v>
      </x:c>
      <x:c r="I33" s="102" t="str">
        <x:v>Type to enrich</x:v>
      </x:c>
      <x:c r="J33" s="102"/>
      <x:c r="K33" s="102"/>
      <x:c r="L33" s="102" t="str">
        <x:v>Current official fleet</x:v>
      </x:c>
      <x:c r="M33" s="102" t="str">
        <x:v>Research / identity enrichment</x:v>
      </x:c>
      <x:c r="N33" s="102" t="str">
        <x:v>High</x:v>
      </x:c>
      <x:c r="O33" s="102" t="str">
        <x:v>https://mckeil.com/our-fleet/</x:v>
      </x:c>
      <x:c r="P33" s="102" t="str">
        <x:v>Current McKeil public fleet name; IMO/type/capacity enrichment pending.</x:v>
      </x:c>
    </x:row>
    <x:row r="34">
      <x:c r="A34" s="102" t="str">
        <x:v>GSTAGE_00033</x:v>
      </x:c>
      <x:c r="B34" s="102" t="str">
        <x:v>COMP_MCKEIL</x:v>
      </x:c>
      <x:c r="C34" s="102" t="str">
        <x:v>Niagara Spirit</x:v>
      </x:c>
      <x:c r="D34" s="102"/>
      <x:c r="E34" s="102"/>
      <x:c r="F34" s="102"/>
      <x:c r="G34" s="102"/>
      <x:c r="H34" s="102" t="str">
        <x:v>Great Lakes / St. Lawrence / East Coast / Arctic</x:v>
      </x:c>
      <x:c r="I34" s="102" t="str">
        <x:v>Type to enrich</x:v>
      </x:c>
      <x:c r="J34" s="102"/>
      <x:c r="K34" s="102"/>
      <x:c r="L34" s="102" t="str">
        <x:v>Current official fleet</x:v>
      </x:c>
      <x:c r="M34" s="102" t="str">
        <x:v>Research / identity enrichment</x:v>
      </x:c>
      <x:c r="N34" s="102" t="str">
        <x:v>High</x:v>
      </x:c>
      <x:c r="O34" s="102" t="str">
        <x:v>https://mckeil.com/our-fleet/</x:v>
      </x:c>
      <x:c r="P34" s="102" t="str">
        <x:v>Current McKeil public fleet name; IMO/type/capacity enrichment pending.</x:v>
      </x:c>
    </x:row>
  </x:sheetData>
  <x:pageMargins left="0.7" right="0.7" top="0.75" bottom="0.75" header="0.3" footer="0.3"/>
</x:worksheet>
</file>

<file path=xl/worksheets/sheet65.xml><?xml version="1.0" encoding="utf-8"?>
<x:worksheet xmlns:x="http://schemas.openxmlformats.org/spreadsheetml/2006/main">
  <x:sheetFormatPr defaultRowHeight="15"/>
  <x:cols>
    <x:col min="1" max="1" width="14" hidden="0" customWidth="1"/>
    <x:col min="2" max="2" width="14" hidden="0" customWidth="1"/>
    <x:col min="3" max="3" width="22" hidden="0" customWidth="1"/>
    <x:col min="4" max="4" width="22" hidden="0" customWidth="1"/>
    <x:col min="5" max="5" width="14" hidden="0" customWidth="1"/>
    <x:col min="6" max="6" width="14" hidden="0" customWidth="1"/>
    <x:col min="7" max="7" width="36" hidden="0" customWidth="1"/>
    <x:col min="8" max="8" width="14" hidden="0" customWidth="1"/>
    <x:col min="9" max="9" width="14" hidden="0" customWidth="1"/>
    <x:col min="10" max="10" width="14" hidden="0" customWidth="1"/>
    <x:col min="11" max="11" width="36" hidden="0" customWidth="1"/>
  </x:cols>
  <x:sheetData>
    <x:row r="1">
      <x:c r="A1" s="165" t="str">
        <x:v>Evidence ID</x:v>
      </x:c>
      <x:c r="B1" s="165" t="str">
        <x:v>Vessel ID</x:v>
      </x:c>
      <x:c r="C1" s="165" t="str">
        <x:v>Vessel Name</x:v>
      </x:c>
      <x:c r="D1" s="165" t="str">
        <x:v>Evidence Type</x:v>
      </x:c>
      <x:c r="E1" s="165" t="str">
        <x:v>Checked As Of</x:v>
      </x:c>
      <x:c r="F1" s="165" t="str">
        <x:v>Source ID</x:v>
      </x:c>
      <x:c r="G1" s="165" t="str">
        <x:v>Source URL</x:v>
      </x:c>
      <x:c r="H1" s="165" t="str">
        <x:v>Claim Supported</x:v>
      </x:c>
      <x:c r="I1" s="165" t="str">
        <x:v>Confidence</x:v>
      </x:c>
      <x:c r="J1" s="165" t="str">
        <x:v>Freshness</x:v>
      </x:c>
      <x:c r="K1" s="165" t="str">
        <x:v>Notes</x:v>
      </x:c>
    </x:row>
    <x:row r="2">
      <x:c r="A2" s="102" t="str">
        <x:v>EVID_00001</x:v>
      </x:c>
      <x:c r="B2" s="102" t="str">
        <x:v>VESSEL_00274</x:v>
      </x:c>
      <x:c r="C2" s="102" t="str">
        <x:v>Baie Comeau</x:v>
      </x:c>
      <x:c r="D2" s="102" t="str">
        <x:v>Fleet / identity evidence</x:v>
      </x:c>
      <x:c r="E2" s="102" t="str">
        <x:v>2026-09-07</x:v>
      </x:c>
      <x:c r="F2" s="102" t="str">
        <x:v>SRC_0153</x:v>
      </x:c>
      <x:c r="G2" s="102" t="str">
        <x:v>https://cslships.com/global-fleet/</x:v>
      </x:c>
      <x:c r="H2" s="102" t="str">
        <x:v>Vessel identity, company/fleet association and principal particulars</x:v>
      </x:c>
      <x:c r="I2" s="102" t="str">
        <x:v>High</x:v>
      </x:c>
      <x:c r="J2" s="102" t="str">
        <x:v>Current</x:v>
      </x:c>
      <x:c r="K2" s="102" t="str">
        <x:v>Current CSL regional fleet association verified in 2026; IMO from regulator/current public vessel identity evidence.</x:v>
      </x:c>
    </x:row>
    <x:row r="3">
      <x:c r="A3" s="102" t="str">
        <x:v>EVID_00002</x:v>
      </x:c>
      <x:c r="B3" s="102" t="str">
        <x:v>VESSEL_00275</x:v>
      </x:c>
      <x:c r="C3" s="102" t="str">
        <x:v>Baie St. Paul</x:v>
      </x:c>
      <x:c r="D3" s="102" t="str">
        <x:v>Fleet / identity evidence</x:v>
      </x:c>
      <x:c r="E3" s="102" t="str">
        <x:v>2026-09-07</x:v>
      </x:c>
      <x:c r="F3" s="102" t="str">
        <x:v>SRC_0153</x:v>
      </x:c>
      <x:c r="G3" s="102" t="str">
        <x:v>https://cslships.com/global-fleet/</x:v>
      </x:c>
      <x:c r="H3" s="102" t="str">
        <x:v>Vessel identity, company/fleet association and principal particulars</x:v>
      </x:c>
      <x:c r="I3" s="102" t="str">
        <x:v>High</x:v>
      </x:c>
      <x:c r="J3" s="102" t="str">
        <x:v>Current</x:v>
      </x:c>
      <x:c r="K3" s="102" t="str">
        <x:v>Current CSL regional fleet association verified in 2026; IMO from regulator/current public vessel identity evidence.</x:v>
      </x:c>
    </x:row>
    <x:row r="4">
      <x:c r="A4" s="102" t="str">
        <x:v>EVID_00003</x:v>
      </x:c>
      <x:c r="B4" s="102" t="str">
        <x:v>VESSEL_00276</x:v>
      </x:c>
      <x:c r="C4" s="102" t="str">
        <x:v>CSL Assiniboine</x:v>
      </x:c>
      <x:c r="D4" s="102" t="str">
        <x:v>Fleet / identity evidence</x:v>
      </x:c>
      <x:c r="E4" s="102" t="str">
        <x:v>2026-09-07</x:v>
      </x:c>
      <x:c r="F4" s="102" t="str">
        <x:v>SRC_0153</x:v>
      </x:c>
      <x:c r="G4" s="102" t="str">
        <x:v>https://cslships.com/global-fleet/</x:v>
      </x:c>
      <x:c r="H4" s="102" t="str">
        <x:v>Vessel identity, company/fleet association and principal particulars</x:v>
      </x:c>
      <x:c r="I4" s="102" t="str">
        <x:v>High</x:v>
      </x:c>
      <x:c r="J4" s="102" t="str">
        <x:v>Current</x:v>
      </x:c>
      <x:c r="K4" s="102" t="str">
        <x:v>Current CSL regional fleet association verified in 2026; IMO from regulator/current public vessel identity evidence.</x:v>
      </x:c>
    </x:row>
    <x:row r="5">
      <x:c r="A5" s="102" t="str">
        <x:v>EVID_00004</x:v>
      </x:c>
      <x:c r="B5" s="102" t="str">
        <x:v>VESSEL_00277</x:v>
      </x:c>
      <x:c r="C5" s="102" t="str">
        <x:v>CSL Laurentien</x:v>
      </x:c>
      <x:c r="D5" s="102" t="str">
        <x:v>Fleet / identity evidence</x:v>
      </x:c>
      <x:c r="E5" s="102" t="str">
        <x:v>2026-09-07</x:v>
      </x:c>
      <x:c r="F5" s="102" t="str">
        <x:v>SRC_0153</x:v>
      </x:c>
      <x:c r="G5" s="102" t="str">
        <x:v>https://cslships.com/global-fleet/</x:v>
      </x:c>
      <x:c r="H5" s="102" t="str">
        <x:v>Vessel identity, company/fleet association and principal particulars</x:v>
      </x:c>
      <x:c r="I5" s="102" t="str">
        <x:v>High</x:v>
      </x:c>
      <x:c r="J5" s="102" t="str">
        <x:v>Current</x:v>
      </x:c>
      <x:c r="K5" s="102" t="str">
        <x:v>Current CSL regional fleet association verified in 2026; IMO from regulator/current public vessel identity evidence.</x:v>
      </x:c>
    </x:row>
    <x:row r="6">
      <x:c r="A6" s="102" t="str">
        <x:v>EVID_00005</x:v>
      </x:c>
      <x:c r="B6" s="102" t="str">
        <x:v>VESSEL_00278</x:v>
      </x:c>
      <x:c r="C6" s="102" t="str">
        <x:v>CSL Niagara</x:v>
      </x:c>
      <x:c r="D6" s="102" t="str">
        <x:v>Fleet / identity evidence</x:v>
      </x:c>
      <x:c r="E6" s="102" t="str">
        <x:v>2026-09-07</x:v>
      </x:c>
      <x:c r="F6" s="102" t="str">
        <x:v>SRC_0153</x:v>
      </x:c>
      <x:c r="G6" s="102" t="str">
        <x:v>https://cslships.com/global-fleet/</x:v>
      </x:c>
      <x:c r="H6" s="102" t="str">
        <x:v>Vessel identity, company/fleet association and principal particulars</x:v>
      </x:c>
      <x:c r="I6" s="102" t="str">
        <x:v>High</x:v>
      </x:c>
      <x:c r="J6" s="102" t="str">
        <x:v>Current</x:v>
      </x:c>
      <x:c r="K6" s="102" t="str">
        <x:v>Current CSL regional fleet association verified in 2026; IMO from regulator/current public vessel identity evidence.</x:v>
      </x:c>
    </x:row>
    <x:row r="7">
      <x:c r="A7" s="102" t="str">
        <x:v>EVID_00006</x:v>
      </x:c>
      <x:c r="B7" s="102" t="str">
        <x:v>VESSEL_00279</x:v>
      </x:c>
      <x:c r="C7" s="102" t="str">
        <x:v>CSL Tadoussac</x:v>
      </x:c>
      <x:c r="D7" s="102" t="str">
        <x:v>Fleet / identity evidence</x:v>
      </x:c>
      <x:c r="E7" s="102" t="str">
        <x:v>2026-09-07</x:v>
      </x:c>
      <x:c r="F7" s="102" t="str">
        <x:v>SRC_0153</x:v>
      </x:c>
      <x:c r="G7" s="102" t="str">
        <x:v>https://cslships.com/global-fleet/</x:v>
      </x:c>
      <x:c r="H7" s="102" t="str">
        <x:v>Vessel identity, company/fleet association and principal particulars</x:v>
      </x:c>
      <x:c r="I7" s="102" t="str">
        <x:v>High</x:v>
      </x:c>
      <x:c r="J7" s="102" t="str">
        <x:v>Current</x:v>
      </x:c>
      <x:c r="K7" s="102" t="str">
        <x:v>Current CSL regional fleet association verified in 2026; IMO from regulator/current public vessel identity evidence.</x:v>
      </x:c>
    </x:row>
    <x:row r="8">
      <x:c r="A8" s="102" t="str">
        <x:v>EVID_00007</x:v>
      </x:c>
      <x:c r="B8" s="102" t="str">
        <x:v>VESSEL_00280</x:v>
      </x:c>
      <x:c r="C8" s="102" t="str">
        <x:v>Frontenac</x:v>
      </x:c>
      <x:c r="D8" s="102" t="str">
        <x:v>Fleet / identity evidence</x:v>
      </x:c>
      <x:c r="E8" s="102" t="str">
        <x:v>2026-09-07</x:v>
      </x:c>
      <x:c r="F8" s="102" t="str">
        <x:v>SRC_0153</x:v>
      </x:c>
      <x:c r="G8" s="102" t="str">
        <x:v>https://cslships.com/global-fleet/</x:v>
      </x:c>
      <x:c r="H8" s="102" t="str">
        <x:v>Vessel identity, company/fleet association and principal particulars</x:v>
      </x:c>
      <x:c r="I8" s="102" t="str">
        <x:v>High</x:v>
      </x:c>
      <x:c r="J8" s="102" t="str">
        <x:v>Current</x:v>
      </x:c>
      <x:c r="K8" s="102" t="str">
        <x:v>Current CSL regional fleet association verified in 2026; IMO from regulator/current public vessel identity evidence.</x:v>
      </x:c>
    </x:row>
    <x:row r="9">
      <x:c r="A9" s="102" t="str">
        <x:v>EVID_00008</x:v>
      </x:c>
      <x:c r="B9" s="102" t="str">
        <x:v>VESSEL_00281</x:v>
      </x:c>
      <x:c r="C9" s="102" t="str">
        <x:v>Nukumi</x:v>
      </x:c>
      <x:c r="D9" s="102" t="str">
        <x:v>Fleet / identity evidence</x:v>
      </x:c>
      <x:c r="E9" s="102" t="str">
        <x:v>2026-09-07</x:v>
      </x:c>
      <x:c r="F9" s="102" t="str">
        <x:v>SRC_0169</x:v>
      </x:c>
      <x:c r="G9" s="102" t="str">
        <x:v>https://maritimeoptima.com/public/vessels/pages/imo%3A9914711/mmsi%3A316048137/NUKUMI.html</x:v>
      </x:c>
      <x:c r="H9" s="102" t="str">
        <x:v>Vessel identity, company/fleet association and principal particulars</x:v>
      </x:c>
      <x:c r="I9" s="102" t="str">
        <x:v>High</x:v>
      </x:c>
      <x:c r="J9" s="102" t="str">
        <x:v>Current</x:v>
      </x:c>
      <x:c r="K9" s="102" t="str">
        <x:v>Current CSL regional fleet association verified in 2026; IMO from regulator/current public vessel identity evidence.</x:v>
      </x:c>
    </x:row>
    <x:row r="10">
      <x:c r="A10" s="102" t="str">
        <x:v>EVID_00009</x:v>
      </x:c>
      <x:c r="B10" s="102" t="str">
        <x:v>VESSEL_00282</x:v>
      </x:c>
      <x:c r="C10" s="102" t="str">
        <x:v>Rt. Hon. Paul J. Martin</x:v>
      </x:c>
      <x:c r="D10" s="102" t="str">
        <x:v>Fleet / identity evidence</x:v>
      </x:c>
      <x:c r="E10" s="102" t="str">
        <x:v>2026-09-07</x:v>
      </x:c>
      <x:c r="F10" s="102" t="str">
        <x:v>SRC_0153</x:v>
      </x:c>
      <x:c r="G10" s="102" t="str">
        <x:v>https://cslships.com/global-fleet/</x:v>
      </x:c>
      <x:c r="H10" s="102" t="str">
        <x:v>Vessel identity, company/fleet association and principal particulars</x:v>
      </x:c>
      <x:c r="I10" s="102" t="str">
        <x:v>High</x:v>
      </x:c>
      <x:c r="J10" s="102" t="str">
        <x:v>Current</x:v>
      </x:c>
      <x:c r="K10" s="102" t="str">
        <x:v>Current CSL regional fleet association verified in 2026; IMO from regulator/current public vessel identity evidence.</x:v>
      </x:c>
    </x:row>
    <x:row r="11">
      <x:c r="A11" s="102" t="str">
        <x:v>EVID_00010</x:v>
      </x:c>
      <x:c r="B11" s="102" t="str">
        <x:v>VESSEL_00283</x:v>
      </x:c>
      <x:c r="C11" s="102" t="str">
        <x:v>Thunder Bay</x:v>
      </x:c>
      <x:c r="D11" s="102" t="str">
        <x:v>Fleet / identity evidence</x:v>
      </x:c>
      <x:c r="E11" s="102" t="str">
        <x:v>2026-09-07</x:v>
      </x:c>
      <x:c r="F11" s="102" t="str">
        <x:v>SRC_0153</x:v>
      </x:c>
      <x:c r="G11" s="102" t="str">
        <x:v>https://cslships.com/global-fleet/</x:v>
      </x:c>
      <x:c r="H11" s="102" t="str">
        <x:v>Vessel identity, company/fleet association and principal particulars</x:v>
      </x:c>
      <x:c r="I11" s="102" t="str">
        <x:v>High</x:v>
      </x:c>
      <x:c r="J11" s="102" t="str">
        <x:v>Current</x:v>
      </x:c>
      <x:c r="K11" s="102" t="str">
        <x:v>Current CSL regional fleet association verified in 2026; IMO from regulator/current public vessel identity evidence.</x:v>
      </x:c>
    </x:row>
    <x:row r="12">
      <x:c r="A12" s="102" t="str">
        <x:v>EVID_00011</x:v>
      </x:c>
      <x:c r="B12" s="102" t="str">
        <x:v>VESSEL_00284</x:v>
      </x:c>
      <x:c r="C12" s="102" t="str">
        <x:v>Whitefish Bay</x:v>
      </x:c>
      <x:c r="D12" s="102" t="str">
        <x:v>Fleet / identity evidence</x:v>
      </x:c>
      <x:c r="E12" s="102" t="str">
        <x:v>2026-09-07</x:v>
      </x:c>
      <x:c r="F12" s="102" t="str">
        <x:v>SRC_0153</x:v>
      </x:c>
      <x:c r="G12" s="102" t="str">
        <x:v>https://cslships.com/global-fleet/</x:v>
      </x:c>
      <x:c r="H12" s="102" t="str">
        <x:v>Vessel identity, company/fleet association and principal particulars</x:v>
      </x:c>
      <x:c r="I12" s="102" t="str">
        <x:v>High</x:v>
      </x:c>
      <x:c r="J12" s="102" t="str">
        <x:v>Current</x:v>
      </x:c>
      <x:c r="K12" s="102" t="str">
        <x:v>Current CSL regional fleet association verified in 2026; IMO from regulator/current public vessel identity evidence.</x:v>
      </x:c>
    </x:row>
    <x:row r="13">
      <x:c r="A13" s="102" t="str">
        <x:v>EVID_00012</x:v>
      </x:c>
      <x:c r="B13" s="102" t="str">
        <x:v>VESSEL_00285</x:v>
      </x:c>
      <x:c r="C13" s="102" t="str">
        <x:v>CSL St-Laurent</x:v>
      </x:c>
      <x:c r="D13" s="102" t="str">
        <x:v>Fleet / identity evidence</x:v>
      </x:c>
      <x:c r="E13" s="102" t="str">
        <x:v>2026-09-07</x:v>
      </x:c>
      <x:c r="F13" s="102" t="str">
        <x:v>SRC_0153</x:v>
      </x:c>
      <x:c r="G13" s="102" t="str">
        <x:v>https://cslships.com/global-fleet/</x:v>
      </x:c>
      <x:c r="H13" s="102" t="str">
        <x:v>Vessel identity, company/fleet association and principal particulars</x:v>
      </x:c>
      <x:c r="I13" s="102" t="str">
        <x:v>High</x:v>
      </x:c>
      <x:c r="J13" s="102" t="str">
        <x:v>Current</x:v>
      </x:c>
      <x:c r="K13" s="102" t="str">
        <x:v>Current CSL regional fleet association verified in 2026; IMO from regulator/current public vessel identity evidence.</x:v>
      </x:c>
    </x:row>
    <x:row r="14">
      <x:c r="A14" s="102" t="str">
        <x:v>EVID_00013</x:v>
      </x:c>
      <x:c r="B14" s="102" t="str">
        <x:v>VESSEL_00286</x:v>
      </x:c>
      <x:c r="C14" s="102" t="str">
        <x:v>CSL Welland</x:v>
      </x:c>
      <x:c r="D14" s="102" t="str">
        <x:v>Fleet / identity evidence</x:v>
      </x:c>
      <x:c r="E14" s="102" t="str">
        <x:v>2026-09-07</x:v>
      </x:c>
      <x:c r="F14" s="102" t="str">
        <x:v>SRC_0153</x:v>
      </x:c>
      <x:c r="G14" s="102" t="str">
        <x:v>https://cslships.com/global-fleet/</x:v>
      </x:c>
      <x:c r="H14" s="102" t="str">
        <x:v>Vessel identity, company/fleet association and principal particulars</x:v>
      </x:c>
      <x:c r="I14" s="102" t="str">
        <x:v>High</x:v>
      </x:c>
      <x:c r="J14" s="102" t="str">
        <x:v>Current</x:v>
      </x:c>
      <x:c r="K14" s="102" t="str">
        <x:v>Current CSL regional fleet association verified in 2026; IMO from regulator/current public vessel identity evidence.</x:v>
      </x:c>
    </x:row>
    <x:row r="15">
      <x:c r="A15" s="102" t="str">
        <x:v>EVID_00014</x:v>
      </x:c>
      <x:c r="B15" s="102" t="str">
        <x:v>VESSEL_00287</x:v>
      </x:c>
      <x:c r="C15" s="102" t="str">
        <x:v>Ferbec</x:v>
      </x:c>
      <x:c r="D15" s="102" t="str">
        <x:v>Fleet / identity evidence</x:v>
      </x:c>
      <x:c r="E15" s="102" t="str">
        <x:v>2026-09-07</x:v>
      </x:c>
      <x:c r="F15" s="102" t="str">
        <x:v>SRC_0153</x:v>
      </x:c>
      <x:c r="G15" s="102" t="str">
        <x:v>https://cslships.com/global-fleet/</x:v>
      </x:c>
      <x:c r="H15" s="102" t="str">
        <x:v>Vessel identity, company/fleet association and principal particulars</x:v>
      </x:c>
      <x:c r="I15" s="102" t="str">
        <x:v>High</x:v>
      </x:c>
      <x:c r="J15" s="102" t="str">
        <x:v>Current</x:v>
      </x:c>
      <x:c r="K15" s="102" t="str">
        <x:v>Current CSL regional fleet association verified in 2026; IMO from regulator/current public vessel identity evidence.</x:v>
      </x:c>
    </x:row>
    <x:row r="16">
      <x:c r="A16" s="102" t="str">
        <x:v>EVID_00015</x:v>
      </x:c>
      <x:c r="B16" s="102" t="str">
        <x:v>VESSEL_00288</x:v>
      </x:c>
      <x:c r="C16" s="102" t="str">
        <x:v>Oakglen</x:v>
      </x:c>
      <x:c r="D16" s="102" t="str">
        <x:v>Fleet / identity evidence</x:v>
      </x:c>
      <x:c r="E16" s="102" t="str">
        <x:v>2026-09-07</x:v>
      </x:c>
      <x:c r="F16" s="102" t="str">
        <x:v>SRC_0153</x:v>
      </x:c>
      <x:c r="G16" s="102" t="str">
        <x:v>https://cslships.com/global-fleet/</x:v>
      </x:c>
      <x:c r="H16" s="102" t="str">
        <x:v>Vessel identity, company/fleet association and principal particulars</x:v>
      </x:c>
      <x:c r="I16" s="102" t="str">
        <x:v>High</x:v>
      </x:c>
      <x:c r="J16" s="102" t="str">
        <x:v>Current</x:v>
      </x:c>
      <x:c r="K16" s="102" t="str">
        <x:v>Current CSL regional fleet association verified in 2026; IMO from regulator/current public vessel identity evidence.</x:v>
      </x:c>
    </x:row>
    <x:row r="17">
      <x:c r="A17" s="102" t="str">
        <x:v>EVID_00016</x:v>
      </x:c>
      <x:c r="B17" s="102" t="str">
        <x:v>VESSEL_00289</x:v>
      </x:c>
      <x:c r="C17" s="102" t="str">
        <x:v>Spruceglen</x:v>
      </x:c>
      <x:c r="D17" s="102" t="str">
        <x:v>Fleet / identity evidence</x:v>
      </x:c>
      <x:c r="E17" s="102" t="str">
        <x:v>2026-09-07</x:v>
      </x:c>
      <x:c r="F17" s="102" t="str">
        <x:v>SRC_0153</x:v>
      </x:c>
      <x:c r="G17" s="102" t="str">
        <x:v>https://cslships.com/global-fleet/</x:v>
      </x:c>
      <x:c r="H17" s="102" t="str">
        <x:v>Vessel identity, company/fleet association and principal particulars</x:v>
      </x:c>
      <x:c r="I17" s="102" t="str">
        <x:v>High</x:v>
      </x:c>
      <x:c r="J17" s="102" t="str">
        <x:v>Current</x:v>
      </x:c>
      <x:c r="K17" s="102" t="str">
        <x:v>Current CSL regional fleet association verified in 2026; IMO from regulator/current public vessel identity evidence.</x:v>
      </x:c>
    </x:row>
    <x:row r="18">
      <x:c r="A18" s="102" t="str">
        <x:v>EVID_00017</x:v>
      </x:c>
      <x:c r="B18" s="102" t="str">
        <x:v>VESSEL_00290</x:v>
      </x:c>
      <x:c r="C18" s="102" t="str">
        <x:v>Tamarack</x:v>
      </x:c>
      <x:c r="D18" s="102" t="str">
        <x:v>Fleet / identity evidence</x:v>
      </x:c>
      <x:c r="E18" s="102" t="str">
        <x:v>2026-09-07</x:v>
      </x:c>
      <x:c r="F18" s="102" t="str">
        <x:v>SRC_0170</x:v>
      </x:c>
      <x:c r="G18" s="102" t="str">
        <x:v>https://maritimeoptima.com/public/vessels/pages/imo%3A1037153/mmsi%3A316041965/TAMARACK.html</x:v>
      </x:c>
      <x:c r="H18" s="102" t="str">
        <x:v>Vessel identity, company/fleet association and principal particulars</x:v>
      </x:c>
      <x:c r="I18" s="102" t="str">
        <x:v>High</x:v>
      </x:c>
      <x:c r="J18" s="102" t="str">
        <x:v>Current</x:v>
      </x:c>
      <x:c r="K18" s="102" t="str">
        <x:v>Current CSL regional fleet association verified in 2026; IMO from regulator/current public vessel identity evidence.</x:v>
      </x:c>
    </x:row>
    <x:row r="19">
      <x:c r="A19" s="102" t="str">
        <x:v>EVID_00018</x:v>
      </x:c>
      <x:c r="B19" s="102" t="str">
        <x:v>VESSEL_00291</x:v>
      </x:c>
      <x:c r="C19" s="102" t="str">
        <x:v>Algoma Guardian</x:v>
      </x:c>
      <x:c r="D19" s="102" t="str">
        <x:v>Fleet / identity evidence</x:v>
      </x:c>
      <x:c r="E19" s="102" t="str">
        <x:v>2026-09-07</x:v>
      </x:c>
      <x:c r="F19" s="102" t="str">
        <x:v>SRC_0167</x:v>
      </x:c>
      <x:c r="G19" s="102" t="str">
        <x:v>https://www.michigan.gov/egle/-/media/Project/Websites/egle/Documents/Programs/WRD/Ballast-Water/2023-report.pdf</x:v>
      </x:c>
      <x:c r="H19" s="102" t="str">
        <x:v>Vessel identity, company/fleet association and principal particulars</x:v>
      </x:c>
      <x:c r="I19" s="102" t="str">
        <x:v>High</x:v>
      </x:c>
      <x:c r="J19" s="102" t="str">
        <x:v>Historical / verify current</x:v>
      </x:c>
      <x:c r="K19" s="102" t="str">
        <x:v>Government identity evidence from 2023. Algoma's current segment structure is confirmed, but individual current operating status still requires reconciliation.</x:v>
      </x:c>
    </x:row>
    <x:row r="20">
      <x:c r="A20" s="102" t="str">
        <x:v>EVID_00019</x:v>
      </x:c>
      <x:c r="B20" s="102" t="str">
        <x:v>VESSEL_00292</x:v>
      </x:c>
      <x:c r="C20" s="102" t="str">
        <x:v>Algoma Harvester</x:v>
      </x:c>
      <x:c r="D20" s="102" t="str">
        <x:v>Fleet / identity evidence</x:v>
      </x:c>
      <x:c r="E20" s="102" t="str">
        <x:v>2026-09-07</x:v>
      </x:c>
      <x:c r="F20" s="102" t="str">
        <x:v>SRC_0167</x:v>
      </x:c>
      <x:c r="G20" s="102" t="str">
        <x:v>https://www.michigan.gov/egle/-/media/Project/Websites/egle/Documents/Programs/WRD/Ballast-Water/2023-report.pdf</x:v>
      </x:c>
      <x:c r="H20" s="102" t="str">
        <x:v>Vessel identity, company/fleet association and principal particulars</x:v>
      </x:c>
      <x:c r="I20" s="102" t="str">
        <x:v>High</x:v>
      </x:c>
      <x:c r="J20" s="102" t="str">
        <x:v>Historical / verify current</x:v>
      </x:c>
      <x:c r="K20" s="102" t="str">
        <x:v>Government identity evidence from 2023. Algoma's current segment structure is confirmed, but individual current operating status still requires reconciliation.</x:v>
      </x:c>
    </x:row>
    <x:row r="21">
      <x:c r="A21" s="102" t="str">
        <x:v>EVID_00020</x:v>
      </x:c>
      <x:c r="B21" s="102" t="str">
        <x:v>VESSEL_00293</x:v>
      </x:c>
      <x:c r="C21" s="102" t="str">
        <x:v>Algoma Innovator</x:v>
      </x:c>
      <x:c r="D21" s="102" t="str">
        <x:v>Fleet / identity evidence</x:v>
      </x:c>
      <x:c r="E21" s="102" t="str">
        <x:v>2026-09-07</x:v>
      </x:c>
      <x:c r="F21" s="102" t="str">
        <x:v>SRC_0167</x:v>
      </x:c>
      <x:c r="G21" s="102" t="str">
        <x:v>https://www.michigan.gov/egle/-/media/Project/Websites/egle/Documents/Programs/WRD/Ballast-Water/2023-report.pdf</x:v>
      </x:c>
      <x:c r="H21" s="102" t="str">
        <x:v>Vessel identity, company/fleet association and principal particulars</x:v>
      </x:c>
      <x:c r="I21" s="102" t="str">
        <x:v>High</x:v>
      </x:c>
      <x:c r="J21" s="102" t="str">
        <x:v>Historical / verify current</x:v>
      </x:c>
      <x:c r="K21" s="102" t="str">
        <x:v>Government identity evidence from 2023. Algoma's current segment structure is confirmed, but individual current operating status still requires reconciliation.</x:v>
      </x:c>
    </x:row>
    <x:row r="22">
      <x:c r="A22" s="102" t="str">
        <x:v>EVID_00021</x:v>
      </x:c>
      <x:c r="B22" s="102" t="str">
        <x:v>VESSEL_00294</x:v>
      </x:c>
      <x:c r="C22" s="102" t="str">
        <x:v>Algoma Intrepid</x:v>
      </x:c>
      <x:c r="D22" s="102" t="str">
        <x:v>Fleet / identity evidence</x:v>
      </x:c>
      <x:c r="E22" s="102" t="str">
        <x:v>2026-09-07</x:v>
      </x:c>
      <x:c r="F22" s="102" t="str">
        <x:v>SRC_0167</x:v>
      </x:c>
      <x:c r="G22" s="102" t="str">
        <x:v>https://www.michigan.gov/egle/-/media/Project/Websites/egle/Documents/Programs/WRD/Ballast-Water/2023-report.pdf</x:v>
      </x:c>
      <x:c r="H22" s="102" t="str">
        <x:v>Vessel identity, company/fleet association and principal particulars</x:v>
      </x:c>
      <x:c r="I22" s="102" t="str">
        <x:v>High</x:v>
      </x:c>
      <x:c r="J22" s="102" t="str">
        <x:v>Historical / verify current</x:v>
      </x:c>
      <x:c r="K22" s="102" t="str">
        <x:v>Government identity evidence from 2023. Algoma's current segment structure is confirmed, but individual current operating status still requires reconciliation.</x:v>
      </x:c>
    </x:row>
    <x:row r="23">
      <x:c r="A23" s="102" t="str">
        <x:v>EVID_00022</x:v>
      </x:c>
      <x:c r="B23" s="102" t="str">
        <x:v>VESSEL_00295</x:v>
      </x:c>
      <x:c r="C23" s="102" t="str">
        <x:v>Algoma Mariner</x:v>
      </x:c>
      <x:c r="D23" s="102" t="str">
        <x:v>Fleet / identity evidence</x:v>
      </x:c>
      <x:c r="E23" s="102" t="str">
        <x:v>2026-09-07</x:v>
      </x:c>
      <x:c r="F23" s="102" t="str">
        <x:v>SRC_0167</x:v>
      </x:c>
      <x:c r="G23" s="102" t="str">
        <x:v>https://www.michigan.gov/egle/-/media/Project/Websites/egle/Documents/Programs/WRD/Ballast-Water/2023-report.pdf</x:v>
      </x:c>
      <x:c r="H23" s="102" t="str">
        <x:v>Vessel identity, company/fleet association and principal particulars</x:v>
      </x:c>
      <x:c r="I23" s="102" t="str">
        <x:v>High</x:v>
      </x:c>
      <x:c r="J23" s="102" t="str">
        <x:v>Historical / verify current</x:v>
      </x:c>
      <x:c r="K23" s="102" t="str">
        <x:v>Government identity evidence from 2023. Algoma's current segment structure is confirmed, but individual current operating status still requires reconciliation.</x:v>
      </x:c>
    </x:row>
    <x:row r="24">
      <x:c r="A24" s="102" t="str">
        <x:v>EVID_00023</x:v>
      </x:c>
      <x:c r="B24" s="102" t="str">
        <x:v>VESSEL_00296</x:v>
      </x:c>
      <x:c r="C24" s="102" t="str">
        <x:v>Algoma Niagara</x:v>
      </x:c>
      <x:c r="D24" s="102" t="str">
        <x:v>Fleet / identity evidence</x:v>
      </x:c>
      <x:c r="E24" s="102" t="str">
        <x:v>2026-09-07</x:v>
      </x:c>
      <x:c r="F24" s="102" t="str">
        <x:v>SRC_0167</x:v>
      </x:c>
      <x:c r="G24" s="102" t="str">
        <x:v>https://www.michigan.gov/egle/-/media/Project/Websites/egle/Documents/Programs/WRD/Ballast-Water/2023-report.pdf</x:v>
      </x:c>
      <x:c r="H24" s="102" t="str">
        <x:v>Vessel identity, company/fleet association and principal particulars</x:v>
      </x:c>
      <x:c r="I24" s="102" t="str">
        <x:v>High</x:v>
      </x:c>
      <x:c r="J24" s="102" t="str">
        <x:v>Historical / verify current</x:v>
      </x:c>
      <x:c r="K24" s="102" t="str">
        <x:v>Government identity evidence from 2023. Algoma's current segment structure is confirmed, but individual current operating status still requires reconciliation.</x:v>
      </x:c>
    </x:row>
    <x:row r="25">
      <x:c r="A25" s="102" t="str">
        <x:v>EVID_00024</x:v>
      </x:c>
      <x:c r="B25" s="102" t="str">
        <x:v>VESSEL_00297</x:v>
      </x:c>
      <x:c r="C25" s="102" t="str">
        <x:v>Algoma Sault</x:v>
      </x:c>
      <x:c r="D25" s="102" t="str">
        <x:v>Fleet / identity evidence</x:v>
      </x:c>
      <x:c r="E25" s="102" t="str">
        <x:v>2026-09-07</x:v>
      </x:c>
      <x:c r="F25" s="102" t="str">
        <x:v>SRC_0167</x:v>
      </x:c>
      <x:c r="G25" s="102" t="str">
        <x:v>https://www.michigan.gov/egle/-/media/Project/Websites/egle/Documents/Programs/WRD/Ballast-Water/2023-report.pdf</x:v>
      </x:c>
      <x:c r="H25" s="102" t="str">
        <x:v>Vessel identity, company/fleet association and principal particulars</x:v>
      </x:c>
      <x:c r="I25" s="102" t="str">
        <x:v>High</x:v>
      </x:c>
      <x:c r="J25" s="102" t="str">
        <x:v>Historical / verify current</x:v>
      </x:c>
      <x:c r="K25" s="102" t="str">
        <x:v>Government identity evidence from 2023. Algoma's current segment structure is confirmed, but individual current operating status still requires reconciliation.</x:v>
      </x:c>
    </x:row>
    <x:row r="26">
      <x:c r="A26" s="102" t="str">
        <x:v>EVID_00025</x:v>
      </x:c>
      <x:c r="B26" s="102" t="str">
        <x:v>VESSEL_00298</x:v>
      </x:c>
      <x:c r="C26" s="102" t="str">
        <x:v>Algoma Strongfield</x:v>
      </x:c>
      <x:c r="D26" s="102" t="str">
        <x:v>Fleet / identity evidence</x:v>
      </x:c>
      <x:c r="E26" s="102" t="str">
        <x:v>2026-09-07</x:v>
      </x:c>
      <x:c r="F26" s="102" t="str">
        <x:v>SRC_0167</x:v>
      </x:c>
      <x:c r="G26" s="102" t="str">
        <x:v>https://www.michigan.gov/egle/-/media/Project/Websites/egle/Documents/Programs/WRD/Ballast-Water/2023-report.pdf</x:v>
      </x:c>
      <x:c r="H26" s="102" t="str">
        <x:v>Vessel identity, company/fleet association and principal particulars</x:v>
      </x:c>
      <x:c r="I26" s="102" t="str">
        <x:v>High</x:v>
      </x:c>
      <x:c r="J26" s="102" t="str">
        <x:v>Historical / verify current</x:v>
      </x:c>
      <x:c r="K26" s="102" t="str">
        <x:v>Government identity evidence from 2023. Algoma's current segment structure is confirmed, but individual current operating status still requires reconciliation.</x:v>
      </x:c>
    </x:row>
    <x:row r="27">
      <x:c r="A27" s="102" t="str">
        <x:v>EVID_00026</x:v>
      </x:c>
      <x:c r="B27" s="102" t="str">
        <x:v>VESSEL_00299</x:v>
      </x:c>
      <x:c r="C27" s="102" t="str">
        <x:v>Algoma Transport</x:v>
      </x:c>
      <x:c r="D27" s="102" t="str">
        <x:v>Fleet / identity evidence</x:v>
      </x:c>
      <x:c r="E27" s="102" t="str">
        <x:v>2026-09-07</x:v>
      </x:c>
      <x:c r="F27" s="102" t="str">
        <x:v>SRC_0167</x:v>
      </x:c>
      <x:c r="G27" s="102" t="str">
        <x:v>https://www.michigan.gov/egle/-/media/Project/Websites/egle/Documents/Programs/WRD/Ballast-Water/2023-report.pdf</x:v>
      </x:c>
      <x:c r="H27" s="102" t="str">
        <x:v>Vessel identity, company/fleet association and principal particulars</x:v>
      </x:c>
      <x:c r="I27" s="102" t="str">
        <x:v>High</x:v>
      </x:c>
      <x:c r="J27" s="102" t="str">
        <x:v>Historical / verify current</x:v>
      </x:c>
      <x:c r="K27" s="102" t="str">
        <x:v>Government identity evidence from 2023. Algoma's current segment structure is confirmed, but individual current operating status still requires reconciliation.</x:v>
      </x:c>
    </x:row>
    <x:row r="28">
      <x:c r="A28" s="102" t="str">
        <x:v>EVID_00027</x:v>
      </x:c>
      <x:c r="B28" s="102" t="str">
        <x:v>VESSEL_00300</x:v>
      </x:c>
      <x:c r="C28" s="102" t="str">
        <x:v>Capt. Henry Jackman</x:v>
      </x:c>
      <x:c r="D28" s="102" t="str">
        <x:v>Fleet / identity evidence</x:v>
      </x:c>
      <x:c r="E28" s="102" t="str">
        <x:v>2026-09-07</x:v>
      </x:c>
      <x:c r="F28" s="102" t="str">
        <x:v>SRC_0167</x:v>
      </x:c>
      <x:c r="G28" s="102" t="str">
        <x:v>https://www.michigan.gov/egle/-/media/Project/Websites/egle/Documents/Programs/WRD/Ballast-Water/2023-report.pdf</x:v>
      </x:c>
      <x:c r="H28" s="102" t="str">
        <x:v>Vessel identity, company/fleet association and principal particulars</x:v>
      </x:c>
      <x:c r="I28" s="102" t="str">
        <x:v>High</x:v>
      </x:c>
      <x:c r="J28" s="102" t="str">
        <x:v>Historical / verify current</x:v>
      </x:c>
      <x:c r="K28" s="102" t="str">
        <x:v>Government identity evidence from 2023. Algoma's current segment structure is confirmed, but individual current operating status still requires reconciliation.</x:v>
      </x:c>
    </x:row>
    <x:row r="29">
      <x:c r="A29" s="102" t="str">
        <x:v>EVID_00028</x:v>
      </x:c>
      <x:c r="B29" s="102" t="str">
        <x:v>VESSEL_00301</x:v>
      </x:c>
      <x:c r="C29" s="102" t="str">
        <x:v>G3 Marquis</x:v>
      </x:c>
      <x:c r="D29" s="102" t="str">
        <x:v>Fleet / identity evidence</x:v>
      </x:c>
      <x:c r="E29" s="102" t="str">
        <x:v>2026-09-07</x:v>
      </x:c>
      <x:c r="F29" s="102" t="str">
        <x:v>SRC_0167</x:v>
      </x:c>
      <x:c r="G29" s="102" t="str">
        <x:v>https://www.michigan.gov/egle/-/media/Project/Websites/egle/Documents/Programs/WRD/Ballast-Water/2023-report.pdf</x:v>
      </x:c>
      <x:c r="H29" s="102" t="str">
        <x:v>Vessel identity, company/fleet association and principal particulars</x:v>
      </x:c>
      <x:c r="I29" s="102" t="str">
        <x:v>High</x:v>
      </x:c>
      <x:c r="J29" s="102" t="str">
        <x:v>Historical / verify current</x:v>
      </x:c>
      <x:c r="K29" s="102" t="str">
        <x:v>Government identity evidence from 2023. Algoma's current segment structure is confirmed, but individual current operating status still requires reconciliation.</x:v>
      </x:c>
    </x:row>
    <x:row r="30">
      <x:c r="A30" s="102" t="str">
        <x:v>EVID_00029</x:v>
      </x:c>
      <x:c r="B30" s="102" t="str">
        <x:v>VESSEL_00302</x:v>
      </x:c>
      <x:c r="C30" s="102" t="str">
        <x:v>John D Leitch</x:v>
      </x:c>
      <x:c r="D30" s="102" t="str">
        <x:v>Fleet / identity evidence</x:v>
      </x:c>
      <x:c r="E30" s="102" t="str">
        <x:v>2026-09-07</x:v>
      </x:c>
      <x:c r="F30" s="102" t="str">
        <x:v>SRC_0167</x:v>
      </x:c>
      <x:c r="G30" s="102" t="str">
        <x:v>https://www.michigan.gov/egle/-/media/Project/Websites/egle/Documents/Programs/WRD/Ballast-Water/2023-report.pdf</x:v>
      </x:c>
      <x:c r="H30" s="102" t="str">
        <x:v>Vessel identity, company/fleet association and principal particulars</x:v>
      </x:c>
      <x:c r="I30" s="102" t="str">
        <x:v>High</x:v>
      </x:c>
      <x:c r="J30" s="102" t="str">
        <x:v>Historical / verify current</x:v>
      </x:c>
      <x:c r="K30" s="102" t="str">
        <x:v>Government identity evidence from 2023. Algoma's current segment structure is confirmed, but individual current operating status still requires reconciliation.</x:v>
      </x:c>
    </x:row>
    <x:row r="31">
      <x:c r="A31" s="102" t="str">
        <x:v>EVID_00030</x:v>
      </x:c>
      <x:c r="B31" s="102" t="str">
        <x:v>VESSEL_00303</x:v>
      </x:c>
      <x:c r="C31" s="102" t="str">
        <x:v>Radcliffe R Latimer</x:v>
      </x:c>
      <x:c r="D31" s="102" t="str">
        <x:v>Fleet / identity evidence</x:v>
      </x:c>
      <x:c r="E31" s="102" t="str">
        <x:v>2026-09-07</x:v>
      </x:c>
      <x:c r="F31" s="102" t="str">
        <x:v>SRC_0167</x:v>
      </x:c>
      <x:c r="G31" s="102" t="str">
        <x:v>https://www.michigan.gov/egle/-/media/Project/Websites/egle/Documents/Programs/WRD/Ballast-Water/2023-report.pdf</x:v>
      </x:c>
      <x:c r="H31" s="102" t="str">
        <x:v>Vessel identity, company/fleet association and principal particulars</x:v>
      </x:c>
      <x:c r="I31" s="102" t="str">
        <x:v>High</x:v>
      </x:c>
      <x:c r="J31" s="102" t="str">
        <x:v>Historical / verify current</x:v>
      </x:c>
      <x:c r="K31" s="102" t="str">
        <x:v>Government identity evidence from 2023. Algoma's current segment structure is confirmed, but individual current operating status still requires reconciliation.</x:v>
      </x:c>
    </x:row>
    <x:row r="32">
      <x:c r="A32" s="102" t="str">
        <x:v>EVID_00031</x:v>
      </x:c>
      <x:c r="B32" s="102" t="str">
        <x:v>VESSEL_00304</x:v>
      </x:c>
      <x:c r="C32" s="102" t="str">
        <x:v>Tim S Dool</x:v>
      </x:c>
      <x:c r="D32" s="102" t="str">
        <x:v>Fleet / identity evidence</x:v>
      </x:c>
      <x:c r="E32" s="102" t="str">
        <x:v>2026-09-07</x:v>
      </x:c>
      <x:c r="F32" s="102" t="str">
        <x:v>SRC_0167</x:v>
      </x:c>
      <x:c r="G32" s="102" t="str">
        <x:v>https://www.michigan.gov/egle/-/media/Project/Websites/egle/Documents/Programs/WRD/Ballast-Water/2023-report.pdf</x:v>
      </x:c>
      <x:c r="H32" s="102" t="str">
        <x:v>Vessel identity, company/fleet association and principal particulars</x:v>
      </x:c>
      <x:c r="I32" s="102" t="str">
        <x:v>High</x:v>
      </x:c>
      <x:c r="J32" s="102" t="str">
        <x:v>Historical / verify current</x:v>
      </x:c>
      <x:c r="K32" s="102" t="str">
        <x:v>Government identity evidence from 2023. Algoma's current segment structure is confirmed, but individual current operating status still requires reconciliation.</x:v>
      </x:c>
    </x:row>
    <x:row r="33">
      <x:c r="A33" s="102" t="str">
        <x:v>EVID_00032</x:v>
      </x:c>
      <x:c r="B33" s="102" t="str">
        <x:v>VESSEL_00305</x:v>
      </x:c>
      <x:c r="C33" s="102" t="str">
        <x:v>Algonova</x:v>
      </x:c>
      <x:c r="D33" s="102" t="str">
        <x:v>Fleet / identity evidence</x:v>
      </x:c>
      <x:c r="E33" s="102" t="str">
        <x:v>2026-09-07</x:v>
      </x:c>
      <x:c r="F33" s="102" t="str">
        <x:v>SRC_0167</x:v>
      </x:c>
      <x:c r="G33" s="102" t="str">
        <x:v>https://www.michigan.gov/egle/-/media/Project/Websites/egle/Documents/Programs/WRD/Ballast-Water/2023-report.pdf</x:v>
      </x:c>
      <x:c r="H33" s="102" t="str">
        <x:v>Vessel identity, company/fleet association and principal particulars</x:v>
      </x:c>
      <x:c r="I33" s="102" t="str">
        <x:v>High</x:v>
      </x:c>
      <x:c r="J33" s="102" t="str">
        <x:v>Historical / verify current</x:v>
      </x:c>
      <x:c r="K33" s="102" t="str">
        <x:v>Government identity evidence from 2023. Algoma's current segment structure is confirmed, but individual current operating status still requires reconciliation.</x:v>
      </x:c>
    </x:row>
    <x:row r="34">
      <x:c r="A34" s="102" t="str">
        <x:v>EVID_00033</x:v>
      </x:c>
      <x:c r="B34" s="102" t="str">
        <x:v>VESSEL_00306</x:v>
      </x:c>
      <x:c r="C34" s="102" t="str">
        <x:v>Algoscotia</x:v>
      </x:c>
      <x:c r="D34" s="102" t="str">
        <x:v>Fleet / identity evidence</x:v>
      </x:c>
      <x:c r="E34" s="102" t="str">
        <x:v>2026-09-07</x:v>
      </x:c>
      <x:c r="F34" s="102" t="str">
        <x:v>SRC_0167</x:v>
      </x:c>
      <x:c r="G34" s="102" t="str">
        <x:v>https://www.michigan.gov/egle/-/media/Project/Websites/egle/Documents/Programs/WRD/Ballast-Water/2023-report.pdf</x:v>
      </x:c>
      <x:c r="H34" s="102" t="str">
        <x:v>Vessel identity, company/fleet association and principal particulars</x:v>
      </x:c>
      <x:c r="I34" s="102" t="str">
        <x:v>High</x:v>
      </x:c>
      <x:c r="J34" s="102" t="str">
        <x:v>Historical / verify current</x:v>
      </x:c>
      <x:c r="K34" s="102" t="str">
        <x:v>Government identity evidence from 2023. Algoma's current segment structure is confirmed, but individual current operating status still requires reconciliation.</x:v>
      </x:c>
    </x:row>
    <x:row r="35">
      <x:c r="A35" s="102" t="str">
        <x:v>EVID_00034</x:v>
      </x:c>
      <x:c r="B35" s="102" t="str">
        <x:v>VESSEL_00307</x:v>
      </x:c>
      <x:c r="C35" s="102" t="str">
        <x:v>Algosea</x:v>
      </x:c>
      <x:c r="D35" s="102" t="str">
        <x:v>Fleet / identity evidence</x:v>
      </x:c>
      <x:c r="E35" s="102" t="str">
        <x:v>2026-09-07</x:v>
      </x:c>
      <x:c r="F35" s="102" t="str">
        <x:v>SRC_0167</x:v>
      </x:c>
      <x:c r="G35" s="102" t="str">
        <x:v>https://www.michigan.gov/egle/-/media/Project/Websites/egle/Documents/Programs/WRD/Ballast-Water/2023-report.pdf</x:v>
      </x:c>
      <x:c r="H35" s="102" t="str">
        <x:v>Vessel identity, company/fleet association and principal particulars</x:v>
      </x:c>
      <x:c r="I35" s="102" t="str">
        <x:v>High</x:v>
      </x:c>
      <x:c r="J35" s="102" t="str">
        <x:v>Historical / verify current</x:v>
      </x:c>
      <x:c r="K35" s="102" t="str">
        <x:v>Government identity evidence from 2023. Algoma's current segment structure is confirmed, but individual current operating status still requires reconciliation.</x:v>
      </x:c>
    </x:row>
    <x:row r="36">
      <x:c r="A36" s="102" t="str">
        <x:v>EVID_00035</x:v>
      </x:c>
      <x:c r="B36" s="102" t="str">
        <x:v>VESSEL_00308</x:v>
      </x:c>
      <x:c r="C36" s="102" t="str">
        <x:v>Algoterra</x:v>
      </x:c>
      <x:c r="D36" s="102" t="str">
        <x:v>Fleet / identity evidence</x:v>
      </x:c>
      <x:c r="E36" s="102" t="str">
        <x:v>2026-09-07</x:v>
      </x:c>
      <x:c r="F36" s="102" t="str">
        <x:v>SRC_0167</x:v>
      </x:c>
      <x:c r="G36" s="102" t="str">
        <x:v>https://www.michigan.gov/egle/-/media/Project/Websites/egle/Documents/Programs/WRD/Ballast-Water/2023-report.pdf</x:v>
      </x:c>
      <x:c r="H36" s="102" t="str">
        <x:v>Vessel identity, company/fleet association and principal particulars</x:v>
      </x:c>
      <x:c r="I36" s="102" t="str">
        <x:v>High</x:v>
      </x:c>
      <x:c r="J36" s="102" t="str">
        <x:v>Historical / verify current</x:v>
      </x:c>
      <x:c r="K36" s="102" t="str">
        <x:v>Government identity evidence from 2023. Algoma's current segment structure is confirmed, but individual current operating status still requires reconciliation.</x:v>
      </x:c>
    </x:row>
    <x:row r="37">
      <x:c r="A37" s="102" t="str">
        <x:v>EVID_00036</x:v>
      </x:c>
      <x:c r="B37" s="102" t="str">
        <x:v>VESSEL_00309</x:v>
      </x:c>
      <x:c r="C37" s="102" t="str">
        <x:v>Algotitan</x:v>
      </x:c>
      <x:c r="D37" s="102" t="str">
        <x:v>Fleet / identity evidence</x:v>
      </x:c>
      <x:c r="E37" s="102" t="str">
        <x:v>2026-09-07</x:v>
      </x:c>
      <x:c r="F37" s="102" t="str">
        <x:v>SRC_0167</x:v>
      </x:c>
      <x:c r="G37" s="102" t="str">
        <x:v>https://www.michigan.gov/egle/-/media/Project/Websites/egle/Documents/Programs/WRD/Ballast-Water/2023-report.pdf</x:v>
      </x:c>
      <x:c r="H37" s="102" t="str">
        <x:v>Vessel identity, company/fleet association and principal particulars</x:v>
      </x:c>
      <x:c r="I37" s="102" t="str">
        <x:v>High</x:v>
      </x:c>
      <x:c r="J37" s="102" t="str">
        <x:v>Historical / verify current</x:v>
      </x:c>
      <x:c r="K37" s="102" t="str">
        <x:v>Government identity evidence from 2023. Algoma's current segment structure is confirmed, but individual current operating status still requires reconciliation.</x:v>
      </x:c>
    </x:row>
    <x:row r="38">
      <x:c r="A38" s="102" t="str">
        <x:v>EVID_00037</x:v>
      </x:c>
      <x:c r="B38" s="102" t="str">
        <x:v>VESSEL_00310</x:v>
      </x:c>
      <x:c r="C38" s="102" t="str">
        <x:v>Algoma Bear</x:v>
      </x:c>
      <x:c r="D38" s="102" t="str">
        <x:v>Fleet / identity evidence</x:v>
      </x:c>
      <x:c r="E38" s="102" t="str">
        <x:v>2026-09-07</x:v>
      </x:c>
      <x:c r="F38" s="102" t="str">
        <x:v>SRC_0174</x:v>
      </x:c>
      <x:c r="G38" s="102" t="str">
        <x:v>https://www.algonet.com/ship/algoma-bear/</x:v>
      </x:c>
      <x:c r="H38" s="102" t="str">
        <x:v>Vessel identity, company/fleet association and principal particulars</x:v>
      </x:c>
      <x:c r="I38" s="102" t="str">
        <x:v>High</x:v>
      </x:c>
      <x:c r="J38" s="102" t="str">
        <x:v>Current</x:v>
      </x:c>
      <x:c r="K38" s="102" t="str">
        <x:v>Current Algoma fleet/program evidence with owner/operator separation retained where available.</x:v>
      </x:c>
    </x:row>
    <x:row r="39">
      <x:c r="A39" s="102" t="str">
        <x:v>EVID_00038</x:v>
      </x:c>
      <x:c r="B39" s="102" t="str">
        <x:v>VESSEL_00311</x:v>
      </x:c>
      <x:c r="C39" s="102" t="str">
        <x:v>Algoma Endeavour</x:v>
      </x:c>
      <x:c r="D39" s="102" t="str">
        <x:v>Fleet / identity evidence</x:v>
      </x:c>
      <x:c r="E39" s="102" t="str">
        <x:v>2026-09-07</x:v>
      </x:c>
      <x:c r="F39" s="102" t="str">
        <x:v>SRC_0175</x:v>
      </x:c>
      <x:c r="G39" s="102" t="str">
        <x:v>https://www.algonet.com/ship/algoma-endeavour/</x:v>
      </x:c>
      <x:c r="H39" s="102" t="str">
        <x:v>Vessel identity, company/fleet association and principal particulars</x:v>
      </x:c>
      <x:c r="I39" s="102" t="str">
        <x:v>High</x:v>
      </x:c>
      <x:c r="J39" s="102" t="str">
        <x:v>Current</x:v>
      </x:c>
      <x:c r="K39" s="102" t="str">
        <x:v>Current Algoma fleet/program evidence with owner/operator separation retained where available.</x:v>
      </x:c>
    </x:row>
    <x:row r="40">
      <x:c r="A40" s="102" t="str">
        <x:v>EVID_00039</x:v>
      </x:c>
      <x:c r="B40" s="102" t="str">
        <x:v>VESSEL_00312</x:v>
      </x:c>
      <x:c r="C40" s="102" t="str">
        <x:v>Algoma East Coast</x:v>
      </x:c>
      <x:c r="D40" s="102" t="str">
        <x:v>Fleet / identity evidence</x:v>
      </x:c>
      <x:c r="E40" s="102" t="str">
        <x:v>2026-09-07</x:v>
      </x:c>
      <x:c r="F40" s="102" t="str">
        <x:v>SRC_0172</x:v>
      </x:c>
      <x:c r="G40" s="102" t="str">
        <x:v>https://www.algonet.com/wp-content/uploads/2025/04/Algoma-East-Coast_Spec-Sheet.pdf</x:v>
      </x:c>
      <x:c r="H40" s="102" t="str">
        <x:v>Vessel identity, company/fleet association and principal particulars</x:v>
      </x:c>
      <x:c r="I40" s="102" t="str">
        <x:v>High</x:v>
      </x:c>
      <x:c r="J40" s="102" t="str">
        <x:v>Current</x:v>
      </x:c>
      <x:c r="K40" s="102" t="str">
        <x:v>Current Algoma fleet/program evidence with owner/operator separation retained where available.</x:v>
      </x:c>
    </x:row>
    <x:row r="41">
      <x:c r="A41" s="102" t="str">
        <x:v>EVID_00040</x:v>
      </x:c>
      <x:c r="B41" s="102" t="str">
        <x:v>VESSEL_00313</x:v>
      </x:c>
      <x:c r="C41" s="102" t="str">
        <x:v>Algoma Acadian</x:v>
      </x:c>
      <x:c r="D41" s="102" t="str">
        <x:v>Fleet / identity evidence</x:v>
      </x:c>
      <x:c r="E41" s="102" t="str">
        <x:v>2026-09-07</x:v>
      </x:c>
      <x:c r="F41" s="102" t="str">
        <x:v>SRC_0173</x:v>
      </x:c>
      <x:c r="G41" s="102" t="str">
        <x:v>https://www.algonet.com/fleets/</x:v>
      </x:c>
      <x:c r="H41" s="102" t="str">
        <x:v>Vessel identity, company/fleet association and principal particulars</x:v>
      </x:c>
      <x:c r="I41" s="102" t="str">
        <x:v>High</x:v>
      </x:c>
      <x:c r="J41" s="102" t="str">
        <x:v>Current</x:v>
      </x:c>
      <x:c r="K41" s="102" t="str">
        <x:v>Current Algoma fleet/program evidence with owner/operator separation retained where available.</x:v>
      </x:c>
    </x:row>
    <x:row r="42">
      <x:c r="A42" s="102" t="str">
        <x:v>EVID_00041</x:v>
      </x:c>
      <x:c r="B42" s="102" t="str">
        <x:v>VESSEL_00314</x:v>
      </x:c>
      <x:c r="C42" s="102" t="str">
        <x:v>Mark W. Barker</x:v>
      </x:c>
      <x:c r="D42" s="102" t="str">
        <x:v>Fleet / identity evidence</x:v>
      </x:c>
      <x:c r="E42" s="102" t="str">
        <x:v>2026-09-07</x:v>
      </x:c>
      <x:c r="F42" s="102" t="str">
        <x:v>SRC_0156</x:v>
      </x:c>
      <x:c r="G42" s="102" t="str">
        <x:v>https://www.interlake-steamship.com/our-fleet/</x:v>
      </x:c>
      <x:c r="H42" s="102" t="str">
        <x:v>Vessel identity, company/fleet association and principal particulars</x:v>
      </x:c>
      <x:c r="I42" s="102" t="str">
        <x:v>High</x:v>
      </x:c>
      <x:c r="J42" s="102" t="str">
        <x:v>Current</x:v>
      </x:c>
      <x:c r="K42" s="102" t="str">
        <x:v>Current Interlake fleet membership verified; IMO cross-checked against regulator identity records.</x:v>
      </x:c>
    </x:row>
    <x:row r="43">
      <x:c r="A43" s="102" t="str">
        <x:v>EVID_00042</x:v>
      </x:c>
      <x:c r="B43" s="102" t="str">
        <x:v>VESSEL_00315</x:v>
      </x:c>
      <x:c r="C43" s="102" t="str">
        <x:v>Paul R. Tregurtha</x:v>
      </x:c>
      <x:c r="D43" s="102" t="str">
        <x:v>Fleet / identity evidence</x:v>
      </x:c>
      <x:c r="E43" s="102" t="str">
        <x:v>2026-09-07</x:v>
      </x:c>
      <x:c r="F43" s="102" t="str">
        <x:v>SRC_0156</x:v>
      </x:c>
      <x:c r="G43" s="102" t="str">
        <x:v>https://www.interlake-steamship.com/our-fleet/</x:v>
      </x:c>
      <x:c r="H43" s="102" t="str">
        <x:v>Vessel identity, company/fleet association and principal particulars</x:v>
      </x:c>
      <x:c r="I43" s="102" t="str">
        <x:v>High</x:v>
      </x:c>
      <x:c r="J43" s="102" t="str">
        <x:v>Current</x:v>
      </x:c>
      <x:c r="K43" s="102" t="str">
        <x:v>Current Interlake fleet membership verified; IMO cross-checked against regulator identity records.</x:v>
      </x:c>
    </x:row>
    <x:row r="44">
      <x:c r="A44" s="102" t="str">
        <x:v>EVID_00043</x:v>
      </x:c>
      <x:c r="B44" s="102" t="str">
        <x:v>VESSEL_00316</x:v>
      </x:c>
      <x:c r="C44" s="102" t="str">
        <x:v>James R. Barker</x:v>
      </x:c>
      <x:c r="D44" s="102" t="str">
        <x:v>Fleet / identity evidence</x:v>
      </x:c>
      <x:c r="E44" s="102" t="str">
        <x:v>2026-09-07</x:v>
      </x:c>
      <x:c r="F44" s="102" t="str">
        <x:v>SRC_0156</x:v>
      </x:c>
      <x:c r="G44" s="102" t="str">
        <x:v>https://www.interlake-steamship.com/our-fleet/</x:v>
      </x:c>
      <x:c r="H44" s="102" t="str">
        <x:v>Vessel identity, company/fleet association and principal particulars</x:v>
      </x:c>
      <x:c r="I44" s="102" t="str">
        <x:v>High</x:v>
      </x:c>
      <x:c r="J44" s="102" t="str">
        <x:v>Current</x:v>
      </x:c>
      <x:c r="K44" s="102" t="str">
        <x:v>Current Interlake fleet membership verified; IMO cross-checked against regulator identity records.</x:v>
      </x:c>
    </x:row>
    <x:row r="45">
      <x:c r="A45" s="102" t="str">
        <x:v>EVID_00044</x:v>
      </x:c>
      <x:c r="B45" s="102" t="str">
        <x:v>VESSEL_00317</x:v>
      </x:c>
      <x:c r="C45" s="102" t="str">
        <x:v>Mesabi Miner</x:v>
      </x:c>
      <x:c r="D45" s="102" t="str">
        <x:v>Fleet / identity evidence</x:v>
      </x:c>
      <x:c r="E45" s="102" t="str">
        <x:v>2026-09-07</x:v>
      </x:c>
      <x:c r="F45" s="102" t="str">
        <x:v>SRC_0156</x:v>
      </x:c>
      <x:c r="G45" s="102" t="str">
        <x:v>https://www.interlake-steamship.com/our-fleet/</x:v>
      </x:c>
      <x:c r="H45" s="102" t="str">
        <x:v>Vessel identity, company/fleet association and principal particulars</x:v>
      </x:c>
      <x:c r="I45" s="102" t="str">
        <x:v>High</x:v>
      </x:c>
      <x:c r="J45" s="102" t="str">
        <x:v>Current</x:v>
      </x:c>
      <x:c r="K45" s="102" t="str">
        <x:v>Current Interlake fleet membership verified; IMO cross-checked against regulator identity records.</x:v>
      </x:c>
    </x:row>
    <x:row r="46">
      <x:c r="A46" s="102" t="str">
        <x:v>EVID_00045</x:v>
      </x:c>
      <x:c r="B46" s="102" t="str">
        <x:v>VESSEL_00318</x:v>
      </x:c>
      <x:c r="C46" s="102" t="str">
        <x:v>Lee A. Tregurtha</x:v>
      </x:c>
      <x:c r="D46" s="102" t="str">
        <x:v>Fleet / identity evidence</x:v>
      </x:c>
      <x:c r="E46" s="102" t="str">
        <x:v>2026-09-07</x:v>
      </x:c>
      <x:c r="F46" s="102" t="str">
        <x:v>SRC_0156</x:v>
      </x:c>
      <x:c r="G46" s="102" t="str">
        <x:v>https://www.interlake-steamship.com/our-fleet/</x:v>
      </x:c>
      <x:c r="H46" s="102" t="str">
        <x:v>Vessel identity, company/fleet association and principal particulars</x:v>
      </x:c>
      <x:c r="I46" s="102" t="str">
        <x:v>High</x:v>
      </x:c>
      <x:c r="J46" s="102" t="str">
        <x:v>Current</x:v>
      </x:c>
      <x:c r="K46" s="102" t="str">
        <x:v>Current Interlake fleet membership verified; IMO cross-checked against regulator identity records.</x:v>
      </x:c>
    </x:row>
    <x:row r="47">
      <x:c r="A47" s="102" t="str">
        <x:v>EVID_00046</x:v>
      </x:c>
      <x:c r="B47" s="102" t="str">
        <x:v>VESSEL_00319</x:v>
      </x:c>
      <x:c r="C47" s="102" t="str">
        <x:v>Honorable James L. Oberstar</x:v>
      </x:c>
      <x:c r="D47" s="102" t="str">
        <x:v>Fleet / identity evidence</x:v>
      </x:c>
      <x:c r="E47" s="102" t="str">
        <x:v>2026-09-07</x:v>
      </x:c>
      <x:c r="F47" s="102" t="str">
        <x:v>SRC_0156</x:v>
      </x:c>
      <x:c r="G47" s="102" t="str">
        <x:v>https://www.interlake-steamship.com/our-fleet/</x:v>
      </x:c>
      <x:c r="H47" s="102" t="str">
        <x:v>Vessel identity, company/fleet association and principal particulars</x:v>
      </x:c>
      <x:c r="I47" s="102" t="str">
        <x:v>High</x:v>
      </x:c>
      <x:c r="J47" s="102" t="str">
        <x:v>Current</x:v>
      </x:c>
      <x:c r="K47" s="102" t="str">
        <x:v>Current Interlake fleet membership verified; IMO cross-checked against regulator identity records.</x:v>
      </x:c>
    </x:row>
    <x:row r="48">
      <x:c r="A48" s="102" t="str">
        <x:v>EVID_00047</x:v>
      </x:c>
      <x:c r="B48" s="102" t="str">
        <x:v>VESSEL_00320</x:v>
      </x:c>
      <x:c r="C48" s="102" t="str">
        <x:v>Kaye E. Barker</x:v>
      </x:c>
      <x:c r="D48" s="102" t="str">
        <x:v>Fleet / identity evidence</x:v>
      </x:c>
      <x:c r="E48" s="102" t="str">
        <x:v>2026-09-07</x:v>
      </x:c>
      <x:c r="F48" s="102" t="str">
        <x:v>SRC_0156</x:v>
      </x:c>
      <x:c r="G48" s="102" t="str">
        <x:v>https://www.interlake-steamship.com/our-fleet/</x:v>
      </x:c>
      <x:c r="H48" s="102" t="str">
        <x:v>Vessel identity, company/fleet association and principal particulars</x:v>
      </x:c>
      <x:c r="I48" s="102" t="str">
        <x:v>High</x:v>
      </x:c>
      <x:c r="J48" s="102" t="str">
        <x:v>Current</x:v>
      </x:c>
      <x:c r="K48" s="102" t="str">
        <x:v>Current Interlake fleet membership verified; IMO cross-checked against regulator identity records.</x:v>
      </x:c>
    </x:row>
    <x:row r="49">
      <x:c r="A49" s="102" t="str">
        <x:v>EVID_00048</x:v>
      </x:c>
      <x:c r="B49" s="102" t="str">
        <x:v>VESSEL_00321</x:v>
      </x:c>
      <x:c r="C49" s="102" t="str">
        <x:v>Herbert C. Jackson</x:v>
      </x:c>
      <x:c r="D49" s="102" t="str">
        <x:v>Fleet / identity evidence</x:v>
      </x:c>
      <x:c r="E49" s="102" t="str">
        <x:v>2026-09-07</x:v>
      </x:c>
      <x:c r="F49" s="102" t="str">
        <x:v>SRC_0156</x:v>
      </x:c>
      <x:c r="G49" s="102" t="str">
        <x:v>https://www.interlake-steamship.com/our-fleet/</x:v>
      </x:c>
      <x:c r="H49" s="102" t="str">
        <x:v>Vessel identity, company/fleet association and principal particulars</x:v>
      </x:c>
      <x:c r="I49" s="102" t="str">
        <x:v>High</x:v>
      </x:c>
      <x:c r="J49" s="102" t="str">
        <x:v>Current</x:v>
      </x:c>
      <x:c r="K49" s="102" t="str">
        <x:v>Current Interlake fleet membership verified; IMO cross-checked against regulator identity records.</x:v>
      </x:c>
    </x:row>
    <x:row r="50">
      <x:c r="A50" s="102" t="str">
        <x:v>EVID_00049</x:v>
      </x:c>
      <x:c r="B50" s="102" t="str">
        <x:v>VESSEL_00322</x:v>
      </x:c>
      <x:c r="C50" s="102" t="str">
        <x:v>Dorothy Ann</x:v>
      </x:c>
      <x:c r="D50" s="102" t="str">
        <x:v>Fleet / identity evidence</x:v>
      </x:c>
      <x:c r="E50" s="102" t="str">
        <x:v>2026-09-07</x:v>
      </x:c>
      <x:c r="F50" s="102" t="str">
        <x:v>SRC_0156</x:v>
      </x:c>
      <x:c r="G50" s="102" t="str">
        <x:v>https://www.interlake-steamship.com/our-fleet/</x:v>
      </x:c>
      <x:c r="H50" s="102" t="str">
        <x:v>Vessel identity, company/fleet association and principal particulars</x:v>
      </x:c>
      <x:c r="I50" s="102" t="str">
        <x:v>High</x:v>
      </x:c>
      <x:c r="J50" s="102" t="str">
        <x:v>Current</x:v>
      </x:c>
      <x:c r="K50" s="102" t="str">
        <x:v>Current Interlake fleet membership verified; IMO cross-checked against regulator identity records.</x:v>
      </x:c>
    </x:row>
    <x:row r="51">
      <x:c r="A51" s="102" t="str">
        <x:v>EVID_00050</x:v>
      </x:c>
      <x:c r="B51" s="102" t="str">
        <x:v>VESSEL_00323</x:v>
      </x:c>
      <x:c r="C51" s="102" t="str">
        <x:v>Stewart J. Cort</x:v>
      </x:c>
      <x:c r="D51" s="102" t="str">
        <x:v>Fleet / identity evidence</x:v>
      </x:c>
      <x:c r="E51" s="102" t="str">
        <x:v>2026-09-07</x:v>
      </x:c>
      <x:c r="F51" s="102" t="str">
        <x:v>SRC_0156</x:v>
      </x:c>
      <x:c r="G51" s="102" t="str">
        <x:v>https://www.interlake-steamship.com/our-fleet/</x:v>
      </x:c>
      <x:c r="H51" s="102" t="str">
        <x:v>Vessel identity, company/fleet association and principal particulars</x:v>
      </x:c>
      <x:c r="I51" s="102" t="str">
        <x:v>High</x:v>
      </x:c>
      <x:c r="J51" s="102" t="str">
        <x:v>Current</x:v>
      </x:c>
      <x:c r="K51" s="102" t="str">
        <x:v>Current Interlake fleet membership verified; IMO cross-checked against regulator identity records.</x:v>
      </x:c>
    </x:row>
    <x:row r="52">
      <x:c r="A52" s="102" t="str">
        <x:v>EVID_00051</x:v>
      </x:c>
      <x:c r="B52" s="102" t="str">
        <x:v>VESSEL_00324</x:v>
      </x:c>
      <x:c r="C52" s="102" t="str">
        <x:v>American Century</x:v>
      </x:c>
      <x:c r="D52" s="102" t="str">
        <x:v>Fleet / identity evidence</x:v>
      </x:c>
      <x:c r="E52" s="102" t="str">
        <x:v>2026-09-07</x:v>
      </x:c>
      <x:c r="F52" s="102" t="str">
        <x:v>SRC_0167</x:v>
      </x:c>
      <x:c r="G52" s="102" t="str">
        <x:v>https://www.michigan.gov/egle/-/media/Project/Websites/egle/Documents/Programs/WRD/Ballast-Water/2023-report.pdf</x:v>
      </x:c>
      <x:c r="H52" s="102" t="str">
        <x:v>Vessel identity, company/fleet association and principal particulars</x:v>
      </x:c>
      <x:c r="I52" s="102" t="str">
        <x:v>High</x:v>
      </x:c>
      <x:c r="J52" s="102" t="str">
        <x:v>Historical / verify current</x:v>
      </x:c>
      <x:c r="K52" s="102" t="str">
        <x:v>Regulator identity seed; current individual operating status requires Mainstay/ASC refresh.</x:v>
      </x:c>
    </x:row>
    <x:row r="53">
      <x:c r="A53" s="102" t="str">
        <x:v>EVID_00052</x:v>
      </x:c>
      <x:c r="B53" s="102" t="str">
        <x:v>VESSEL_00325</x:v>
      </x:c>
      <x:c r="C53" s="102" t="str">
        <x:v>American Courage</x:v>
      </x:c>
      <x:c r="D53" s="102" t="str">
        <x:v>Fleet / identity evidence</x:v>
      </x:c>
      <x:c r="E53" s="102" t="str">
        <x:v>2026-09-07</x:v>
      </x:c>
      <x:c r="F53" s="102" t="str">
        <x:v>SRC_0167</x:v>
      </x:c>
      <x:c r="G53" s="102" t="str">
        <x:v>https://www.michigan.gov/egle/-/media/Project/Websites/egle/Documents/Programs/WRD/Ballast-Water/2023-report.pdf</x:v>
      </x:c>
      <x:c r="H53" s="102" t="str">
        <x:v>Vessel identity, company/fleet association and principal particulars</x:v>
      </x:c>
      <x:c r="I53" s="102" t="str">
        <x:v>High</x:v>
      </x:c>
      <x:c r="J53" s="102" t="str">
        <x:v>Historical / verify current</x:v>
      </x:c>
      <x:c r="K53" s="102" t="str">
        <x:v>Regulator identity seed; current individual operating status requires Mainstay/ASC refresh.</x:v>
      </x:c>
    </x:row>
    <x:row r="54">
      <x:c r="A54" s="102" t="str">
        <x:v>EVID_00053</x:v>
      </x:c>
      <x:c r="B54" s="102" t="str">
        <x:v>VESSEL_00326</x:v>
      </x:c>
      <x:c r="C54" s="102" t="str">
        <x:v>American Integrity</x:v>
      </x:c>
      <x:c r="D54" s="102" t="str">
        <x:v>Fleet / identity evidence</x:v>
      </x:c>
      <x:c r="E54" s="102" t="str">
        <x:v>2026-09-07</x:v>
      </x:c>
      <x:c r="F54" s="102" t="str">
        <x:v>SRC_0167</x:v>
      </x:c>
      <x:c r="G54" s="102" t="str">
        <x:v>https://www.michigan.gov/egle/-/media/Project/Websites/egle/Documents/Programs/WRD/Ballast-Water/2023-report.pdf</x:v>
      </x:c>
      <x:c r="H54" s="102" t="str">
        <x:v>Vessel identity, company/fleet association and principal particulars</x:v>
      </x:c>
      <x:c r="I54" s="102" t="str">
        <x:v>High</x:v>
      </x:c>
      <x:c r="J54" s="102" t="str">
        <x:v>Historical / verify current</x:v>
      </x:c>
      <x:c r="K54" s="102" t="str">
        <x:v>Regulator identity seed; current individual operating status requires Mainstay/ASC refresh.</x:v>
      </x:c>
    </x:row>
    <x:row r="55">
      <x:c r="A55" s="102" t="str">
        <x:v>EVID_00054</x:v>
      </x:c>
      <x:c r="B55" s="102" t="str">
        <x:v>VESSEL_00327</x:v>
      </x:c>
      <x:c r="C55" s="102" t="str">
        <x:v>American Mariner</x:v>
      </x:c>
      <x:c r="D55" s="102" t="str">
        <x:v>Fleet / identity evidence</x:v>
      </x:c>
      <x:c r="E55" s="102" t="str">
        <x:v>2026-09-07</x:v>
      </x:c>
      <x:c r="F55" s="102" t="str">
        <x:v>SRC_0167</x:v>
      </x:c>
      <x:c r="G55" s="102" t="str">
        <x:v>https://www.michigan.gov/egle/-/media/Project/Websites/egle/Documents/Programs/WRD/Ballast-Water/2023-report.pdf</x:v>
      </x:c>
      <x:c r="H55" s="102" t="str">
        <x:v>Vessel identity, company/fleet association and principal particulars</x:v>
      </x:c>
      <x:c r="I55" s="102" t="str">
        <x:v>High</x:v>
      </x:c>
      <x:c r="J55" s="102" t="str">
        <x:v>Historical / verify current</x:v>
      </x:c>
      <x:c r="K55" s="102" t="str">
        <x:v>Regulator identity seed; current individual operating status requires Mainstay/ASC refresh.</x:v>
      </x:c>
    </x:row>
    <x:row r="56">
      <x:c r="A56" s="102" t="str">
        <x:v>EVID_00055</x:v>
      </x:c>
      <x:c r="B56" s="102" t="str">
        <x:v>VESSEL_00328</x:v>
      </x:c>
      <x:c r="C56" s="102" t="str">
        <x:v>American Spirit</x:v>
      </x:c>
      <x:c r="D56" s="102" t="str">
        <x:v>Fleet / identity evidence</x:v>
      </x:c>
      <x:c r="E56" s="102" t="str">
        <x:v>2026-09-07</x:v>
      </x:c>
      <x:c r="F56" s="102" t="str">
        <x:v>SRC_0167</x:v>
      </x:c>
      <x:c r="G56" s="102" t="str">
        <x:v>https://www.michigan.gov/egle/-/media/Project/Websites/egle/Documents/Programs/WRD/Ballast-Water/2023-report.pdf</x:v>
      </x:c>
      <x:c r="H56" s="102" t="str">
        <x:v>Vessel identity, company/fleet association and principal particulars</x:v>
      </x:c>
      <x:c r="I56" s="102" t="str">
        <x:v>High</x:v>
      </x:c>
      <x:c r="J56" s="102" t="str">
        <x:v>Historical / verify current</x:v>
      </x:c>
      <x:c r="K56" s="102" t="str">
        <x:v>Regulator identity seed; current individual operating status requires Mainstay/ASC refresh.</x:v>
      </x:c>
    </x:row>
    <x:row r="57">
      <x:c r="A57" s="102" t="str">
        <x:v>EVID_00056</x:v>
      </x:c>
      <x:c r="B57" s="102" t="str">
        <x:v>VESSEL_00329</x:v>
      </x:c>
      <x:c r="C57" s="102" t="str">
        <x:v>Burns Harbor</x:v>
      </x:c>
      <x:c r="D57" s="102" t="str">
        <x:v>Fleet / identity evidence</x:v>
      </x:c>
      <x:c r="E57" s="102" t="str">
        <x:v>2026-09-07</x:v>
      </x:c>
      <x:c r="F57" s="102" t="str">
        <x:v>SRC_0167</x:v>
      </x:c>
      <x:c r="G57" s="102" t="str">
        <x:v>https://www.michigan.gov/egle/-/media/Project/Websites/egle/Documents/Programs/WRD/Ballast-Water/2023-report.pdf</x:v>
      </x:c>
      <x:c r="H57" s="102" t="str">
        <x:v>Vessel identity, company/fleet association and principal particulars</x:v>
      </x:c>
      <x:c r="I57" s="102" t="str">
        <x:v>High</x:v>
      </x:c>
      <x:c r="J57" s="102" t="str">
        <x:v>Historical / verify current</x:v>
      </x:c>
      <x:c r="K57" s="102" t="str">
        <x:v>Regulator identity seed; current individual operating status requires Mainstay/ASC refresh.</x:v>
      </x:c>
    </x:row>
    <x:row r="58">
      <x:c r="A58" s="102" t="str">
        <x:v>EVID_00057</x:v>
      </x:c>
      <x:c r="B58" s="102" t="str">
        <x:v>VESSEL_00330</x:v>
      </x:c>
      <x:c r="C58" s="102" t="str">
        <x:v>H. Lee White</x:v>
      </x:c>
      <x:c r="D58" s="102" t="str">
        <x:v>Fleet / identity evidence</x:v>
      </x:c>
      <x:c r="E58" s="102" t="str">
        <x:v>2026-09-07</x:v>
      </x:c>
      <x:c r="F58" s="102" t="str">
        <x:v>SRC_0167</x:v>
      </x:c>
      <x:c r="G58" s="102" t="str">
        <x:v>https://www.michigan.gov/egle/-/media/Project/Websites/egle/Documents/Programs/WRD/Ballast-Water/2023-report.pdf</x:v>
      </x:c>
      <x:c r="H58" s="102" t="str">
        <x:v>Vessel identity, company/fleet association and principal particulars</x:v>
      </x:c>
      <x:c r="I58" s="102" t="str">
        <x:v>High</x:v>
      </x:c>
      <x:c r="J58" s="102" t="str">
        <x:v>Historical / verify current</x:v>
      </x:c>
      <x:c r="K58" s="102" t="str">
        <x:v>Regulator identity seed; current individual operating status requires Mainstay/ASC refresh.</x:v>
      </x:c>
    </x:row>
    <x:row r="59">
      <x:c r="A59" s="102" t="str">
        <x:v>EVID_00058</x:v>
      </x:c>
      <x:c r="B59" s="102" t="str">
        <x:v>VESSEL_00331</x:v>
      </x:c>
      <x:c r="C59" s="102" t="str">
        <x:v>Indiana Harbor</x:v>
      </x:c>
      <x:c r="D59" s="102" t="str">
        <x:v>Fleet / identity evidence</x:v>
      </x:c>
      <x:c r="E59" s="102" t="str">
        <x:v>2026-09-07</x:v>
      </x:c>
      <x:c r="F59" s="102" t="str">
        <x:v>SRC_0167</x:v>
      </x:c>
      <x:c r="G59" s="102" t="str">
        <x:v>https://www.michigan.gov/egle/-/media/Project/Websites/egle/Documents/Programs/WRD/Ballast-Water/2023-report.pdf</x:v>
      </x:c>
      <x:c r="H59" s="102" t="str">
        <x:v>Vessel identity, company/fleet association and principal particulars</x:v>
      </x:c>
      <x:c r="I59" s="102" t="str">
        <x:v>High</x:v>
      </x:c>
      <x:c r="J59" s="102" t="str">
        <x:v>Historical / verify current</x:v>
      </x:c>
      <x:c r="K59" s="102" t="str">
        <x:v>Regulator identity seed; current individual operating status requires Mainstay/ASC refresh.</x:v>
      </x:c>
    </x:row>
    <x:row r="60">
      <x:c r="A60" s="102" t="str">
        <x:v>EVID_00059</x:v>
      </x:c>
      <x:c r="B60" s="102" t="str">
        <x:v>VESSEL_00332</x:v>
      </x:c>
      <x:c r="C60" s="102" t="str">
        <x:v>John J Boland</x:v>
      </x:c>
      <x:c r="D60" s="102" t="str">
        <x:v>Fleet / identity evidence</x:v>
      </x:c>
      <x:c r="E60" s="102" t="str">
        <x:v>2026-09-07</x:v>
      </x:c>
      <x:c r="F60" s="102" t="str">
        <x:v>SRC_0167</x:v>
      </x:c>
      <x:c r="G60" s="102" t="str">
        <x:v>https://www.michigan.gov/egle/-/media/Project/Websites/egle/Documents/Programs/WRD/Ballast-Water/2023-report.pdf</x:v>
      </x:c>
      <x:c r="H60" s="102" t="str">
        <x:v>Vessel identity, company/fleet association and principal particulars</x:v>
      </x:c>
      <x:c r="I60" s="102" t="str">
        <x:v>High</x:v>
      </x:c>
      <x:c r="J60" s="102" t="str">
        <x:v>Historical / verify current</x:v>
      </x:c>
      <x:c r="K60" s="102" t="str">
        <x:v>Regulator identity seed; current individual operating status requires Mainstay/ASC refresh.</x:v>
      </x:c>
    </x:row>
    <x:row r="61">
      <x:c r="A61" s="102" t="str">
        <x:v>EVID_00060</x:v>
      </x:c>
      <x:c r="B61" s="102" t="str">
        <x:v>VESSEL_00333</x:v>
      </x:c>
      <x:c r="C61" s="102" t="str">
        <x:v>Sam Laud</x:v>
      </x:c>
      <x:c r="D61" s="102" t="str">
        <x:v>Fleet / identity evidence</x:v>
      </x:c>
      <x:c r="E61" s="102" t="str">
        <x:v>2026-09-07</x:v>
      </x:c>
      <x:c r="F61" s="102" t="str">
        <x:v>SRC_0167</x:v>
      </x:c>
      <x:c r="G61" s="102" t="str">
        <x:v>https://www.michigan.gov/egle/-/media/Project/Websites/egle/Documents/Programs/WRD/Ballast-Water/2023-report.pdf</x:v>
      </x:c>
      <x:c r="H61" s="102" t="str">
        <x:v>Vessel identity, company/fleet association and principal particulars</x:v>
      </x:c>
      <x:c r="I61" s="102" t="str">
        <x:v>High</x:v>
      </x:c>
      <x:c r="J61" s="102" t="str">
        <x:v>Historical / verify current</x:v>
      </x:c>
      <x:c r="K61" s="102" t="str">
        <x:v>Regulator identity seed; current individual operating status requires Mainstay/ASC refresh.</x:v>
      </x:c>
    </x:row>
    <x:row r="62">
      <x:c r="A62" s="102" t="str">
        <x:v>EVID_00061</x:v>
      </x:c>
      <x:c r="B62" s="102" t="str">
        <x:v>VESSEL_00334</x:v>
      </x:c>
      <x:c r="C62" s="102" t="str">
        <x:v>Walter J. McCarthy Jr.</x:v>
      </x:c>
      <x:c r="D62" s="102" t="str">
        <x:v>Fleet / identity evidence</x:v>
      </x:c>
      <x:c r="E62" s="102" t="str">
        <x:v>2026-09-07</x:v>
      </x:c>
      <x:c r="F62" s="102" t="str">
        <x:v>SRC_0167</x:v>
      </x:c>
      <x:c r="G62" s="102" t="str">
        <x:v>https://www.michigan.gov/egle/-/media/Project/Websites/egle/Documents/Programs/WRD/Ballast-Water/2023-report.pdf</x:v>
      </x:c>
      <x:c r="H62" s="102" t="str">
        <x:v>Vessel identity, company/fleet association and principal particulars</x:v>
      </x:c>
      <x:c r="I62" s="102" t="str">
        <x:v>High</x:v>
      </x:c>
      <x:c r="J62" s="102" t="str">
        <x:v>Historical / verify current</x:v>
      </x:c>
      <x:c r="K62" s="102" t="str">
        <x:v>Regulator identity seed; current individual operating status requires Mainstay/ASC refresh.</x:v>
      </x:c>
    </x:row>
    <x:row r="63">
      <x:c r="A63" s="102" t="str">
        <x:v>EVID_00062</x:v>
      </x:c>
      <x:c r="B63" s="102" t="str">
        <x:v>VESSEL_00335</x:v>
      </x:c>
      <x:c r="C63" s="102" t="str">
        <x:v>Calumet</x:v>
      </x:c>
      <x:c r="D63" s="102" t="str">
        <x:v>Fleet / identity evidence</x:v>
      </x:c>
      <x:c r="E63" s="102" t="str">
        <x:v>2026-09-07</x:v>
      </x:c>
      <x:c r="F63" s="102" t="str">
        <x:v>SRC_0167</x:v>
      </x:c>
      <x:c r="G63" s="102" t="str">
        <x:v>https://www.michigan.gov/egle/-/media/Project/Websites/egle/Documents/Programs/WRD/Ballast-Water/2023-report.pdf</x:v>
      </x:c>
      <x:c r="H63" s="102" t="str">
        <x:v>Vessel identity, company/fleet association and principal particulars</x:v>
      </x:c>
      <x:c r="I63" s="102" t="str">
        <x:v>High</x:v>
      </x:c>
      <x:c r="J63" s="102" t="str">
        <x:v>Historical / verify current</x:v>
      </x:c>
      <x:c r="K63" s="102" t="str">
        <x:v>Government identity seed; current operating status requires refresh.</x:v>
      </x:c>
    </x:row>
    <x:row r="64">
      <x:c r="A64" s="102" t="str">
        <x:v>EVID_00063</x:v>
      </x:c>
      <x:c r="B64" s="102" t="str">
        <x:v>VESSEL_00336</x:v>
      </x:c>
      <x:c r="C64" s="102" t="str">
        <x:v>Defiance</x:v>
      </x:c>
      <x:c r="D64" s="102" t="str">
        <x:v>Fleet / identity evidence</x:v>
      </x:c>
      <x:c r="E64" s="102" t="str">
        <x:v>2026-09-07</x:v>
      </x:c>
      <x:c r="F64" s="102" t="str">
        <x:v>SRC_0167</x:v>
      </x:c>
      <x:c r="G64" s="102" t="str">
        <x:v>https://www.michigan.gov/egle/-/media/Project/Websites/egle/Documents/Programs/WRD/Ballast-Water/2023-report.pdf</x:v>
      </x:c>
      <x:c r="H64" s="102" t="str">
        <x:v>Vessel identity, company/fleet association and principal particulars</x:v>
      </x:c>
      <x:c r="I64" s="102" t="str">
        <x:v>High</x:v>
      </x:c>
      <x:c r="J64" s="102" t="str">
        <x:v>Historical / verify current</x:v>
      </x:c>
      <x:c r="K64" s="102" t="str">
        <x:v>Government identity seed; current operating status requires refresh.</x:v>
      </x:c>
    </x:row>
    <x:row r="65">
      <x:c r="A65" s="102" t="str">
        <x:v>EVID_00064</x:v>
      </x:c>
      <x:c r="B65" s="102" t="str">
        <x:v>VESSEL_00337</x:v>
      </x:c>
      <x:c r="C65" s="102" t="str">
        <x:v>Manitowoc</x:v>
      </x:c>
      <x:c r="D65" s="102" t="str">
        <x:v>Fleet / identity evidence</x:v>
      </x:c>
      <x:c r="E65" s="102" t="str">
        <x:v>2026-09-07</x:v>
      </x:c>
      <x:c r="F65" s="102" t="str">
        <x:v>SRC_0167</x:v>
      </x:c>
      <x:c r="G65" s="102" t="str">
        <x:v>https://www.michigan.gov/egle/-/media/Project/Websites/egle/Documents/Programs/WRD/Ballast-Water/2023-report.pdf</x:v>
      </x:c>
      <x:c r="H65" s="102" t="str">
        <x:v>Vessel identity, company/fleet association and principal particulars</x:v>
      </x:c>
      <x:c r="I65" s="102" t="str">
        <x:v>High</x:v>
      </x:c>
      <x:c r="J65" s="102" t="str">
        <x:v>Historical / verify current</x:v>
      </x:c>
      <x:c r="K65" s="102" t="str">
        <x:v>Government identity seed; current operating status requires refresh.</x:v>
      </x:c>
    </x:row>
    <x:row r="66">
      <x:c r="A66" s="102" t="str">
        <x:v>EVID_00065</x:v>
      </x:c>
      <x:c r="B66" s="102" t="str">
        <x:v>VESSEL_00338</x:v>
      </x:c>
      <x:c r="C66" s="102" t="str">
        <x:v>Menominee</x:v>
      </x:c>
      <x:c r="D66" s="102" t="str">
        <x:v>Fleet / identity evidence</x:v>
      </x:c>
      <x:c r="E66" s="102" t="str">
        <x:v>2026-09-07</x:v>
      </x:c>
      <x:c r="F66" s="102" t="str">
        <x:v>SRC_0167</x:v>
      </x:c>
      <x:c r="G66" s="102" t="str">
        <x:v>https://www.michigan.gov/egle/-/media/Project/Websites/egle/Documents/Programs/WRD/Ballast-Water/2023-report.pdf</x:v>
      </x:c>
      <x:c r="H66" s="102" t="str">
        <x:v>Vessel identity, company/fleet association and principal particulars</x:v>
      </x:c>
      <x:c r="I66" s="102" t="str">
        <x:v>High</x:v>
      </x:c>
      <x:c r="J66" s="102" t="str">
        <x:v>Historical / verify current</x:v>
      </x:c>
      <x:c r="K66" s="102" t="str">
        <x:v>Government identity seed; current operating status requires refresh.</x:v>
      </x:c>
    </x:row>
    <x:row r="67">
      <x:c r="A67" s="102" t="str">
        <x:v>EVID_00066</x:v>
      </x:c>
      <x:c r="B67" s="102" t="str">
        <x:v>VESSEL_00339</x:v>
      </x:c>
      <x:c r="C67" s="102" t="str">
        <x:v>Victory</x:v>
      </x:c>
      <x:c r="D67" s="102" t="str">
        <x:v>Fleet / identity evidence</x:v>
      </x:c>
      <x:c r="E67" s="102" t="str">
        <x:v>2026-09-07</x:v>
      </x:c>
      <x:c r="F67" s="102" t="str">
        <x:v>SRC_0167</x:v>
      </x:c>
      <x:c r="G67" s="102" t="str">
        <x:v>https://www.michigan.gov/egle/-/media/Project/Websites/egle/Documents/Programs/WRD/Ballast-Water/2023-report.pdf</x:v>
      </x:c>
      <x:c r="H67" s="102" t="str">
        <x:v>Vessel identity, company/fleet association and principal particulars</x:v>
      </x:c>
      <x:c r="I67" s="102" t="str">
        <x:v>High</x:v>
      </x:c>
      <x:c r="J67" s="102" t="str">
        <x:v>Historical / verify current</x:v>
      </x:c>
      <x:c r="K67" s="102" t="str">
        <x:v>Government identity seed; current operating status requires refresh.</x:v>
      </x:c>
    </x:row>
    <x:row r="68">
      <x:c r="A68" s="102" t="str">
        <x:v>EVID_00067</x:v>
      </x:c>
      <x:c r="B68" s="102" t="str">
        <x:v>VESSEL_00340</x:v>
      </x:c>
      <x:c r="C68" s="102" t="str">
        <x:v>Olive L Moore</x:v>
      </x:c>
      <x:c r="D68" s="102" t="str">
        <x:v>Fleet / identity evidence</x:v>
      </x:c>
      <x:c r="E68" s="102" t="str">
        <x:v>2026-09-07</x:v>
      </x:c>
      <x:c r="F68" s="102" t="str">
        <x:v>SRC_0167</x:v>
      </x:c>
      <x:c r="G68" s="102" t="str">
        <x:v>https://www.michigan.gov/egle/-/media/Project/Websites/egle/Documents/Programs/WRD/Ballast-Water/2023-report.pdf</x:v>
      </x:c>
      <x:c r="H68" s="102" t="str">
        <x:v>Vessel identity, company/fleet association and principal particulars</x:v>
      </x:c>
      <x:c r="I68" s="102" t="str">
        <x:v>High</x:v>
      </x:c>
      <x:c r="J68" s="102" t="str">
        <x:v>Historical / verify current</x:v>
      </x:c>
      <x:c r="K68" s="102" t="str">
        <x:v>Michigan regulator report shows numeric identifier 2800309, but it fails the IMO checksum. Preserved in the national/official identifier field rather than treated as IMO.</x:v>
      </x:c>
    </x:row>
    <x:row r="69">
      <x:c r="A69" s="102" t="str">
        <x:v>EVID_00068</x:v>
      </x:c>
      <x:c r="B69" s="102" t="str">
        <x:v>VESSEL_00341</x:v>
      </x:c>
      <x:c r="C69" s="102" t="str">
        <x:v>Ashtabula</x:v>
      </x:c>
      <x:c r="D69" s="102" t="str">
        <x:v>Fleet / identity evidence</x:v>
      </x:c>
      <x:c r="E69" s="102" t="str">
        <x:v>2026-09-07</x:v>
      </x:c>
      <x:c r="F69" s="102" t="str">
        <x:v>SRC_0167</x:v>
      </x:c>
      <x:c r="G69" s="102" t="str">
        <x:v>https://www.michigan.gov/egle/-/media/Project/Websites/egle/Documents/Programs/WRD/Ballast-Water/2023-report.pdf</x:v>
      </x:c>
      <x:c r="H69" s="102" t="str">
        <x:v>Vessel identity, company/fleet association and principal particulars</x:v>
      </x:c>
      <x:c r="I69" s="102" t="str">
        <x:v>High</x:v>
      </x:c>
      <x:c r="J69" s="102" t="str">
        <x:v>Historical / verify current</x:v>
      </x:c>
      <x:c r="K69" s="102" t="str">
        <x:v>Michigan regulator report shows numeric identifier 646730, which is not a valid seven-digit IMO. Preserved as a national/official identifier pending reconciliation.</x:v>
      </x:c>
    </x:row>
    <x:row r="70">
      <x:c r="A70" s="102" t="str">
        <x:v>EVID_00069</x:v>
      </x:c>
      <x:c r="B70" s="102" t="str">
        <x:v>VESSEL_00342</x:v>
      </x:c>
      <x:c r="C70" s="102" t="str">
        <x:v>Cuyahoga</x:v>
      </x:c>
      <x:c r="D70" s="102" t="str">
        <x:v>Fleet / identity evidence</x:v>
      </x:c>
      <x:c r="E70" s="102" t="str">
        <x:v>2026-09-07</x:v>
      </x:c>
      <x:c r="F70" s="102" t="str">
        <x:v>SRC_0167</x:v>
      </x:c>
      <x:c r="G70" s="102" t="str">
        <x:v>https://www.michigan.gov/egle/-/media/Project/Websites/egle/Documents/Programs/WRD/Ballast-Water/2023-report.pdf</x:v>
      </x:c>
      <x:c r="H70" s="102" t="str">
        <x:v>Vessel identity, company/fleet association and principal particulars</x:v>
      </x:c>
      <x:c r="I70" s="102" t="str">
        <x:v>High</x:v>
      </x:c>
      <x:c r="J70" s="102" t="str">
        <x:v>Historical / verify current</x:v>
      </x:c>
      <x:c r="K70" s="102" t="str">
        <x:v>Government identity seed; current operating status requires Lower Lakes refresh.</x:v>
      </x:c>
    </x:row>
    <x:row r="71">
      <x:c r="A71" s="102" t="str">
        <x:v>EVID_00070</x:v>
      </x:c>
      <x:c r="B71" s="102" t="str">
        <x:v>VESSEL_00343</x:v>
      </x:c>
      <x:c r="C71" s="102" t="str">
        <x:v>Kaministiqua</x:v>
      </x:c>
      <x:c r="D71" s="102" t="str">
        <x:v>Fleet / identity evidence</x:v>
      </x:c>
      <x:c r="E71" s="102" t="str">
        <x:v>2026-09-07</x:v>
      </x:c>
      <x:c r="F71" s="102" t="str">
        <x:v>SRC_0167</x:v>
      </x:c>
      <x:c r="G71" s="102" t="str">
        <x:v>https://www.michigan.gov/egle/-/media/Project/Websites/egle/Documents/Programs/WRD/Ballast-Water/2023-report.pdf</x:v>
      </x:c>
      <x:c r="H71" s="102" t="str">
        <x:v>Vessel identity, company/fleet association and principal particulars</x:v>
      </x:c>
      <x:c r="I71" s="102" t="str">
        <x:v>High</x:v>
      </x:c>
      <x:c r="J71" s="102" t="str">
        <x:v>Historical / verify current</x:v>
      </x:c>
      <x:c r="K71" s="102" t="str">
        <x:v>Government identity seed; current operating status requires Lower Lakes refresh.</x:v>
      </x:c>
    </x:row>
    <x:row r="72">
      <x:c r="A72" s="102" t="str">
        <x:v>EVID_00071</x:v>
      </x:c>
      <x:c r="B72" s="102" t="str">
        <x:v>VESSEL_00344</x:v>
      </x:c>
      <x:c r="C72" s="102" t="str">
        <x:v>Manitoulin</x:v>
      </x:c>
      <x:c r="D72" s="102" t="str">
        <x:v>Fleet / identity evidence</x:v>
      </x:c>
      <x:c r="E72" s="102" t="str">
        <x:v>2026-09-07</x:v>
      </x:c>
      <x:c r="F72" s="102" t="str">
        <x:v>SRC_0167</x:v>
      </x:c>
      <x:c r="G72" s="102" t="str">
        <x:v>https://www.michigan.gov/egle/-/media/Project/Websites/egle/Documents/Programs/WRD/Ballast-Water/2023-report.pdf</x:v>
      </x:c>
      <x:c r="H72" s="102" t="str">
        <x:v>Vessel identity, company/fleet association and principal particulars</x:v>
      </x:c>
      <x:c r="I72" s="102" t="str">
        <x:v>High</x:v>
      </x:c>
      <x:c r="J72" s="102" t="str">
        <x:v>Historical / verify current</x:v>
      </x:c>
      <x:c r="K72" s="102" t="str">
        <x:v>Government identity seed; current operating status requires Lower Lakes refresh.</x:v>
      </x:c>
    </x:row>
    <x:row r="73">
      <x:c r="A73" s="102" t="str">
        <x:v>EVID_00072</x:v>
      </x:c>
      <x:c r="B73" s="102" t="str">
        <x:v>VESSEL_00345</x:v>
      </x:c>
      <x:c r="C73" s="102" t="str">
        <x:v>Michipicoten</x:v>
      </x:c>
      <x:c r="D73" s="102" t="str">
        <x:v>Fleet / identity evidence</x:v>
      </x:c>
      <x:c r="E73" s="102" t="str">
        <x:v>2026-09-07</x:v>
      </x:c>
      <x:c r="F73" s="102" t="str">
        <x:v>SRC_0167</x:v>
      </x:c>
      <x:c r="G73" s="102" t="str">
        <x:v>https://www.michigan.gov/egle/-/media/Project/Websites/egle/Documents/Programs/WRD/Ballast-Water/2023-report.pdf</x:v>
      </x:c>
      <x:c r="H73" s="102" t="str">
        <x:v>Vessel identity, company/fleet association and principal particulars</x:v>
      </x:c>
      <x:c r="I73" s="102" t="str">
        <x:v>High</x:v>
      </x:c>
      <x:c r="J73" s="102" t="str">
        <x:v>Historical / verify current</x:v>
      </x:c>
      <x:c r="K73" s="102" t="str">
        <x:v>Government identity seed; current operating status requires Lower Lakes refresh.</x:v>
      </x:c>
    </x:row>
    <x:row r="74">
      <x:c r="A74" s="102" t="str">
        <x:v>EVID_00073</x:v>
      </x:c>
      <x:c r="B74" s="102" t="str">
        <x:v>VESSEL_00346</x:v>
      </x:c>
      <x:c r="C74" s="102" t="str">
        <x:v>Robert S. Pierson</x:v>
      </x:c>
      <x:c r="D74" s="102" t="str">
        <x:v>Fleet / identity evidence</x:v>
      </x:c>
      <x:c r="E74" s="102" t="str">
        <x:v>2026-09-07</x:v>
      </x:c>
      <x:c r="F74" s="102" t="str">
        <x:v>SRC_0167</x:v>
      </x:c>
      <x:c r="G74" s="102" t="str">
        <x:v>https://www.michigan.gov/egle/-/media/Project/Websites/egle/Documents/Programs/WRD/Ballast-Water/2023-report.pdf</x:v>
      </x:c>
      <x:c r="H74" s="102" t="str">
        <x:v>Vessel identity, company/fleet association and principal particulars</x:v>
      </x:c>
      <x:c r="I74" s="102" t="str">
        <x:v>High</x:v>
      </x:c>
      <x:c r="J74" s="102" t="str">
        <x:v>Historical / verify current</x:v>
      </x:c>
      <x:c r="K74" s="102" t="str">
        <x:v>Government identity seed; current operating status requires Lower Lakes refresh.</x:v>
      </x:c>
    </x:row>
    <x:row r="75">
      <x:c r="A75" s="102" t="str">
        <x:v>EVID_00074</x:v>
      </x:c>
      <x:c r="B75" s="102" t="str">
        <x:v>VESSEL_00347</x:v>
      </x:c>
      <x:c r="C75" s="102" t="str">
        <x:v>Saginaw</x:v>
      </x:c>
      <x:c r="D75" s="102" t="str">
        <x:v>Fleet / identity evidence</x:v>
      </x:c>
      <x:c r="E75" s="102" t="str">
        <x:v>2026-09-07</x:v>
      </x:c>
      <x:c r="F75" s="102" t="str">
        <x:v>SRC_0167</x:v>
      </x:c>
      <x:c r="G75" s="102" t="str">
        <x:v>https://www.michigan.gov/egle/-/media/Project/Websites/egle/Documents/Programs/WRD/Ballast-Water/2023-report.pdf</x:v>
      </x:c>
      <x:c r="H75" s="102" t="str">
        <x:v>Vessel identity, company/fleet association and principal particulars</x:v>
      </x:c>
      <x:c r="I75" s="102" t="str">
        <x:v>High</x:v>
      </x:c>
      <x:c r="J75" s="102" t="str">
        <x:v>Historical / verify current</x:v>
      </x:c>
      <x:c r="K75" s="102" t="str">
        <x:v>Government identity seed; current operating status requires Lower Lakes refresh.</x:v>
      </x:c>
    </x:row>
    <x:row r="76">
      <x:c r="A76" s="102" t="str">
        <x:v>EVID_00075</x:v>
      </x:c>
      <x:c r="B76" s="102" t="str">
        <x:v>VESSEL_00348</x:v>
      </x:c>
      <x:c r="C76" s="102" t="str">
        <x:v>Arthur M. Anderson</x:v>
      </x:c>
      <x:c r="D76" s="102" t="str">
        <x:v>Fleet / identity evidence</x:v>
      </x:c>
      <x:c r="E76" s="102" t="str">
        <x:v>2026-09-07</x:v>
      </x:c>
      <x:c r="F76" s="102" t="str">
        <x:v>SRC_0167</x:v>
      </x:c>
      <x:c r="G76" s="102" t="str">
        <x:v>https://www.michigan.gov/egle/-/media/Project/Websites/egle/Documents/Programs/WRD/Ballast-Water/2023-report.pdf</x:v>
      </x:c>
      <x:c r="H76" s="102" t="str">
        <x:v>Vessel identity, company/fleet association and principal particulars</x:v>
      </x:c>
      <x:c r="I76" s="102" t="str">
        <x:v>High</x:v>
      </x:c>
      <x:c r="J76" s="102" t="str">
        <x:v>Historical / verify current</x:v>
      </x:c>
      <x:c r="K76" s="102" t="str">
        <x:v>Michigan regulator identifies Key Lakes as operator; CN confirms the current integrated Great Lakes Fleet role. Current individual vessel activity still requires refresh.</x:v>
      </x:c>
    </x:row>
    <x:row r="77">
      <x:c r="A77" s="102" t="str">
        <x:v>EVID_00076</x:v>
      </x:c>
      <x:c r="B77" s="102" t="str">
        <x:v>VESSEL_00349</x:v>
      </x:c>
      <x:c r="C77" s="102" t="str">
        <x:v>Cason J. Callaway</x:v>
      </x:c>
      <x:c r="D77" s="102" t="str">
        <x:v>Fleet / identity evidence</x:v>
      </x:c>
      <x:c r="E77" s="102" t="str">
        <x:v>2026-09-07</x:v>
      </x:c>
      <x:c r="F77" s="102" t="str">
        <x:v>SRC_0167</x:v>
      </x:c>
      <x:c r="G77" s="102" t="str">
        <x:v>https://www.michigan.gov/egle/-/media/Project/Websites/egle/Documents/Programs/WRD/Ballast-Water/2023-report.pdf</x:v>
      </x:c>
      <x:c r="H77" s="102" t="str">
        <x:v>Vessel identity, company/fleet association and principal particulars</x:v>
      </x:c>
      <x:c r="I77" s="102" t="str">
        <x:v>High</x:v>
      </x:c>
      <x:c r="J77" s="102" t="str">
        <x:v>Historical / verify current</x:v>
      </x:c>
      <x:c r="K77" s="102" t="str">
        <x:v>Michigan regulator identifies Key Lakes as operator; CN confirms the current integrated Great Lakes Fleet role. Current individual vessel activity still requires refresh.</x:v>
      </x:c>
    </x:row>
    <x:row r="78">
      <x:c r="A78" s="102" t="str">
        <x:v>EVID_00077</x:v>
      </x:c>
      <x:c r="B78" s="102" t="str">
        <x:v>VESSEL_00350</x:v>
      </x:c>
      <x:c r="C78" s="102" t="str">
        <x:v>Edgar B. Speer</x:v>
      </x:c>
      <x:c r="D78" s="102" t="str">
        <x:v>Fleet / identity evidence</x:v>
      </x:c>
      <x:c r="E78" s="102" t="str">
        <x:v>2026-09-07</x:v>
      </x:c>
      <x:c r="F78" s="102" t="str">
        <x:v>SRC_0167</x:v>
      </x:c>
      <x:c r="G78" s="102" t="str">
        <x:v>https://www.michigan.gov/egle/-/media/Project/Websites/egle/Documents/Programs/WRD/Ballast-Water/2023-report.pdf</x:v>
      </x:c>
      <x:c r="H78" s="102" t="str">
        <x:v>Vessel identity, company/fleet association and principal particulars</x:v>
      </x:c>
      <x:c r="I78" s="102" t="str">
        <x:v>High</x:v>
      </x:c>
      <x:c r="J78" s="102" t="str">
        <x:v>Historical / verify current</x:v>
      </x:c>
      <x:c r="K78" s="102" t="str">
        <x:v>Michigan regulator identifies Key Lakes as operator; CN confirms the current integrated Great Lakes Fleet role. Current individual vessel activity still requires refresh.</x:v>
      </x:c>
    </x:row>
    <x:row r="79">
      <x:c r="A79" s="102" t="str">
        <x:v>EVID_00078</x:v>
      </x:c>
      <x:c r="B79" s="102" t="str">
        <x:v>VESSEL_00351</x:v>
      </x:c>
      <x:c r="C79" s="102" t="str">
        <x:v>Edwin H. Gott</x:v>
      </x:c>
      <x:c r="D79" s="102" t="str">
        <x:v>Fleet / identity evidence</x:v>
      </x:c>
      <x:c r="E79" s="102" t="str">
        <x:v>2026-09-07</x:v>
      </x:c>
      <x:c r="F79" s="102" t="str">
        <x:v>SRC_0167</x:v>
      </x:c>
      <x:c r="G79" s="102" t="str">
        <x:v>https://www.michigan.gov/egle/-/media/Project/Websites/egle/Documents/Programs/WRD/Ballast-Water/2023-report.pdf</x:v>
      </x:c>
      <x:c r="H79" s="102" t="str">
        <x:v>Vessel identity, company/fleet association and principal particulars</x:v>
      </x:c>
      <x:c r="I79" s="102" t="str">
        <x:v>High</x:v>
      </x:c>
      <x:c r="J79" s="102" t="str">
        <x:v>Historical / verify current</x:v>
      </x:c>
      <x:c r="K79" s="102" t="str">
        <x:v>Michigan regulator identifies Key Lakes as operator; CN confirms the current integrated Great Lakes Fleet role. Current individual vessel activity still requires refresh.</x:v>
      </x:c>
    </x:row>
    <x:row r="80">
      <x:c r="A80" s="102" t="str">
        <x:v>EVID_00079</x:v>
      </x:c>
      <x:c r="B80" s="102" t="str">
        <x:v>VESSEL_00352</x:v>
      </x:c>
      <x:c r="C80" s="102" t="str">
        <x:v>Great Republic</x:v>
      </x:c>
      <x:c r="D80" s="102" t="str">
        <x:v>Fleet / identity evidence</x:v>
      </x:c>
      <x:c r="E80" s="102" t="str">
        <x:v>2026-09-07</x:v>
      </x:c>
      <x:c r="F80" s="102" t="str">
        <x:v>SRC_0167</x:v>
      </x:c>
      <x:c r="G80" s="102" t="str">
        <x:v>https://www.michigan.gov/egle/-/media/Project/Websites/egle/Documents/Programs/WRD/Ballast-Water/2023-report.pdf</x:v>
      </x:c>
      <x:c r="H80" s="102" t="str">
        <x:v>Vessel identity, company/fleet association and principal particulars</x:v>
      </x:c>
      <x:c r="I80" s="102" t="str">
        <x:v>High</x:v>
      </x:c>
      <x:c r="J80" s="102" t="str">
        <x:v>Historical / verify current</x:v>
      </x:c>
      <x:c r="K80" s="102" t="str">
        <x:v>Michigan regulator identifies Key Lakes as operator; CN confirms the current integrated Great Lakes Fleet role. Current individual vessel activity still requires refresh.</x:v>
      </x:c>
    </x:row>
    <x:row r="81">
      <x:c r="A81" s="102" t="str">
        <x:v>EVID_00080</x:v>
      </x:c>
      <x:c r="B81" s="102" t="str">
        <x:v>VESSEL_00353</x:v>
      </x:c>
      <x:c r="C81" s="102" t="str">
        <x:v>John G. Munson</x:v>
      </x:c>
      <x:c r="D81" s="102" t="str">
        <x:v>Fleet / identity evidence</x:v>
      </x:c>
      <x:c r="E81" s="102" t="str">
        <x:v>2026-09-07</x:v>
      </x:c>
      <x:c r="F81" s="102" t="str">
        <x:v>SRC_0167</x:v>
      </x:c>
      <x:c r="G81" s="102" t="str">
        <x:v>https://www.michigan.gov/egle/-/media/Project/Websites/egle/Documents/Programs/WRD/Ballast-Water/2023-report.pdf</x:v>
      </x:c>
      <x:c r="H81" s="102" t="str">
        <x:v>Vessel identity, company/fleet association and principal particulars</x:v>
      </x:c>
      <x:c r="I81" s="102" t="str">
        <x:v>High</x:v>
      </x:c>
      <x:c r="J81" s="102" t="str">
        <x:v>Historical / verify current</x:v>
      </x:c>
      <x:c r="K81" s="102" t="str">
        <x:v>Michigan regulator identifies Key Lakes as operator; CN confirms the current integrated Great Lakes Fleet role. Current individual vessel activity still requires refresh.</x:v>
      </x:c>
    </x:row>
    <x:row r="82">
      <x:c r="A82" s="102" t="str">
        <x:v>EVID_00081</x:v>
      </x:c>
      <x:c r="B82" s="102" t="str">
        <x:v>VESSEL_00354</x:v>
      </x:c>
      <x:c r="C82" s="102" t="str">
        <x:v>Philip R. Clarke</x:v>
      </x:c>
      <x:c r="D82" s="102" t="str">
        <x:v>Fleet / identity evidence</x:v>
      </x:c>
      <x:c r="E82" s="102" t="str">
        <x:v>2026-09-07</x:v>
      </x:c>
      <x:c r="F82" s="102" t="str">
        <x:v>SRC_0167</x:v>
      </x:c>
      <x:c r="G82" s="102" t="str">
        <x:v>https://www.michigan.gov/egle/-/media/Project/Websites/egle/Documents/Programs/WRD/Ballast-Water/2023-report.pdf</x:v>
      </x:c>
      <x:c r="H82" s="102" t="str">
        <x:v>Vessel identity, company/fleet association and principal particulars</x:v>
      </x:c>
      <x:c r="I82" s="102" t="str">
        <x:v>High</x:v>
      </x:c>
      <x:c r="J82" s="102" t="str">
        <x:v>Historical / verify current</x:v>
      </x:c>
      <x:c r="K82" s="102" t="str">
        <x:v>Michigan regulator identifies Key Lakes as operator; CN confirms the current integrated Great Lakes Fleet role. Current individual vessel activity still requires refresh.</x:v>
      </x:c>
    </x:row>
    <x:row r="83">
      <x:c r="A83" s="102" t="str">
        <x:v>EVID_00082</x:v>
      </x:c>
      <x:c r="B83" s="102" t="str">
        <x:v>VESSEL_00355</x:v>
      </x:c>
      <x:c r="C83" s="102" t="str">
        <x:v>Presque Isle</x:v>
      </x:c>
      <x:c r="D83" s="102" t="str">
        <x:v>Fleet / identity evidence</x:v>
      </x:c>
      <x:c r="E83" s="102" t="str">
        <x:v>2026-09-07</x:v>
      </x:c>
      <x:c r="F83" s="102" t="str">
        <x:v>SRC_0167</x:v>
      </x:c>
      <x:c r="G83" s="102" t="str">
        <x:v>https://www.michigan.gov/egle/-/media/Project/Websites/egle/Documents/Programs/WRD/Ballast-Water/2023-report.pdf</x:v>
      </x:c>
      <x:c r="H83" s="102" t="str">
        <x:v>Vessel identity, company/fleet association and principal particulars</x:v>
      </x:c>
      <x:c r="I83" s="102" t="str">
        <x:v>High</x:v>
      </x:c>
      <x:c r="J83" s="102" t="str">
        <x:v>Historical / verify current</x:v>
      </x:c>
      <x:c r="K83" s="102" t="str">
        <x:v>Michigan regulator identifies Key Lakes as operator; CN confirms the current integrated Great Lakes Fleet role. Current individual vessel activity still requires refresh.</x:v>
      </x:c>
    </x:row>
    <x:row r="84">
      <x:c r="A84" s="102" t="str">
        <x:v>EVID_00083</x:v>
      </x:c>
      <x:c r="B84" s="102" t="str">
        <x:v>VESSEL_00356</x:v>
      </x:c>
      <x:c r="C84" s="102" t="str">
        <x:v>Roger Blough</x:v>
      </x:c>
      <x:c r="D84" s="102" t="str">
        <x:v>Fleet / identity evidence</x:v>
      </x:c>
      <x:c r="E84" s="102" t="str">
        <x:v>2026-09-07</x:v>
      </x:c>
      <x:c r="F84" s="102" t="str">
        <x:v>SRC_0167</x:v>
      </x:c>
      <x:c r="G84" s="102" t="str">
        <x:v>https://www.michigan.gov/egle/-/media/Project/Websites/egle/Documents/Programs/WRD/Ballast-Water/2023-report.pdf</x:v>
      </x:c>
      <x:c r="H84" s="102" t="str">
        <x:v>Vessel identity, company/fleet association and principal particulars</x:v>
      </x:c>
      <x:c r="I84" s="102" t="str">
        <x:v>High</x:v>
      </x:c>
      <x:c r="J84" s="102" t="str">
        <x:v>Historical / verify current</x:v>
      </x:c>
      <x:c r="K84" s="102" t="str">
        <x:v>Michigan regulator identifies Key Lakes as operator; CN confirms the current integrated Great Lakes Fleet role. Current individual vessel activity still requires refresh.</x:v>
      </x:c>
    </x:row>
    <x:row r="85">
      <x:c r="A85" s="102" t="str">
        <x:v>EVID_00084</x:v>
      </x:c>
      <x:c r="B85" s="102" t="str">
        <x:v>VESSEL_00357</x:v>
      </x:c>
      <x:c r="C85" s="102" t="str">
        <x:v>Badger</x:v>
      </x:c>
      <x:c r="D85" s="102" t="str">
        <x:v>Fleet / identity evidence</x:v>
      </x:c>
      <x:c r="E85" s="102" t="str">
        <x:v>2026-09-07</x:v>
      </x:c>
      <x:c r="F85" s="102" t="str">
        <x:v>SRC_0167</x:v>
      </x:c>
      <x:c r="G85" s="102" t="str">
        <x:v>https://www.michigan.gov/egle/-/media/Project/Websites/egle/Documents/Programs/WRD/Ballast-Water/2023-report.pdf</x:v>
      </x:c>
      <x:c r="H85" s="102" t="str">
        <x:v>Vessel identity, company/fleet association and principal particulars</x:v>
      </x:c>
      <x:c r="I85" s="102" t="str">
        <x:v>High</x:v>
      </x:c>
      <x:c r="J85" s="102" t="str">
        <x:v>Historical / verify current</x:v>
      </x:c>
      <x:c r="K85" s="102" t="str">
        <x:v>Great Lakes passenger-vessel identity; bridges the ferry and regional-system layers.</x:v>
      </x:c>
    </x:row>
    <x:row r="86">
      <x:c r="A86" s="102" t="str">
        <x:v>EVID_00085</x:v>
      </x:c>
      <x:c r="B86" s="102" t="str">
        <x:v>VESSEL_00358</x:v>
      </x:c>
      <x:c r="C86" s="102" t="str">
        <x:v>Florence Spirit</x:v>
      </x:c>
      <x:c r="D86" s="102" t="str">
        <x:v>Fleet / identity evidence</x:v>
      </x:c>
      <x:c r="E86" s="102" t="str">
        <x:v>2026-09-07</x:v>
      </x:c>
      <x:c r="F86" s="102" t="str">
        <x:v>SRC_0177</x:v>
      </x:c>
      <x:c r="G86" s="102" t="str">
        <x:v>https://mckeil.com/our-fleet/florence-spirit/</x:v>
      </x:c>
      <x:c r="H86" s="102" t="str">
        <x:v>Vessel identity, company/fleet association and principal particulars</x:v>
      </x:c>
      <x:c r="I86" s="102" t="str">
        <x:v>High</x:v>
      </x:c>
      <x:c r="J86" s="102" t="str">
        <x:v>Current</x:v>
      </x:c>
      <x:c r="K86" s="102" t="str">
        <x:v>McKeil official profile provides IMO 9314600 and Canadian Official Number 839979.</x:v>
      </x:c>
    </x:row>
  </x:sheetData>
  <x:pageMargins left="0.7" right="0.7" top="0.75" bottom="0.75" header="0.3" footer="0.3"/>
</x:worksheet>
</file>

<file path=xl/worksheets/sheet66.xml><?xml version="1.0" encoding="utf-8"?>
<x:worksheet xmlns:x="http://schemas.openxmlformats.org/spreadsheetml/2006/main">
  <x:sheetFormatPr defaultRowHeight="15"/>
  <x:cols>
    <x:col min="1" max="1" width="34" hidden="0" customWidth="1"/>
    <x:col min="2" max="2" width="28" hidden="0" customWidth="1"/>
    <x:col min="3" max="3" width="36" hidden="0" customWidth="1"/>
    <x:col min="4" max="4" width="24" hidden="0" customWidth="1"/>
    <x:col min="5" max="5" width="24" hidden="0" customWidth="1"/>
    <x:col min="6" max="6" width="20" hidden="0" customWidth="1"/>
    <x:col min="7" max="7" width="30" hidden="0" customWidth="1"/>
    <x:col min="8" max="8" width="48" hidden="0" customWidth="1"/>
  </x:cols>
  <x:sheetData>
    <x:row r="1">
      <x:c r="A1" s="180" t="str">
        <x:v>Runtime File</x:v>
      </x:c>
      <x:c r="B1" s="180" t="str">
        <x:v>Runtime Layer</x:v>
      </x:c>
      <x:c r="C1" s="180" t="str">
        <x:v>Workbook Sheet / Model Layer</x:v>
      </x:c>
      <x:c r="D1" s="180" t="str">
        <x:v>Status</x:v>
      </x:c>
      <x:c r="E1" s="180" t="str">
        <x:v>Primary Key / Join</x:v>
      </x:c>
      <x:c r="F1" s="180" t="str">
        <x:v>Vessel ID Remap Applied</x:v>
      </x:c>
      <x:c r="G1" s="180" t="str">
        <x:v>Source-ID Branch</x:v>
      </x:c>
      <x:c r="H1" s="180" t="str">
        <x:v>Notes</x:v>
      </x:c>
    </x:row>
    <x:row r="2">
      <x:c r="A2" s="102" t="str">
        <x:v>aircraft.csv</x:v>
      </x:c>
      <x:c r="B2" s="102" t="str">
        <x:v>Canonical / structured runtime table</x:v>
      </x:c>
      <x:c r="C2" s="102" t="str">
        <x:v>Aircraft</x:v>
      </x:c>
      <x:c r="D2" s="102" t="str">
        <x:v>Matched in v1.9</x:v>
      </x:c>
      <x:c r="E2" s="102"/>
      <x:c r="F2" s="102" t="str">
        <x:v>N/A</x:v>
      </x:c>
      <x:c r="G2" s="102" t="str">
        <x:v>App SRC_0001–SRC_0178 preserved</x:v>
      </x:c>
      <x:c r="H2" s="102" t="str">
        <x:v>Uploaded v4.4 reconciled with newer carrier/tanker branch.</x:v>
      </x:c>
    </x:row>
    <x:row r="3">
      <x:c r="A3" s="102" t="str">
        <x:v>assets.csv</x:v>
      </x:c>
      <x:c r="B3" s="102" t="str">
        <x:v>Canonical / structured runtime table</x:v>
      </x:c>
      <x:c r="C3" s="102" t="str">
        <x:v>Assets</x:v>
      </x:c>
      <x:c r="D3" s="102" t="str">
        <x:v>Matched in v1.9</x:v>
      </x:c>
      <x:c r="E3" s="102"/>
      <x:c r="F3" s="102" t="str">
        <x:v>N/A</x:v>
      </x:c>
      <x:c r="G3" s="102" t="str">
        <x:v>App SRC_0001–SRC_0178 preserved</x:v>
      </x:c>
      <x:c r="H3" s="102" t="str">
        <x:v>Uploaded v4.4 reconciled with newer carrier/tanker branch.</x:v>
      </x:c>
    </x:row>
    <x:row r="4">
      <x:c r="A4" s="102" t="str">
        <x:v>blacksea_article_index_2026.csv</x:v>
      </x:c>
      <x:c r="B4" s="102" t="str">
        <x:v>Raw operational/source feed</x:v>
      </x:c>
      <x:c r="C4" s="102" t="str">
        <x:v>External runtime feed → Event Observations / specialist page</x:v>
      </x:c>
      <x:c r="D4" s="102" t="str">
        <x:v>Runtime only / ingestion source</x:v>
      </x:c>
      <x:c r="E4" s="102"/>
      <x:c r="F4" s="102" t="str">
        <x:v>N/A</x:v>
      </x:c>
      <x:c r="G4" s="102" t="str">
        <x:v>App SRC_0001–SRC_0178 preserved</x:v>
      </x:c>
      <x:c r="H4" s="102" t="str">
        <x:v>Uploaded v4.4 reconciled with newer carrier/tanker branch.</x:v>
      </x:c>
    </x:row>
    <x:row r="5">
      <x:c r="A5" s="102" t="str">
        <x:v>blacksea_conflict_vessels_2026.csv</x:v>
      </x:c>
      <x:c r="B5" s="102" t="str">
        <x:v>Raw operational/source feed</x:v>
      </x:c>
      <x:c r="C5" s="102" t="str">
        <x:v>External runtime feed → Event Observations / specialist page</x:v>
      </x:c>
      <x:c r="D5" s="102" t="str">
        <x:v>Runtime only / ingestion source</x:v>
      </x:c>
      <x:c r="E5" s="102"/>
      <x:c r="F5" s="102" t="str">
        <x:v>N/A</x:v>
      </x:c>
      <x:c r="G5" s="102" t="str">
        <x:v>App SRC_0001–SRC_0178 preserved</x:v>
      </x:c>
      <x:c r="H5" s="102" t="str">
        <x:v>Uploaded v4.4 reconciled with newer carrier/tanker branch.</x:v>
      </x:c>
    </x:row>
    <x:row r="6">
      <x:c r="A6" s="102" t="str">
        <x:v>blacksea_port_attacks_2026.csv</x:v>
      </x:c>
      <x:c r="B6" s="102" t="str">
        <x:v>Raw operational/source feed</x:v>
      </x:c>
      <x:c r="C6" s="102" t="str">
        <x:v>External runtime feed → Event Observations / specialist page</x:v>
      </x:c>
      <x:c r="D6" s="102" t="str">
        <x:v>Runtime only / ingestion source</x:v>
      </x:c>
      <x:c r="E6" s="102"/>
      <x:c r="F6" s="102" t="str">
        <x:v>N/A</x:v>
      </x:c>
      <x:c r="G6" s="102" t="str">
        <x:v>App SRC_0001–SRC_0178 preserved</x:v>
      </x:c>
      <x:c r="H6" s="102" t="str">
        <x:v>Uploaded v4.4 reconciled with newer carrier/tanker branch.</x:v>
      </x:c>
    </x:row>
    <x:row r="7">
      <x:c r="A7" s="102" t="str">
        <x:v>blacksea_vessel_profiles.csv</x:v>
      </x:c>
      <x:c r="B7" s="102" t="str">
        <x:v>Raw operational/source feed</x:v>
      </x:c>
      <x:c r="C7" s="102" t="str">
        <x:v>External runtime feed → Event Observations / specialist page</x:v>
      </x:c>
      <x:c r="D7" s="102" t="str">
        <x:v>Runtime only / ingestion source</x:v>
      </x:c>
      <x:c r="E7" s="102"/>
      <x:c r="F7" s="102" t="str">
        <x:v>N/A</x:v>
      </x:c>
      <x:c r="G7" s="102" t="str">
        <x:v>App SRC_0001–SRC_0178 preserved</x:v>
      </x:c>
      <x:c r="H7" s="102" t="str">
        <x:v>Uploaded v4.4 reconciled with newer carrier/tanker branch.</x:v>
      </x:c>
    </x:row>
    <x:row r="8">
      <x:c r="A8" s="102" t="str">
        <x:v>blacksea_voyages_2026.csv</x:v>
      </x:c>
      <x:c r="B8" s="102" t="str">
        <x:v>Raw operational/source feed</x:v>
      </x:c>
      <x:c r="C8" s="102" t="str">
        <x:v>External runtime feed → Event Observations / specialist page</x:v>
      </x:c>
      <x:c r="D8" s="102" t="str">
        <x:v>Runtime only / ingestion source</x:v>
      </x:c>
      <x:c r="E8" s="102"/>
      <x:c r="F8" s="102" t="str">
        <x:v>N/A</x:v>
      </x:c>
      <x:c r="G8" s="102" t="str">
        <x:v>App SRC_0001–SRC_0178 preserved</x:v>
      </x:c>
      <x:c r="H8" s="102" t="str">
        <x:v>Uploaded v4.4 reconciled with newer carrier/tanker branch.</x:v>
      </x:c>
    </x:row>
    <x:row r="9">
      <x:c r="A9" s="102" t="str">
        <x:v>centcom_maritime_actions_2026.csv</x:v>
      </x:c>
      <x:c r="B9" s="102" t="str">
        <x:v>Raw operational/source feed</x:v>
      </x:c>
      <x:c r="C9" s="102" t="str">
        <x:v>External runtime feed → Event Observations / specialist page</x:v>
      </x:c>
      <x:c r="D9" s="102" t="str">
        <x:v>Runtime only / ingestion source</x:v>
      </x:c>
      <x:c r="E9" s="102"/>
      <x:c r="F9" s="102" t="str">
        <x:v>N/A</x:v>
      </x:c>
      <x:c r="G9" s="102" t="str">
        <x:v>App SRC_0001–SRC_0178 preserved</x:v>
      </x:c>
      <x:c r="H9" s="102" t="str">
        <x:v>Uploaded v4.4 reconciled with newer carrier/tanker branch.</x:v>
      </x:c>
    </x:row>
    <x:row r="10">
      <x:c r="A10" s="102" t="str">
        <x:v>companies.csv</x:v>
      </x:c>
      <x:c r="B10" s="102" t="str">
        <x:v>Canonical / structured runtime table</x:v>
      </x:c>
      <x:c r="C10" s="102" t="str">
        <x:v>Companies</x:v>
      </x:c>
      <x:c r="D10" s="102" t="str">
        <x:v>Matched in v1.9</x:v>
      </x:c>
      <x:c r="E10" s="102"/>
      <x:c r="F10" s="102" t="str">
        <x:v>N/A</x:v>
      </x:c>
      <x:c r="G10" s="102" t="str">
        <x:v>App SRC_0001–SRC_0178 preserved</x:v>
      </x:c>
      <x:c r="H10" s="102" t="str">
        <x:v>Uploaded v4.4 reconciled with newer carrier/tanker branch.</x:v>
      </x:c>
    </x:row>
    <x:row r="11">
      <x:c r="A11" s="102" t="str">
        <x:v>company_system_footprints.csv</x:v>
      </x:c>
      <x:c r="B11" s="102" t="str">
        <x:v>Canonical / structured runtime table</x:v>
      </x:c>
      <x:c r="C11" s="102" t="str">
        <x:v>Company System Footprints</x:v>
      </x:c>
      <x:c r="D11" s="102" t="str">
        <x:v>Matched in v1.9</x:v>
      </x:c>
      <x:c r="E11" s="102"/>
      <x:c r="F11" s="102" t="str">
        <x:v>N/A</x:v>
      </x:c>
      <x:c r="G11" s="102" t="str">
        <x:v>App SRC_0001–SRC_0178 preserved</x:v>
      </x:c>
      <x:c r="H11" s="102" t="str">
        <x:v>Uploaded v4.4 reconciled with newer carrier/tanker branch.</x:v>
      </x:c>
    </x:row>
    <x:row r="12">
      <x:c r="A12" s="102" t="str">
        <x:v>corridors.csv</x:v>
      </x:c>
      <x:c r="B12" s="102" t="str">
        <x:v>Canonical / structured runtime table</x:v>
      </x:c>
      <x:c r="C12" s="102" t="str">
        <x:v>Corridors</x:v>
      </x:c>
      <x:c r="D12" s="102" t="str">
        <x:v>Matched in v1.9</x:v>
      </x:c>
      <x:c r="E12" s="102"/>
      <x:c r="F12" s="102" t="str">
        <x:v>N/A</x:v>
      </x:c>
      <x:c r="G12" s="102" t="str">
        <x:v>App SRC_0001–SRC_0178 preserved</x:v>
      </x:c>
      <x:c r="H12" s="102" t="str">
        <x:v>Uploaded v4.4 reconciled with newer carrier/tanker branch.</x:v>
      </x:c>
    </x:row>
    <x:row r="13">
      <x:c r="A13" s="102" t="str">
        <x:v>data_dictionary.csv</x:v>
      </x:c>
      <x:c r="B13" s="102" t="str">
        <x:v>Canonical / structured runtime table</x:v>
      </x:c>
      <x:c r="C13" s="102" t="str">
        <x:v>Data Dictionary</x:v>
      </x:c>
      <x:c r="D13" s="102" t="str">
        <x:v>Matched in v1.9</x:v>
      </x:c>
      <x:c r="E13" s="102"/>
      <x:c r="F13" s="102" t="str">
        <x:v>N/A</x:v>
      </x:c>
      <x:c r="G13" s="102" t="str">
        <x:v>App SRC_0001–SRC_0178 preserved</x:v>
      </x:c>
      <x:c r="H13" s="102" t="str">
        <x:v>Uploaded v4.4 reconciled with newer carrier/tanker branch.</x:v>
      </x:c>
    </x:row>
    <x:row r="14">
      <x:c r="A14" s="102" t="str">
        <x:v>entity_registry.csv</x:v>
      </x:c>
      <x:c r="B14" s="102" t="str">
        <x:v>Canonical / structured runtime table</x:v>
      </x:c>
      <x:c r="C14" s="102" t="str">
        <x:v>Entity Registry</x:v>
      </x:c>
      <x:c r="D14" s="102" t="str">
        <x:v>Matched in v1.9</x:v>
      </x:c>
      <x:c r="E14" s="102"/>
      <x:c r="F14" s="102" t="str">
        <x:v>N/A</x:v>
      </x:c>
      <x:c r="G14" s="102" t="str">
        <x:v>App SRC_0001–SRC_0178 preserved</x:v>
      </x:c>
      <x:c r="H14" s="102" t="str">
        <x:v>Uploaded v4.4 reconciled with newer carrier/tanker branch.</x:v>
      </x:c>
    </x:row>
    <x:row r="15">
      <x:c r="A15" s="102" t="str">
        <x:v>event_entity_links.csv</x:v>
      </x:c>
      <x:c r="B15" s="102" t="str">
        <x:v>Canonical / structured runtime table</x:v>
      </x:c>
      <x:c r="C15" s="102" t="str">
        <x:v>Event Entity Links</x:v>
      </x:c>
      <x:c r="D15" s="102" t="str">
        <x:v>Matched in v1.9</x:v>
      </x:c>
      <x:c r="E15" s="102"/>
      <x:c r="F15" s="102" t="str">
        <x:v>Yes</x:v>
      </x:c>
      <x:c r="G15" s="102" t="str">
        <x:v>App SRC_0001–SRC_0178 preserved</x:v>
      </x:c>
      <x:c r="H15" s="102" t="str">
        <x:v>Uploaded v4.4 reconciled with newer carrier/tanker branch.</x:v>
      </x:c>
    </x:row>
    <x:row r="16">
      <x:c r="A16" s="102" t="str">
        <x:v>event_impacts.csv</x:v>
      </x:c>
      <x:c r="B16" s="102" t="str">
        <x:v>Canonical / structured runtime table</x:v>
      </x:c>
      <x:c r="C16" s="102" t="str">
        <x:v>Event Impacts</x:v>
      </x:c>
      <x:c r="D16" s="102" t="str">
        <x:v>Matched in v1.9</x:v>
      </x:c>
      <x:c r="E16" s="102"/>
      <x:c r="F16" s="102" t="str">
        <x:v>N/A</x:v>
      </x:c>
      <x:c r="G16" s="102" t="str">
        <x:v>App SRC_0001–SRC_0178 preserved</x:v>
      </x:c>
      <x:c r="H16" s="102" t="str">
        <x:v>Uploaded v4.4 reconciled with newer carrier/tanker branch.</x:v>
      </x:c>
    </x:row>
    <x:row r="17">
      <x:c r="A17" s="102" t="str">
        <x:v>event_ingestion_map.csv</x:v>
      </x:c>
      <x:c r="B17" s="102" t="str">
        <x:v>Canonical / structured runtime table</x:v>
      </x:c>
      <x:c r="C17" s="102" t="str">
        <x:v>Event Ingestion Map</x:v>
      </x:c>
      <x:c r="D17" s="102" t="str">
        <x:v>Matched in v1.9</x:v>
      </x:c>
      <x:c r="E17" s="102"/>
      <x:c r="F17" s="102" t="str">
        <x:v>N/A</x:v>
      </x:c>
      <x:c r="G17" s="102" t="str">
        <x:v>App SRC_0001–SRC_0178 preserved</x:v>
      </x:c>
      <x:c r="H17" s="102" t="str">
        <x:v>Uploaded v4.4 reconciled with newer carrier/tanker branch.</x:v>
      </x:c>
    </x:row>
    <x:row r="18">
      <x:c r="A18" s="102" t="str">
        <x:v>event_observations.csv</x:v>
      </x:c>
      <x:c r="B18" s="102" t="str">
        <x:v>Canonical / structured runtime table</x:v>
      </x:c>
      <x:c r="C18" s="102" t="str">
        <x:v>Event Observations</x:v>
      </x:c>
      <x:c r="D18" s="102" t="str">
        <x:v>Matched in v1.9</x:v>
      </x:c>
      <x:c r="E18" s="102"/>
      <x:c r="F18" s="102" t="str">
        <x:v>N/A</x:v>
      </x:c>
      <x:c r="G18" s="102" t="str">
        <x:v>App SRC_0001–SRC_0178 preserved</x:v>
      </x:c>
      <x:c r="H18" s="102" t="str">
        <x:v>Uploaded v4.4 reconciled with newer carrier/tanker branch.</x:v>
      </x:c>
    </x:row>
    <x:row r="19">
      <x:c r="A19" s="102" t="str">
        <x:v>event_taxonomy.csv</x:v>
      </x:c>
      <x:c r="B19" s="102" t="str">
        <x:v>Canonical / structured runtime table</x:v>
      </x:c>
      <x:c r="C19" s="102" t="str">
        <x:v>Event Taxonomy</x:v>
      </x:c>
      <x:c r="D19" s="102" t="str">
        <x:v>Matched in v1.9</x:v>
      </x:c>
      <x:c r="E19" s="102"/>
      <x:c r="F19" s="102" t="str">
        <x:v>N/A</x:v>
      </x:c>
      <x:c r="G19" s="102" t="str">
        <x:v>App SRC_0001–SRC_0178 preserved</x:v>
      </x:c>
      <x:c r="H19" s="102" t="str">
        <x:v>Uploaded v4.4 reconciled with newer carrier/tanker branch.</x:v>
      </x:c>
    </x:row>
    <x:row r="20">
      <x:c r="A20" s="102" t="str">
        <x:v>external_disruptions.csv</x:v>
      </x:c>
      <x:c r="B20" s="102" t="str">
        <x:v>Canonical / structured runtime table</x:v>
      </x:c>
      <x:c r="C20" s="102" t="str">
        <x:v>External Disruptions</x:v>
      </x:c>
      <x:c r="D20" s="102" t="str">
        <x:v>Matched in v1.9</x:v>
      </x:c>
      <x:c r="E20" s="102"/>
      <x:c r="F20" s="102" t="str">
        <x:v>N/A</x:v>
      </x:c>
      <x:c r="G20" s="102" t="str">
        <x:v>App SRC_0001–SRC_0178 preserved</x:v>
      </x:c>
      <x:c r="H20" s="102" t="str">
        <x:v>Uploaded v4.4 reconciled with newer carrier/tanker branch.</x:v>
      </x:c>
    </x:row>
    <x:row r="21">
      <x:c r="A21" s="102" t="str">
        <x:v>ferry_disruption_taxonomy.csv</x:v>
      </x:c>
      <x:c r="B21" s="102" t="str">
        <x:v>Canonical / structured runtime table</x:v>
      </x:c>
      <x:c r="C21" s="102" t="str">
        <x:v>Ferry Disruption Taxonomy</x:v>
      </x:c>
      <x:c r="D21" s="102" t="str">
        <x:v>Matched in v1.9</x:v>
      </x:c>
      <x:c r="E21" s="102"/>
      <x:c r="F21" s="102" t="str">
        <x:v>N/A</x:v>
      </x:c>
      <x:c r="G21" s="102" t="str">
        <x:v>App SRC_0001–SRC_0178 preserved</x:v>
      </x:c>
      <x:c r="H21" s="102" t="str">
        <x:v>Uploaded v4.4 reconciled with newer carrier/tanker branch.</x:v>
      </x:c>
    </x:row>
    <x:row r="22">
      <x:c r="A22" s="102" t="str">
        <x:v>ferry_fleet_status.csv</x:v>
      </x:c>
      <x:c r="B22" s="102" t="str">
        <x:v>Canonical / structured runtime table</x:v>
      </x:c>
      <x:c r="C22" s="102" t="str">
        <x:v>Ferry Fleet Status</x:v>
      </x:c>
      <x:c r="D22" s="102" t="str">
        <x:v>Matched in v1.9</x:v>
      </x:c>
      <x:c r="E22" s="102"/>
      <x:c r="F22" s="102" t="str">
        <x:v>Yes</x:v>
      </x:c>
      <x:c r="G22" s="102" t="str">
        <x:v>App SRC_0001–SRC_0178 preserved</x:v>
      </x:c>
      <x:c r="H22" s="102" t="str">
        <x:v>Uploaded v4.4 reconciled with newer carrier/tanker branch.</x:v>
      </x:c>
    </x:row>
    <x:row r="23">
      <x:c r="A23" s="102" t="str">
        <x:v>ferry_performance.csv</x:v>
      </x:c>
      <x:c r="B23" s="102" t="str">
        <x:v>Canonical / structured runtime table</x:v>
      </x:c>
      <x:c r="C23" s="102" t="str">
        <x:v>Ferry Performance</x:v>
      </x:c>
      <x:c r="D23" s="102" t="str">
        <x:v>Matched in v1.9</x:v>
      </x:c>
      <x:c r="E23" s="102"/>
      <x:c r="F23" s="102" t="str">
        <x:v>N/A</x:v>
      </x:c>
      <x:c r="G23" s="102" t="str">
        <x:v>App SRC_0001–SRC_0178 preserved</x:v>
      </x:c>
      <x:c r="H23" s="102" t="str">
        <x:v>Uploaded v4.4 reconciled with newer carrier/tanker branch.</x:v>
      </x:c>
    </x:row>
    <x:row r="24">
      <x:c r="A24" s="102" t="str">
        <x:v>ferry_routes.csv</x:v>
      </x:c>
      <x:c r="B24" s="102" t="str">
        <x:v>Canonical / structured runtime table</x:v>
      </x:c>
      <x:c r="C24" s="102" t="str">
        <x:v>Ferry Routes</x:v>
      </x:c>
      <x:c r="D24" s="102" t="str">
        <x:v>Matched in v1.9</x:v>
      </x:c>
      <x:c r="E24" s="102"/>
      <x:c r="F24" s="102" t="str">
        <x:v>N/A</x:v>
      </x:c>
      <x:c r="G24" s="102" t="str">
        <x:v>App SRC_0001–SRC_0178 preserved</x:v>
      </x:c>
      <x:c r="H24" s="102" t="str">
        <x:v>Uploaded v4.4 reconciled with newer carrier/tanker branch.</x:v>
      </x:c>
    </x:row>
    <x:row r="25">
      <x:c r="A25" s="102" t="str">
        <x:v>ferry_service_observations.csv</x:v>
      </x:c>
      <x:c r="B25" s="102" t="str">
        <x:v>Canonical / structured runtime table</x:v>
      </x:c>
      <x:c r="C25" s="102" t="str">
        <x:v>Ferry Service Observations</x:v>
      </x:c>
      <x:c r="D25" s="102" t="str">
        <x:v>Matched in v1.9</x:v>
      </x:c>
      <x:c r="E25" s="102"/>
      <x:c r="F25" s="102" t="str">
        <x:v>Yes</x:v>
      </x:c>
      <x:c r="G25" s="102" t="str">
        <x:v>App SRC_0001–SRC_0178 preserved</x:v>
      </x:c>
      <x:c r="H25" s="102" t="str">
        <x:v>Uploaded v4.4 reconciled with newer carrier/tanker branch.</x:v>
      </x:c>
    </x:row>
    <x:row r="26">
      <x:c r="A26" s="102" t="str">
        <x:v>ferry_systems.csv</x:v>
      </x:c>
      <x:c r="B26" s="102" t="str">
        <x:v>Canonical / structured runtime table</x:v>
      </x:c>
      <x:c r="C26" s="102" t="str">
        <x:v>Ferry Systems</x:v>
      </x:c>
      <x:c r="D26" s="102" t="str">
        <x:v>Matched in v1.9</x:v>
      </x:c>
      <x:c r="E26" s="102"/>
      <x:c r="F26" s="102" t="str">
        <x:v>N/A</x:v>
      </x:c>
      <x:c r="G26" s="102" t="str">
        <x:v>App SRC_0001–SRC_0178 preserved</x:v>
      </x:c>
      <x:c r="H26" s="102" t="str">
        <x:v>Uploaded v4.4 reconciled with newer carrier/tanker branch.</x:v>
      </x:c>
    </x:row>
    <x:row r="27">
      <x:c r="A27" s="102" t="str">
        <x:v>ferry_terminals.csv</x:v>
      </x:c>
      <x:c r="B27" s="102" t="str">
        <x:v>Canonical / structured runtime table</x:v>
      </x:c>
      <x:c r="C27" s="102" t="str">
        <x:v>Ferry Terminals</x:v>
      </x:c>
      <x:c r="D27" s="102" t="str">
        <x:v>Matched in v1.9</x:v>
      </x:c>
      <x:c r="E27" s="102"/>
      <x:c r="F27" s="102" t="str">
        <x:v>N/A</x:v>
      </x:c>
      <x:c r="G27" s="102" t="str">
        <x:v>App SRC_0001–SRC_0178 preserved</x:v>
      </x:c>
      <x:c r="H27" s="102" t="str">
        <x:v>Uploaded v4.4 reconciled with newer carrier/tanker branch.</x:v>
      </x:c>
    </x:row>
    <x:row r="28">
      <x:c r="A28" s="102" t="str">
        <x:v>ferry_vessel_staging.csv</x:v>
      </x:c>
      <x:c r="B28" s="102" t="str">
        <x:v>Canonical / structured runtime table</x:v>
      </x:c>
      <x:c r="C28" s="102" t="str">
        <x:v>Ferry Vessel Staging</x:v>
      </x:c>
      <x:c r="D28" s="102" t="str">
        <x:v>Matched in v1.9</x:v>
      </x:c>
      <x:c r="E28" s="102"/>
      <x:c r="F28" s="102" t="str">
        <x:v>Yes</x:v>
      </x:c>
      <x:c r="G28" s="102" t="str">
        <x:v>App SRC_0001–SRC_0178 preserved</x:v>
      </x:c>
      <x:c r="H28" s="102" t="str">
        <x:v>Uploaded v4.4 reconciled with newer carrier/tanker branch.</x:v>
      </x:c>
    </x:row>
    <x:row r="29">
      <x:c r="A29" s="102" t="str">
        <x:v>fleet_coverage.csv</x:v>
      </x:c>
      <x:c r="B29" s="102" t="str">
        <x:v>Canonical / structured runtime table</x:v>
      </x:c>
      <x:c r="C29" s="102" t="str">
        <x:v>Fleet Coverage</x:v>
      </x:c>
      <x:c r="D29" s="102" t="str">
        <x:v>Matched in v1.9</x:v>
      </x:c>
      <x:c r="E29" s="102"/>
      <x:c r="F29" s="102" t="str">
        <x:v>N/A</x:v>
      </x:c>
      <x:c r="G29" s="102" t="str">
        <x:v>App SRC_0001–SRC_0178 preserved</x:v>
      </x:c>
      <x:c r="H29" s="102" t="str">
        <x:v>Uploaded v4.4 reconciled with newer carrier/tanker branch.</x:v>
      </x:c>
    </x:row>
    <x:row r="30">
      <x:c r="A30" s="102" t="str">
        <x:v>fleet_orders.csv</x:v>
      </x:c>
      <x:c r="B30" s="102" t="str">
        <x:v>Canonical / structured runtime table</x:v>
      </x:c>
      <x:c r="C30" s="102" t="str">
        <x:v>Fleet Orders</x:v>
      </x:c>
      <x:c r="D30" s="102" t="str">
        <x:v>Matched in v1.9</x:v>
      </x:c>
      <x:c r="E30" s="102"/>
      <x:c r="F30" s="102" t="str">
        <x:v>N/A</x:v>
      </x:c>
      <x:c r="G30" s="102" t="str">
        <x:v>App SRC_0001–SRC_0178 preserved</x:v>
      </x:c>
      <x:c r="H30" s="102" t="str">
        <x:v>Uploaded v4.4 reconciled with newer carrier/tanker branch.</x:v>
      </x:c>
    </x:row>
    <x:row r="31">
      <x:c r="A31" s="102" t="str">
        <x:v>fleet_portfolios.csv</x:v>
      </x:c>
      <x:c r="B31" s="102" t="str">
        <x:v>Canonical / structured runtime table</x:v>
      </x:c>
      <x:c r="C31" s="102" t="str">
        <x:v>Fleet Portfolios</x:v>
      </x:c>
      <x:c r="D31" s="102" t="str">
        <x:v>Matched in v1.9</x:v>
      </x:c>
      <x:c r="E31" s="102"/>
      <x:c r="F31" s="102" t="str">
        <x:v>N/A</x:v>
      </x:c>
      <x:c r="G31" s="102" t="str">
        <x:v>App SRC_0001–SRC_0178 preserved</x:v>
      </x:c>
      <x:c r="H31" s="102" t="str">
        <x:v>Uploaded v4.4 reconciled with newer carrier/tanker branch.</x:v>
      </x:c>
    </x:row>
    <x:row r="32">
      <x:c r="A32" s="102" t="str">
        <x:v>global_vessel_staging.csv</x:v>
      </x:c>
      <x:c r="B32" s="102" t="str">
        <x:v>Canonical / structured runtime table</x:v>
      </x:c>
      <x:c r="C32" s="102" t="str">
        <x:v>Global Vessel Staging</x:v>
      </x:c>
      <x:c r="D32" s="102" t="str">
        <x:v>Matched in v1.9</x:v>
      </x:c>
      <x:c r="E32" s="102"/>
      <x:c r="F32" s="102" t="str">
        <x:v>Yes</x:v>
      </x:c>
      <x:c r="G32" s="102" t="str">
        <x:v>App SRC_0001–SRC_0178 preserved</x:v>
      </x:c>
      <x:c r="H32" s="102" t="str">
        <x:v>Uploaded v4.4 reconciled with newer carrier/tanker branch.</x:v>
      </x:c>
    </x:row>
    <x:row r="33">
      <x:c r="A33" s="102" t="str">
        <x:v>great_lakes_cargo_corridors.csv</x:v>
      </x:c>
      <x:c r="B33" s="102" t="str">
        <x:v>Canonical / structured runtime table</x:v>
      </x:c>
      <x:c r="C33" s="102" t="str">
        <x:v>Great Lakes Cargo Corridors</x:v>
      </x:c>
      <x:c r="D33" s="102" t="str">
        <x:v>Matched in v1.9</x:v>
      </x:c>
      <x:c r="E33" s="102"/>
      <x:c r="F33" s="102" t="str">
        <x:v>N/A</x:v>
      </x:c>
      <x:c r="G33" s="102" t="str">
        <x:v>App SRC_0001–SRC_0178 preserved</x:v>
      </x:c>
      <x:c r="H33" s="102" t="str">
        <x:v>Uploaded v4.4 reconciled with newer carrier/tanker branch.</x:v>
      </x:c>
    </x:row>
    <x:row r="34">
      <x:c r="A34" s="102" t="str">
        <x:v>great_lakes_cruise.csv</x:v>
      </x:c>
      <x:c r="B34" s="102" t="str">
        <x:v>Canonical / structured runtime table</x:v>
      </x:c>
      <x:c r="C34" s="102" t="str">
        <x:v>Great Lakes Cruise</x:v>
      </x:c>
      <x:c r="D34" s="102" t="str">
        <x:v>Matched in v1.9</x:v>
      </x:c>
      <x:c r="E34" s="102"/>
      <x:c r="F34" s="102" t="str">
        <x:v>Yes</x:v>
      </x:c>
      <x:c r="G34" s="102" t="str">
        <x:v>App SRC_0001–SRC_0178 preserved</x:v>
      </x:c>
      <x:c r="H34" s="102" t="str">
        <x:v>Uploaded v4.4 reconciled with newer carrier/tanker branch.</x:v>
      </x:c>
    </x:row>
    <x:row r="35">
      <x:c r="A35" s="102" t="str">
        <x:v>great_lakes_disruptions.csv</x:v>
      </x:c>
      <x:c r="B35" s="102" t="str">
        <x:v>Canonical / structured runtime table</x:v>
      </x:c>
      <x:c r="C35" s="102" t="str">
        <x:v>Great Lakes Disruptions</x:v>
      </x:c>
      <x:c r="D35" s="102" t="str">
        <x:v>Matched in v1.9</x:v>
      </x:c>
      <x:c r="E35" s="102"/>
      <x:c r="F35" s="102" t="str">
        <x:v>N/A</x:v>
      </x:c>
      <x:c r="G35" s="102" t="str">
        <x:v>App SRC_0001–SRC_0178 preserved</x:v>
      </x:c>
      <x:c r="H35" s="102" t="str">
        <x:v>Uploaded v4.4 reconciled with newer carrier/tanker branch.</x:v>
      </x:c>
    </x:row>
    <x:row r="36">
      <x:c r="A36" s="102" t="str">
        <x:v>great_lakes_ports.csv</x:v>
      </x:c>
      <x:c r="B36" s="102" t="str">
        <x:v>Canonical / structured runtime table</x:v>
      </x:c>
      <x:c r="C36" s="102" t="str">
        <x:v>Great Lakes Ports</x:v>
      </x:c>
      <x:c r="D36" s="102" t="str">
        <x:v>Matched in v1.9</x:v>
      </x:c>
      <x:c r="E36" s="102"/>
      <x:c r="F36" s="102" t="str">
        <x:v>N/A</x:v>
      </x:c>
      <x:c r="G36" s="102" t="str">
        <x:v>App SRC_0001–SRC_0178 preserved</x:v>
      </x:c>
      <x:c r="H36" s="102" t="str">
        <x:v>Uploaded v4.4 reconciled with newer carrier/tanker branch.</x:v>
      </x:c>
    </x:row>
    <x:row r="37">
      <x:c r="A37" s="102" t="str">
        <x:v>great_lakes_vessel_staging.csv</x:v>
      </x:c>
      <x:c r="B37" s="102" t="str">
        <x:v>Canonical / structured runtime table</x:v>
      </x:c>
      <x:c r="C37" s="102" t="str">
        <x:v>Great Lakes Vessel Staging</x:v>
      </x:c>
      <x:c r="D37" s="102" t="str">
        <x:v>Matched in v1.9</x:v>
      </x:c>
      <x:c r="E37" s="102"/>
      <x:c r="F37" s="102" t="str">
        <x:v>Yes</x:v>
      </x:c>
      <x:c r="G37" s="102" t="str">
        <x:v>App SRC_0001–SRC_0178 preserved</x:v>
      </x:c>
      <x:c r="H37" s="102" t="str">
        <x:v>Uploaded v4.4 reconciled with newer carrier/tanker branch.</x:v>
      </x:c>
    </x:row>
    <x:row r="38">
      <x:c r="A38" s="102" t="str">
        <x:v>imo_coverage.csv</x:v>
      </x:c>
      <x:c r="B38" s="102" t="str">
        <x:v>Canonical / structured runtime table</x:v>
      </x:c>
      <x:c r="C38" s="102" t="str">
        <x:v>IMO Coverage</x:v>
      </x:c>
      <x:c r="D38" s="102" t="str">
        <x:v>Matched in v1.9</x:v>
      </x:c>
      <x:c r="E38" s="102"/>
      <x:c r="F38" s="102" t="str">
        <x:v>N/A</x:v>
      </x:c>
      <x:c r="G38" s="102" t="str">
        <x:v>App SRC_0001–SRC_0178 preserved</x:v>
      </x:c>
      <x:c r="H38" s="102" t="str">
        <x:v>Uploaded v4.4 reconciled with newer carrier/tanker branch.</x:v>
      </x:c>
    </x:row>
    <x:row r="39">
      <x:c r="A39" s="102" t="str">
        <x:v>imo_gulf_confirmed_2026.csv</x:v>
      </x:c>
      <x:c r="B39" s="102" t="str">
        <x:v>Raw operational/source feed</x:v>
      </x:c>
      <x:c r="C39" s="102" t="str">
        <x:v>External runtime feed → Event Observations / specialist page</x:v>
      </x:c>
      <x:c r="D39" s="102" t="str">
        <x:v>Runtime only / ingestion source</x:v>
      </x:c>
      <x:c r="E39" s="102"/>
      <x:c r="F39" s="102" t="str">
        <x:v>N/A</x:v>
      </x:c>
      <x:c r="G39" s="102" t="str">
        <x:v>App SRC_0001–SRC_0178 preserved</x:v>
      </x:c>
      <x:c r="H39" s="102" t="str">
        <x:v>Uploaded v4.4 reconciled with newer carrier/tanker branch.</x:v>
      </x:c>
    </x:row>
    <x:row r="40">
      <x:c r="A40" s="102" t="str">
        <x:v>infrastructure_works.csv</x:v>
      </x:c>
      <x:c r="B40" s="102" t="str">
        <x:v>Canonical / structured runtime table</x:v>
      </x:c>
      <x:c r="C40" s="102" t="str">
        <x:v>Infrastructure Works</x:v>
      </x:c>
      <x:c r="D40" s="102" t="str">
        <x:v>Matched in v1.9</x:v>
      </x:c>
      <x:c r="E40" s="102"/>
      <x:c r="F40" s="102" t="str">
        <x:v>N/A</x:v>
      </x:c>
      <x:c r="G40" s="102" t="str">
        <x:v>App SRC_0001–SRC_0178 preserved</x:v>
      </x:c>
      <x:c r="H40" s="102" t="str">
        <x:v>Uploaded v4.4 reconciled with newer carrier/tanker branch.</x:v>
      </x:c>
    </x:row>
    <x:row r="41">
      <x:c r="A41" s="102" t="str">
        <x:v>investments.csv</x:v>
      </x:c>
      <x:c r="B41" s="102" t="str">
        <x:v>Canonical / structured runtime table</x:v>
      </x:c>
      <x:c r="C41" s="102" t="str">
        <x:v>Investments</x:v>
      </x:c>
      <x:c r="D41" s="102" t="str">
        <x:v>Matched in v1.9</x:v>
      </x:c>
      <x:c r="E41" s="102"/>
      <x:c r="F41" s="102" t="str">
        <x:v>N/A</x:v>
      </x:c>
      <x:c r="G41" s="102" t="str">
        <x:v>App SRC_0001–SRC_0178 preserved</x:v>
      </x:c>
      <x:c r="H41" s="102" t="str">
        <x:v>Uploaded v4.4 reconciled with newer carrier/tanker branch.</x:v>
      </x:c>
    </x:row>
    <x:row r="42">
      <x:c r="A42" s="102" t="str">
        <x:v>iuu_fishing_index_2019_2025.csv</x:v>
      </x:c>
      <x:c r="B42" s="102" t="str">
        <x:v>Raw operational/source feed</x:v>
      </x:c>
      <x:c r="C42" s="102" t="str">
        <x:v>External runtime feed → Event Observations / specialist page</x:v>
      </x:c>
      <x:c r="D42" s="102" t="str">
        <x:v>Runtime only / ingestion source</x:v>
      </x:c>
      <x:c r="E42" s="102"/>
      <x:c r="F42" s="102" t="str">
        <x:v>N/A</x:v>
      </x:c>
      <x:c r="G42" s="102" t="str">
        <x:v>App SRC_0001–SRC_0178 preserved</x:v>
      </x:c>
      <x:c r="H42" s="102" t="str">
        <x:v>Uploaded v4.4 reconciled with newer carrier/tanker branch.</x:v>
      </x:c>
    </x:row>
    <x:row r="43">
      <x:c r="A43" s="102" t="str">
        <x:v>leadership_roles.csv</x:v>
      </x:c>
      <x:c r="B43" s="102" t="str">
        <x:v>Canonical / structured runtime table</x:v>
      </x:c>
      <x:c r="C43" s="102" t="str">
        <x:v>Leadership Roles</x:v>
      </x:c>
      <x:c r="D43" s="102" t="str">
        <x:v>Matched in v1.9</x:v>
      </x:c>
      <x:c r="E43" s="102"/>
      <x:c r="F43" s="102" t="str">
        <x:v>N/A</x:v>
      </x:c>
      <x:c r="G43" s="102" t="str">
        <x:v>App SRC_0001–SRC_0178 preserved</x:v>
      </x:c>
      <x:c r="H43" s="102" t="str">
        <x:v>Uploaded v4.4 reconciled with newer carrier/tanker branch.</x:v>
      </x:c>
    </x:row>
    <x:row r="44">
      <x:c r="A44" s="102" t="str">
        <x:v>maritime_attacks_2026.csv</x:v>
      </x:c>
      <x:c r="B44" s="102" t="str">
        <x:v>Raw operational/source feed</x:v>
      </x:c>
      <x:c r="C44" s="102" t="str">
        <x:v>External runtime feed → Event Observations / specialist page</x:v>
      </x:c>
      <x:c r="D44" s="102" t="str">
        <x:v>Runtime only / ingestion source</x:v>
      </x:c>
      <x:c r="E44" s="102"/>
      <x:c r="F44" s="102" t="str">
        <x:v>N/A</x:v>
      </x:c>
      <x:c r="G44" s="102" t="str">
        <x:v>App SRC_0001–SRC_0178 preserved</x:v>
      </x:c>
      <x:c r="H44" s="102" t="str">
        <x:v>Uploaded v4.4 reconciled with newer carrier/tanker branch.</x:v>
      </x:c>
    </x:row>
    <x:row r="45">
      <x:c r="A45" s="102" t="str">
        <x:v>naval_shipbuilding_2026.csv</x:v>
      </x:c>
      <x:c r="B45" s="102" t="str">
        <x:v>Raw operational/source feed</x:v>
      </x:c>
      <x:c r="C45" s="102" t="str">
        <x:v>External runtime feed → Event Observations / specialist page</x:v>
      </x:c>
      <x:c r="D45" s="102" t="str">
        <x:v>Runtime only / ingestion source</x:v>
      </x:c>
      <x:c r="E45" s="102"/>
      <x:c r="F45" s="102" t="str">
        <x:v>N/A</x:v>
      </x:c>
      <x:c r="G45" s="102" t="str">
        <x:v>App SRC_0001–SRC_0178 preserved</x:v>
      </x:c>
      <x:c r="H45" s="102" t="str">
        <x:v>Uploaded v4.4 reconciled with newer carrier/tanker branch.</x:v>
      </x:c>
    </x:row>
    <x:row r="46">
      <x:c r="A46" s="102" t="str">
        <x:v>people.csv</x:v>
      </x:c>
      <x:c r="B46" s="102" t="str">
        <x:v>Canonical / structured runtime table</x:v>
      </x:c>
      <x:c r="C46" s="102" t="str">
        <x:v>People</x:v>
      </x:c>
      <x:c r="D46" s="102" t="str">
        <x:v>Matched in v1.9</x:v>
      </x:c>
      <x:c r="E46" s="102"/>
      <x:c r="F46" s="102" t="str">
        <x:v>N/A</x:v>
      </x:c>
      <x:c r="G46" s="102" t="str">
        <x:v>App SRC_0001–SRC_0178 preserved</x:v>
      </x:c>
      <x:c r="H46" s="102" t="str">
        <x:v>Uploaded v4.4 reconciled with newer carrier/tanker branch.</x:v>
      </x:c>
    </x:row>
    <x:row r="47">
      <x:c r="A47" s="102" t="str">
        <x:v>piracy_2026.csv</x:v>
      </x:c>
      <x:c r="B47" s="102" t="str">
        <x:v>Raw operational/source feed</x:v>
      </x:c>
      <x:c r="C47" s="102" t="str">
        <x:v>External runtime feed → Event Observations / specialist page</x:v>
      </x:c>
      <x:c r="D47" s="102" t="str">
        <x:v>Runtime only / ingestion source</x:v>
      </x:c>
      <x:c r="E47" s="102"/>
      <x:c r="F47" s="102" t="str">
        <x:v>N/A</x:v>
      </x:c>
      <x:c r="G47" s="102" t="str">
        <x:v>App SRC_0001–SRC_0178 preserved</x:v>
      </x:c>
      <x:c r="H47" s="102" t="str">
        <x:v>Uploaded v4.4 reconciled with newer carrier/tanker branch.</x:v>
      </x:c>
    </x:row>
    <x:row r="48">
      <x:c r="A48" s="102" t="str">
        <x:v>port_incidents_2026.csv</x:v>
      </x:c>
      <x:c r="B48" s="102" t="str">
        <x:v>Raw operational/source feed</x:v>
      </x:c>
      <x:c r="C48" s="102" t="str">
        <x:v>External runtime feed → Event Observations / specialist page</x:v>
      </x:c>
      <x:c r="D48" s="102" t="str">
        <x:v>Runtime only / ingestion source</x:v>
      </x:c>
      <x:c r="E48" s="102"/>
      <x:c r="F48" s="102" t="str">
        <x:v>N/A</x:v>
      </x:c>
      <x:c r="G48" s="102" t="str">
        <x:v>App SRC_0001–SRC_0178 preserved</x:v>
      </x:c>
      <x:c r="H48" s="102" t="str">
        <x:v>Uploaded v4.4 reconciled with newer carrier/tanker branch.</x:v>
      </x:c>
    </x:row>
    <x:row r="49">
      <x:c r="A49" s="102" t="str">
        <x:v>port_investments_2026.csv</x:v>
      </x:c>
      <x:c r="B49" s="102" t="str">
        <x:v>Raw operational/source feed</x:v>
      </x:c>
      <x:c r="C49" s="102" t="str">
        <x:v>External runtime feed → Event Observations / specialist page</x:v>
      </x:c>
      <x:c r="D49" s="102" t="str">
        <x:v>Runtime only / ingestion source</x:v>
      </x:c>
      <x:c r="E49" s="102"/>
      <x:c r="F49" s="102" t="str">
        <x:v>N/A</x:v>
      </x:c>
      <x:c r="G49" s="102" t="str">
        <x:v>App SRC_0001–SRC_0178 preserved</x:v>
      </x:c>
      <x:c r="H49" s="102" t="str">
        <x:v>Uploaded v4.4 reconciled with newer carrier/tanker branch.</x:v>
      </x:c>
    </x:row>
    <x:row r="50">
      <x:c r="A50" s="102" t="str">
        <x:v>ports.csv</x:v>
      </x:c>
      <x:c r="B50" s="102" t="str">
        <x:v>Canonical / structured runtime table</x:v>
      </x:c>
      <x:c r="C50" s="102" t="str">
        <x:v>Ports</x:v>
      </x:c>
      <x:c r="D50" s="102" t="str">
        <x:v>Matched in v1.9</x:v>
      </x:c>
      <x:c r="E50" s="102"/>
      <x:c r="F50" s="102" t="str">
        <x:v>N/A</x:v>
      </x:c>
      <x:c r="G50" s="102" t="str">
        <x:v>App SRC_0001–SRC_0178 preserved</x:v>
      </x:c>
      <x:c r="H50" s="102" t="str">
        <x:v>Uploaded v4.4 reconciled with newer carrier/tanker branch.</x:v>
      </x:c>
    </x:row>
    <x:row r="51">
      <x:c r="A51" s="102" t="str">
        <x:v>recaap_incidents_2024_2026.csv</x:v>
      </x:c>
      <x:c r="B51" s="102" t="str">
        <x:v>Raw operational/source feed</x:v>
      </x:c>
      <x:c r="C51" s="102" t="str">
        <x:v>External runtime feed → Event Observations / specialist page</x:v>
      </x:c>
      <x:c r="D51" s="102" t="str">
        <x:v>Runtime only / ingestion source</x:v>
      </x:c>
      <x:c r="E51" s="102"/>
      <x:c r="F51" s="102" t="str">
        <x:v>N/A</x:v>
      </x:c>
      <x:c r="G51" s="102" t="str">
        <x:v>App SRC_0001–SRC_0178 preserved</x:v>
      </x:c>
      <x:c r="H51" s="102" t="str">
        <x:v>Uploaded v4.4 reconciled with newer carrier/tanker branch.</x:v>
      </x:c>
    </x:row>
    <x:row r="52">
      <x:c r="A52" s="102" t="str">
        <x:v>regional_systems.csv</x:v>
      </x:c>
      <x:c r="B52" s="102" t="str">
        <x:v>Canonical / structured runtime table</x:v>
      </x:c>
      <x:c r="C52" s="102" t="str">
        <x:v>Regional Systems</x:v>
      </x:c>
      <x:c r="D52" s="102" t="str">
        <x:v>Matched in v1.9</x:v>
      </x:c>
      <x:c r="E52" s="102"/>
      <x:c r="F52" s="102" t="str">
        <x:v>N/A</x:v>
      </x:c>
      <x:c r="G52" s="102" t="str">
        <x:v>App SRC_0001–SRC_0178 preserved</x:v>
      </x:c>
      <x:c r="H52" s="102" t="str">
        <x:v>Uploaded v4.4 reconciled with newer carrier/tanker branch.</x:v>
      </x:c>
    </x:row>
    <x:row r="53">
      <x:c r="A53" s="102" t="str">
        <x:v>relationships.csv</x:v>
      </x:c>
      <x:c r="B53" s="102" t="str">
        <x:v>Canonical / structured runtime table</x:v>
      </x:c>
      <x:c r="C53" s="102" t="str">
        <x:v>Relationships</x:v>
      </x:c>
      <x:c r="D53" s="102" t="str">
        <x:v>Matched in v1.9</x:v>
      </x:c>
      <x:c r="E53" s="102"/>
      <x:c r="F53" s="102" t="str">
        <x:v>N/A</x:v>
      </x:c>
      <x:c r="G53" s="102" t="str">
        <x:v>App SRC_0001–SRC_0178 preserved</x:v>
      </x:c>
      <x:c r="H53" s="102" t="str">
        <x:v>Uploaded v4.4 reconciled with newer carrier/tanker branch.</x:v>
      </x:c>
    </x:row>
    <x:row r="54">
      <x:c r="A54" s="102" t="str">
        <x:v>research_queue.csv</x:v>
      </x:c>
      <x:c r="B54" s="102" t="str">
        <x:v>Canonical / structured runtime table</x:v>
      </x:c>
      <x:c r="C54" s="102" t="str">
        <x:v>Research Queue</x:v>
      </x:c>
      <x:c r="D54" s="102" t="str">
        <x:v>Matched in v1.9</x:v>
      </x:c>
      <x:c r="E54" s="102"/>
      <x:c r="F54" s="102" t="str">
        <x:v>N/A</x:v>
      </x:c>
      <x:c r="G54" s="102" t="str">
        <x:v>App SRC_0001–SRC_0178 preserved</x:v>
      </x:c>
      <x:c r="H54" s="102" t="str">
        <x:v>Uploaded v4.4 reconciled with newer carrier/tanker branch.</x:v>
      </x:c>
    </x:row>
    <x:row r="55">
      <x:c r="A55" s="102" t="str">
        <x:v>shipyard_industrial_moves_2026.csv</x:v>
      </x:c>
      <x:c r="B55" s="102" t="str">
        <x:v>Raw operational/source feed</x:v>
      </x:c>
      <x:c r="C55" s="102" t="str">
        <x:v>External runtime feed → Event Observations / specialist page</x:v>
      </x:c>
      <x:c r="D55" s="102" t="str">
        <x:v>Runtime only / ingestion source</x:v>
      </x:c>
      <x:c r="E55" s="102"/>
      <x:c r="F55" s="102" t="str">
        <x:v>N/A</x:v>
      </x:c>
      <x:c r="G55" s="102" t="str">
        <x:v>App SRC_0001–SRC_0178 preserved</x:v>
      </x:c>
      <x:c r="H55" s="102" t="str">
        <x:v>Uploaded v4.4 reconciled with newer carrier/tanker branch.</x:v>
      </x:c>
    </x:row>
    <x:row r="56">
      <x:c r="A56" s="102" t="str">
        <x:v>shipyards.csv</x:v>
      </x:c>
      <x:c r="B56" s="102" t="str">
        <x:v>Canonical / structured runtime table</x:v>
      </x:c>
      <x:c r="C56" s="102" t="str">
        <x:v>Shipyards</x:v>
      </x:c>
      <x:c r="D56" s="102" t="str">
        <x:v>Matched in v1.9</x:v>
      </x:c>
      <x:c r="E56" s="102"/>
      <x:c r="F56" s="102" t="str">
        <x:v>N/A</x:v>
      </x:c>
      <x:c r="G56" s="102" t="str">
        <x:v>App SRC_0001–SRC_0178 preserved</x:v>
      </x:c>
      <x:c r="H56" s="102" t="str">
        <x:v>Uploaded v4.4 reconciled with newer carrier/tanker branch.</x:v>
      </x:c>
    </x:row>
    <x:row r="57">
      <x:c r="A57" s="102" t="str">
        <x:v>sources.csv</x:v>
      </x:c>
      <x:c r="B57" s="102" t="str">
        <x:v>Canonical / structured runtime table</x:v>
      </x:c>
      <x:c r="C57" s="102" t="str">
        <x:v>Sources</x:v>
      </x:c>
      <x:c r="D57" s="102" t="str">
        <x:v>Matched in v1.9</x:v>
      </x:c>
      <x:c r="E57" s="102"/>
      <x:c r="F57" s="102" t="str">
        <x:v>N/A</x:v>
      </x:c>
      <x:c r="G57" s="102" t="str">
        <x:v>App SRC_0001–SRC_0178 preserved</x:v>
      </x:c>
      <x:c r="H57" s="102" t="str">
        <x:v>Uploaded v4.4 reconciled with newer carrier/tanker branch.</x:v>
      </x:c>
    </x:row>
    <x:row r="58">
      <x:c r="A58" s="102" t="str">
        <x:v>strategic_events.csv</x:v>
      </x:c>
      <x:c r="B58" s="102" t="str">
        <x:v>Canonical / structured runtime table</x:v>
      </x:c>
      <x:c r="C58" s="102" t="str">
        <x:v>Strategic Events</x:v>
      </x:c>
      <x:c r="D58" s="102" t="str">
        <x:v>Matched in v1.9</x:v>
      </x:c>
      <x:c r="E58" s="102"/>
      <x:c r="F58" s="102" t="str">
        <x:v>N/A</x:v>
      </x:c>
      <x:c r="G58" s="102" t="str">
        <x:v>App SRC_0001–SRC_0178 preserved</x:v>
      </x:c>
      <x:c r="H58" s="102" t="str">
        <x:v>Uploaded v4.4 reconciled with newer carrier/tanker branch.</x:v>
      </x:c>
    </x:row>
    <x:row r="59">
      <x:c r="A59" s="102" t="str">
        <x:v>streamlit_map.csv</x:v>
      </x:c>
      <x:c r="B59" s="102" t="str">
        <x:v>Runtime support table</x:v>
      </x:c>
      <x:c r="C59" s="102" t="str">
        <x:v>Runtime layer</x:v>
      </x:c>
      <x:c r="D59" s="102" t="str">
        <x:v>Retained</x:v>
      </x:c>
      <x:c r="E59" s="102"/>
      <x:c r="F59" s="102" t="str">
        <x:v>N/A</x:v>
      </x:c>
      <x:c r="G59" s="102" t="str">
        <x:v>App SRC_0001–SRC_0178 preserved</x:v>
      </x:c>
      <x:c r="H59" s="102" t="str">
        <x:v>Uploaded v4.4 reconciled with newer carrier/tanker branch.</x:v>
      </x:c>
    </x:row>
    <x:row r="60">
      <x:c r="A60" s="102" t="str">
        <x:v>system_dependencies.csv</x:v>
      </x:c>
      <x:c r="B60" s="102" t="str">
        <x:v>Canonical / structured runtime table</x:v>
      </x:c>
      <x:c r="C60" s="102" t="str">
        <x:v>System Dependencies</x:v>
      </x:c>
      <x:c r="D60" s="102" t="str">
        <x:v>Matched in v1.9</x:v>
      </x:c>
      <x:c r="E60" s="102"/>
      <x:c r="F60" s="102" t="str">
        <x:v>N/A</x:v>
      </x:c>
      <x:c r="G60" s="102" t="str">
        <x:v>App SRC_0001–SRC_0178 preserved</x:v>
      </x:c>
      <x:c r="H60" s="102" t="str">
        <x:v>Uploaded v4.4 reconciled with newer carrier/tanker branch.</x:v>
      </x:c>
    </x:row>
    <x:row r="61">
      <x:c r="A61" s="102" t="str">
        <x:v>system_links.csv</x:v>
      </x:c>
      <x:c r="B61" s="102" t="str">
        <x:v>Canonical / structured runtime table</x:v>
      </x:c>
      <x:c r="C61" s="102" t="str">
        <x:v>System Links</x:v>
      </x:c>
      <x:c r="D61" s="102" t="str">
        <x:v>Matched in v1.9</x:v>
      </x:c>
      <x:c r="E61" s="102"/>
      <x:c r="F61" s="102" t="str">
        <x:v>N/A</x:v>
      </x:c>
      <x:c r="G61" s="102" t="str">
        <x:v>App SRC_0001–SRC_0178 preserved</x:v>
      </x:c>
      <x:c r="H61" s="102" t="str">
        <x:v>Uploaded v4.4 reconciled with newer carrier/tanker branch.</x:v>
      </x:c>
    </x:row>
    <x:row r="62">
      <x:c r="A62" s="102" t="str">
        <x:v>system_nodes.csv</x:v>
      </x:c>
      <x:c r="B62" s="102" t="str">
        <x:v>Canonical / structured runtime table</x:v>
      </x:c>
      <x:c r="C62" s="102" t="str">
        <x:v>System Nodes</x:v>
      </x:c>
      <x:c r="D62" s="102" t="str">
        <x:v>Matched in v1.9</x:v>
      </x:c>
      <x:c r="E62" s="102"/>
      <x:c r="F62" s="102" t="str">
        <x:v>N/A</x:v>
      </x:c>
      <x:c r="G62" s="102" t="str">
        <x:v>App SRC_0001–SRC_0178 preserved</x:v>
      </x:c>
      <x:c r="H62" s="102" t="str">
        <x:v>Uploaded v4.4 reconciled with newer carrier/tanker branch.</x:v>
      </x:c>
    </x:row>
    <x:row r="63">
      <x:c r="A63" s="102" t="str">
        <x:v>ukmto_warnings_2026.csv</x:v>
      </x:c>
      <x:c r="B63" s="102" t="str">
        <x:v>Raw operational/source feed</x:v>
      </x:c>
      <x:c r="C63" s="102" t="str">
        <x:v>External runtime feed → Event Observations / specialist page</x:v>
      </x:c>
      <x:c r="D63" s="102" t="str">
        <x:v>Runtime only / ingestion source</x:v>
      </x:c>
      <x:c r="E63" s="102"/>
      <x:c r="F63" s="102" t="str">
        <x:v>N/A</x:v>
      </x:c>
      <x:c r="G63" s="102" t="str">
        <x:v>App SRC_0001–SRC_0178 preserved</x:v>
      </x:c>
      <x:c r="H63" s="102" t="str">
        <x:v>Uploaded v4.4 reconciled with newer carrier/tanker branch.</x:v>
      </x:c>
    </x:row>
    <x:row r="64">
      <x:c r="A64" s="102" t="str">
        <x:v>vessel_build_records.csv</x:v>
      </x:c>
      <x:c r="B64" s="102" t="str">
        <x:v>Canonical / structured runtime table</x:v>
      </x:c>
      <x:c r="C64" s="102" t="str">
        <x:v>Vessel Build Records</x:v>
      </x:c>
      <x:c r="D64" s="102" t="str">
        <x:v>Matched in v1.9</x:v>
      </x:c>
      <x:c r="E64" s="102"/>
      <x:c r="F64" s="102" t="str">
        <x:v>N/A</x:v>
      </x:c>
      <x:c r="G64" s="102" t="str">
        <x:v>App SRC_0001–SRC_0178 preserved</x:v>
      </x:c>
      <x:c r="H64" s="102" t="str">
        <x:v>Uploaded v4.4 reconciled with newer carrier/tanker branch.</x:v>
      </x:c>
    </x:row>
    <x:row r="65">
      <x:c r="A65" s="102" t="str">
        <x:v>vessel_contracts.csv</x:v>
      </x:c>
      <x:c r="B65" s="102" t="str">
        <x:v>Canonical / structured runtime table</x:v>
      </x:c>
      <x:c r="C65" s="102" t="str">
        <x:v>Vessel Contracts</x:v>
      </x:c>
      <x:c r="D65" s="102" t="str">
        <x:v>Matched in v1.9</x:v>
      </x:c>
      <x:c r="E65" s="102"/>
      <x:c r="F65" s="102" t="str">
        <x:v>N/A</x:v>
      </x:c>
      <x:c r="G65" s="102" t="str">
        <x:v>App SRC_0001–SRC_0178 preserved</x:v>
      </x:c>
      <x:c r="H65" s="102" t="str">
        <x:v>Uploaded v4.4 reconciled with newer carrier/tanker branch.</x:v>
      </x:c>
    </x:row>
    <x:row r="66">
      <x:c r="A66" s="102" t="str">
        <x:v>vessel_evidence.csv</x:v>
      </x:c>
      <x:c r="B66" s="102" t="str">
        <x:v>Canonical / structured runtime table</x:v>
      </x:c>
      <x:c r="C66" s="102" t="str">
        <x:v>Vessel Evidence</x:v>
      </x:c>
      <x:c r="D66" s="102" t="str">
        <x:v>Matched in v1.9</x:v>
      </x:c>
      <x:c r="E66" s="102"/>
      <x:c r="F66" s="102" t="str">
        <x:v>Yes</x:v>
      </x:c>
      <x:c r="G66" s="102" t="str">
        <x:v>App SRC_0001–SRC_0178 preserved</x:v>
      </x:c>
      <x:c r="H66" s="102" t="str">
        <x:v>Uploaded v4.4 reconciled with newer carrier/tanker branch.</x:v>
      </x:c>
    </x:row>
    <x:row r="67">
      <x:c r="A67" s="102" t="str">
        <x:v>vessel_identifiers.csv</x:v>
      </x:c>
      <x:c r="B67" s="102" t="str">
        <x:v>Canonical / structured runtime table</x:v>
      </x:c>
      <x:c r="C67" s="102" t="str">
        <x:v>Vessel Identifiers</x:v>
      </x:c>
      <x:c r="D67" s="102" t="str">
        <x:v>Matched in v1.9</x:v>
      </x:c>
      <x:c r="E67" s="102"/>
      <x:c r="F67" s="102" t="str">
        <x:v>Yes</x:v>
      </x:c>
      <x:c r="G67" s="102" t="str">
        <x:v>App SRC_0001–SRC_0178 preserved</x:v>
      </x:c>
      <x:c r="H67" s="102" t="str">
        <x:v>Uploaded v4.4 reconciled with newer carrier/tanker branch.</x:v>
      </x:c>
    </x:row>
    <x:row r="68">
      <x:c r="A68" s="102" t="str">
        <x:v>vessel_imo_verification.csv</x:v>
      </x:c>
      <x:c r="B68" s="102" t="str">
        <x:v>Canonical / structured runtime table</x:v>
      </x:c>
      <x:c r="C68" s="102" t="str">
        <x:v>Vessel IMO Verification</x:v>
      </x:c>
      <x:c r="D68" s="102" t="str">
        <x:v>Matched in v1.9</x:v>
      </x:c>
      <x:c r="E68" s="102"/>
      <x:c r="F68" s="102" t="str">
        <x:v>Yes</x:v>
      </x:c>
      <x:c r="G68" s="102" t="str">
        <x:v>App SRC_0001–SRC_0178 preserved</x:v>
      </x:c>
      <x:c r="H68" s="102" t="str">
        <x:v>Uploaded v4.4 reconciled with newer carrier/tanker branch.</x:v>
      </x:c>
    </x:row>
    <x:row r="69">
      <x:c r="A69" s="102" t="str">
        <x:v>vessel_relationships.csv</x:v>
      </x:c>
      <x:c r="B69" s="102" t="str">
        <x:v>Canonical / structured runtime table</x:v>
      </x:c>
      <x:c r="C69" s="102" t="str">
        <x:v>Vessel Relationships</x:v>
      </x:c>
      <x:c r="D69" s="102" t="str">
        <x:v>Matched in v1.9</x:v>
      </x:c>
      <x:c r="E69" s="102"/>
      <x:c r="F69" s="102" t="str">
        <x:v>Yes</x:v>
      </x:c>
      <x:c r="G69" s="102" t="str">
        <x:v>App SRC_0001–SRC_0178 preserved</x:v>
      </x:c>
      <x:c r="H69" s="102" t="str">
        <x:v>Uploaded v4.4 reconciled with newer carrier/tanker branch.</x:v>
      </x:c>
    </x:row>
    <x:row r="70">
      <x:c r="A70" s="102" t="str">
        <x:v>vessel_watchlists.csv</x:v>
      </x:c>
      <x:c r="B70" s="102" t="str">
        <x:v>Raw operational/source feed</x:v>
      </x:c>
      <x:c r="C70" s="102" t="str">
        <x:v>External runtime feed → Event Observations / specialist page</x:v>
      </x:c>
      <x:c r="D70" s="102" t="str">
        <x:v>Runtime only / ingestion source</x:v>
      </x:c>
      <x:c r="E70" s="102"/>
      <x:c r="F70" s="102" t="str">
        <x:v>N/A</x:v>
      </x:c>
      <x:c r="G70" s="102" t="str">
        <x:v>App SRC_0001–SRC_0178 preserved</x:v>
      </x:c>
      <x:c r="H70" s="102" t="str">
        <x:v>Uploaded v4.4 reconciled with newer carrier/tanker branch.</x:v>
      </x:c>
    </x:row>
    <x:row r="71">
      <x:c r="A71" s="102" t="str">
        <x:v>vessels.csv</x:v>
      </x:c>
      <x:c r="B71" s="102" t="str">
        <x:v>Canonical / structured runtime table</x:v>
      </x:c>
      <x:c r="C71" s="102" t="str">
        <x:v>Vessels</x:v>
      </x:c>
      <x:c r="D71" s="102" t="str">
        <x:v>Matched in v1.9</x:v>
      </x:c>
      <x:c r="E71" s="102"/>
      <x:c r="F71" s="102" t="str">
        <x:v>Yes</x:v>
      </x:c>
      <x:c r="G71" s="102" t="str">
        <x:v>App SRC_0001–SRC_0178 preserved</x:v>
      </x:c>
      <x:c r="H71" s="102" t="str">
        <x:v>Uploaded v4.4 reconciled with newer carrier/tanker branch.</x:v>
      </x:c>
    </x:row>
    <x:row r="72">
      <x:c r="A72" s="102" t="str">
        <x:v>fleet_research_universe.csv</x:v>
      </x:c>
      <x:c r="B72" s="102" t="str">
        <x:v>New v1.9 runtime table</x:v>
      </x:c>
      <x:c r="C72" s="102" t="str">
        <x:v>Fleet Research Universe</x:v>
      </x:c>
      <x:c r="D72" s="102" t="str">
        <x:v>Added</x:v>
      </x:c>
      <x:c r="E72" s="102" t="str">
        <x:v>See Data Dictionary</x:v>
      </x:c>
      <x:c r="F72" s="102" t="str">
        <x:v>N/A</x:v>
      </x:c>
      <x:c r="G72" s="102" t="str">
        <x:v>Newer-branch sources remapped to SRC_0179+</x:v>
      </x:c>
      <x:c r="H72" s="102" t="str">
        <x:v>Part of unified GitHub/Streamlit model.</x:v>
      </x:c>
    </x:row>
    <x:row r="73">
      <x:c r="A73" s="102" t="str">
        <x:v>carrier_deployment_seeds.csv</x:v>
      </x:c>
      <x:c r="B73" s="102" t="str">
        <x:v>New v1.9 runtime table</x:v>
      </x:c>
      <x:c r="C73" s="102" t="str">
        <x:v>Carrier Deployment Seeds</x:v>
      </x:c>
      <x:c r="D73" s="102" t="str">
        <x:v>Added</x:v>
      </x:c>
      <x:c r="E73" s="102" t="str">
        <x:v>See Data Dictionary</x:v>
      </x:c>
      <x:c r="F73" s="102" t="str">
        <x:v>N/A</x:v>
      </x:c>
      <x:c r="G73" s="102" t="str">
        <x:v>Newer-branch sources remapped to SRC_0179+</x:v>
      </x:c>
      <x:c r="H73" s="102" t="str">
        <x:v>Part of unified GitHub/Streamlit model.</x:v>
      </x:c>
    </x:row>
    <x:row r="74">
      <x:c r="A74" s="102" t="str">
        <x:v>carrier_fleet_targets.csv</x:v>
      </x:c>
      <x:c r="B74" s="102" t="str">
        <x:v>New v1.9 runtime table</x:v>
      </x:c>
      <x:c r="C74" s="102" t="str">
        <x:v>Derived runtime fleet coverage</x:v>
      </x:c>
      <x:c r="D74" s="102" t="str">
        <x:v>Added</x:v>
      </x:c>
      <x:c r="E74" s="102" t="str">
        <x:v>See Data Dictionary</x:v>
      </x:c>
      <x:c r="F74" s="102" t="str">
        <x:v>N/A</x:v>
      </x:c>
      <x:c r="G74" s="102" t="str">
        <x:v>Newer-branch sources remapped to SRC_0179+</x:v>
      </x:c>
      <x:c r="H74" s="102" t="str">
        <x:v>Part of unified GitHub/Streamlit model.</x:v>
      </x:c>
    </x:row>
    <x:row r="75">
      <x:c r="A75" s="102" t="str">
        <x:v>carrier_fleet_master.csv</x:v>
      </x:c>
      <x:c r="B75" s="102" t="str">
        <x:v>New v1.9 runtime table</x:v>
      </x:c>
      <x:c r="C75" s="102" t="str">
        <x:v>Derived runtime carrier-vessel relationships</x:v>
      </x:c>
      <x:c r="D75" s="102" t="str">
        <x:v>Added</x:v>
      </x:c>
      <x:c r="E75" s="102" t="str">
        <x:v>See Data Dictionary</x:v>
      </x:c>
      <x:c r="F75" s="102" t="str">
        <x:v>N/A</x:v>
      </x:c>
      <x:c r="G75" s="102" t="str">
        <x:v>Newer-branch sources remapped to SRC_0179+</x:v>
      </x:c>
      <x:c r="H75" s="102" t="str">
        <x:v>Part of unified GitHub/Streamlit model.</x:v>
      </x:c>
    </x:row>
    <x:row r="76">
      <x:c r="A76" s="102" t="str">
        <x:v>carrier_fleet_update_log.csv</x:v>
      </x:c>
      <x:c r="B76" s="102" t="str">
        <x:v>New v1.9 runtime table</x:v>
      </x:c>
      <x:c r="C76" s="102" t="str">
        <x:v>Runtime audit log</x:v>
      </x:c>
      <x:c r="D76" s="102" t="str">
        <x:v>Added</x:v>
      </x:c>
      <x:c r="E76" s="102" t="str">
        <x:v>See Data Dictionary</x:v>
      </x:c>
      <x:c r="F76" s="102" t="str">
        <x:v>N/A</x:v>
      </x:c>
      <x:c r="G76" s="102" t="str">
        <x:v>Newer-branch sources remapped to SRC_0179+</x:v>
      </x:c>
      <x:c r="H76" s="102" t="str">
        <x:v>Part of unified GitHub/Streamlit model.</x:v>
      </x:c>
    </x:row>
    <x:row r="77">
      <x:c r="A77" s="102" t="str">
        <x:v>fleet_ranking_snapshots.csv</x:v>
      </x:c>
      <x:c r="B77" s="102" t="str">
        <x:v>New v1.9 runtime table</x:v>
      </x:c>
      <x:c r="C77" s="102" t="str">
        <x:v>Fleet Ranking Snapshots</x:v>
      </x:c>
      <x:c r="D77" s="102" t="str">
        <x:v>Added</x:v>
      </x:c>
      <x:c r="E77" s="102" t="str">
        <x:v>See Data Dictionary</x:v>
      </x:c>
      <x:c r="F77" s="102" t="str">
        <x:v>N/A</x:v>
      </x:c>
      <x:c r="G77" s="102" t="str">
        <x:v>Newer-branch sources remapped to SRC_0179+</x:v>
      </x:c>
      <x:c r="H77" s="102" t="str">
        <x:v>Part of unified GitHub/Streamlit model.</x:v>
      </x:c>
    </x:row>
    <x:row r="78">
      <x:c r="A78" s="102" t="str">
        <x:v>tanker_fleet_universe.csv</x:v>
      </x:c>
      <x:c r="B78" s="102" t="str">
        <x:v>New v1.9 runtime table</x:v>
      </x:c>
      <x:c r="C78" s="102" t="str">
        <x:v>Tanker Fleet Universe</x:v>
      </x:c>
      <x:c r="D78" s="102" t="str">
        <x:v>Added</x:v>
      </x:c>
      <x:c r="E78" s="102" t="str">
        <x:v>See Data Dictionary</x:v>
      </x:c>
      <x:c r="F78" s="102" t="str">
        <x:v>N/A</x:v>
      </x:c>
      <x:c r="G78" s="102" t="str">
        <x:v>Newer-branch sources remapped to SRC_0179+</x:v>
      </x:c>
      <x:c r="H78" s="102" t="str">
        <x:v>Part of unified GitHub/Streamlit model.</x:v>
      </x:c>
    </x:row>
    <x:row r="79">
      <x:c r="A79" s="102" t="str">
        <x:v>vessel_restrictions.csv</x:v>
      </x:c>
      <x:c r="B79" s="102" t="str">
        <x:v>New v1.9 runtime table</x:v>
      </x:c>
      <x:c r="C79" s="102" t="str">
        <x:v>Vessel Restrictions</x:v>
      </x:c>
      <x:c r="D79" s="102" t="str">
        <x:v>Added</x:v>
      </x:c>
      <x:c r="E79" s="102" t="str">
        <x:v>See Data Dictionary</x:v>
      </x:c>
      <x:c r="F79" s="102" t="str">
        <x:v>N/A</x:v>
      </x:c>
      <x:c r="G79" s="102" t="str">
        <x:v>Newer-branch sources remapped to SRC_0179+</x:v>
      </x:c>
      <x:c r="H79" s="102" t="str">
        <x:v>Part of unified GitHub/Streamlit model.</x:v>
      </x:c>
    </x:row>
    <x:row r="80">
      <x:c r="A80" s="102" t="str">
        <x:v>tradeability_assessments.csv</x:v>
      </x:c>
      <x:c r="B80" s="102" t="str">
        <x:v>New v1.9 runtime table</x:v>
      </x:c>
      <x:c r="C80" s="102" t="str">
        <x:v>Tradeability Assessments</x:v>
      </x:c>
      <x:c r="D80" s="102" t="str">
        <x:v>Added</x:v>
      </x:c>
      <x:c r="E80" s="102" t="str">
        <x:v>See Data Dictionary</x:v>
      </x:c>
      <x:c r="F80" s="102" t="str">
        <x:v>N/A</x:v>
      </x:c>
      <x:c r="G80" s="102" t="str">
        <x:v>Newer-branch sources remapped to SRC_0179+</x:v>
      </x:c>
      <x:c r="H80" s="102" t="str">
        <x:v>Part of unified GitHub/Streamlit model.</x:v>
      </x:c>
    </x:row>
    <x:row r="81">
      <x:c r="A81" s="102" t="str">
        <x:v>vessel_transactions.csv</x:v>
      </x:c>
      <x:c r="B81" s="102" t="str">
        <x:v>New v1.9 runtime table</x:v>
      </x:c>
      <x:c r="C81" s="102" t="str">
        <x:v>Vessel Transactions</x:v>
      </x:c>
      <x:c r="D81" s="102" t="str">
        <x:v>Added</x:v>
      </x:c>
      <x:c r="E81" s="102" t="str">
        <x:v>See Data Dictionary</x:v>
      </x:c>
      <x:c r="F81" s="102" t="str">
        <x:v>N/A</x:v>
      </x:c>
      <x:c r="G81" s="102" t="str">
        <x:v>Newer-branch sources remapped to SRC_0179+</x:v>
      </x:c>
      <x:c r="H81" s="102" t="str">
        <x:v>Part of unified GitHub/Streamlit model.</x:v>
      </x:c>
    </x:row>
    <x:row r="82">
      <x:c r="A82" s="102" t="str">
        <x:v>tanker_corridor_exposure.csv</x:v>
      </x:c>
      <x:c r="B82" s="102" t="str">
        <x:v>New v1.9 runtime table</x:v>
      </x:c>
      <x:c r="C82" s="102" t="str">
        <x:v>Tanker Corridor Exposure</x:v>
      </x:c>
      <x:c r="D82" s="102" t="str">
        <x:v>Added</x:v>
      </x:c>
      <x:c r="E82" s="102" t="str">
        <x:v>See Data Dictionary</x:v>
      </x:c>
      <x:c r="F82" s="102" t="str">
        <x:v>N/A</x:v>
      </x:c>
      <x:c r="G82" s="102" t="str">
        <x:v>Newer-branch sources remapped to SRC_0179+</x:v>
      </x:c>
      <x:c r="H82" s="102" t="str">
        <x:v>Part of unified GitHub/Streamlit model.</x:v>
      </x:c>
    </x:row>
    <x:row r="83">
      <x:c r="A83" s="102" t="str">
        <x:v>weather_labour_events.csv</x:v>
      </x:c>
      <x:c r="B83" s="102" t="str">
        <x:v>Focused operational event table</x:v>
      </x:c>
      <x:c r="C83" s="102" t="str">
        <x:v>Weather Labour Events</x:v>
      </x:c>
      <x:c r="D83" s="102" t="str">
        <x:v>Added in v1.10</x:v>
      </x:c>
      <x:c r="E83" s="102" t="str">
        <x:v>External Event ID</x:v>
      </x:c>
      <x:c r="F83" s="102" t="str">
        <x:v>N/A</x:v>
      </x:c>
      <x:c r="G83" s="102" t="str">
        <x:v>Unified source namespace</x:v>
      </x:c>
      <x:c r="H83" s="102" t="str">
        <x:v>25 first-pass weather/natural/labour/protest/civil events.</x:v>
      </x:c>
    </x:row>
    <x:row r="84">
      <x:c r="A84" s="102" t="str">
        <x:v>disruption_watch.csv</x:v>
      </x:c>
      <x:c r="B84" s="102" t="str">
        <x:v>Forward monitoring table</x:v>
      </x:c>
      <x:c r="C84" s="102" t="str">
        <x:v>Disruption Watch</x:v>
      </x:c>
      <x:c r="D84" s="102" t="str">
        <x:v>Added in v1.10</x:v>
      </x:c>
      <x:c r="E84" s="102" t="str">
        <x:v>Watch ID</x:v>
      </x:c>
      <x:c r="F84" s="102" t="str">
        <x:v>N/A</x:v>
      </x:c>
      <x:c r="G84" s="102" t="str">
        <x:v>Unified source namespace</x:v>
      </x:c>
      <x:c r="H84" s="102" t="str">
        <x:v>Threatened or authorised action stays outside Event Observations until disruption occurs.</x:v>
      </x:c>
    </x:row>
    <x:row r="85">
      <x:c r="A85" s="102" t="str">
        <x:v>external_disruptions.csv</x:v>
      </x:c>
      <x:c r="B85" s="102" t="str">
        <x:v>Canonical cross-domain event feed</x:v>
      </x:c>
      <x:c r="C85" s="102" t="str">
        <x:v>External Disruptions</x:v>
      </x:c>
      <x:c r="D85" s="102" t="str">
        <x:v>Expanded in v1.10</x:v>
      </x:c>
      <x:c r="E85" s="102" t="str">
        <x:v>External Event ID</x:v>
      </x:c>
      <x:c r="F85" s="102" t="str">
        <x:v>N/A</x:v>
      </x:c>
      <x:c r="G85" s="102" t="str">
        <x:v>Unified source namespace</x:v>
      </x:c>
      <x:c r="H85" s="102" t="str">
        <x:v>Now 26 cross-domain events; replaces the 9-row seed as the active runtime feed.</x:v>
      </x:c>
    </x:row>
    <x:row r="86">
      <x:c r="A86" s="102" t="str">
        <x:v>infrastructure_investors.csv</x:v>
      </x:c>
      <x:c r="B86" s="102" t="str">
        <x:v>Capital / investor universe</x:v>
      </x:c>
      <x:c r="C86" s="102" t="str">
        <x:v>Infrastructure Investors</x:v>
      </x:c>
      <x:c r="D86" s="102" t="str">
        <x:v>Added in v1.11</x:v>
      </x:c>
      <x:c r="E86" s="102" t="str">
        <x:v>Investor ID / Company ID</x:v>
      </x:c>
      <x:c r="F86" s="102" t="str">
        <x:v>N/A</x:v>
      </x:c>
      <x:c r="G86" s="102" t="str">
        <x:v>Unified source namespace</x:v>
      </x:c>
      <x:c r="H86" s="102" t="str">
        <x:v>Direct port/infrastructure investors plus logistics-real-estate and research universe.</x:v>
      </x:c>
    </x:row>
    <x:row r="87">
      <x:c r="A87" s="102" t="str">
        <x:v>infrastructure_holdings.csv</x:v>
      </x:c>
      <x:c r="B87" s="102" t="str">
        <x:v>Ownership / economic interest table</x:v>
      </x:c>
      <x:c r="C87" s="102" t="str">
        <x:v>Infrastructure Holdings</x:v>
      </x:c>
      <x:c r="D87" s="102" t="str">
        <x:v>Added in v1.11</x:v>
      </x:c>
      <x:c r="E87" s="102" t="str">
        <x:v>Holding ID + investor + target</x:v>
      </x:c>
      <x:c r="F87" s="102" t="str">
        <x:v>N/A</x:v>
      </x:c>
      <x:c r="G87" s="102" t="str">
        <x:v>Unified source namespace</x:v>
      </x:c>
      <x:c r="H87" s="102" t="str">
        <x:v>Time-bounded stakes and portfolio interests; ownership and operating control kept separate.</x:v>
      </x:c>
    </x:row>
    <x:row r="88">
      <x:c r="A88" s="102" t="str">
        <x:v>infrastructure_deals.csv</x:v>
      </x:c>
      <x:c r="B88" s="102" t="str">
        <x:v>Transaction table</x:v>
      </x:c>
      <x:c r="C88" s="102" t="str">
        <x:v>Infrastructure Deals</x:v>
      </x:c>
      <x:c r="D88" s="102" t="str">
        <x:v>Added in v1.11</x:v>
      </x:c>
      <x:c r="E88" s="102" t="str">
        <x:v>Deal ID</x:v>
      </x:c>
      <x:c r="F88" s="102" t="str">
        <x:v>N/A</x:v>
      </x:c>
      <x:c r="G88" s="102" t="str">
        <x:v>Unified source namespace</x:v>
      </x:c>
      <x:c r="H88" s="102" t="str">
        <x:v>Completed, proposed, failed and partial-disposition infrastructure/logistics deals.</x:v>
      </x:c>
    </x:row>
    <x:row r="89">
      <x:c r="A89" s="102" t="str">
        <x:v>economic_zones.csv</x:v>
      </x:c>
      <x:c r="B89" s="102" t="str">
        <x:v>Economic zone / free-zone table</x:v>
      </x:c>
      <x:c r="C89" s="102" t="str">
        <x:v>Economic Zones</x:v>
      </x:c>
      <x:c r="D89" s="102" t="str">
        <x:v>Added in v1.11</x:v>
      </x:c>
      <x:c r="E89" s="102" t="str">
        <x:v>Zone ID + Asset ID</x:v>
      </x:c>
      <x:c r="F89" s="102" t="str">
        <x:v>N/A</x:v>
      </x:c>
      <x:c r="G89" s="102" t="str">
        <x:v>Unified source namespace</x:v>
      </x:c>
      <x:c r="H89" s="102" t="str">
        <x:v>Free zones, economic cities and industrial/logistics zones.</x:v>
      </x:c>
    </x:row>
    <x:row r="90">
      <x:c r="A90" s="102" t="str">
        <x:v>logistics_real_estate.csv</x:v>
      </x:c>
      <x:c r="B90" s="102" t="str">
        <x:v>Logistics real-estate table</x:v>
      </x:c>
      <x:c r="C90" s="102" t="str">
        <x:v>Logistics Real Estate</x:v>
      </x:c>
      <x:c r="D90" s="102" t="str">
        <x:v>Added in v1.11</x:v>
      </x:c>
      <x:c r="E90" s="102" t="str">
        <x:v>LRE ID + Asset ID</x:v>
      </x:c>
      <x:c r="F90" s="102" t="str">
        <x:v>N/A</x:v>
      </x:c>
      <x:c r="G90" s="102" t="str">
        <x:v>Unified source namespace</x:v>
      </x:c>
      <x:c r="H90" s="102" t="str">
        <x:v>Warehouses, logistics parks and transport-linked real-estate portfolios.</x:v>
      </x:c>
    </x:row>
    <x:row r="91">
      <x:c r="A91" s="102" t="str">
        <x:v>dry_ports_inland_hubs.csv</x:v>
      </x:c>
      <x:c r="B91" s="102" t="str">
        <x:v>Dry port / inland-port table</x:v>
      </x:c>
      <x:c r="C91" s="102" t="str">
        <x:v>Dry Ports Inland Hubs</x:v>
      </x:c>
      <x:c r="D91" s="102" t="str">
        <x:v>Added in v1.11</x:v>
      </x:c>
      <x:c r="E91" s="102" t="str">
        <x:v>Hub ID + Asset ID</x:v>
      </x:c>
      <x:c r="F91" s="102" t="str">
        <x:v>N/A</x:v>
      </x:c>
      <x:c r="G91" s="102" t="str">
        <x:v>Unified source namespace</x:v>
      </x:c>
      <x:c r="H91" s="102" t="str">
        <x:v>Dry ports, inland ports, rail terminals and inland cargo hubs.</x:v>
      </x:c>
    </x:row>
    <x:row r="92">
      <x:c r="A92" s="102" t="str">
        <x:v>infrastructure_connections.csv</x:v>
      </x:c>
      <x:c r="B92" s="102" t="str">
        <x:v>Infrastructure graph-edge table</x:v>
      </x:c>
      <x:c r="C92" s="102" t="str">
        <x:v>Infrastructure Connections</x:v>
      </x:c>
      <x:c r="D92" s="102" t="str">
        <x:v>Added in v1.11</x:v>
      </x:c>
      <x:c r="E92" s="102" t="str">
        <x:v>Connection ID + Source Asset ID</x:v>
      </x:c>
      <x:c r="F92" s="102" t="str">
        <x:v>N/A</x:v>
      </x:c>
      <x:c r="G92" s="102" t="str">
        <x:v>Unified source namespace</x:v>
      </x:c>
      <x:c r="H92" s="102" t="str">
        <x:v>Port-zone-rail-road-airport-corridor connectivity.</x:v>
      </x:c>
    </x:row>
    <x:row r="93">
      <x:c r="A93" s="42" t="str">
        <x:v>integrated_logistics_networks.csv</x:v>
      </x:c>
      <x:c r="B93" s="42" t="str">
        <x:v>Integrated logistics network table</x:v>
      </x:c>
      <x:c r="C93" s="42" t="str">
        <x:v>Integrated Logistics Networks</x:v>
      </x:c>
      <x:c r="D93" s="42" t="str">
        <x:v>Added in v1.12</x:v>
      </x:c>
      <x:c r="E93" s="42" t="str">
        <x:v>Network ID + Parent/Platform Company ID</x:v>
      </x:c>
      <x:c r="F93" s="42" t="str">
        <x:v>N/A</x:v>
      </x:c>
      <x:c r="G93" s="42" t="str">
        <x:v>Unified source namespace</x:v>
      </x:c>
      <x:c r="H93" s="42" t="str">
        <x:v>Cross-modal company/platform layer for DHL, FedEx, Amazon and Aramex/ADQ ecosystems.</x:v>
      </x:c>
    </x:row>
    <x:row r="94">
      <x:c r="A94" s="102" t="str">
        <x:v>port_terminals.csv</x:v>
      </x:c>
      <x:c r="B94" s="102" t="str">
        <x:v>Canonical / structured runtime table</x:v>
      </x:c>
      <x:c r="C94" s="102" t="str">
        <x:v>Port Terminals</x:v>
      </x:c>
      <x:c r="D94" s="102" t="str">
        <x:v>Added in v1.13</x:v>
      </x:c>
      <x:c r="E94" s="102" t="str">
        <x:v>Terminal ID + Port ID</x:v>
      </x:c>
      <x:c r="F94" s="102" t="str">
        <x:v>N/A</x:v>
      </x:c>
      <x:c r="G94" s="102" t="str">
        <x:v>Direct source URLs in table</x:v>
      </x:c>
      <x:c r="H94" s="102" t="str">
        <x:v>Canonical physical terminal layer across DP World, AD Ports/Noatum, CMA/Terminal Link, TiL and APM Terminals.</x:v>
      </x:c>
    </x:row>
    <x:row r="95">
      <x:c r="A95" s="102" t="str">
        <x:v>port_berths.csv</x:v>
      </x:c>
      <x:c r="B95" s="102" t="str">
        <x:v>Canonical / structured runtime table</x:v>
      </x:c>
      <x:c r="C95" s="102" t="str">
        <x:v>Port Berths</x:v>
      </x:c>
      <x:c r="D95" s="102" t="str">
        <x:v>Added in v1.13</x:v>
      </x:c>
      <x:c r="E95" s="102" t="str">
        <x:v>Berth Record ID + Terminal ID</x:v>
      </x:c>
      <x:c r="F95" s="102" t="str">
        <x:v>N/A</x:v>
      </x:c>
      <x:c r="G95" s="102" t="str">
        <x:v>Direct source URLs in table</x:v>
      </x:c>
      <x:c r="H95" s="102" t="str">
        <x:v>Berth/depth/quay detail.</x:v>
      </x:c>
    </x:row>
    <x:row r="96">
      <x:c r="A96" s="102" t="str">
        <x:v>port_equipment.csv</x:v>
      </x:c>
      <x:c r="B96" s="102" t="str">
        <x:v>Canonical / structured runtime table</x:v>
      </x:c>
      <x:c r="C96" s="102" t="str">
        <x:v>Port Equipment</x:v>
      </x:c>
      <x:c r="D96" s="102" t="str">
        <x:v>Added in v1.13</x:v>
      </x:c>
      <x:c r="E96" s="102" t="str">
        <x:v>Equipment Record ID + Terminal ID</x:v>
      </x:c>
      <x:c r="F96" s="102" t="str">
        <x:v>N/A</x:v>
      </x:c>
      <x:c r="G96" s="102" t="str">
        <x:v>Direct source URLs in table</x:v>
      </x:c>
      <x:c r="H96" s="102" t="str">
        <x:v>STS/RTG/RMG/ASC and other handling equipment.</x:v>
      </x:c>
    </x:row>
    <x:row r="97">
      <x:c r="A97" s="102" t="str">
        <x:v>port_ownership.csv</x:v>
      </x:c>
      <x:c r="B97" s="102" t="str">
        <x:v>Canonical / structured runtime table</x:v>
      </x:c>
      <x:c r="C97" s="102" t="str">
        <x:v>Port Ownership</x:v>
      </x:c>
      <x:c r="D97" s="102" t="str">
        <x:v>Added in v1.13</x:v>
      </x:c>
      <x:c r="E97" s="102" t="str">
        <x:v>Ownership ID + Terminal ID + Company ID</x:v>
      </x:c>
      <x:c r="F97" s="102" t="str">
        <x:v>N/A</x:v>
      </x:c>
      <x:c r="G97" s="102" t="str">
        <x:v>Direct source URLs in table</x:v>
      </x:c>
      <x:c r="H97" s="102" t="str">
        <x:v>Separates equity, investment and operating control.</x:v>
      </x:c>
    </x:row>
    <x:row r="98">
      <x:c r="A98" s="102" t="str">
        <x:v>port_news.csv</x:v>
      </x:c>
      <x:c r="B98" s="102" t="str">
        <x:v>Canonical / structured runtime table</x:v>
      </x:c>
      <x:c r="C98" s="102" t="str">
        <x:v>Port News</x:v>
      </x:c>
      <x:c r="D98" s="102" t="str">
        <x:v>Added in v1.13</x:v>
      </x:c>
      <x:c r="E98" s="102" t="str">
        <x:v>News ID + Terminal ID</x:v>
      </x:c>
      <x:c r="F98" s="102" t="str">
        <x:v>N/A</x:v>
      </x:c>
      <x:c r="G98" s="102" t="str">
        <x:v>Direct source URLs in table</x:v>
      </x:c>
      <x:c r="H98" s="102" t="str">
        <x:v>Live terminal news/development layer for Streamlit port detail.</x:v>
      </x:c>
    </x:row>
  </x:sheetData>
  <x:pageMargins left="0.7" right="0.7" top="0.75" bottom="0.75" header="0.3" footer="0.3"/>
</x:worksheet>
</file>

<file path=xl/worksheets/sheet67.xml><?xml version="1.0" encoding="utf-8"?>
<x:worksheet xmlns:x="http://schemas.openxmlformats.org/spreadsheetml/2006/main">
  <x:sheetFormatPr defaultRowHeight="15"/>
  <x:cols>
    <x:col min="1" max="1" width="16" hidden="0" customWidth="1"/>
    <x:col min="2" max="2" width="13" hidden="0" customWidth="1"/>
    <x:col min="3" max="3" width="22" hidden="0" customWidth="1"/>
    <x:col min="4" max="4" width="24" hidden="0" customWidth="1"/>
    <x:col min="5" max="5" width="28" hidden="0" customWidth="1"/>
    <x:col min="6" max="6" width="28" hidden="0" customWidth="1"/>
    <x:col min="7" max="7" width="22" hidden="0" customWidth="1"/>
    <x:col min="8" max="8" width="24" hidden="0" customWidth="1"/>
    <x:col min="9" max="9" width="32" hidden="0" customWidth="1"/>
    <x:col min="10" max="10" width="34" hidden="0" customWidth="1"/>
    <x:col min="11" max="11" width="22" hidden="0" customWidth="1"/>
    <x:col min="12" max="12" width="16" hidden="0" customWidth="1"/>
    <x:col min="13" max="13" width="18" hidden="0" customWidth="1"/>
    <x:col min="14" max="14" width="42" hidden="0" customWidth="1"/>
    <x:col min="15" max="15" width="42" hidden="0" customWidth="1"/>
    <x:col min="16" max="16" width="30" hidden="0" customWidth="1"/>
    <x:col min="17" max="17" width="16" hidden="0" customWidth="1"/>
    <x:col min="18" max="18" width="50" hidden="0" customWidth="1"/>
    <x:col min="19" max="19" width="50" hidden="0" customWidth="1"/>
    <x:col min="20" max="20" width="14" hidden="0" customWidth="1"/>
    <x:col min="22" max="22" width="24" hidden="0" customWidth="1"/>
    <x:col min="23" max="23" width="12" hidden="0" customWidth="1"/>
  </x:cols>
  <x:sheetData>
    <x:row r="1" ht="28" customHeight="1">
      <x:c r="A1" s="174" t="str">
        <x:v>Weather, Labour &amp; Protest Operational Events — First Pass</x:v>
      </x:c>
      <x:c r="B1" s="174"/>
      <x:c r="C1" s="174"/>
      <x:c r="D1" s="174"/>
      <x:c r="E1" s="174"/>
      <x:c r="F1" s="174"/>
      <x:c r="G1" s="174"/>
      <x:c r="H1" s="174"/>
      <x:c r="I1" s="174"/>
      <x:c r="J1" s="174"/>
      <x:c r="K1" s="174"/>
      <x:c r="L1" s="174"/>
      <x:c r="M1" s="174"/>
      <x:c r="N1" s="174"/>
      <x:c r="O1" s="174"/>
      <x:c r="P1" s="174"/>
      <x:c r="Q1" s="174"/>
      <x:c r="R1" s="174"/>
      <x:c r="S1" s="174"/>
      <x:c r="T1" s="174"/>
    </x:row>
    <x:row r="3" ht="44" customHeight="1">
      <x:c r="A3" s="177" t="str">
        <x:v>Inclusion rule: record weather, natural-hazard, labour, protest and civil-unrest events when they affect or credibly constrain ports, shipping, inland waterways, aviation, rail, ferries, border crossings, industrial production or cargo movement. General political demonstrations without transport/trade impact are excluded.</x:v>
      </x:c>
      <x:c r="B3" s="177"/>
      <x:c r="C3" s="177"/>
      <x:c r="D3" s="177"/>
      <x:c r="E3" s="177"/>
      <x:c r="F3" s="177"/>
      <x:c r="G3" s="177"/>
      <x:c r="H3" s="177"/>
      <x:c r="I3" s="177"/>
      <x:c r="J3" s="177"/>
      <x:c r="K3" s="177"/>
      <x:c r="L3" s="177"/>
      <x:c r="M3" s="177"/>
      <x:c r="N3" s="177"/>
      <x:c r="O3" s="177"/>
      <x:c r="P3" s="177"/>
      <x:c r="Q3" s="177"/>
      <x:c r="R3" s="177"/>
      <x:c r="S3" s="177"/>
      <x:c r="T3" s="177"/>
    </x:row>
    <x:row r="5">
      <x:c r="A5" s="187" t="str">
        <x:v>Focused Events</x:v>
      </x:c>
      <x:c r="B5" s="187" t="str">
        <x:v>Weather</x:v>
      </x:c>
      <x:c r="C5" s="187" t="str">
        <x:v>Natural Hazards</x:v>
      </x:c>
      <x:c r="D5" s="187" t="str">
        <x:v>Labour Action</x:v>
      </x:c>
      <x:c r="E5" s="187" t="str">
        <x:v>Protest / Labour</x:v>
      </x:c>
      <x:c r="F5" s="187" t="str">
        <x:v>Civil Unrest</x:v>
      </x:c>
      <x:c r="G5" s="187" t="str">
        <x:v>Country Fields Populated</x:v>
      </x:c>
      <x:c r="H5" s="187" t="str">
        <x:v>Verified As Of</x:v>
      </x:c>
      <x:c r="V5" s="179" t="str">
        <x:v>Event Family</x:v>
      </x:c>
      <x:c r="W5" s="179" t="str">
        <x:v>Count</x:v>
      </x:c>
    </x:row>
    <x:row r="6">
      <x:c r="A6" s="189" t="n">
        <x:f>COUNTA(A8:A32)</x:f>
        <x:v>25</x:v>
      </x:c>
      <x:c r="B6" s="189" t="n">
        <x:f>COUNTIF(C8:C32,"Weather")</x:f>
        <x:v>8</x:v>
      </x:c>
      <x:c r="C6" s="189" t="n">
        <x:f>COUNTIF(C8:C32,"Natural Hazard")</x:f>
        <x:v>3</x:v>
      </x:c>
      <x:c r="D6" s="189" t="n">
        <x:f>COUNTIF(C8:C32,"Labour / Industrial Action")</x:f>
        <x:v>7</x:v>
      </x:c>
      <x:c r="E6" s="189" t="n">
        <x:f>COUNTIF(C8:C32,"Protest / Labour")</x:f>
        <x:v>5</x:v>
      </x:c>
      <x:c r="F6" s="189" t="n">
        <x:f>COUNTIF(C8:C32,"Civil Unrest / Insecurity")</x:f>
        <x:v>2</x:v>
      </x:c>
      <x:c r="G6" s="189" t="n">
        <x:f>COUNTA(H8:H32)</x:f>
        <x:v>25</x:v>
      </x:c>
      <x:c r="H6" s="189" t="str">
        <x:v>2026-09-07</x:v>
      </x:c>
      <x:c r="V6" t="str">
        <x:v>Weather</x:v>
      </x:c>
      <x:c r="W6" t="n">
        <x:f>COUNTIF($C$8:$C$32,V6)</x:f>
        <x:v>8</x:v>
      </x:c>
    </x:row>
    <x:row r="7">
      <x:c r="A7" s="182" t="str">
        <x:v>External Event ID</x:v>
      </x:c>
      <x:c r="B7" s="182" t="str">
        <x:v>Date</x:v>
      </x:c>
      <x:c r="C7" s="182" t="str">
        <x:v>Event Family</x:v>
      </x:c>
      <x:c r="D7" s="182" t="str">
        <x:v>Event Type</x:v>
      </x:c>
      <x:c r="E7" s="182" t="str">
        <x:v>Subtype</x:v>
      </x:c>
      <x:c r="F7" s="182" t="str">
        <x:v>Mode</x:v>
      </x:c>
      <x:c r="G7" s="182" t="str">
        <x:v>Region / Theatre</x:v>
      </x:c>
      <x:c r="H7" s="182" t="str">
        <x:v>Country / Countries</x:v>
      </x:c>
      <x:c r="I7" s="182" t="str">
        <x:v>Location</x:v>
      </x:c>
      <x:c r="J7" s="182" t="str">
        <x:v>Title</x:v>
      </x:c>
      <x:c r="K7" s="182" t="str">
        <x:v>Status</x:v>
      </x:c>
      <x:c r="L7" s="182" t="str">
        <x:v>Severity</x:v>
      </x:c>
      <x:c r="M7" s="182" t="str">
        <x:v>Time Horizon</x:v>
      </x:c>
      <x:c r="N7" s="182" t="str">
        <x:v>Operational Impact</x:v>
      </x:c>
      <x:c r="O7" s="182" t="str">
        <x:v>Trade / Commercial Impact</x:v>
      </x:c>
      <x:c r="P7" s="182" t="str">
        <x:v>Actor / Driver</x:v>
      </x:c>
      <x:c r="Q7" s="182" t="str">
        <x:v>Primary Source ID</x:v>
      </x:c>
      <x:c r="R7" s="182" t="str">
        <x:v>Primary Source URL</x:v>
      </x:c>
      <x:c r="S7" s="182" t="str">
        <x:v>Secondary Source URL</x:v>
      </x:c>
      <x:c r="T7" s="182" t="str">
        <x:v>Last Verified</x:v>
      </x:c>
      <x:c r="V7" t="str">
        <x:v>Natural Hazard</x:v>
      </x:c>
      <x:c r="W7" t="n">
        <x:f>COUNTIF($C$8:$C$32,V7)</x:f>
        <x:v>3</x:v>
      </x:c>
    </x:row>
    <x:row r="8">
      <x:c r="A8" s="102" t="str">
        <x:v>EXT_0001</x:v>
      </x:c>
      <x:c r="B8" s="183" t="str">
        <x:v>2026-09-06</x:v>
      </x:c>
      <x:c r="C8" s="102" t="str">
        <x:v>Natural Hazard</x:v>
      </x:c>
      <x:c r="D8" s="102" t="str">
        <x:v>Volcanic eruption / ash</x:v>
      </x:c>
      <x:c r="E8" s="102" t="str"/>
      <x:c r="F8" s="102" t="str">
        <x:v>Multimodal</x:v>
      </x:c>
      <x:c r="G8" s="102" t="str"/>
      <x:c r="H8" s="102" t="str">
        <x:v>Indonesia</x:v>
      </x:c>
      <x:c r="I8" s="102" t="str">
        <x:v>Jakarta / Lampung / West Java / Sunda Strait</x:v>
      </x:c>
      <x:c r="J8" s="102" t="str">
        <x:v>Anak Krakatau eruption</x:v>
      </x:c>
      <x:c r="K8" s="102" t="str">
        <x:v>Active / developing</x:v>
      </x:c>
      <x:c r="L8" s="102" t="str">
        <x:v>High</x:v>
      </x:c>
      <x:c r="M8" s="102" t="str"/>
      <x:c r="N8" s="102" t="str">
        <x:v>Airport closures; flight cancellations; air-cargo interruption; maritime caution</x:v>
      </x:c>
      <x:c r="O8" s="102" t="str">
        <x:v>Airport closures; flight cancellations; air-cargo interruption; maritime caution</x:v>
      </x:c>
      <x:c r="P8" s="102" t="str"/>
      <x:c r="Q8" s="102" t="str">
        <x:v>SRC_0245</x:v>
      </x:c>
      <x:c r="R8" s="102" t="str">
        <x:v>https://www.reuters.com/business/environment/indonesias-jakarta-airport-suspends-flights-due-ash-mount-anak-krakatau-2026-09-06/</x:v>
      </x:c>
      <x:c r="S8" s="102" t="str">
        <x:v>https://www.powerncorridors.com/regional-logistics-alert-06-sept-2026-indonesia-sunda-strait/</x:v>
      </x:c>
      <x:c r="T8" s="102" t="str">
        <x:v>2026-09-07</x:v>
      </x:c>
      <x:c r="V8" t="str">
        <x:v>Labour / Industrial Action</x:v>
      </x:c>
      <x:c r="W8" t="n">
        <x:f>COUNTIF($C$8:$C$32,V8)</x:f>
        <x:v>7</x:v>
      </x:c>
    </x:row>
    <x:row r="9">
      <x:c r="A9" s="102" t="str">
        <x:v>EXT_0002</x:v>
      </x:c>
      <x:c r="B9" s="183" t="str">
        <x:v>2026-09-02</x:v>
      </x:c>
      <x:c r="C9" s="102" t="str">
        <x:v>Labour / Industrial Action</x:v>
      </x:c>
      <x:c r="D9" s="102" t="str">
        <x:v>Port strike</x:v>
      </x:c>
      <x:c r="E9" s="102" t="str"/>
      <x:c r="F9" s="102" t="str">
        <x:v>Maritime / Port / Inland</x:v>
      </x:c>
      <x:c r="G9" s="102" t="str"/>
      <x:c r="H9" s="102" t="str">
        <x:v>Germany / Netherlands</x:v>
      </x:c>
      <x:c r="I9" s="102" t="str">
        <x:v>Northern European ports</x:v>
      </x:c>
      <x:c r="J9" s="102" t="str">
        <x:v>German and Dutch port industrial action</x:v>
      </x:c>
      <x:c r="K9" s="102" t="str">
        <x:v>Active / developing</x:v>
      </x:c>
      <x:c r="L9" s="102" t="str">
        <x:v>High</x:v>
      </x:c>
      <x:c r="M9" s="102" t="str"/>
      <x:c r="N9" s="102" t="str">
        <x:v>Vessel delay; terminal handling interruption; cargo backlog and congestion displacement risk</x:v>
      </x:c>
      <x:c r="O9" s="102" t="str">
        <x:v>Vessel delay; terminal handling interruption; cargo backlog and congestion displacement risk</x:v>
      </x:c>
      <x:c r="P9" s="102" t="str"/>
      <x:c r="Q9" s="102" t="str">
        <x:v>SRC_0247</x:v>
      </x:c>
      <x:c r="R9" s="102" t="str">
        <x:v>https://www.powerncorridors.com/regional-trade-alert-04-sept-2026-northern-europe/</x:v>
      </x:c>
      <x:c r="S9" s="102" t="str"/>
      <x:c r="T9" s="102" t="str">
        <x:v>2026-09-07</x:v>
      </x:c>
      <x:c r="V9" t="str">
        <x:v>Protest / Labour</x:v>
      </x:c>
      <x:c r="W9" t="n">
        <x:f>COUNTIF($C$8:$C$32,V9)</x:f>
        <x:v>5</x:v>
      </x:c>
    </x:row>
    <x:row r="10">
      <x:c r="A10" s="102" t="str">
        <x:v>EXT_0003</x:v>
      </x:c>
      <x:c r="B10" s="183" t="str">
        <x:v>2026-08-08</x:v>
      </x:c>
      <x:c r="C10" s="102" t="str">
        <x:v>Weather</x:v>
      </x:c>
      <x:c r="D10" s="102" t="str">
        <x:v>Typhoon</x:v>
      </x:c>
      <x:c r="E10" s="102" t="str"/>
      <x:c r="F10" s="102" t="str">
        <x:v>Multimodal</x:v>
      </x:c>
      <x:c r="G10" s="102" t="str"/>
      <x:c r="H10" s="102" t="str">
        <x:v>China / Japan / Taiwan</x:v>
      </x:c>
      <x:c r="I10" s="102" t="str">
        <x:v>Okinawa / Zhejiang / Shanghai / Taiwan Strait</x:v>
      </x:c>
      <x:c r="J10" s="102" t="str">
        <x:v>Typhoon Dolphin</x:v>
      </x:c>
      <x:c r="K10" s="102" t="str">
        <x:v>Closed / precautionary disruption</x:v>
      </x:c>
      <x:c r="L10" s="102" t="str">
        <x:v>High</x:v>
      </x:c>
      <x:c r="M10" s="102" t="str"/>
      <x:c r="N10" s="102" t="str">
        <x:v>Port closure; vessel clearance; airport closure; flight cancellation; ferry and rail suspension</x:v>
      </x:c>
      <x:c r="O10" s="102" t="str">
        <x:v>Port closure; vessel clearance; airport closure; flight cancellation; ferry and rail suspension</x:v>
      </x:c>
      <x:c r="P10" s="102" t="str"/>
      <x:c r="Q10" s="102" t="str">
        <x:v>SRC_0248</x:v>
      </x:c>
      <x:c r="R10" s="102" t="str">
        <x:v>https://www.reuters.com/business/environment/typhoon-dolphin-hits-japans-okinawa-china-shuts-ports-ahead-landfall-2026-08-08/</x:v>
      </x:c>
      <x:c r="S10" s="102" t="str"/>
      <x:c r="T10" s="102" t="str">
        <x:v>2026-09-07</x:v>
      </x:c>
      <x:c r="V10" t="str">
        <x:v>Civil Unrest / Insecurity</x:v>
      </x:c>
      <x:c r="W10" t="n">
        <x:f>COUNTIF($C$8:$C$32,V10)</x:f>
        <x:v>2</x:v>
      </x:c>
    </x:row>
    <x:row r="11">
      <x:c r="A11" s="102" t="str">
        <x:v>EXT_0004</x:v>
      </x:c>
      <x:c r="B11" s="183" t="str">
        <x:v>2026-06-24</x:v>
      </x:c>
      <x:c r="C11" s="102" t="str">
        <x:v>Natural Hazard</x:v>
      </x:c>
      <x:c r="D11" s="102" t="str">
        <x:v>Earthquake</x:v>
      </x:c>
      <x:c r="E11" s="102" t="str"/>
      <x:c r="F11" s="102" t="str">
        <x:v>Aviation / Airport</x:v>
      </x:c>
      <x:c r="G11" s="102" t="str"/>
      <x:c r="H11" s="102" t="str">
        <x:v>Venezuela</x:v>
      </x:c>
      <x:c r="I11" s="102" t="str">
        <x:v>Simón Bolívar International Airport / La Guaira</x:v>
      </x:c>
      <x:c r="J11" s="102" t="str">
        <x:v>Venezuela earthquakes</x:v>
      </x:c>
      <x:c r="K11" s="102" t="str">
        <x:v>Recovery / partial reopening</x:v>
      </x:c>
      <x:c r="L11" s="102" t="str">
        <x:v>High</x:v>
      </x:c>
      <x:c r="M11" s="102" t="str"/>
      <x:c r="N11" s="102" t="str">
        <x:v>Extended airport closure; reduced cargo/passenger capacity; temporary facilities required</x:v>
      </x:c>
      <x:c r="O11" s="102" t="str">
        <x:v>Extended airport closure; reduced cargo/passenger capacity; temporary facilities required</x:v>
      </x:c>
      <x:c r="P11" s="102" t="str"/>
      <x:c r="Q11" s="102" t="str">
        <x:v>SRC_0249</x:v>
      </x:c>
      <x:c r="R11" s="102" t="str">
        <x:v>https://apnews.com/article/74144da8c39b41ba7f3559ff3bd264d7</x:v>
      </x:c>
      <x:c r="S11" s="102" t="str"/>
      <x:c r="T11" s="102" t="str">
        <x:v>2026-09-07</x:v>
      </x:c>
    </x:row>
    <x:row r="12">
      <x:c r="A12" s="102" t="str">
        <x:v>EXT_0005</x:v>
      </x:c>
      <x:c r="B12" s="183" t="str">
        <x:v>2026-09-02</x:v>
      </x:c>
      <x:c r="C12" s="102" t="str">
        <x:v>Civil Unrest / Insecurity</x:v>
      </x:c>
      <x:c r="D12" s="102" t="str">
        <x:v>Gang violence / aviation restriction</x:v>
      </x:c>
      <x:c r="E12" s="102" t="str"/>
      <x:c r="F12" s="102" t="str">
        <x:v>Aviation</x:v>
      </x:c>
      <x:c r="G12" s="102" t="str"/>
      <x:c r="H12" s="102" t="str">
        <x:v>Haiti</x:v>
      </x:c>
      <x:c r="I12" s="102" t="str">
        <x:v>Port-au-Prince / Toussaint Louverture International Airport</x:v>
      </x:c>
      <x:c r="J12" s="102" t="str">
        <x:v>FAA extends Port-au-Prince flight restriction</x:v>
      </x:c>
      <x:c r="K12" s="102" t="str">
        <x:v>Active</x:v>
      </x:c>
      <x:c r="L12" s="102" t="str">
        <x:v>High</x:v>
      </x:c>
      <x:c r="M12" s="102" t="str"/>
      <x:c r="N12" s="102" t="str">
        <x:v>Commercial aviation access remains constrained; Port-au-Prince continues to be isolated from normal U.S.-linked air service</x:v>
      </x:c>
      <x:c r="O12" s="102" t="str">
        <x:v>Commercial aviation access remains constrained; Port-au-Prince continues to be isolated from normal U.S.-linked air service</x:v>
      </x:c>
      <x:c r="P12" s="102" t="str"/>
      <x:c r="Q12" s="102" t="str">
        <x:v>SRC_0250</x:v>
      </x:c>
      <x:c r="R12" s="102" t="str">
        <x:v>https://apnews.com/article/70e3aa409fb24c7916568b4d904bfa4a</x:v>
      </x:c>
      <x:c r="S12" s="102" t="str"/>
      <x:c r="T12" s="102" t="str">
        <x:v>2026-09-07</x:v>
      </x:c>
    </x:row>
    <x:row r="13">
      <x:c r="A13" s="102" t="str">
        <x:v>EXT_0006</x:v>
      </x:c>
      <x:c r="B13" s="183" t="str">
        <x:v>2026-04-13</x:v>
      </x:c>
      <x:c r="C13" s="102" t="str">
        <x:v>Protest / Labour</x:v>
      </x:c>
      <x:c r="D13" s="102" t="str">
        <x:v>Worker protest</x:v>
      </x:c>
      <x:c r="E13" s="102" t="str"/>
      <x:c r="F13" s="102" t="str">
        <x:v>Road / Industrial / Urban logistics</x:v>
      </x:c>
      <x:c r="G13" s="102" t="str"/>
      <x:c r="H13" s="102" t="str">
        <x:v>Haiti</x:v>
      </x:c>
      <x:c r="I13" s="102" t="str">
        <x:v>Port-au-Prince</x:v>
      </x:c>
      <x:c r="J13" s="102" t="str">
        <x:v>Haitian workers protest fuel-price shock</x:v>
      </x:c>
      <x:c r="K13" s="102" t="str">
        <x:v>Occurred</x:v>
      </x:c>
      <x:c r="L13" s="102" t="str">
        <x:v>High</x:v>
      </x:c>
      <x:c r="M13" s="102" t="str"/>
      <x:c r="N13" s="102" t="str">
        <x:v>Potential production and commuting disruption; indicator of labour and cost-of-living pressure</x:v>
      </x:c>
      <x:c r="O13" s="102" t="str">
        <x:v>Potential production and commuting disruption; indicator of labour and cost-of-living pressure</x:v>
      </x:c>
      <x:c r="P13" s="102" t="str"/>
      <x:c r="Q13" s="102" t="str">
        <x:v>SRC_0254</x:v>
      </x:c>
      <x:c r="R13" s="102" t="str">
        <x:v>https://apnews.com/article/70b2c1166fc63788b36f9341d396e617</x:v>
      </x:c>
      <x:c r="S13" s="102" t="str"/>
      <x:c r="T13" s="102" t="str">
        <x:v>2026-09-07</x:v>
      </x:c>
    </x:row>
    <x:row r="14">
      <x:c r="A14" s="102" t="str">
        <x:v>EXT_0007</x:v>
      </x:c>
      <x:c r="B14" s="183" t="str">
        <x:v>2026-06-16</x:v>
      </x:c>
      <x:c r="C14" s="102" t="str">
        <x:v>Civil Unrest / Insecurity</x:v>
      </x:c>
      <x:c r="D14" s="102" t="str">
        <x:v>Gang clashes affecting port operations</x:v>
      </x:c>
      <x:c r="E14" s="102" t="str"/>
      <x:c r="F14" s="102" t="str">
        <x:v>Port / Fuel / Road</x:v>
      </x:c>
      <x:c r="G14" s="102" t="str"/>
      <x:c r="H14" s="102" t="str">
        <x:v>Haiti</x:v>
      </x:c>
      <x:c r="I14" s="102" t="str">
        <x:v>Port-au-Prince port / Varreux fuel terminal</x:v>
      </x:c>
      <x:c r="J14" s="102" t="str">
        <x:v>Gang clashes disrupt Port-au-Prince and Varreux operations</x:v>
      </x:c>
      <x:c r="K14" s="102" t="str">
        <x:v>Severely disrupted</x:v>
      </x:c>
      <x:c r="L14" s="102" t="str">
        <x:v>Moderate / High</x:v>
      </x:c>
      <x:c r="M14" s="102" t="str"/>
      <x:c r="N14" s="102" t="str">
        <x:v>Port and fuel-terminal operations severely constrained; implications for imports, fuel and inland distribution</x:v>
      </x:c>
      <x:c r="O14" s="102" t="str">
        <x:v>Port and fuel-terminal operations severely constrained; implications for imports, fuel and inland distribution</x:v>
      </x:c>
      <x:c r="P14" s="102" t="str"/>
      <x:c r="Q14" s="102" t="str">
        <x:v>SRC_0251</x:v>
      </x:c>
      <x:c r="R14" s="102" t="str">
        <x:v>https://lenouvelliste.com/en/article/268530/escalating-gang-violence-affects-activities-at-the-apn-and-varreux-terminal</x:v>
      </x:c>
      <x:c r="S14" s="102" t="str">
        <x:v>https://www.mag.wcoomd.org/magazine/wco-news-110-issue-2-2026/revisiting-haiti/</x:v>
      </x:c>
      <x:c r="T14" s="102" t="str">
        <x:v>2026-09-07</x:v>
      </x:c>
    </x:row>
    <x:row r="15">
      <x:c r="A15" s="102" t="str">
        <x:v>EXT_0008</x:v>
      </x:c>
      <x:c r="B15" s="183" t="str">
        <x:v>2026-08-26</x:v>
      </x:c>
      <x:c r="C15" s="102" t="str">
        <x:v>Natural Hazard</x:v>
      </x:c>
      <x:c r="D15" s="102" t="str">
        <x:v>Glacial collapse / mudslide</x:v>
      </x:c>
      <x:c r="E15" s="102" t="str"/>
      <x:c r="F15" s="102" t="str">
        <x:v>Land / Border Trade</x:v>
      </x:c>
      <x:c r="G15" s="102" t="str"/>
      <x:c r="H15" s="102" t="str">
        <x:v>China / Nepal</x:v>
      </x:c>
      <x:c r="I15" s="102" t="str">
        <x:v>Gyirong border crossing</x:v>
      </x:c>
      <x:c r="J15" s="102" t="str">
        <x:v>Glacial collapse destroys China-Nepal trade port</x:v>
      </x:c>
      <x:c r="K15" s="102" t="str">
        <x:v>Closed / destroyed</x:v>
      </x:c>
      <x:c r="L15" s="102" t="str">
        <x:v>High</x:v>
      </x:c>
      <x:c r="M15" s="102" t="str"/>
      <x:c r="N15" s="102" t="str">
        <x:v>Cross-border trade route physically destroyed; customs and road access lost</x:v>
      </x:c>
      <x:c r="O15" s="102" t="str">
        <x:v>Cross-border trade route physically destroyed; customs and road access lost</x:v>
      </x:c>
      <x:c r="P15" s="102" t="str"/>
      <x:c r="Q15" s="102" t="str">
        <x:v>SRC_0253</x:v>
      </x:c>
      <x:c r="R15" s="102" t="str">
        <x:v>https://www.reuters.com/world/china/flood-destroyed-china-nepal-border-no-sign-once-busy-port-reuters-witnesses-2026-09-06/</x:v>
      </x:c>
      <x:c r="S15" s="102" t="str"/>
      <x:c r="T15" s="102" t="str">
        <x:v>2026-09-07</x:v>
      </x:c>
    </x:row>
    <x:row r="16">
      <x:c r="A16" s="102" t="str">
        <x:v>EXT_0010</x:v>
      </x:c>
      <x:c r="B16" s="183" t="str">
        <x:v>2026-08-09</x:v>
      </x:c>
      <x:c r="C16" s="102" t="str">
        <x:v>Weather</x:v>
      </x:c>
      <x:c r="D16" s="102" t="str">
        <x:v>Drought / extreme low water</x:v>
      </x:c>
      <x:c r="E16" s="102" t="str">
        <x:v>River navigation restriction</x:v>
      </x:c>
      <x:c r="F16" s="102" t="str">
        <x:v>Inland Waterway / Barge / Industrial Logistics</x:v>
      </x:c>
      <x:c r="G16" s="102" t="str">
        <x:v>Europe</x:v>
      </x:c>
      <x:c r="H16" s="102" t="str">
        <x:v>Germany</x:v>
      </x:c>
      <x:c r="I16" s="102" t="str">
        <x:v>Rhine / Kaub</x:v>
      </x:c>
      <x:c r="J16" s="102" t="str">
        <x:v>Rhine low-water shipping constraint</x:v>
      </x:c>
      <x:c r="K16" s="102" t="str">
        <x:v>Observed / partially improving</x:v>
      </x:c>
      <x:c r="L16" s="102" t="str">
        <x:v>High</x:v>
      </x:c>
      <x:c r="M16" s="102" t="str">
        <x:v>Weeks</x:v>
      </x:c>
      <x:c r="N16" s="102" t="str">
        <x:v>Draft restrictions; reduced cargo lift; more voyages required; cargo shifted toward road and rail</x:v>
      </x:c>
      <x:c r="O16" s="102" t="str">
        <x:v>Higher inland freight costs; industrial logistics bottlenecks; CMA CGM later imposed an inland emergency fee</x:v>
      </x:c>
      <x:c r="P16" s="102" t="str">
        <x:v>Drought / prolonged heat and limited rainfall</x:v>
      </x:c>
      <x:c r="Q16" s="102" t="str">
        <x:v>SRC_0225</x:v>
      </x:c>
      <x:c r="R16" s="102" t="str">
        <x:v>https://www.reuters.com/business/environment/german-shippers-warn-rhine-could-be-split-two-by-low-water-2026-08-09/</x:v>
      </x:c>
      <x:c r="S16" s="102" t="str">
        <x:v>https://www.reuters.com/business/energy/frances-cma-cgm-charge-inland-emergency-fee-due-lower-river-levels-2026-08-21/</x:v>
      </x:c>
      <x:c r="T16" s="102" t="str">
        <x:v>2026-09-07</x:v>
      </x:c>
    </x:row>
    <x:row r="17">
      <x:c r="A17" s="102" t="str">
        <x:v>EXT_0011</x:v>
      </x:c>
      <x:c r="B17" s="183" t="str">
        <x:v>2026-07-16</x:v>
      </x:c>
      <x:c r="C17" s="102" t="str">
        <x:v>Weather</x:v>
      </x:c>
      <x:c r="D17" s="102" t="str">
        <x:v>Drought / extreme low water</x:v>
      </x:c>
      <x:c r="E17" s="102" t="str">
        <x:v>River navigation restriction</x:v>
      </x:c>
      <x:c r="F17" s="102" t="str">
        <x:v>Inland Waterway / Cruise / Passenger</x:v>
      </x:c>
      <x:c r="G17" s="102" t="str">
        <x:v>Europe</x:v>
      </x:c>
      <x:c r="H17" s="102" t="str">
        <x:v>Hungary</x:v>
      </x:c>
      <x:c r="I17" s="102" t="str">
        <x:v>Danube / Budapest / Gonyu / Komarom / Mohacs</x:v>
      </x:c>
      <x:c r="J17" s="102" t="str">
        <x:v>Danube near-record low-water disruption</x:v>
      </x:c>
      <x:c r="K17" s="102" t="str">
        <x:v>Occurred / low-water constrained</x:v>
      </x:c>
      <x:c r="L17" s="102" t="str">
        <x:v>Moderate / High</x:v>
      </x:c>
      <x:c r="M17" s="102" t="str">
        <x:v>Days / weeks</x:v>
      </x:c>
      <x:c r="N17" s="102" t="str">
        <x:v>Vessels stranded or held in ports; sightseeing services suspended north of Budapest</x:v>
      </x:c>
      <x:c r="O17" s="102" t="str">
        <x:v>Passenger-shipping and tourism disruption; reduced operational flexibility on the Danube corridor</x:v>
      </x:c>
      <x:c r="P17" s="102" t="str">
        <x:v>Drought / low river flow</x:v>
      </x:c>
      <x:c r="Q17" s="102" t="str">
        <x:v>SRC_0227</x:v>
      </x:c>
      <x:c r="R17" s="102" t="str">
        <x:v>https://www.reuters.com/world/near-record-low-water-levels-disrupt-tourism-danube-2026-07-16/</x:v>
      </x:c>
      <x:c r="S17" s="102" t="str"/>
      <x:c r="T17" s="102" t="str">
        <x:v>2026-09-07</x:v>
      </x:c>
    </x:row>
    <x:row r="18">
      <x:c r="A18" s="102" t="str">
        <x:v>EXT_0012</x:v>
      </x:c>
      <x:c r="B18" s="183" t="str">
        <x:v>2026-07-11</x:v>
      </x:c>
      <x:c r="C18" s="102" t="str">
        <x:v>Weather</x:v>
      </x:c>
      <x:c r="D18" s="102" t="str">
        <x:v>Typhoon</x:v>
      </x:c>
      <x:c r="E18" s="102" t="str">
        <x:v>High wind / heavy rain / flooding</x:v>
      </x:c>
      <x:c r="F18" s="102" t="str">
        <x:v>Multimodal</x:v>
      </x:c>
      <x:c r="G18" s="102" t="str">
        <x:v>East Asia / Western Pacific</x:v>
      </x:c>
      <x:c r="H18" s="102" t="str">
        <x:v>China / Taiwan / Japan / Philippines</x:v>
      </x:c>
      <x:c r="I18" s="102" t="str">
        <x:v>Zhejiang / Taizhou / Taiwan / Sakishima Islands</x:v>
      </x:c>
      <x:c r="J18" s="102" t="str">
        <x:v>Typhoon Bavi regional transport disruption</x:v>
      </x:c>
      <x:c r="K18" s="102" t="str">
        <x:v>Occurred</x:v>
      </x:c>
      <x:c r="L18" s="102" t="str">
        <x:v>High</x:v>
      </x:c>
      <x:c r="M18" s="102" t="str">
        <x:v>Immediate / days</x:v>
      </x:c>
      <x:c r="N18" s="102" t="str">
        <x:v>Large-scale flight cancellations; reduced rail service; evacuations and weather restrictions across coastal transport systems</x:v>
      </x:c>
      <x:c r="O18" s="102" t="str">
        <x:v>Air-cargo and passenger disruption; potential manufacturing and port-hinterland delays in eastern China and Taiwan</x:v>
      </x:c>
      <x:c r="P18" s="102" t="str">
        <x:v>Typhoon Bavi</x:v>
      </x:c>
      <x:c r="Q18" s="102" t="str">
        <x:v>SRC_0228</x:v>
      </x:c>
      <x:c r="R18" s="102" t="str">
        <x:v>https://www.reuters.com/business/environment/thousands-evacuated-taiwan-shuts-down-typhoon-bavi-2026-07-11/</x:v>
      </x:c>
      <x:c r="S18" s="102" t="str"/>
      <x:c r="T18" s="102" t="str">
        <x:v>2026-09-07</x:v>
      </x:c>
    </x:row>
    <x:row r="19">
      <x:c r="A19" s="102" t="str">
        <x:v>EXT_0013</x:v>
      </x:c>
      <x:c r="B19" s="183" t="str">
        <x:v>2025-03-06</x:v>
      </x:c>
      <x:c r="C19" s="102" t="str">
        <x:v>Weather</x:v>
      </x:c>
      <x:c r="D19" s="102" t="str">
        <x:v>Tropical cyclone</x:v>
      </x:c>
      <x:c r="E19" s="102" t="str">
        <x:v>Flood / high wind / coastal surge</x:v>
      </x:c>
      <x:c r="F19" s="102" t="str">
        <x:v>Aviation / Road / Urban Logistics</x:v>
      </x:c>
      <x:c r="G19" s="102" t="str">
        <x:v>Oceania</x:v>
      </x:c>
      <x:c r="H19" s="102" t="str">
        <x:v>Australia</x:v>
      </x:c>
      <x:c r="I19" s="102" t="str">
        <x:v>Brisbane / southeast Queensland / northern New South Wales</x:v>
      </x:c>
      <x:c r="J19" s="102" t="str">
        <x:v>Cyclone Alfred disrupts Brisbane transport system</x:v>
      </x:c>
      <x:c r="K19" s="102" t="str">
        <x:v>Occurred / recovery</x:v>
      </x:c>
      <x:c r="L19" s="102" t="str">
        <x:v>High</x:v>
      </x:c>
      <x:c r="M19" s="102" t="str">
        <x:v>Days</x:v>
      </x:c>
      <x:c r="N19" s="102" t="str">
        <x:v>Airport operations suspended; Qantas flights curtailed; public transport shut; power outages and flood risk</x:v>
      </x:c>
      <x:c r="O19" s="102" t="str">
        <x:v>Air-cargo and passenger capacity loss; urban distribution delays and supply-chain disruption around Brisbane</x:v>
      </x:c>
      <x:c r="P19" s="102" t="str">
        <x:v>Cyclone Alfred</x:v>
      </x:c>
      <x:c r="Q19" s="102" t="str">
        <x:v>SRC_0229</x:v>
      </x:c>
      <x:c r="R19" s="102" t="str">
        <x:v>https://www.reuters.com/business/environment/cyclone-alfred-stalls-off-australias-east-residents-sandbag-homes-transport-2025-03-06/</x:v>
      </x:c>
      <x:c r="S19" s="102" t="str"/>
      <x:c r="T19" s="102" t="str">
        <x:v>2026-09-07</x:v>
      </x:c>
    </x:row>
    <x:row r="20">
      <x:c r="A20" s="102" t="str">
        <x:v>EXT_0014</x:v>
      </x:c>
      <x:c r="B20" s="183" t="str">
        <x:v>2025-07-22</x:v>
      </x:c>
      <x:c r="C20" s="102" t="str">
        <x:v>Weather</x:v>
      </x:c>
      <x:c r="D20" s="102" t="str">
        <x:v>Typhoon / tropical storm</x:v>
      </x:c>
      <x:c r="E20" s="102" t="str">
        <x:v>Heavy rain / flooding / high wind</x:v>
      </x:c>
      <x:c r="F20" s="102" t="str">
        <x:v>Multimodal</x:v>
      </x:c>
      <x:c r="G20" s="102" t="str">
        <x:v>Southeast Asia / South China Sea</x:v>
      </x:c>
      <x:c r="H20" s="102" t="str">
        <x:v>Vietnam / China / Hong Kong / Philippines</x:v>
      </x:c>
      <x:c r="I20" s="102" t="str">
        <x:v>Northern Vietnam / Haiphong / Hong Kong / northern Philippines</x:v>
      </x:c>
      <x:c r="J20" s="102" t="str">
        <x:v>Wipha disrupts regional port, airport and rail services</x:v>
      </x:c>
      <x:c r="K20" s="102" t="str">
        <x:v>Occurred</x:v>
      </x:c>
      <x:c r="L20" s="102" t="str">
        <x:v>High</x:v>
      </x:c>
      <x:c r="M20" s="102" t="str">
        <x:v>Days</x:v>
      </x:c>
      <x:c r="N20" s="102" t="str">
        <x:v>Port and transport services suspended in Vietnam; flight cancellations; flooding and government closures in the Philippines</x:v>
      </x:c>
      <x:c r="O20" s="102" t="str">
        <x:v>Regional cargo delay and distribution disruption across South China Sea supply chains</x:v>
      </x:c>
      <x:c r="P20" s="102" t="str">
        <x:v>Typhoon / Tropical Storm Wipha</x:v>
      </x:c>
      <x:c r="Q20" s="102" t="str">
        <x:v>SRC_0230</x:v>
      </x:c>
      <x:c r="R20" s="102" t="str">
        <x:v>https://www.reuters.com/business/environment/tropical-storm-wipha-makes-landfall-vietnam-heavy-rains-persist-philippines-2025-07-22/</x:v>
      </x:c>
      <x:c r="S20" s="102" t="str"/>
      <x:c r="T20" s="102" t="str">
        <x:v>2026-09-07</x:v>
      </x:c>
    </x:row>
    <x:row r="21">
      <x:c r="A21" s="102" t="str">
        <x:v>EXT_0015</x:v>
      </x:c>
      <x:c r="B21" s="183" t="str">
        <x:v>2025-09-24</x:v>
      </x:c>
      <x:c r="C21" s="102" t="str">
        <x:v>Weather</x:v>
      </x:c>
      <x:c r="D21" s="102" t="str">
        <x:v>Super typhoon</x:v>
      </x:c>
      <x:c r="E21" s="102" t="str">
        <x:v>Hurricane-force wind / storm surge / flooding</x:v>
      </x:c>
      <x:c r="F21" s="102" t="str">
        <x:v>Multimodal</x:v>
      </x:c>
      <x:c r="G21" s="102" t="str">
        <x:v>East Asia / Pearl River Delta</x:v>
      </x:c>
      <x:c r="H21" s="102" t="str">
        <x:v>China / Hong Kong / Taiwan</x:v>
      </x:c>
      <x:c r="I21" s="102" t="str">
        <x:v>Hong Kong / Guangdong / Shenzhen / Pearl River Delta / Taiwan</x:v>
      </x:c>
      <x:c r="J21" s="102" t="str">
        <x:v>Super Typhoon Ragasa disrupts Pearl River Delta</x:v>
      </x:c>
      <x:c r="K21" s="102" t="str">
        <x:v>Occurred</x:v>
      </x:c>
      <x:c r="L21" s="102" t="str">
        <x:v>High</x:v>
      </x:c>
      <x:c r="M21" s="102" t="str">
        <x:v>Days</x:v>
      </x:c>
      <x:c r="N21" s="102" t="str">
        <x:v>Flight disruption, transport shutdowns, storm-surge warnings and widespread closures</x:v>
      </x:c>
      <x:c r="O21" s="102" t="str">
        <x:v>Short-term disruption across one of the world's densest manufacturing, logistics and port regions</x:v>
      </x:c>
      <x:c r="P21" s="102" t="str">
        <x:v>Super Typhoon Ragasa</x:v>
      </x:c>
      <x:c r="Q21" s="102" t="str">
        <x:v>SRC_0231</x:v>
      </x:c>
      <x:c r="R21" s="102" t="str">
        <x:v>https://www.reuters.com/business/environment/super-typhoon-lashes-hong-kong-with-hurricane-force-winds-heavy-rain-2025-09-23/</x:v>
      </x:c>
      <x:c r="S21" s="102" t="str"/>
      <x:c r="T21" s="102" t="str">
        <x:v>2026-09-07</x:v>
      </x:c>
    </x:row>
    <x:row r="22">
      <x:c r="A22" s="102" t="str">
        <x:v>EXT_0016</x:v>
      </x:c>
      <x:c r="B22" s="183" t="str">
        <x:v>2025-10-09</x:v>
      </x:c>
      <x:c r="C22" s="102" t="str">
        <x:v>Weather</x:v>
      </x:c>
      <x:c r="D22" s="102" t="str">
        <x:v>Severe storm / high wind</x:v>
      </x:c>
      <x:c r="E22" s="102" t="str">
        <x:v>Residual port congestion after storm</x:v>
      </x:c>
      <x:c r="F22" s="102" t="str">
        <x:v>Maritime / Port</x:v>
      </x:c>
      <x:c r="G22" s="102" t="str">
        <x:v>Europe</x:v>
      </x:c>
      <x:c r="H22" s="102" t="str">
        <x:v>Netherlands</x:v>
      </x:c>
      <x:c r="I22" s="102" t="str">
        <x:v>Port of Rotterdam</x:v>
      </x:c>
      <x:c r="J22" s="102" t="str">
        <x:v>Storm Amy contributes to Rotterdam vessel backlog</x:v>
      </x:c>
      <x:c r="K22" s="102" t="str">
        <x:v>Occurred / residual backlog</x:v>
      </x:c>
      <x:c r="L22" s="102" t="str">
        <x:v>Moderate / High</x:v>
      </x:c>
      <x:c r="M22" s="102" t="str">
        <x:v>Days</x:v>
      </x:c>
      <x:c r="N22" s="102" t="str">
        <x:v>Ship queue roughly doubled from normal levels before strike effects became dominant</x:v>
      </x:c>
      <x:c r="O22" s="102" t="str">
        <x:v>Container delays and reduced ability to absorb further disruption at Europe's largest port</x:v>
      </x:c>
      <x:c r="P22" s="102" t="str">
        <x:v>Storm Amy</x:v>
      </x:c>
      <x:c r="Q22" s="102" t="str">
        <x:v>SRC_0232</x:v>
      </x:c>
      <x:c r="R22" s="102" t="str">
        <x:v>https://www.reuters.com/business/world-at-work/lashers-strike-causes-growing-ship-backlog-rotterdam-port-2025-10-09/</x:v>
      </x:c>
      <x:c r="S22" s="102" t="str"/>
      <x:c r="T22" s="102" t="str">
        <x:v>2026-09-07</x:v>
      </x:c>
    </x:row>
    <x:row r="23">
      <x:c r="A23" s="102" t="str">
        <x:v>EXT_0017</x:v>
      </x:c>
      <x:c r="B23" s="183" t="str">
        <x:v>2026-02-18</x:v>
      </x:c>
      <x:c r="C23" s="102" t="str">
        <x:v>Labour / Industrial Action</x:v>
      </x:c>
      <x:c r="D23" s="102" t="str">
        <x:v>Maritime workers strike</x:v>
      </x:c>
      <x:c r="E23" s="102" t="str">
        <x:v>48-hour port / maritime stoppage</x:v>
      </x:c>
      <x:c r="F23" s="102" t="str">
        <x:v>Maritime / Port / Agricultural Exports</x:v>
      </x:c>
      <x:c r="G23" s="102" t="str">
        <x:v>South America</x:v>
      </x:c>
      <x:c r="H23" s="102" t="str">
        <x:v>Argentina</x:v>
      </x:c>
      <x:c r="I23" s="102" t="str">
        <x:v>Rosario / Parana-Paraguay export corridor</x:v>
      </x:c>
      <x:c r="J23" s="102" t="str">
        <x:v>Argentine maritime strike halts grain-export activity</x:v>
      </x:c>
      <x:c r="K23" s="102" t="str">
        <x:v>Occurred</x:v>
      </x:c>
      <x:c r="L23" s="102" t="str">
        <x:v>High</x:v>
      </x:c>
      <x:c r="M23" s="102" t="str">
        <x:v>48 hours / backlog recovery</x:v>
      </x:c>
      <x:c r="N23" s="102" t="str">
        <x:v>Agro-export activity brought close to a standstill and vessel dispatch constrained</x:v>
      </x:c>
      <x:c r="O23" s="102" t="str">
        <x:v>Disruption to a major global grain, soybean-oil and soybean-meal export system</x:v>
      </x:c>
      <x:c r="P23" s="102" t="str">
        <x:v>FESIMAF maritime workers federation</x:v>
      </x:c>
      <x:c r="Q23" s="102" t="str">
        <x:v>SRC_0233</x:v>
      </x:c>
      <x:c r="R23" s="102" t="str">
        <x:v>https://www.reuters.com/business/world-at-work/argentine-maritime-workers-begin-48-hour-strike-against-labor-reform-2026-02-18/</x:v>
      </x:c>
      <x:c r="S23" s="102" t="str"/>
      <x:c r="T23" s="102" t="str">
        <x:v>2026-09-07</x:v>
      </x:c>
    </x:row>
    <x:row r="24">
      <x:c r="A24" s="102" t="str">
        <x:v>EXT_0018</x:v>
      </x:c>
      <x:c r="B24" s="183" t="str">
        <x:v>2026-03-05</x:v>
      </x:c>
      <x:c r="C24" s="102" t="str">
        <x:v>Labour / Industrial Action</x:v>
      </x:c>
      <x:c r="D24" s="102" t="str">
        <x:v>Seafarers strike</x:v>
      </x:c>
      <x:c r="E24" s="102" t="str">
        <x:v>24-hour ferry stoppage</x:v>
      </x:c>
      <x:c r="F24" s="102" t="str">
        <x:v>Ferry / Maritime</x:v>
      </x:c>
      <x:c r="G24" s="102" t="str">
        <x:v>Europe / Eastern Mediterranean</x:v>
      </x:c>
      <x:c r="H24" s="102" t="str">
        <x:v>Greece</x:v>
      </x:c>
      <x:c r="I24" s="102" t="str">
        <x:v>Piraeus / Greek domestic ferry network</x:v>
      </x:c>
      <x:c r="J24" s="102" t="str">
        <x:v>Greek seafarers strike halts ferry services</x:v>
      </x:c>
      <x:c r="K24" s="102" t="str">
        <x:v>Occurred</x:v>
      </x:c>
      <x:c r="L24" s="102" t="str">
        <x:v>High</x:v>
      </x:c>
      <x:c r="M24" s="102" t="str">
        <x:v>24 hours</x:v>
      </x:c>
      <x:c r="N24" s="102" t="str">
        <x:v>Ferry sailings halted for the duration of the strike</x:v>
      </x:c>
      <x:c r="O24" s="102" t="str">
        <x:v>Passenger, vehicle and island-supply movements delayed; labour action tied directly to maritime security risk</x:v>
      </x:c>
      <x:c r="P24" s="102" t="str">
        <x:v>PNO and Greek seafarer unions</x:v>
      </x:c>
      <x:c r="Q24" s="102" t="str">
        <x:v>SRC_0234</x:v>
      </x:c>
      <x:c r="R24" s="102" t="str">
        <x:v>https://www.reuters.com/world/europe/greek-seafarers-strike-over-crews-stranded-gulf-by-iran-war-2026-03-05/</x:v>
      </x:c>
      <x:c r="S24" s="102" t="str"/>
      <x:c r="T24" s="102" t="str">
        <x:v>2026-09-07</x:v>
      </x:c>
    </x:row>
    <x:row r="25">
      <x:c r="A25" s="102" t="str">
        <x:v>EXT_0019</x:v>
      </x:c>
      <x:c r="B25" s="183" t="str">
        <x:v>2026-06-12</x:v>
      </x:c>
      <x:c r="C25" s="102" t="str">
        <x:v>Labour / Industrial Action</x:v>
      </x:c>
      <x:c r="D25" s="102" t="str">
        <x:v>Transport workers stoppage</x:v>
      </x:c>
      <x:c r="E25" s="102" t="str">
        <x:v>Concrete-delivery suspension / blockade</x:v>
      </x:c>
      <x:c r="F25" s="102" t="str">
        <x:v>Road / Industrial Construction</x:v>
      </x:c>
      <x:c r="G25" s="102" t="str">
        <x:v>East Asia</x:v>
      </x:c>
      <x:c r="H25" s="102" t="str">
        <x:v>South Korea</x:v>
      </x:c>
      <x:c r="I25" s="102" t="str">
        <x:v>Seoul metropolitan area / Pyeongtaek / Yongin</x:v>
      </x:c>
      <x:c r="J25" s="102" t="str">
        <x:v>Concrete transport strike disrupts semiconductor construction</x:v>
      </x:c>
      <x:c r="K25" s="102" t="str">
        <x:v>Occurred / prolonged dispute</x:v>
      </x:c>
      <x:c r="L25" s="102" t="str">
        <x:v>Moderate / High</x:v>
      </x:c>
      <x:c r="M25" s="102" t="str">
        <x:v>Days / potentially longer</x:v>
      </x:c>
      <x:c r="N25" s="102" t="str">
        <x:v>Concrete deliveries blocked and pouring halted at strategic chip-factory construction sites</x:v>
      </x:c>
      <x:c r="O25" s="102" t="str">
        <x:v>Potential schedule slippage for semiconductor capacity expansion if stoppage persisted</x:v>
      </x:c>
      <x:c r="P25" s="102" t="str">
        <x:v>National Ready-Mixed Concrete Transport Workers' Union</x:v>
      </x:c>
      <x:c r="Q25" s="102" t="str">
        <x:v>SRC_0235</x:v>
      </x:c>
      <x:c r="R25" s="102" t="str">
        <x:v>https://www.reuters.com/business/world-at-work/south-korea-concrete-delivery-halt-threatens-samsung-sk-hynix-chip-plant-work-2026-06-12/</x:v>
      </x:c>
      <x:c r="S25" s="102" t="str"/>
      <x:c r="T25" s="102" t="str">
        <x:v>2026-09-07</x:v>
      </x:c>
    </x:row>
    <x:row r="26">
      <x:c r="A26" s="102" t="str">
        <x:v>EXT_0020</x:v>
      </x:c>
      <x:c r="B26" s="183" t="str">
        <x:v>2025-10-09</x:v>
      </x:c>
      <x:c r="C26" s="102" t="str">
        <x:v>Labour / Industrial Action</x:v>
      </x:c>
      <x:c r="D26" s="102" t="str">
        <x:v>Port strike</x:v>
      </x:c>
      <x:c r="E26" s="102" t="str">
        <x:v>Lashers / cargo securing</x:v>
      </x:c>
      <x:c r="F26" s="102" t="str">
        <x:v>Maritime / Container Port</x:v>
      </x:c>
      <x:c r="G26" s="102" t="str">
        <x:v>Europe</x:v>
      </x:c>
      <x:c r="H26" s="102" t="str">
        <x:v>Netherlands</x:v>
      </x:c>
      <x:c r="I26" s="102" t="str">
        <x:v>Port of Rotterdam</x:v>
      </x:c>
      <x:c r="J26" s="102" t="str">
        <x:v>Rotterdam lashers strike blocks container handling</x:v>
      </x:c>
      <x:c r="K26" s="102" t="str">
        <x:v>Occurred / temporarily suspended</x:v>
      </x:c>
      <x:c r="L26" s="102" t="str">
        <x:v>High</x:v>
      </x:c>
      <x:c r="M26" s="102" t="str">
        <x:v>Days</x:v>
      </x:c>
      <x:c r="N26" s="102" t="str">
        <x:v>Container loading/unloading effectively halted; vessel queue expanded</x:v>
      </x:c>
      <x:c r="O26" s="102" t="str">
        <x:v>Backlogs at Europe's largest port with limited diversion capacity because Antwerp was also disrupted</x:v>
      </x:c>
      <x:c r="P26" s="102" t="str">
        <x:v>FNV / Rotterdam lashers</x:v>
      </x:c>
      <x:c r="Q26" s="102" t="str">
        <x:v>SRC_0232</x:v>
      </x:c>
      <x:c r="R26" s="102" t="str">
        <x:v>https://www.reuters.com/business/world-at-work/lashers-strike-causes-growing-ship-backlog-rotterdam-port-2025-10-09/</x:v>
      </x:c>
      <x:c r="S26" s="102" t="str">
        <x:v>https://www.reuters.com/business/world-at-work/rotterdam-port-lashers-suspend-strike-monday-2025-10-12/</x:v>
      </x:c>
      <x:c r="T26" s="102" t="str">
        <x:v>2026-09-07</x:v>
      </x:c>
    </x:row>
    <x:row r="27">
      <x:c r="A27" s="102" t="str">
        <x:v>EXT_0021</x:v>
      </x:c>
      <x:c r="B27" s="183" t="str">
        <x:v>2025-10-08</x:v>
      </x:c>
      <x:c r="C27" s="102" t="str">
        <x:v>Labour / Industrial Action</x:v>
      </x:c>
      <x:c r="D27" s="102" t="str">
        <x:v>Work-to-rule</x:v>
      </x:c>
      <x:c r="E27" s="102" t="str">
        <x:v>Harbour pilots protest</x:v>
      </x:c>
      <x:c r="F27" s="102" t="str">
        <x:v>Maritime / Port</x:v>
      </x:c>
      <x:c r="G27" s="102" t="str">
        <x:v>Europe</x:v>
      </x:c>
      <x:c r="H27" s="102" t="str">
        <x:v>Belgium</x:v>
      </x:c>
      <x:c r="I27" s="102" t="str">
        <x:v>Port of Antwerp-Bruges / Zeebrugge</x:v>
      </x:c>
      <x:c r="J27" s="102" t="str">
        <x:v>Antwerp-Bruges harbour pilots disrupt marine traffic</x:v>
      </x:c>
      <x:c r="K27" s="102" t="str">
        <x:v>Occurred</x:v>
      </x:c>
      <x:c r="L27" s="102" t="str">
        <x:v>High</x:v>
      </x:c>
      <x:c r="M27" s="102" t="str">
        <x:v>Several days</x:v>
      </x:c>
      <x:c r="N27" s="102" t="str">
        <x:v>Antwerp handled only 31 ships on a day when 60-80 was typical; delays spread to Zeebrugge</x:v>
      </x:c>
      <x:c r="O27" s="102" t="str">
        <x:v>Reduced gateway capacity and weaker diversion options for congestion at nearby Rotterdam</x:v>
      </x:c>
      <x:c r="P27" s="102" t="str">
        <x:v>Flemish harbour pilots</x:v>
      </x:c>
      <x:c r="Q27" s="102" t="str">
        <x:v>SRC_0236</x:v>
      </x:c>
      <x:c r="R27" s="102" t="str">
        <x:v>https://www.reuters.com/business/industrial-action-by-harbour-pilots-disrupts-shipping-antwerp-bruges-2025-10-08/</x:v>
      </x:c>
      <x:c r="S27" s="102" t="str"/>
      <x:c r="T27" s="102" t="str">
        <x:v>2026-09-07</x:v>
      </x:c>
    </x:row>
    <x:row r="28">
      <x:c r="A28" s="102" t="str">
        <x:v>EXT_0022</x:v>
      </x:c>
      <x:c r="B28" s="183" t="str">
        <x:v>2025-09-22</x:v>
      </x:c>
      <x:c r="C28" s="102" t="str">
        <x:v>Protest / Labour</x:v>
      </x:c>
      <x:c r="D28" s="102" t="str">
        <x:v>Dockworker strike / port blockade</x:v>
      </x:c>
      <x:c r="E28" s="102" t="str">
        <x:v>Political solidarity protest</x:v>
      </x:c>
      <x:c r="F28" s="102" t="str">
        <x:v>Port / Road / Rail</x:v>
      </x:c>
      <x:c r="G28" s="102" t="str">
        <x:v>Europe</x:v>
      </x:c>
      <x:c r="H28" s="102" t="str">
        <x:v>Italy</x:v>
      </x:c>
      <x:c r="I28" s="102" t="str">
        <x:v>Genoa / Livorno</x:v>
      </x:c>
      <x:c r="J28" s="102" t="str">
        <x:v>Genoa and Livorno dockworkers block port access</x:v>
      </x:c>
      <x:c r="K28" s="102" t="str">
        <x:v>Occurred</x:v>
      </x:c>
      <x:c r="L28" s="102" t="str">
        <x:v>Moderate / High</x:v>
      </x:c>
      <x:c r="M28" s="102" t="str">
        <x:v>Hours / one day</x:v>
      </x:c>
      <x:c r="N28" s="102" t="str">
        <x:v>Port access impeded and some transport services disrupted</x:v>
      </x:c>
      <x:c r="O28" s="102" t="str">
        <x:v>Localized cargo and hinterland disruption; demonstration of politically driven port-labour action</x:v>
      </x:c>
      <x:c r="P28" s="102" t="str">
        <x:v>Italian dockworker and labour unions</x:v>
      </x:c>
      <x:c r="Q28" s="102" t="str">
        <x:v>SRC_0237</x:v>
      </x:c>
      <x:c r="R28" s="102" t="str">
        <x:v>https://www.reuters.com/world/europe/genoa-dockers-walk-out-italian-unions-protest-against-israel-2025-09-22/</x:v>
      </x:c>
      <x:c r="S28" s="102" t="str"/>
      <x:c r="T28" s="102" t="str">
        <x:v>2026-09-07</x:v>
      </x:c>
    </x:row>
    <x:row r="29">
      <x:c r="A29" s="102" t="str">
        <x:v>EXT_0023</x:v>
      </x:c>
      <x:c r="B29" s="183" t="str">
        <x:v>2025-11-28</x:v>
      </x:c>
      <x:c r="C29" s="102" t="str">
        <x:v>Labour / Industrial Action</x:v>
      </x:c>
      <x:c r="D29" s="102" t="str">
        <x:v>National transport strike</x:v>
      </x:c>
      <x:c r="E29" s="102" t="str">
        <x:v>Aviation / rail / urban transport stoppages</x:v>
      </x:c>
      <x:c r="F29" s="102" t="str">
        <x:v>Multimodal</x:v>
      </x:c>
      <x:c r="G29" s="102" t="str">
        <x:v>Europe</x:v>
      </x:c>
      <x:c r="H29" s="102" t="str">
        <x:v>Italy</x:v>
      </x:c>
      <x:c r="I29" s="102" t="str">
        <x:v>Milan / Bologna / Rome / Turin / Genoa / Venice / Naples</x:v>
      </x:c>
      <x:c r="J29" s="102" t="str">
        <x:v>Italian national strikes disrupt aviation and rail</x:v>
      </x:c>
      <x:c r="K29" s="102" t="str">
        <x:v>Occurred</x:v>
      </x:c>
      <x:c r="L29" s="102" t="str">
        <x:v>High</x:v>
      </x:c>
      <x:c r="M29" s="102" t="str">
        <x:v>One day / short recovery</x:v>
      </x:c>
      <x:c r="N29" s="102" t="str">
        <x:v>Flight cancellations, train disruption and urban transport delays</x:v>
      </x:c>
      <x:c r="O29" s="102" t="str">
        <x:v>Air-cargo and business-travel disruption plus inland logistics friction across multiple Italian hubs</x:v>
      </x:c>
      <x:c r="P29" s="102" t="str">
        <x:v>USB and other labour organisations</x:v>
      </x:c>
      <x:c r="Q29" s="102" t="str">
        <x:v>SRC_0238</x:v>
      </x:c>
      <x:c r="R29" s="102" t="str">
        <x:v>https://www.reuters.com/business/aerospace-defense/transport-italy-disrupted-by-strikes-against-pm-meloni-2025-11-28/</x:v>
      </x:c>
      <x:c r="S29" s="102" t="str"/>
      <x:c r="T29" s="102" t="str">
        <x:v>2026-09-07</x:v>
      </x:c>
    </x:row>
    <x:row r="30">
      <x:c r="A30" s="102" t="str">
        <x:v>EXT_0024</x:v>
      </x:c>
      <x:c r="B30" s="183" t="str">
        <x:v>2025-12-10</x:v>
      </x:c>
      <x:c r="C30" s="102" t="str">
        <x:v>Protest / Labour</x:v>
      </x:c>
      <x:c r="D30" s="102" t="str">
        <x:v>Farmers protest / blockade</x:v>
      </x:c>
      <x:c r="E30" s="102" t="str">
        <x:v>Port and road blockade</x:v>
      </x:c>
      <x:c r="F30" s="102" t="str">
        <x:v>Port / Road / Border Trade</x:v>
      </x:c>
      <x:c r="G30" s="102" t="str">
        <x:v>Europe</x:v>
      </x:c>
      <x:c r="H30" s="102" t="str">
        <x:v>Greece</x:v>
      </x:c>
      <x:c r="I30" s="102" t="str">
        <x:v>Volos / national motorways / Promachonas border</x:v>
      </x:c>
      <x:c r="J30" s="102" t="str">
        <x:v>Greek farmer blockades disrupt port and border traffic</x:v>
      </x:c>
      <x:c r="K30" s="102" t="str">
        <x:v>Occurred / continuing at source date</x:v>
      </x:c>
      <x:c r="L30" s="102" t="str">
        <x:v>Moderate / High</x:v>
      </x:c>
      <x:c r="M30" s="102" t="str">
        <x:v>Days</x:v>
      </x:c>
      <x:c r="N30" s="102" t="str">
        <x:v>Port-area disruption; road queues and intermittent border restrictions</x:v>
      </x:c>
      <x:c r="O30" s="102" t="str">
        <x:v>Agricultural, trucking and cross-border cargo delays with potential spillover to regional logistics</x:v>
      </x:c>
      <x:c r="P30" s="102" t="str">
        <x:v>Greek farmers' protest groups</x:v>
      </x:c>
      <x:c r="Q30" s="102" t="str">
        <x:v>SRC_0239</x:v>
      </x:c>
      <x:c r="R30" s="102" t="str">
        <x:v>https://www.reuters.com/business/environment/protesting-greek-farmers-disrupt-port-operations-nationwide-blockades-persist-2025-12-10/</x:v>
      </x:c>
      <x:c r="S30" s="102" t="str"/>
      <x:c r="T30" s="102" t="str">
        <x:v>2026-09-07</x:v>
      </x:c>
    </x:row>
    <x:row r="31">
      <x:c r="A31" s="102" t="str">
        <x:v>EXT_0025</x:v>
      </x:c>
      <x:c r="B31" s="183" t="str">
        <x:v>2025-02-27</x:v>
      </x:c>
      <x:c r="C31" s="102" t="str">
        <x:v>Protest / Labour</x:v>
      </x:c>
      <x:c r="D31" s="102" t="str">
        <x:v>Farmers protest / border blockade</x:v>
      </x:c>
      <x:c r="E31" s="102" t="str">
        <x:v>Tractor blockade</x:v>
      </x:c>
      <x:c r="F31" s="102" t="str">
        <x:v>Land / Border Trade</x:v>
      </x:c>
      <x:c r="G31" s="102" t="str">
        <x:v>Central Europe</x:v>
      </x:c>
      <x:c r="H31" s="102" t="str">
        <x:v>Czech Republic / Slovakia</x:v>
      </x:c>
      <x:c r="I31" s="102" t="str">
        <x:v>Czech-Slovak border crossing / regional border points</x:v>
      </x:c>
      <x:c r="J31" s="102" t="str">
        <x:v>Czech and Slovak farmers disrupt border crossing</x:v>
      </x:c>
      <x:c r="K31" s="102" t="str">
        <x:v>Occurred</x:v>
      </x:c>
      <x:c r="L31" s="102" t="str">
        <x:v>Moderate</x:v>
      </x:c>
      <x:c r="M31" s="102" t="str">
        <x:v>Hours / one day</x:v>
      </x:c>
      <x:c r="N31" s="102" t="str">
        <x:v>Border-crossing operations disrupted and road traffic constrained</x:v>
      </x:c>
      <x:c r="O31" s="102" t="str">
        <x:v>Short-duration cross-border trucking friction and agricultural trade disruption</x:v>
      </x:c>
      <x:c r="P31" s="102" t="str">
        <x:v>Czech, Slovak and allied farmer groups</x:v>
      </x:c>
      <x:c r="Q31" s="102" t="str">
        <x:v>SRC_0240</x:v>
      </x:c>
      <x:c r="R31" s="102" t="str">
        <x:v>https://www.reuters.com/world/europe/czech-slovak-farmers-clog-border-crossing-protest-non-eu-imports-2025-02-27/</x:v>
      </x:c>
      <x:c r="S31" s="102" t="str"/>
      <x:c r="T31" s="102" t="str">
        <x:v>2026-09-07</x:v>
      </x:c>
    </x:row>
    <x:row r="32">
      <x:c r="A32" s="102" t="str">
        <x:v>EXT_0026</x:v>
      </x:c>
      <x:c r="B32" s="183" t="str">
        <x:v>2026-09-05</x:v>
      </x:c>
      <x:c r="C32" s="102" t="str">
        <x:v>Protest / Labour</x:v>
      </x:c>
      <x:c r="D32" s="102" t="str">
        <x:v>Road blockade / protest</x:v>
      </x:c>
      <x:c r="E32" s="102" t="str">
        <x:v>Port access disruption</x:v>
      </x:c>
      <x:c r="F32" s="102" t="str">
        <x:v>Port / Road / Ferry</x:v>
      </x:c>
      <x:c r="G32" s="102" t="str">
        <x:v>Europe</x:v>
      </x:c>
      <x:c r="H32" s="102" t="str">
        <x:v>United Kingdom</x:v>
      </x:c>
      <x:c r="I32" s="102" t="str">
        <x:v>Port of Dover / Portsmouth</x:v>
      </x:c>
      <x:c r="J32" s="102" t="str">
        <x:v>Dover and Portsmouth anti-migrant protests disrupt access</x:v>
      </x:c>
      <x:c r="K32" s="102" t="str">
        <x:v>Occurred / contained</x:v>
      </x:c>
      <x:c r="L32" s="102" t="str">
        <x:v>Moderate</x:v>
      </x:c>
      <x:c r="M32" s="102" t="str">
        <x:v>Hours</x:v>
      </x:c>
      <x:c r="N32" s="102" t="str">
        <x:v>Road access disrupted; ferry passengers delayed; access later restored</x:v>
      </x:c>
      <x:c r="O32" s="102" t="str">
        <x:v>Localized friction at the UK's main cross-Channel ferry gateway; no confirmed prolonged port shutdown</x:v>
      </x:c>
      <x:c r="P32" s="102" t="str">
        <x:v>Anti-migrant protest groups</x:v>
      </x:c>
      <x:c r="Q32" s="102" t="str">
        <x:v>SRC_0241</x:v>
      </x:c>
      <x:c r="R32" s="102" t="str">
        <x:v>https://www.reuters.com/world/uk/uk-minister-condemns-anti-migrant-protests-portsmouth-2026-09-07/</x:v>
      </x:c>
      <x:c r="S32" s="102" t="str">
        <x:v>https://apnews.com/article/8e263817b1ad5abd49beec7a6a8f88a4</x:v>
      </x:c>
      <x:c r="T32" s="102" t="str">
        <x:v>2026-09-07</x:v>
      </x:c>
    </x:row>
  </x:sheetData>
  <x:mergeCells>
    <x:mergeCell ref="A1:T1"/>
    <x:mergeCell ref="A3:T3"/>
  </x:mergeCells>
  <x:pageMargins left="0.7" right="0.7" top="0.75" bottom="0.75" header="0.3" footer="0.3"/>
  <x:drawing xmlns:r="http://schemas.openxmlformats.org/officeDocument/2006/relationships" r:id="R165073de0c114d8c"/>
  <x:tableParts count="1">
    <x:tablePart xmlns:r="http://schemas.openxmlformats.org/officeDocument/2006/relationships" r:id="Rbddec5e775fe43d4"/>
  </x:tableParts>
</x:worksheet>
</file>

<file path=xl/worksheets/sheet68.xml><?xml version="1.0" encoding="utf-8"?>
<x:worksheet xmlns:x="http://schemas.openxmlformats.org/spreadsheetml/2006/main">
  <x:sheetFormatPr defaultRowHeight="15"/>
  <x:cols>
    <x:col min="1" max="1" width="14" hidden="0" customWidth="1"/>
    <x:col min="2" max="2" width="14" hidden="0" customWidth="1"/>
    <x:col min="3" max="3" width="24" hidden="0" customWidth="1"/>
    <x:col min="4" max="4" width="16" hidden="0" customWidth="1"/>
    <x:col min="5" max="5" width="32" hidden="0" customWidth="1"/>
    <x:col min="6" max="6" width="40" hidden="0" customWidth="1"/>
    <x:col min="7" max="7" width="28" hidden="0" customWidth="1"/>
    <x:col min="8" max="8" width="40" hidden="0" customWidth="1"/>
    <x:col min="9" max="9" width="38" hidden="0" customWidth="1"/>
    <x:col min="10" max="10" width="42" hidden="0" customWidth="1"/>
    <x:col min="11" max="11" width="22" hidden="0" customWidth="1"/>
    <x:col min="12" max="12" width="18" hidden="0" customWidth="1"/>
    <x:col min="13" max="13" width="14" hidden="0" customWidth="1"/>
    <x:col min="14" max="14" width="50" hidden="0" customWidth="1"/>
    <x:col min="15" max="15" width="16" hidden="0" customWidth="1"/>
    <x:col min="16" max="16" width="12" hidden="0" customWidth="1"/>
    <x:col min="17" max="17" width="42" hidden="0" customWidth="1"/>
  </x:cols>
  <x:sheetData>
    <x:row r="1">
      <x:c r="A1" s="180" t="str">
        <x:v>Watch ID</x:v>
      </x:c>
      <x:c r="B1" s="180" t="str">
        <x:v>As Of</x:v>
      </x:c>
      <x:c r="C1" s="180" t="str">
        <x:v>Family</x:v>
      </x:c>
      <x:c r="D1" s="180" t="str">
        <x:v>Country</x:v>
      </x:c>
      <x:c r="E1" s="180" t="str">
        <x:v>Location / System</x:v>
      </x:c>
      <x:c r="F1" s="180" t="str">
        <x:v>Issue</x:v>
      </x:c>
      <x:c r="G1" s="180" t="str">
        <x:v>Current Status</x:v>
      </x:c>
      <x:c r="H1" s="180" t="str">
        <x:v>Trigger / Threshold</x:v>
      </x:c>
      <x:c r="I1" s="180" t="str">
        <x:v>Potential Mode Impact</x:v>
      </x:c>
      <x:c r="J1" s="180" t="str">
        <x:v>Potential Trade / Commercial Impact</x:v>
      </x:c>
      <x:c r="K1" s="180" t="str">
        <x:v>Probability / Read</x:v>
      </x:c>
      <x:c r="L1" s="180" t="str">
        <x:v>Time Horizon</x:v>
      </x:c>
      <x:c r="M1" s="180" t="str">
        <x:v>Primary Source ID</x:v>
      </x:c>
      <x:c r="N1" s="180" t="str">
        <x:v>Primary Source URL</x:v>
      </x:c>
      <x:c r="O1" s="180" t="str">
        <x:v>Next Known Date</x:v>
      </x:c>
      <x:c r="P1" s="180" t="str">
        <x:v>Confidence</x:v>
      </x:c>
      <x:c r="Q1" s="180" t="str">
        <x:v>Notes</x:v>
      </x:c>
    </x:row>
    <x:row r="2">
      <x:c r="A2" s="102" t="str">
        <x:v>WATCH_0001</x:v>
      </x:c>
      <x:c r="B2" s="102" t="str">
        <x:v>2026-09-07</x:v>
      </x:c>
      <x:c r="C2" s="102" t="str">
        <x:v>Labour / Industrial Action</x:v>
      </x:c>
      <x:c r="D2" s="102" t="str">
        <x:v>Australia</x:v>
      </x:c>
      <x:c r="E2" s="102" t="str">
        <x:v>Qantas Ground Services / major Australian airports</x:v>
      </x:c>
      <x:c r="F2" s="102" t="str">
        <x:v>Ground crews authorised industrial action over pay, conditions and job security</x:v>
      </x:c>
      <x:c r="G2" s="102" t="str">
        <x:v>Strike authorised; no strike date set</x:v>
      </x:c>
      <x:c r="H2" s="102" t="str">
        <x:v>Union issues required notice for a work stoppage or Qantas talks fail</x:v>
      </x:c>
      <x:c r="I2" s="102" t="str">
        <x:v>Ground handling / baggage / ramp / airport turnaround delays</x:v>
      </x:c>
      <x:c r="J2" s="102" t="str">
        <x:v>Potential domestic and international passenger/air-cargo disruption at Qantas-served airports</x:v>
      </x:c>
      <x:c r="K2" s="102" t="str">
        <x:v>Elevated / contingent</x:v>
      </x:c>
      <x:c r="L2" s="102" t="str">
        <x:v>Days to weeks</x:v>
      </x:c>
      <x:c r="M2" s="102" t="str">
        <x:v>SRC_0243</x:v>
      </x:c>
      <x:c r="N2" s="102" t="str">
        <x:v>https://www.reuters.com/business/world-at-work/australias-qantas-airways-ground-crews-vote-strike-over-rock-bottom-pay-2026-08-31/</x:v>
      </x:c>
      <x:c r="O2" s="102" t="str">
        <x:v>2026-09-18</x:v>
      </x:c>
      <x:c r="P2" s="102" t="str">
        <x:v>High</x:v>
      </x:c>
      <x:c r="Q2" s="102" t="str">
        <x:v>Separate watch from Event Observations until industrial action actually begins.</x:v>
      </x:c>
    </x:row>
    <x:row r="3">
      <x:c r="A3" s="102" t="str">
        <x:v>WATCH_0002</x:v>
      </x:c>
      <x:c r="B3" s="102" t="str">
        <x:v>2026-09-07</x:v>
      </x:c>
      <x:c r="C3" s="102" t="str">
        <x:v>Labour / Industrial Action</x:v>
      </x:c>
      <x:c r="D3" s="102" t="str">
        <x:v>Taiwan</x:v>
      </x:c>
      <x:c r="E3" s="102" t="str">
        <x:v>Micron Taiwan / Taoyuan and Taichung semiconductor plants</x:v>
      </x:c>
      <x:c r="F3" s="102" t="str">
        <x:v>Union members backed potential strike action over bonus structure</x:v>
      </x:c>
      <x:c r="G3" s="102" t="str">
        <x:v>Strike threat / negotiations unresolved</x:v>
      </x:c>
      <x:c r="H3" s="102" t="str">
        <x:v>Formal strike notice or failed bonus negotiations</x:v>
      </x:c>
      <x:c r="I3" s="102" t="str">
        <x:v>Semiconductor manufacturing / site access / production continuity</x:v>
      </x:c>
      <x:c r="J3" s="102" t="str">
        <x:v>Potential memory-chip supply disruption because Taiwan is a core Micron manufacturing base</x:v>
      </x:c>
      <x:c r="K3" s="102" t="str">
        <x:v>Elevated / contingent</x:v>
      </x:c>
      <x:c r="L3" s="102" t="str">
        <x:v>Weeks</x:v>
      </x:c>
      <x:c r="M3" s="102" t="str">
        <x:v>SRC_0244</x:v>
      </x:c>
      <x:c r="N3" s="102" t="str">
        <x:v>https://www.reuters.com/business/world-at-work/microns-taiwan-unions-threaten-strike-over-bonus-dispute-2026-09-01/</x:v>
      </x:c>
      <x:c r="O3" s="102"/>
      <x:c r="P3" s="102" t="str">
        <x:v>High</x:v>
      </x:c>
      <x:c r="Q3" s="102" t="str">
        <x:v>Do not count as a strike event until action occurs.</x:v>
      </x:c>
    </x:row>
  </x:sheetData>
  <x:pageMargins left="0.7" right="0.7" top="0.75" bottom="0.75" header="0.3" footer="0.3"/>
</x:worksheet>
</file>

<file path=xl/worksheets/sheet69.xml><?xml version="1.0" encoding="utf-8"?>
<x:worksheet xmlns:x="http://schemas.openxmlformats.org/spreadsheetml/2006/main">
  <x:sheetFormatPr defaultRowHeight="15"/>
  <x:cols>
    <x:col min="1" max="1" width="15" hidden="0" customWidth="1"/>
    <x:col min="2" max="2" width="22" hidden="0" customWidth="1"/>
    <x:col min="3" max="3" width="28" hidden="0" customWidth="1"/>
    <x:col min="4" max="4" width="26" hidden="0" customWidth="1"/>
    <x:col min="5" max="5" width="24" hidden="0" customWidth="1"/>
    <x:col min="6" max="6" width="18" hidden="0" customWidth="1"/>
    <x:col min="7" max="7" width="32" hidden="0" customWidth="1"/>
    <x:col min="8" max="8" width="30" hidden="0" customWidth="1"/>
    <x:col min="9" max="9" width="32" hidden="0" customWidth="1"/>
    <x:col min="10" max="10" width="30" hidden="0" customWidth="1"/>
    <x:col min="11" max="11" width="42" hidden="0" customWidth="1"/>
    <x:col min="12" max="12" width="18" hidden="0" customWidth="1"/>
    <x:col min="13" max="13" width="16" hidden="0" customWidth="1"/>
    <x:col min="14" max="14" width="14" hidden="0" customWidth="1"/>
    <x:col min="15" max="15" width="14" hidden="0" customWidth="1"/>
  </x:cols>
  <x:sheetData>
    <x:row r="1">
      <x:c r="A1" s="173" t="str">
        <x:v>Infrastructure &amp; Logistics Capital Universe</x:v>
      </x:c>
      <x:c r="B1" s="173"/>
      <x:c r="C1" s="173"/>
      <x:c r="D1" s="173"/>
      <x:c r="E1" s="173"/>
      <x:c r="F1" s="173"/>
      <x:c r="G1" s="173"/>
      <x:c r="H1" s="173"/>
      <x:c r="I1" s="173"/>
      <x:c r="J1" s="173"/>
      <x:c r="K1" s="173"/>
      <x:c r="L1" s="173"/>
      <x:c r="M1" s="173"/>
      <x:c r="N1" s="173"/>
      <x:c r="O1" s="173"/>
    </x:row>
    <x:row r="3">
      <x:c r="A3" s="177" t="str">
        <x:v>Scope includes direct port infrastructure investors, infrastructure fund managers, logistics real-estate owners/managers, sovereign and pension capital, and investment platforms whose assets influence ports, free zones, dry ports, inland hubs, warehousing or trade corridors.</x:v>
      </x:c>
      <x:c r="B3" s="177"/>
      <x:c r="C3" s="177"/>
      <x:c r="D3" s="177"/>
      <x:c r="E3" s="177"/>
      <x:c r="F3" s="177"/>
      <x:c r="G3" s="177"/>
      <x:c r="H3" s="177"/>
      <x:c r="I3" s="177"/>
      <x:c r="J3" s="177"/>
      <x:c r="K3" s="177"/>
      <x:c r="L3" s="177"/>
      <x:c r="M3" s="177"/>
      <x:c r="N3" s="177"/>
      <x:c r="O3" s="177"/>
    </x:row>
    <x:row r="4">
      <x:c r="A4" s="197" t="str">
        <x:v>Total Investors</x:v>
      </x:c>
      <x:c r="B4" s="197" t="str">
        <x:v>Canonical</x:v>
      </x:c>
      <x:c r="C4" s="197" t="str">
        <x:v>Research Universe</x:v>
      </x:c>
      <x:c r="D4" s="197" t="str">
        <x:v>Deals Seeded</x:v>
      </x:c>
      <x:c r="E4" s="197" t="str">
        <x:v>Holdings Seeded</x:v>
      </x:c>
      <x:c r="F4" s="197" t="str">
        <x:v>Economic Zones</x:v>
      </x:c>
      <x:c r="G4" s="197" t="str">
        <x:v>Dry / Inland Hubs</x:v>
      </x:c>
      <x:c r="H4" s="197" t="str">
        <x:v>Verified As Of</x:v>
      </x:c>
    </x:row>
    <x:row r="5">
      <x:c r="A5" s="197" t="n">
        <x:f>COUNTA(A7:A34)</x:f>
        <x:v>28</x:v>
      </x:c>
      <x:c r="B5" s="197" t="n">
        <x:f>COUNTIF(L7:L34,"Canonical")</x:f>
        <x:v>14</x:v>
      </x:c>
      <x:c r="C5" s="197" t="n">
        <x:f>COUNTIF(L7:L34,"Research universe")</x:f>
        <x:v>14</x:v>
      </x:c>
      <x:c r="D5" s="197" t="n">
        <x:f>COUNTA('Infrastructure Deals'!A2:A100)</x:f>
        <x:v>12</x:v>
      </x:c>
      <x:c r="E5" s="197" t="n">
        <x:f>COUNTA('Infrastructure Holdings'!A2:A100)</x:f>
        <x:v>14</x:v>
      </x:c>
      <x:c r="F5" s="197" t="n">
        <x:f>COUNTA('Economic Zones'!A2:A100)</x:f>
        <x:v>4</x:v>
      </x:c>
      <x:c r="G5" s="197" t="n">
        <x:f>COUNTA('Dry Ports Inland Hubs'!A2:A100)</x:f>
        <x:v>5</x:v>
      </x:c>
      <x:c r="H5" s="197" t="str">
        <x:v>2026-09-07</x:v>
      </x:c>
    </x:row>
    <x:row r="6">
      <x:c r="A6" s="180" t="str">
        <x:v>Investor ID</x:v>
      </x:c>
      <x:c r="B6" s="180" t="str">
        <x:v>Company ID</x:v>
      </x:c>
      <x:c r="C6" s="180" t="str">
        <x:v>Investor / Platform</x:v>
      </x:c>
      <x:c r="D6" s="180" t="str">
        <x:v>Investor Type</x:v>
      </x:c>
      <x:c r="E6" s="180" t="str">
        <x:v>Parent / Manager</x:v>
      </x:c>
      <x:c r="F6" s="180" t="str">
        <x:v>HQ Country</x:v>
      </x:c>
      <x:c r="G6" s="180" t="str">
        <x:v>Core Strategies</x:v>
      </x:c>
      <x:c r="H6" s="180" t="str">
        <x:v>Port / Terminal Exposure</x:v>
      </x:c>
      <x:c r="I6" s="180" t="str">
        <x:v>Logistics Real Estate Exposure</x:v>
      </x:c>
      <x:c r="J6" s="180" t="str">
        <x:v>Economic Zone / Inland Exposure</x:v>
      </x:c>
      <x:c r="K6" s="180" t="str">
        <x:v>Current Scale / Notes</x:v>
      </x:c>
      <x:c r="L6" s="180" t="str">
        <x:v>Canonical Status</x:v>
      </x:c>
      <x:c r="M6" s="180" t="str">
        <x:v>Research Priority</x:v>
      </x:c>
      <x:c r="N6" s="180" t="str">
        <x:v>Source ID</x:v>
      </x:c>
      <x:c r="O6" s="180" t="str">
        <x:v>Verified As Of</x:v>
      </x:c>
    </x:row>
    <x:row r="7">
      <x:c r="A7" s="102" t="str">
        <x:v>INVESTOR_0001</x:v>
      </x:c>
      <x:c r="B7" s="102" t="str">
        <x:v>COMP_BROOKFIELD_INFRA</x:v>
      </x:c>
      <x:c r="C7" s="102" t="str">
        <x:v>Brookfield Infrastructure Partners</x:v>
      </x:c>
      <x:c r="D7" s="102" t="str">
        <x:v>Listed infrastructure investor/operator</x:v>
      </x:c>
      <x:c r="E7" s="102" t="str">
        <x:v>Brookfield Asset Management</x:v>
      </x:c>
      <x:c r="F7" s="102" t="str">
        <x:v>Bermuda / Canada</x:v>
      </x:c>
      <x:c r="G7" s="102" t="str">
        <x:v>Transport; utilities; midstream; data</x:v>
      </x:c>
      <x:c r="H7" s="102" t="str">
        <x:v>PD Ports / UK port operation</x:v>
      </x:c>
      <x:c r="I7" s="102" t="str">
        <x:v>Global intermodal/logistics exposure</x:v>
      </x:c>
      <x:c r="J7" s="102" t="str">
        <x:v>Rail / logistics infrastructure</x:v>
      </x:c>
      <x:c r="K7" s="102" t="str">
        <x:v>25% retained UK port interest after 2025 sell-down</x:v>
      </x:c>
      <x:c r="L7" s="102" t="str">
        <x:v>Canonical</x:v>
      </x:c>
      <x:c r="M7" s="102" t="str">
        <x:v>High</x:v>
      </x:c>
      <x:c r="N7" s="102" t="str">
        <x:v>SRC_0255</x:v>
      </x:c>
      <x:c r="O7" s="102" t="str">
        <x:v>2026-09-07</x:v>
      </x:c>
    </x:row>
    <x:row r="8">
      <x:c r="A8" s="102" t="str">
        <x:v>INVESTOR_0002</x:v>
      </x:c>
      <x:c r="B8" s="102" t="str">
        <x:v>COMP_KKR</x:v>
      </x:c>
      <x:c r="C8" s="102" t="str">
        <x:v>KKR</x:v>
      </x:c>
      <x:c r="D8" s="102" t="str">
        <x:v>Alternative asset manager</x:v>
      </x:c>
      <x:c r="E8" s="102"/>
      <x:c r="F8" s="102" t="str">
        <x:v>United States</x:v>
      </x:c>
      <x:c r="G8" s="102" t="str">
        <x:v>Infrastructure; real estate; private equity; credit</x:v>
      </x:c>
      <x:c r="H8" s="102" t="str">
        <x:v>Monitor direct port bids / infrastructure transactions</x:v>
      </x:c>
      <x:c r="I8" s="102" t="str">
        <x:v>Mirastar European logistics platform</x:v>
      </x:c>
      <x:c r="J8" s="102" t="str">
        <x:v>Transport-linked real estate</x:v>
      </x:c>
      <x:c r="K8" s="102" t="str">
        <x:v>July 2026 UK logistics portfolio acquisition</x:v>
      </x:c>
      <x:c r="L8" s="102" t="str">
        <x:v>Canonical</x:v>
      </x:c>
      <x:c r="M8" s="102" t="str">
        <x:v>High</x:v>
      </x:c>
      <x:c r="N8" s="102" t="str">
        <x:v>SRC_0263</x:v>
      </x:c>
      <x:c r="O8" s="102" t="str">
        <x:v>2026-09-07</x:v>
      </x:c>
    </x:row>
    <x:row r="9">
      <x:c r="A9" s="102" t="str">
        <x:v>INVESTOR_0003</x:v>
      </x:c>
      <x:c r="B9" s="102" t="str">
        <x:v>COMP_STONEPEAK</x:v>
      </x:c>
      <x:c r="C9" s="102" t="str">
        <x:v>Stonepeak</x:v>
      </x:c>
      <x:c r="D9" s="102" t="str">
        <x:v>Infrastructure / real-assets investor</x:v>
      </x:c>
      <x:c r="E9" s="102"/>
      <x:c r="F9" s="102" t="str">
        <x:v>United States</x:v>
      </x:c>
      <x:c r="G9" s="102" t="str">
        <x:v>Transport &amp; logistics; real estate; digital; energy</x:v>
      </x:c>
      <x:c r="H9" s="102" t="str">
        <x:v>United Ports; GeelongPort</x:v>
      </x:c>
      <x:c r="I9" s="102" t="str">
        <x:v>Rail-served logistics real estate</x:v>
      </x:c>
      <x:c r="J9" s="102" t="str">
        <x:v>Transport-linked real assets</x:v>
      </x:c>
      <x:c r="K9" s="102" t="str">
        <x:v>Approx. $93bn AUM in Aug 2026 source</x:v>
      </x:c>
      <x:c r="L9" s="102" t="str">
        <x:v>Canonical</x:v>
      </x:c>
      <x:c r="M9" s="102" t="str">
        <x:v>High</x:v>
      </x:c>
      <x:c r="N9" s="102" t="str">
        <x:v>SRC_0285</x:v>
      </x:c>
      <x:c r="O9" s="102" t="str">
        <x:v>2026-09-07</x:v>
      </x:c>
    </x:row>
    <x:row r="10">
      <x:c r="A10" s="102" t="str">
        <x:v>INVESTOR_0004</x:v>
      </x:c>
      <x:c r="B10" s="102" t="str">
        <x:v>COMP_BLACKROCK</x:v>
      </x:c>
      <x:c r="C10" s="102" t="str">
        <x:v>BlackRock</x:v>
      </x:c>
      <x:c r="D10" s="102" t="str">
        <x:v>Global asset manager</x:v>
      </x:c>
      <x:c r="E10" s="102"/>
      <x:c r="F10" s="102" t="str">
        <x:v>United States</x:v>
      </x:c>
      <x:c r="G10" s="102" t="str">
        <x:v>Infrastructure; private markets; public markets</x:v>
      </x:c>
      <x:c r="H10" s="102" t="str">
        <x:v>Via GIP and port transaction consortiums</x:v>
      </x:c>
      <x:c r="I10" s="102" t="str">
        <x:v>Real estate / private-markets exposure</x:v>
      </x:c>
      <x:c r="J10" s="102" t="str">
        <x:v>Infrastructure capital</x:v>
      </x:c>
      <x:c r="K10" s="102" t="str">
        <x:v>Parent of GIP since Oct 2024</x:v>
      </x:c>
      <x:c r="L10" s="102" t="str">
        <x:v>Canonical</x:v>
      </x:c>
      <x:c r="M10" s="102" t="str">
        <x:v>High</x:v>
      </x:c>
      <x:c r="N10" s="102" t="str">
        <x:v>SRC_0258</x:v>
      </x:c>
      <x:c r="O10" s="102" t="str">
        <x:v>2026-09-07</x:v>
      </x:c>
    </x:row>
    <x:row r="11">
      <x:c r="A11" s="102" t="str">
        <x:v>INVESTOR_0005</x:v>
      </x:c>
      <x:c r="B11" s="102" t="str">
        <x:v>COMP_GIP</x:v>
      </x:c>
      <x:c r="C11" s="102" t="str">
        <x:v>Global Infrastructure Partners</x:v>
      </x:c>
      <x:c r="D11" s="102" t="str">
        <x:v>Infrastructure investment platform</x:v>
      </x:c>
      <x:c r="E11" s="102" t="str">
        <x:v>BlackRock</x:v>
      </x:c>
      <x:c r="F11" s="102" t="str">
        <x:v>United States</x:v>
      </x:c>
      <x:c r="G11" s="102" t="str">
        <x:v>Transport; energy; digital; water/waste</x:v>
      </x:c>
      <x:c r="H11" s="102" t="str">
        <x:v>Peel Ports; Port of Melbourne; port deal pipeline</x:v>
      </x:c>
      <x:c r="I11" s="102" t="str">
        <x:v>Infrastructure rather than warehouse-led</x:v>
      </x:c>
      <x:c r="J11" s="102" t="str">
        <x:v>Transport / logistics infrastructure</x:v>
      </x:c>
      <x:c r="K11" s="102" t="str">
        <x:v>Part of BlackRock; global transport investment platform</x:v>
      </x:c>
      <x:c r="L11" s="102" t="str">
        <x:v>Canonical</x:v>
      </x:c>
      <x:c r="M11" s="102" t="str">
        <x:v>High</x:v>
      </x:c>
      <x:c r="N11" s="102" t="str">
        <x:v>SRC_0259</x:v>
      </x:c>
      <x:c r="O11" s="102" t="str">
        <x:v>2026-09-07</x:v>
      </x:c>
    </x:row>
    <x:row r="12">
      <x:c r="A12" s="102" t="str">
        <x:v>INVESTOR_0006</x:v>
      </x:c>
      <x:c r="B12" s="102" t="str">
        <x:v>COMP_MACQUARIE_AM</x:v>
      </x:c>
      <x:c r="C12" s="102" t="str">
        <x:v>Macquarie Asset Management</x:v>
      </x:c>
      <x:c r="D12" s="102" t="str">
        <x:v>Infrastructure / real-asset manager</x:v>
      </x:c>
      <x:c r="E12" s="102" t="str">
        <x:v>Macquarie Group</x:v>
      </x:c>
      <x:c r="F12" s="102" t="str">
        <x:v>Australia</x:v>
      </x:c>
      <x:c r="G12" s="102" t="str">
        <x:v>Infrastructure; real estate; transport</x:v>
      </x:c>
      <x:c r="H12" s="102" t="str">
        <x:v>ITS; other North American port terminal assets</x:v>
      </x:c>
      <x:c r="I12" s="102" t="str">
        <x:v>Logistics infrastructure / real estate</x:v>
      </x:c>
      <x:c r="J12" s="102" t="str">
        <x:v>Intermodal / transport infrastructure</x:v>
      </x:c>
      <x:c r="K12" s="102" t="str">
        <x:v>Significant port-terminal manager in Americas</x:v>
      </x:c>
      <x:c r="L12" s="102" t="str">
        <x:v>Canonical</x:v>
      </x:c>
      <x:c r="M12" s="102" t="str">
        <x:v>High</x:v>
      </x:c>
      <x:c r="N12" s="102" t="str">
        <x:v>SRC_0261</x:v>
      </x:c>
      <x:c r="O12" s="102" t="str">
        <x:v>2026-09-07</x:v>
      </x:c>
    </x:row>
    <x:row r="13">
      <x:c r="A13" s="102" t="str">
        <x:v>INVESTOR_0007</x:v>
      </x:c>
      <x:c r="B13" s="102" t="str">
        <x:v>COMP_IFM</x:v>
      </x:c>
      <x:c r="C13" s="102" t="str">
        <x:v>IFM Investors</x:v>
      </x:c>
      <x:c r="D13" s="102" t="str">
        <x:v>Infrastructure investment manager</x:v>
      </x:c>
      <x:c r="E13" s="102"/>
      <x:c r="F13" s="102" t="str">
        <x:v>Australia</x:v>
      </x:c>
      <x:c r="G13" s="102" t="str">
        <x:v>Infrastructure equity; debt</x:v>
      </x:c>
      <x:c r="H13" s="102" t="str">
        <x:v>9 ports in 5 countries</x:v>
      </x:c>
      <x:c r="I13" s="102" t="str">
        <x:v>Real assets</x:v>
      </x:c>
      <x:c r="J13" s="102" t="str">
        <x:v>Transport infrastructure</x:v>
      </x:c>
      <x:c r="K13" s="102" t="str">
        <x:v>US$95.9bn infrastructure equity AUM at 30 Jun 2026</x:v>
      </x:c>
      <x:c r="L13" s="102" t="str">
        <x:v>Canonical</x:v>
      </x:c>
      <x:c r="M13" s="102" t="str">
        <x:v>High</x:v>
      </x:c>
      <x:c r="N13" s="102" t="str">
        <x:v>SRC_0262</x:v>
      </x:c>
      <x:c r="O13" s="102" t="str">
        <x:v>2026-09-07</x:v>
      </x:c>
    </x:row>
    <x:row r="14">
      <x:c r="A14" s="102" t="str">
        <x:v>INVESTOR_0008</x:v>
      </x:c>
      <x:c r="B14" s="102" t="str">
        <x:v>COMP_BLACKSTONE</x:v>
      </x:c>
      <x:c r="C14" s="102" t="str">
        <x:v>Blackstone</x:v>
      </x:c>
      <x:c r="D14" s="102" t="str">
        <x:v>Alternative asset manager</x:v>
      </x:c>
      <x:c r="E14" s="102"/>
      <x:c r="F14" s="102" t="str">
        <x:v>United States</x:v>
      </x:c>
      <x:c r="G14" s="102" t="str">
        <x:v>Real estate; private equity; credit; infrastructure</x:v>
      </x:c>
      <x:c r="H14" s="102" t="str">
        <x:v>Port-specific exposure to research</x:v>
      </x:c>
      <x:c r="I14" s="102" t="str">
        <x:v>Proxity; Link Logistics; large global logistics exposure</x:v>
      </x:c>
      <x:c r="J14" s="102" t="str">
        <x:v>Gateway-city / corridor real estate</x:v>
      </x:c>
      <x:c r="K14" s="102" t="str">
        <x:v>Logistics about 40% of global real-estate exposure in 2026</x:v>
      </x:c>
      <x:c r="L14" s="102" t="str">
        <x:v>Canonical</x:v>
      </x:c>
      <x:c r="M14" s="102" t="str">
        <x:v>High</x:v>
      </x:c>
      <x:c r="N14" s="102" t="str">
        <x:v>SRC_0265</x:v>
      </x:c>
      <x:c r="O14" s="102" t="str">
        <x:v>2026-09-07</x:v>
      </x:c>
    </x:row>
    <x:row r="15">
      <x:c r="A15" s="102" t="str">
        <x:v>INVESTOR_0009</x:v>
      </x:c>
      <x:c r="B15" s="102" t="str">
        <x:v>COMP_PROLOGIS</x:v>
      </x:c>
      <x:c r="C15" s="102" t="str">
        <x:v>Prologis</x:v>
      </x:c>
      <x:c r="D15" s="102" t="str">
        <x:v>Logistics real estate owner/developer</x:v>
      </x:c>
      <x:c r="E15" s="102"/>
      <x:c r="F15" s="102" t="str">
        <x:v>United States</x:v>
      </x:c>
      <x:c r="G15" s="102" t="str">
        <x:v>Logistics real estate; development; strategic capital</x:v>
      </x:c>
      <x:c r="H15" s="102" t="str">
        <x:v>Seaport/intermodal-adjacent distribution assets</x:v>
      </x:c>
      <x:c r="I15" s="102" t="str">
        <x:v>Core business</x:v>
      </x:c>
      <x:c r="J15" s="102" t="str">
        <x:v>Intermodal / gateway markets</x:v>
      </x:c>
      <x:c r="K15" s="102" t="str">
        <x:v>~1.3bn sq ft in 20 countries</x:v>
      </x:c>
      <x:c r="L15" s="102" t="str">
        <x:v>Canonical</x:v>
      </x:c>
      <x:c r="M15" s="102" t="str">
        <x:v>High</x:v>
      </x:c>
      <x:c r="N15" s="102" t="str">
        <x:v>SRC_0266</x:v>
      </x:c>
      <x:c r="O15" s="102" t="str">
        <x:v>2026-09-07</x:v>
      </x:c>
    </x:row>
    <x:row r="16">
      <x:c r="A16" s="102" t="str">
        <x:v>INVESTOR_0010</x:v>
      </x:c>
      <x:c r="B16" s="102" t="str">
        <x:v>COMP_GIC</x:v>
      </x:c>
      <x:c r="C16" s="102" t="str">
        <x:v>GIC</x:v>
      </x:c>
      <x:c r="D16" s="102" t="str">
        <x:v>Sovereign institutional investor</x:v>
      </x:c>
      <x:c r="E16" s="102"/>
      <x:c r="F16" s="102" t="str">
        <x:v>Singapore</x:v>
      </x:c>
      <x:c r="G16" s="102" t="str">
        <x:v>Real estate; infrastructure; private equity</x:v>
      </x:c>
      <x:c r="H16" s="102" t="str">
        <x:v>Research</x:v>
      </x:c>
      <x:c r="I16" s="102" t="str">
        <x:v>Prologis JV / global logistics</x:v>
      </x:c>
      <x:c r="J16" s="102" t="str">
        <x:v>Research</x:v>
      </x:c>
      <x:c r="K16" s="102" t="str">
        <x:v>$1.6bn U.S. build-to-suit logistics JV in 2026</x:v>
      </x:c>
      <x:c r="L16" s="102" t="str">
        <x:v>Canonical</x:v>
      </x:c>
      <x:c r="M16" s="102" t="str">
        <x:v>High</x:v>
      </x:c>
      <x:c r="N16" s="102" t="str">
        <x:v>SRC_0267</x:v>
      </x:c>
      <x:c r="O16" s="102" t="str">
        <x:v>2026-09-07</x:v>
      </x:c>
    </x:row>
    <x:row r="17">
      <x:c r="A17" s="102" t="str">
        <x:v>INVESTOR_0011</x:v>
      </x:c>
      <x:c r="B17" s="102" t="str">
        <x:v>COMP_LA_CAISSE</x:v>
      </x:c>
      <x:c r="C17" s="102" t="str">
        <x:v>La Caisse (CDPQ)</x:v>
      </x:c>
      <x:c r="D17" s="102" t="str">
        <x:v>Institutional investor</x:v>
      </x:c>
      <x:c r="E17" s="102"/>
      <x:c r="F17" s="102" t="str">
        <x:v>Canada</x:v>
      </x:c>
      <x:c r="G17" s="102" t="str">
        <x:v>Infrastructure; real estate; private equity</x:v>
      </x:c>
      <x:c r="H17" s="102" t="str">
        <x:v>Research</x:v>
      </x:c>
      <x:c r="I17" s="102" t="str">
        <x:v>PLIVE / logistics real estate</x:v>
      </x:c>
      <x:c r="J17" s="102" t="str">
        <x:v>Transport / logistics</x:v>
      </x:c>
      <x:c r="K17" s="102" t="str">
        <x:v>70% interest in PLIVE</x:v>
      </x:c>
      <x:c r="L17" s="102" t="str">
        <x:v>Canonical</x:v>
      </x:c>
      <x:c r="M17" s="102" t="str">
        <x:v>High</x:v>
      </x:c>
      <x:c r="N17" s="102" t="str">
        <x:v>SRC_0268</x:v>
      </x:c>
      <x:c r="O17" s="102" t="str">
        <x:v>2026-09-07</x:v>
      </x:c>
    </x:row>
    <x:row r="18">
      <x:c r="A18" s="102" t="str">
        <x:v>INVESTOR_0012</x:v>
      </x:c>
      <x:c r="B18" s="102" t="str">
        <x:v>COMP_ESR</x:v>
      </x:c>
      <x:c r="C18" s="102" t="str">
        <x:v>ESR</x:v>
      </x:c>
      <x:c r="D18" s="102" t="str">
        <x:v>Real asset owner/manager</x:v>
      </x:c>
      <x:c r="E18" s="102"/>
      <x:c r="F18" s="102" t="str">
        <x:v>Hong Kong SAR</x:v>
      </x:c>
      <x:c r="G18" s="102" t="str">
        <x:v>Logistics / industrial; data centres; funds</x:v>
      </x:c>
      <x:c r="H18" s="102" t="str">
        <x:v>Research APAC port-linked assets</x:v>
      </x:c>
      <x:c r="I18" s="102" t="str">
        <x:v>Core APAC logistics / industrial</x:v>
      </x:c>
      <x:c r="J18" s="102" t="str">
        <x:v>Industrial / logistics parks</x:v>
      </x:c>
      <x:c r="K18" s="102" t="str">
        <x:v>US$77.3bn total AUM at end-2025</x:v>
      </x:c>
      <x:c r="L18" s="102" t="str">
        <x:v>Canonical</x:v>
      </x:c>
      <x:c r="M18" s="102" t="str">
        <x:v>High</x:v>
      </x:c>
      <x:c r="N18" s="102" t="str">
        <x:v>SRC_0269</x:v>
      </x:c>
      <x:c r="O18" s="102" t="str">
        <x:v>2026-09-07</x:v>
      </x:c>
    </x:row>
    <x:row r="19">
      <x:c r="A19" s="102" t="str">
        <x:v>INVESTOR_0013</x:v>
      </x:c>
      <x:c r="B19" s="102" t="str">
        <x:v>COMP_CIC</x:v>
      </x:c>
      <x:c r="C19" s="102" t="str">
        <x:v>China Investment Corporation</x:v>
      </x:c>
      <x:c r="D19" s="102" t="str">
        <x:v>Sovereign wealth fund</x:v>
      </x:c>
      <x:c r="E19" s="102"/>
      <x:c r="F19" s="102" t="str">
        <x:v>China</x:v>
      </x:c>
      <x:c r="G19" s="102" t="str">
        <x:v>Global investment</x:v>
      </x:c>
      <x:c r="H19" s="102" t="str">
        <x:v>Research</x:v>
      </x:c>
      <x:c r="I19" s="102" t="str">
        <x:v>Majority owner of Logicor</x:v>
      </x:c>
      <x:c r="J19" s="102" t="str">
        <x:v>Research</x:v>
      </x:c>
      <x:c r="K19" s="102" t="str">
        <x:v>Logicor majority ownership</x:v>
      </x:c>
      <x:c r="L19" s="102" t="str">
        <x:v>Canonical</x:v>
      </x:c>
      <x:c r="M19" s="102" t="str">
        <x:v>Medium</x:v>
      </x:c>
      <x:c r="N19" s="102" t="str">
        <x:v>SRC_0270</x:v>
      </x:c>
      <x:c r="O19" s="102" t="str">
        <x:v>2026-09-07</x:v>
      </x:c>
    </x:row>
    <x:row r="20">
      <x:c r="A20" s="102" t="str">
        <x:v>INVESTOR_0014</x:v>
      </x:c>
      <x:c r="B20" s="102" t="str">
        <x:v>COMP_CARESUPER</x:v>
      </x:c>
      <x:c r="C20" s="102" t="str">
        <x:v>CareSuper</x:v>
      </x:c>
      <x:c r="D20" s="102" t="str">
        <x:v>Pension / superannuation fund</x:v>
      </x:c>
      <x:c r="E20" s="102"/>
      <x:c r="F20" s="102" t="str">
        <x:v>Australia</x:v>
      </x:c>
      <x:c r="G20" s="102" t="str">
        <x:v>Infrastructure; real assets</x:v>
      </x:c>
      <x:c r="H20" s="102" t="str">
        <x:v>30% GeelongPort</x:v>
      </x:c>
      <x:c r="I20" s="102" t="str">
        <x:v>Research</x:v>
      </x:c>
      <x:c r="J20" s="102" t="str">
        <x:v>Research</x:v>
      </x:c>
      <x:c r="K20" s="102" t="str">
        <x:v>Port co-investor</x:v>
      </x:c>
      <x:c r="L20" s="102" t="str">
        <x:v>Canonical</x:v>
      </x:c>
      <x:c r="M20" s="102" t="str">
        <x:v>Medium</x:v>
      </x:c>
      <x:c r="N20" s="102" t="str">
        <x:v>SRC_0257</x:v>
      </x:c>
      <x:c r="O20" s="102" t="str">
        <x:v>2026-09-07</x:v>
      </x:c>
    </x:row>
    <x:row r="21">
      <x:c r="A21" s="102" t="str">
        <x:v>INVESTOR_0015</x:v>
      </x:c>
      <x:c r="B21" s="102"/>
      <x:c r="C21" s="102" t="str">
        <x:v>I Squared Capital</x:v>
      </x:c>
      <x:c r="D21" s="102" t="str">
        <x:v>Infrastructure investment manager</x:v>
      </x:c>
      <x:c r="E21" s="102"/>
      <x:c r="F21" s="102" t="str">
        <x:v>United States</x:v>
      </x:c>
      <x:c r="G21" s="102" t="str">
        <x:v>Transport; energy; utilities; digital</x:v>
      </x:c>
      <x:c r="H21" s="102" t="str">
        <x:v>Research</x:v>
      </x:c>
      <x:c r="I21" s="102" t="str">
        <x:v>Research</x:v>
      </x:c>
      <x:c r="J21" s="102" t="str">
        <x:v>Research</x:v>
      </x:c>
      <x:c r="K21" s="102" t="str">
        <x:v>Priority infrastructure-capital universe</x:v>
      </x:c>
      <x:c r="L21" s="102" t="str">
        <x:v>Research universe</x:v>
      </x:c>
      <x:c r="M21" s="102" t="str">
        <x:v>High</x:v>
      </x:c>
      <x:c r="N21" s="102"/>
      <x:c r="O21" s="102" t="str">
        <x:v>2026-09-07</x:v>
      </x:c>
    </x:row>
    <x:row r="22">
      <x:c r="A22" s="102" t="str">
        <x:v>INVESTOR_0016</x:v>
      </x:c>
      <x:c r="B22" s="102"/>
      <x:c r="C22" s="102" t="str">
        <x:v>CPP Investments</x:v>
      </x:c>
      <x:c r="D22" s="102" t="str">
        <x:v>Pension investment manager</x:v>
      </x:c>
      <x:c r="E22" s="102"/>
      <x:c r="F22" s="102" t="str">
        <x:v>Canada</x:v>
      </x:c>
      <x:c r="G22" s="102" t="str">
        <x:v>Infrastructure; real estate; private equity</x:v>
      </x:c>
      <x:c r="H22" s="102" t="str">
        <x:v>Research</x:v>
      </x:c>
      <x:c r="I22" s="102" t="str">
        <x:v>Research</x:v>
      </x:c>
      <x:c r="J22" s="102" t="str">
        <x:v>Research</x:v>
      </x:c>
      <x:c r="K22" s="102" t="str">
        <x:v>Priority global institutional capital</x:v>
      </x:c>
      <x:c r="L22" s="102" t="str">
        <x:v>Research universe</x:v>
      </x:c>
      <x:c r="M22" s="102" t="str">
        <x:v>Medium</x:v>
      </x:c>
      <x:c r="N22" s="102"/>
      <x:c r="O22" s="102" t="str">
        <x:v>2026-09-07</x:v>
      </x:c>
    </x:row>
    <x:row r="23">
      <x:c r="A23" s="102" t="str">
        <x:v>INVESTOR_0017</x:v>
      </x:c>
      <x:c r="B23" s="102"/>
      <x:c r="C23" s="102" t="str">
        <x:v>PSP Investments</x:v>
      </x:c>
      <x:c r="D23" s="102" t="str">
        <x:v>Pension investment manager</x:v>
      </x:c>
      <x:c r="E23" s="102"/>
      <x:c r="F23" s="102" t="str">
        <x:v>Canada</x:v>
      </x:c>
      <x:c r="G23" s="102" t="str">
        <x:v>Infrastructure; real estate; private markets</x:v>
      </x:c>
      <x:c r="H23" s="102" t="str">
        <x:v>Research</x:v>
      </x:c>
      <x:c r="I23" s="102" t="str">
        <x:v>Research</x:v>
      </x:c>
      <x:c r="J23" s="102" t="str">
        <x:v>Research</x:v>
      </x:c>
      <x:c r="K23" s="102" t="str">
        <x:v>Priority global institutional capital</x:v>
      </x:c>
      <x:c r="L23" s="102" t="str">
        <x:v>Research universe</x:v>
      </x:c>
      <x:c r="M23" s="102" t="str">
        <x:v>Medium</x:v>
      </x:c>
      <x:c r="N23" s="102"/>
      <x:c r="O23" s="102" t="str">
        <x:v>2026-09-07</x:v>
      </x:c>
    </x:row>
    <x:row r="24">
      <x:c r="A24" s="102" t="str">
        <x:v>INVESTOR_0018</x:v>
      </x:c>
      <x:c r="B24" s="102"/>
      <x:c r="C24" s="102" t="str">
        <x:v>OMERS Infrastructure</x:v>
      </x:c>
      <x:c r="D24" s="102" t="str">
        <x:v>Pension infrastructure investor</x:v>
      </x:c>
      <x:c r="E24" s="102"/>
      <x:c r="F24" s="102" t="str">
        <x:v>Canada</x:v>
      </x:c>
      <x:c r="G24" s="102" t="str">
        <x:v>Infrastructure</x:v>
      </x:c>
      <x:c r="H24" s="102" t="str">
        <x:v>Research</x:v>
      </x:c>
      <x:c r="I24" s="102" t="str">
        <x:v>Research</x:v>
      </x:c>
      <x:c r="J24" s="102" t="str">
        <x:v>Research</x:v>
      </x:c>
      <x:c r="K24" s="102" t="str">
        <x:v>Priority global infrastructure capital</x:v>
      </x:c>
      <x:c r="L24" s="102" t="str">
        <x:v>Research universe</x:v>
      </x:c>
      <x:c r="M24" s="102" t="str">
        <x:v>Medium</x:v>
      </x:c>
      <x:c r="N24" s="102"/>
      <x:c r="O24" s="102" t="str">
        <x:v>2026-09-07</x:v>
      </x:c>
    </x:row>
    <x:row r="25">
      <x:c r="A25" s="102" t="str">
        <x:v>INVESTOR_0019</x:v>
      </x:c>
      <x:c r="B25" s="102"/>
      <x:c r="C25" s="102" t="str">
        <x:v>Ontario Teachers' Pension Plan</x:v>
      </x:c>
      <x:c r="D25" s="102" t="str">
        <x:v>Pension investment manager</x:v>
      </x:c>
      <x:c r="E25" s="102"/>
      <x:c r="F25" s="102" t="str">
        <x:v>Canada</x:v>
      </x:c>
      <x:c r="G25" s="102" t="str">
        <x:v>Infrastructure; real estate; private capital</x:v>
      </x:c>
      <x:c r="H25" s="102" t="str">
        <x:v>Research</x:v>
      </x:c>
      <x:c r="I25" s="102" t="str">
        <x:v>Research</x:v>
      </x:c>
      <x:c r="J25" s="102" t="str">
        <x:v>Research</x:v>
      </x:c>
      <x:c r="K25" s="102" t="str">
        <x:v>Priority global institutional capital</x:v>
      </x:c>
      <x:c r="L25" s="102" t="str">
        <x:v>Research universe</x:v>
      </x:c>
      <x:c r="M25" s="102" t="str">
        <x:v>Medium</x:v>
      </x:c>
      <x:c r="N25" s="102"/>
      <x:c r="O25" s="102" t="str">
        <x:v>2026-09-07</x:v>
      </x:c>
    </x:row>
    <x:row r="26">
      <x:c r="A26" s="102" t="str">
        <x:v>INVESTOR_0020</x:v>
      </x:c>
      <x:c r="B26" s="102"/>
      <x:c r="C26" s="102" t="str">
        <x:v>ADIA</x:v>
      </x:c>
      <x:c r="D26" s="102" t="str">
        <x:v>Sovereign wealth fund</x:v>
      </x:c>
      <x:c r="E26" s="102"/>
      <x:c r="F26" s="102" t="str">
        <x:v>United Arab Emirates</x:v>
      </x:c>
      <x:c r="G26" s="102" t="str">
        <x:v>Infrastructure; real estate; private equity</x:v>
      </x:c>
      <x:c r="H26" s="102" t="str">
        <x:v>Research</x:v>
      </x:c>
      <x:c r="I26" s="102" t="str">
        <x:v>Research</x:v>
      </x:c>
      <x:c r="J26" s="102" t="str">
        <x:v>Research</x:v>
      </x:c>
      <x:c r="K26" s="102" t="str">
        <x:v>Priority Gulf institutional capital</x:v>
      </x:c>
      <x:c r="L26" s="102" t="str">
        <x:v>Research universe</x:v>
      </x:c>
      <x:c r="M26" s="102" t="str">
        <x:v>High</x:v>
      </x:c>
      <x:c r="N26" s="102"/>
      <x:c r="O26" s="102" t="str">
        <x:v>2026-09-07</x:v>
      </x:c>
    </x:row>
    <x:row r="27">
      <x:c r="A27" s="102" t="str">
        <x:v>INVESTOR_0021</x:v>
      </x:c>
      <x:c r="B27" s="102"/>
      <x:c r="C27" s="102" t="str">
        <x:v>Mubadala</x:v>
      </x:c>
      <x:c r="D27" s="102" t="str">
        <x:v>Sovereign investment company</x:v>
      </x:c>
      <x:c r="E27" s="102"/>
      <x:c r="F27" s="102" t="str">
        <x:v>United Arab Emirates</x:v>
      </x:c>
      <x:c r="G27" s="102" t="str">
        <x:v>Infrastructure; industrial; real estate; technology</x:v>
      </x:c>
      <x:c r="H27" s="102" t="str">
        <x:v>Research</x:v>
      </x:c>
      <x:c r="I27" s="102" t="str">
        <x:v>Research</x:v>
      </x:c>
      <x:c r="J27" s="102" t="str">
        <x:v>Research</x:v>
      </x:c>
      <x:c r="K27" s="102" t="str">
        <x:v>Priority Gulf strategic capital</x:v>
      </x:c>
      <x:c r="L27" s="102" t="str">
        <x:v>Research universe</x:v>
      </x:c>
      <x:c r="M27" s="102" t="str">
        <x:v>High</x:v>
      </x:c>
      <x:c r="N27" s="102"/>
      <x:c r="O27" s="102" t="str">
        <x:v>2026-09-07</x:v>
      </x:c>
    </x:row>
    <x:row r="28">
      <x:c r="A28" s="102" t="str">
        <x:v>INVESTOR_0022</x:v>
      </x:c>
      <x:c r="B28" s="102"/>
      <x:c r="C28" s="102" t="str">
        <x:v>Qatar Investment Authority</x:v>
      </x:c>
      <x:c r="D28" s="102" t="str">
        <x:v>Sovereign wealth fund</x:v>
      </x:c>
      <x:c r="E28" s="102"/>
      <x:c r="F28" s="102" t="str">
        <x:v>Qatar</x:v>
      </x:c>
      <x:c r="G28" s="102" t="str">
        <x:v>Infrastructure; real estate; private markets</x:v>
      </x:c>
      <x:c r="H28" s="102" t="str">
        <x:v>Research</x:v>
      </x:c>
      <x:c r="I28" s="102" t="str">
        <x:v>Research</x:v>
      </x:c>
      <x:c r="J28" s="102" t="str">
        <x:v>Research</x:v>
      </x:c>
      <x:c r="K28" s="102" t="str">
        <x:v>Priority Gulf institutional capital</x:v>
      </x:c>
      <x:c r="L28" s="102" t="str">
        <x:v>Research universe</x:v>
      </x:c>
      <x:c r="M28" s="102" t="str">
        <x:v>High</x:v>
      </x:c>
      <x:c r="N28" s="102"/>
      <x:c r="O28" s="102" t="str">
        <x:v>2026-09-07</x:v>
      </x:c>
    </x:row>
    <x:row r="29">
      <x:c r="A29" s="102" t="str">
        <x:v>INVESTOR_0023</x:v>
      </x:c>
      <x:c r="B29" s="102"/>
      <x:c r="C29" s="102" t="str">
        <x:v>APG</x:v>
      </x:c>
      <x:c r="D29" s="102" t="str">
        <x:v>Pension asset manager</x:v>
      </x:c>
      <x:c r="E29" s="102"/>
      <x:c r="F29" s="102" t="str">
        <x:v>Netherlands</x:v>
      </x:c>
      <x:c r="G29" s="102" t="str">
        <x:v>Infrastructure; real estate</x:v>
      </x:c>
      <x:c r="H29" s="102" t="str">
        <x:v>Research</x:v>
      </x:c>
      <x:c r="I29" s="102" t="str">
        <x:v>Research</x:v>
      </x:c>
      <x:c r="J29" s="102" t="str">
        <x:v>Research</x:v>
      </x:c>
      <x:c r="K29" s="102" t="str">
        <x:v>Priority European institutional capital</x:v>
      </x:c>
      <x:c r="L29" s="102" t="str">
        <x:v>Research universe</x:v>
      </x:c>
      <x:c r="M29" s="102" t="str">
        <x:v>Medium</x:v>
      </x:c>
      <x:c r="N29" s="102"/>
      <x:c r="O29" s="102" t="str">
        <x:v>2026-09-07</x:v>
      </x:c>
    </x:row>
    <x:row r="30">
      <x:c r="A30" s="102" t="str">
        <x:v>INVESTOR_0024</x:v>
      </x:c>
      <x:c r="B30" s="102"/>
      <x:c r="C30" s="102" t="str">
        <x:v>AustralianSuper</x:v>
      </x:c>
      <x:c r="D30" s="102" t="str">
        <x:v>Superannuation fund</x:v>
      </x:c>
      <x:c r="E30" s="102"/>
      <x:c r="F30" s="102" t="str">
        <x:v>Australia</x:v>
      </x:c>
      <x:c r="G30" s="102" t="str">
        <x:v>Infrastructure; real estate; private markets</x:v>
      </x:c>
      <x:c r="H30" s="102" t="str">
        <x:v>Research</x:v>
      </x:c>
      <x:c r="I30" s="102" t="str">
        <x:v>Research</x:v>
      </x:c>
      <x:c r="J30" s="102" t="str">
        <x:v>Research</x:v>
      </x:c>
      <x:c r="K30" s="102" t="str">
        <x:v>Priority Australian institutional capital</x:v>
      </x:c>
      <x:c r="L30" s="102" t="str">
        <x:v>Research universe</x:v>
      </x:c>
      <x:c r="M30" s="102" t="str">
        <x:v>Medium</x:v>
      </x:c>
      <x:c r="N30" s="102"/>
      <x:c r="O30" s="102" t="str">
        <x:v>2026-09-07</x:v>
      </x:c>
    </x:row>
    <x:row r="31">
      <x:c r="A31" s="102" t="str">
        <x:v>INVESTOR_0025</x:v>
      </x:c>
      <x:c r="B31" s="102"/>
      <x:c r="C31" s="102" t="str">
        <x:v>GLP</x:v>
      </x:c>
      <x:c r="D31" s="102" t="str">
        <x:v>Logistics real estate / investment manager</x:v>
      </x:c>
      <x:c r="E31" s="102"/>
      <x:c r="F31" s="102" t="str">
        <x:v>Singapore</x:v>
      </x:c>
      <x:c r="G31" s="102" t="str">
        <x:v>Logistics; data centres; infrastructure</x:v>
      </x:c>
      <x:c r="H31" s="102" t="str">
        <x:v>Research</x:v>
      </x:c>
      <x:c r="I31" s="102" t="str">
        <x:v>Core business</x:v>
      </x:c>
      <x:c r="J31" s="102" t="str">
        <x:v>Industrial/logistics parks</x:v>
      </x:c>
      <x:c r="K31" s="102" t="str">
        <x:v>Priority global logistics-real-estate platform</x:v>
      </x:c>
      <x:c r="L31" s="102" t="str">
        <x:v>Research universe</x:v>
      </x:c>
      <x:c r="M31" s="102" t="str">
        <x:v>High</x:v>
      </x:c>
      <x:c r="N31" s="102"/>
      <x:c r="O31" s="102" t="str">
        <x:v>2026-09-07</x:v>
      </x:c>
    </x:row>
    <x:row r="32">
      <x:c r="A32" s="102" t="str">
        <x:v>INVESTOR_0026</x:v>
      </x:c>
      <x:c r="B32" s="102"/>
      <x:c r="C32" s="102" t="str">
        <x:v>Goodman Group</x:v>
      </x:c>
      <x:c r="D32" s="102" t="str">
        <x:v>Industrial property owner/developer</x:v>
      </x:c>
      <x:c r="E32" s="102"/>
      <x:c r="F32" s="102" t="str">
        <x:v>Australia</x:v>
      </x:c>
      <x:c r="G32" s="102" t="str">
        <x:v>Logistics; industrial; data centres</x:v>
      </x:c>
      <x:c r="H32" s="102" t="str">
        <x:v>Research</x:v>
      </x:c>
      <x:c r="I32" s="102" t="str">
        <x:v>Core business</x:v>
      </x:c>
      <x:c r="J32" s="102" t="str">
        <x:v>Industrial/logistics parks</x:v>
      </x:c>
      <x:c r="K32" s="102" t="str">
        <x:v>Priority global logistics-real-estate platform</x:v>
      </x:c>
      <x:c r="L32" s="102" t="str">
        <x:v>Research universe</x:v>
      </x:c>
      <x:c r="M32" s="102" t="str">
        <x:v>High</x:v>
      </x:c>
      <x:c r="N32" s="102"/>
      <x:c r="O32" s="102" t="str">
        <x:v>2026-09-07</x:v>
      </x:c>
    </x:row>
    <x:row r="33">
      <x:c r="A33" s="102" t="str">
        <x:v>INVESTOR_0027</x:v>
      </x:c>
      <x:c r="B33" s="102"/>
      <x:c r="C33" s="102" t="str">
        <x:v>SEGRO</x:v>
      </x:c>
      <x:c r="D33" s="102" t="str">
        <x:v>Industrial / logistics REIT</x:v>
      </x:c>
      <x:c r="E33" s="102"/>
      <x:c r="F33" s="102" t="str">
        <x:v>United Kingdom</x:v>
      </x:c>
      <x:c r="G33" s="102" t="str">
        <x:v>Warehouses; urban logistics; big-box</x:v>
      </x:c>
      <x:c r="H33" s="102" t="str">
        <x:v>Research</x:v>
      </x:c>
      <x:c r="I33" s="102" t="str">
        <x:v>Core business</x:v>
      </x:c>
      <x:c r="J33" s="102" t="str">
        <x:v>Logistics parks</x:v>
      </x:c>
      <x:c r="K33" s="102" t="str">
        <x:v>Priority European logistics-real-estate platform</x:v>
      </x:c>
      <x:c r="L33" s="102" t="str">
        <x:v>Research universe</x:v>
      </x:c>
      <x:c r="M33" s="102" t="str">
        <x:v>High</x:v>
      </x:c>
      <x:c r="N33" s="102"/>
      <x:c r="O33" s="102" t="str">
        <x:v>2026-09-07</x:v>
      </x:c>
    </x:row>
    <x:row r="34">
      <x:c r="A34" s="102" t="str">
        <x:v>INVESTOR_0028</x:v>
      </x:c>
      <x:c r="B34" s="102"/>
      <x:c r="C34" s="102" t="str">
        <x:v>Temasek</x:v>
      </x:c>
      <x:c r="D34" s="102" t="str">
        <x:v>Sovereign investment company</x:v>
      </x:c>
      <x:c r="E34" s="102"/>
      <x:c r="F34" s="102" t="str">
        <x:v>Singapore</x:v>
      </x:c>
      <x:c r="G34" s="102" t="str">
        <x:v>Infrastructure; logistics; industrial; technology</x:v>
      </x:c>
      <x:c r="H34" s="102" t="str">
        <x:v>Research</x:v>
      </x:c>
      <x:c r="I34" s="102" t="str">
        <x:v>Research</x:v>
      </x:c>
      <x:c r="J34" s="102" t="str">
        <x:v>Research</x:v>
      </x:c>
      <x:c r="K34" s="102" t="str">
        <x:v>Priority strategic capital; also active with GIP in regional infrastructure partnerships</x:v>
      </x:c>
      <x:c r="L34" s="102" t="str">
        <x:v>Research universe</x:v>
      </x:c>
      <x:c r="M34" s="102" t="str">
        <x:v>Medium</x:v>
      </x:c>
      <x:c r="N34" s="102"/>
      <x:c r="O34" s="102" t="str">
        <x:v>2026-09-07</x:v>
      </x:c>
    </x:row>
  </x:sheetData>
  <x:mergeCells>
    <x:mergeCell ref="A1:O1"/>
    <x:mergeCell ref="A3:O3"/>
  </x:mergeCells>
  <x:pageMargins left="0.7" right="0.7" top="0.75" bottom="0.75" header="0.3" footer="0.3"/>
  <x:tableParts count="1">
    <x:tablePart xmlns:r="http://schemas.openxmlformats.org/officeDocument/2006/relationships" r:id="R19e776bf7d8e48db"/>
  </x:tableParts>
</x:worksheet>
</file>

<file path=xl/worksheets/sheet70.xml><?xml version="1.0" encoding="utf-8"?>
<x:worksheet xmlns:x="http://schemas.openxmlformats.org/spreadsheetml/2006/main">
  <x:sheetFormatPr defaultRowHeight="15"/>
  <x:cols>
    <x:col min="1" max="1" width="14" hidden="0" customWidth="1"/>
    <x:col min="2" max="2" width="22" hidden="0" customWidth="1"/>
    <x:col min="3" max="3" width="28" hidden="0" customWidth="1"/>
    <x:col min="4" max="4" width="24" hidden="0" customWidth="1"/>
    <x:col min="5" max="5" width="30" hidden="0" customWidth="1"/>
    <x:col min="6" max="6" width="24" hidden="0" customWidth="1"/>
    <x:col min="7" max="7" width="20" hidden="0" customWidth="1"/>
    <x:col min="8" max="8" width="12" hidden="0" customWidth="1"/>
    <x:col min="9" max="9" width="24" hidden="0" customWidth="1"/>
    <x:col min="10" max="10" width="24" hidden="0" customWidth="1"/>
    <x:col min="11" max="11" width="15" hidden="0" customWidth="1"/>
    <x:col min="12" max="12" width="15" hidden="0" customWidth="1"/>
    <x:col min="13" max="13" width="20" hidden="0" customWidth="1"/>
    <x:col min="14" max="14" width="14" hidden="0" customWidth="1"/>
    <x:col min="15" max="15" width="50" hidden="0" customWidth="1"/>
    <x:col min="16" max="16" width="48" hidden="0" customWidth="1"/>
  </x:cols>
  <x:sheetData>
    <x:row r="1">
      <x:c r="A1" s="180" t="str">
        <x:v>Holding ID</x:v>
      </x:c>
      <x:c r="B1" s="180" t="str">
        <x:v>Investor Company ID</x:v>
      </x:c>
      <x:c r="C1" s="180" t="str">
        <x:v>Investor</x:v>
      </x:c>
      <x:c r="D1" s="180" t="str">
        <x:v>Target Entity / Asset ID</x:v>
      </x:c>
      <x:c r="E1" s="180" t="str">
        <x:v>Target / Asset</x:v>
      </x:c>
      <x:c r="F1" s="180" t="str">
        <x:v>Asset Class</x:v>
      </x:c>
      <x:c r="G1" s="180" t="str">
        <x:v>Country / Region</x:v>
      </x:c>
      <x:c r="H1" s="180" t="str">
        <x:v>Interest %</x:v>
      </x:c>
      <x:c r="I1" s="180" t="str">
        <x:v>Interest Type</x:v>
      </x:c>
      <x:c r="J1" s="180" t="str">
        <x:v>Operating Control</x:v>
      </x:c>
      <x:c r="K1" s="180" t="str">
        <x:v>Effective From</x:v>
      </x:c>
      <x:c r="L1" s="180" t="str">
        <x:v>Effective To</x:v>
      </x:c>
      <x:c r="M1" s="180" t="str">
        <x:v>Status</x:v>
      </x:c>
      <x:c r="N1" s="180" t="str">
        <x:v>Source ID</x:v>
      </x:c>
      <x:c r="O1" s="180" t="str">
        <x:v>Source URL</x:v>
      </x:c>
      <x:c r="P1" s="180" t="str">
        <x:v>Notes</x:v>
      </x:c>
    </x:row>
    <x:row r="2">
      <x:c r="A2" s="102" t="str">
        <x:v>HOLD_0001</x:v>
      </x:c>
      <x:c r="B2" s="102" t="str">
        <x:v>COMP_BROOKFIELD_INFRA</x:v>
      </x:c>
      <x:c r="C2" s="102" t="str">
        <x:v>Brookfield Infrastructure Partners</x:v>
      </x:c>
      <x:c r="D2" s="102" t="str">
        <x:v>COMP_PDPORTS</x:v>
      </x:c>
      <x:c r="E2" s="102" t="str">
        <x:v>PD Ports</x:v>
      </x:c>
      <x:c r="F2" s="102" t="str">
        <x:v>Port company</x:v>
      </x:c>
      <x:c r="G2" s="102" t="str">
        <x:v>United Kingdom</x:v>
      </x:c>
      <x:c r="H2" s="102" t="n">
        <x:v>25</x:v>
      </x:c>
      <x:c r="I2" s="102" t="str">
        <x:v>Equity / investment in associate</x:v>
      </x:c>
      <x:c r="J2" s="102" t="str">
        <x:v>No / consortium structure</x:v>
      </x:c>
      <x:c r="K2" s="102" t="str">
        <x:v>2025-10-01</x:v>
      </x:c>
      <x:c r="L2" s="102"/>
      <x:c r="M2" s="102" t="str">
        <x:v>Current</x:v>
      </x:c>
      <x:c r="N2" s="102" t="str">
        <x:v>SRC_0255</x:v>
      </x:c>
      <x:c r="O2" s="102" t="str">
        <x:v>https://www.sec.gov/Archives/edgar/data/1406234/000140623426000006/bip-20260630_d2.htm</x:v>
      </x:c>
      <x:c r="P2" s="102" t="str">
        <x:v>Brookfield sold 34% and retained 25%; remaining ownership requires resolution.</x:v>
      </x:c>
    </x:row>
    <x:row r="3">
      <x:c r="A3" s="102" t="str">
        <x:v>HOLD_0002</x:v>
      </x:c>
      <x:c r="B3" s="102" t="str">
        <x:v>COMP_STONEPEAK</x:v>
      </x:c>
      <x:c r="C3" s="102" t="str">
        <x:v>Stonepeak</x:v>
      </x:c>
      <x:c r="D3" s="102" t="str">
        <x:v>COMP_UNITED_PORTS</x:v>
      </x:c>
      <x:c r="E3" s="102" t="str">
        <x:v>United Ports LLC</x:v>
      </x:c>
      <x:c r="F3" s="102" t="str">
        <x:v>Port terminal portfolio</x:v>
      </x:c>
      <x:c r="G3" s="102" t="str">
        <x:v>Global</x:v>
      </x:c>
      <x:c r="H3" s="102" t="n">
        <x:v>25</x:v>
      </x:c>
      <x:c r="I3" s="102" t="str">
        <x:v>Equity</x:v>
      </x:c>
      <x:c r="J3" s="102" t="str">
        <x:v>No</x:v>
      </x:c>
      <x:c r="K3" s="102" t="str">
        <x:v>2026-07-28</x:v>
      </x:c>
      <x:c r="L3" s="102"/>
      <x:c r="M3" s="102" t="str">
        <x:v>Current</x:v>
      </x:c>
      <x:c r="N3" s="102" t="str">
        <x:v>SRC_0256</x:v>
      </x:c>
      <x:c r="O3" s="102" t="str">
        <x:v>https://stonepeak.com/news/cma-cgm-and-stonepeak-complete-the-formation-of-united-ports-llc</x:v>
      </x:c>
      <x:c r="P3" s="102" t="str">
        <x:v>Stonepeak may invest up to another $3.6bn with CMA CGM in future port opportunities.</x:v>
      </x:c>
    </x:row>
    <x:row r="4">
      <x:c r="A4" s="102" t="str">
        <x:v>HOLD_0003</x:v>
      </x:c>
      <x:c r="B4" s="102" t="str">
        <x:v>COMP_CMA_CGM</x:v>
      </x:c>
      <x:c r="C4" s="102" t="str">
        <x:v>CMA CGM Group</x:v>
      </x:c>
      <x:c r="D4" s="102" t="str">
        <x:v>COMP_UNITED_PORTS</x:v>
      </x:c>
      <x:c r="E4" s="102" t="str">
        <x:v>United Ports LLC</x:v>
      </x:c>
      <x:c r="F4" s="102" t="str">
        <x:v>Port terminal portfolio</x:v>
      </x:c>
      <x:c r="G4" s="102" t="str">
        <x:v>Global</x:v>
      </x:c>
      <x:c r="H4" s="102" t="n">
        <x:v>75</x:v>
      </x:c>
      <x:c r="I4" s="102" t="str">
        <x:v>Equity</x:v>
      </x:c>
      <x:c r="J4" s="102" t="str">
        <x:v>Yes / full operational control</x:v>
      </x:c>
      <x:c r="K4" s="102" t="str">
        <x:v>2026-07-28</x:v>
      </x:c>
      <x:c r="L4" s="102"/>
      <x:c r="M4" s="102" t="str">
        <x:v>Current</x:v>
      </x:c>
      <x:c r="N4" s="102" t="str">
        <x:v>SRC_0256</x:v>
      </x:c>
      <x:c r="O4" s="102" t="str">
        <x:v>https://stonepeak.com/news/cma-cgm-and-stonepeak-complete-the-formation-of-united-ports-llc</x:v>
      </x:c>
      <x:c r="P4" s="102" t="str">
        <x:v>Financial ownership and operating control deliberately separated.</x:v>
      </x:c>
    </x:row>
    <x:row r="5">
      <x:c r="A5" s="102" t="str">
        <x:v>HOLD_0004</x:v>
      </x:c>
      <x:c r="B5" s="102" t="str">
        <x:v>COMP_STONEPEAK</x:v>
      </x:c>
      <x:c r="C5" s="102" t="str">
        <x:v>Stonepeak</x:v>
      </x:c>
      <x:c r="D5" s="102" t="str">
        <x:v>COMP_GEELONGPORT</x:v>
      </x:c>
      <x:c r="E5" s="102" t="str">
        <x:v>GeelongPort</x:v>
      </x:c>
      <x:c r="F5" s="102" t="str">
        <x:v>Landlord port</x:v>
      </x:c>
      <x:c r="G5" s="102" t="str">
        <x:v>Australia</x:v>
      </x:c>
      <x:c r="H5" s="102" t="n">
        <x:v>70</x:v>
      </x:c>
      <x:c r="I5" s="102" t="str">
        <x:v>Equity</x:v>
      </x:c>
      <x:c r="J5" s="102" t="str">
        <x:v>Majority investor</x:v>
      </x:c>
      <x:c r="K5" s="102" t="str">
        <x:v>2023-04-26</x:v>
      </x:c>
      <x:c r="L5" s="102"/>
      <x:c r="M5" s="102" t="str">
        <x:v>Current</x:v>
      </x:c>
      <x:c r="N5" s="102" t="str">
        <x:v>SRC_0257</x:v>
      </x:c>
      <x:c r="O5" s="102" t="str">
        <x:v>https://stonepeak.com/investments</x:v>
      </x:c>
      <x:c r="P5" s="102"/>
    </x:row>
    <x:row r="6">
      <x:c r="A6" s="102" t="str">
        <x:v>HOLD_0005</x:v>
      </x:c>
      <x:c r="B6" s="102" t="str">
        <x:v>COMP_CARESUPER</x:v>
      </x:c>
      <x:c r="C6" s="102" t="str">
        <x:v>CareSuper</x:v>
      </x:c>
      <x:c r="D6" s="102" t="str">
        <x:v>COMP_GEELONGPORT</x:v>
      </x:c>
      <x:c r="E6" s="102" t="str">
        <x:v>GeelongPort</x:v>
      </x:c>
      <x:c r="F6" s="102" t="str">
        <x:v>Landlord port</x:v>
      </x:c>
      <x:c r="G6" s="102" t="str">
        <x:v>Australia</x:v>
      </x:c>
      <x:c r="H6" s="102" t="n">
        <x:v>30</x:v>
      </x:c>
      <x:c r="I6" s="102" t="str">
        <x:v>Equity</x:v>
      </x:c>
      <x:c r="J6" s="102" t="str">
        <x:v>Minority investor</x:v>
      </x:c>
      <x:c r="K6" s="102" t="str">
        <x:v>2023-04-26</x:v>
      </x:c>
      <x:c r="L6" s="102"/>
      <x:c r="M6" s="102" t="str">
        <x:v>Current</x:v>
      </x:c>
      <x:c r="N6" s="102" t="str">
        <x:v>SRC_0257</x:v>
      </x:c>
      <x:c r="O6" s="102" t="str">
        <x:v>https://stonepeak.com/investments</x:v>
      </x:c>
      <x:c r="P6" s="102" t="str">
        <x:v>CareSuper formerly Spirit Super in original acquisition announcement.</x:v>
      </x:c>
    </x:row>
    <x:row r="7">
      <x:c r="A7" s="102" t="str">
        <x:v>HOLD_0006</x:v>
      </x:c>
      <x:c r="B7" s="102" t="str">
        <x:v>COMP_BLACKROCK</x:v>
      </x:c>
      <x:c r="C7" s="102" t="str">
        <x:v>BlackRock</x:v>
      </x:c>
      <x:c r="D7" s="102" t="str">
        <x:v>COMP_GIP</x:v>
      </x:c>
      <x:c r="E7" s="102" t="str">
        <x:v>Global Infrastructure Partners</x:v>
      </x:c>
      <x:c r="F7" s="102" t="str">
        <x:v>Infrastructure investment platform</x:v>
      </x:c>
      <x:c r="G7" s="102" t="str">
        <x:v>Global</x:v>
      </x:c>
      <x:c r="H7" s="102" t="n">
        <x:v>100</x:v>
      </x:c>
      <x:c r="I7" s="102" t="str">
        <x:v>Corporate ownership</x:v>
      </x:c>
      <x:c r="J7" s="102" t="str">
        <x:v>Parent</x:v>
      </x:c>
      <x:c r="K7" s="102" t="str">
        <x:v>2024-10-01</x:v>
      </x:c>
      <x:c r="L7" s="102"/>
      <x:c r="M7" s="102" t="str">
        <x:v>Current</x:v>
      </x:c>
      <x:c r="N7" s="102" t="str">
        <x:v>SRC_0258</x:v>
      </x:c>
      <x:c r="O7" s="102" t="str">
        <x:v>https://ir.blackrock.com/news-and-events/press-releases/press-releases-details/2024/BlackRock-Completes-Acquisition-of-Global-Infrastructure-Partners/default.aspx</x:v>
      </x:c>
      <x:c r="P7" s="102"/>
    </x:row>
    <x:row r="8">
      <x:c r="A8" s="102" t="str">
        <x:v>HOLD_0007</x:v>
      </x:c>
      <x:c r="B8" s="102" t="str">
        <x:v>COMP_GIP</x:v>
      </x:c>
      <x:c r="C8" s="102" t="str">
        <x:v>Global Infrastructure Partners</x:v>
      </x:c>
      <x:c r="D8" s="102"/>
      <x:c r="E8" s="102" t="str">
        <x:v>Peel Ports</x:v>
      </x:c>
      <x:c r="F8" s="102" t="str">
        <x:v>Port group</x:v>
      </x:c>
      <x:c r="G8" s="102" t="str">
        <x:v>United Kingdom</x:v>
      </x:c>
      <x:c r="H8" s="102"/>
      <x:c r="I8" s="102" t="str">
        <x:v>Portfolio investment</x:v>
      </x:c>
      <x:c r="J8" s="102"/>
      <x:c r="K8" s="102"/>
      <x:c r="L8" s="102"/>
      <x:c r="M8" s="102" t="str">
        <x:v>Current / stake to resolve</x:v>
      </x:c>
      <x:c r="N8" s="102" t="str">
        <x:v>SRC_0259</x:v>
      </x:c>
      <x:c r="O8" s="102" t="str">
        <x:v>https://www.blackrock.com/corporate/newsroom/media/press-releases/blackrock-agrees-to-acquire-global-infrastructure-partners</x:v>
      </x:c>
      <x:c r="P8" s="102" t="str">
        <x:v>Official BlackRock/GIP profile identifies Peel Ports among GIP investments; exact current stake requires asset-level verification.</x:v>
      </x:c>
    </x:row>
    <x:row r="9">
      <x:c r="A9" s="102" t="str">
        <x:v>HOLD_0008</x:v>
      </x:c>
      <x:c r="B9" s="102" t="str">
        <x:v>COMP_GIP</x:v>
      </x:c>
      <x:c r="C9" s="102" t="str">
        <x:v>Global Infrastructure Partners</x:v>
      </x:c>
      <x:c r="D9" s="102"/>
      <x:c r="E9" s="102" t="str">
        <x:v>Port of Melbourne</x:v>
      </x:c>
      <x:c r="F9" s="102" t="str">
        <x:v>Landlord port / concession</x:v>
      </x:c>
      <x:c r="G9" s="102" t="str">
        <x:v>Australia</x:v>
      </x:c>
      <x:c r="H9" s="102"/>
      <x:c r="I9" s="102" t="str">
        <x:v>Portfolio investment</x:v>
      </x:c>
      <x:c r="J9" s="102"/>
      <x:c r="K9" s="102"/>
      <x:c r="L9" s="102"/>
      <x:c r="M9" s="102" t="str">
        <x:v>Current / stake to resolve</x:v>
      </x:c>
      <x:c r="N9" s="102" t="str">
        <x:v>SRC_0259</x:v>
      </x:c>
      <x:c r="O9" s="102" t="str">
        <x:v>https://www.blackrock.com/corporate/newsroom/media/press-releases/blackrock-agrees-to-acquire-global-infrastructure-partners</x:v>
      </x:c>
      <x:c r="P9" s="102" t="str">
        <x:v>Exact consortium share to resolve.</x:v>
      </x:c>
    </x:row>
    <x:row r="10">
      <x:c r="A10" s="102" t="str">
        <x:v>HOLD_0009</x:v>
      </x:c>
      <x:c r="B10" s="102" t="str">
        <x:v>COMP_MACQUARIE_AM</x:v>
      </x:c>
      <x:c r="C10" s="102" t="str">
        <x:v>Macquarie Asset Management</x:v>
      </x:c>
      <x:c r="D10" s="102" t="str">
        <x:v>COMP_ITS</x:v>
      </x:c>
      <x:c r="E10" s="102" t="str">
        <x:v>International Transportation Service</x:v>
      </x:c>
      <x:c r="F10" s="102" t="str">
        <x:v>Container terminal company</x:v>
      </x:c>
      <x:c r="G10" s="102" t="str">
        <x:v>United States</x:v>
      </x:c>
      <x:c r="H10" s="102"/>
      <x:c r="I10" s="102" t="str">
        <x:v>Portfolio investment</x:v>
      </x:c>
      <x:c r="J10" s="102" t="str">
        <x:v>Asset management / owner exposure</x:v>
      </x:c>
      <x:c r="K10" s="102" t="str">
        <x:v>2020</x:v>
      </x:c>
      <x:c r="L10" s="102"/>
      <x:c r="M10" s="102" t="str">
        <x:v>Current</x:v>
      </x:c>
      <x:c r="N10" s="102" t="str">
        <x:v>SRC_0260</x:v>
      </x:c>
      <x:c r="O10" s="102" t="str">
        <x:v>https://www.macquarie.com/au/en/about/company/macquarie-asset-management/financial-advisor/insights/2025/transforming-terminals-international-transportation-service.html</x:v>
      </x:c>
      <x:c r="P10" s="102" t="str">
        <x:v>Exact ownership vehicle and stake to resolve.</x:v>
      </x:c>
    </x:row>
    <x:row r="11">
      <x:c r="A11" s="102" t="str">
        <x:v>HOLD_0010</x:v>
      </x:c>
      <x:c r="B11" s="102" t="str">
        <x:v>COMP_BLACKSTONE</x:v>
      </x:c>
      <x:c r="C11" s="102" t="str">
        <x:v>Blackstone-managed real-estate funds</x:v>
      </x:c>
      <x:c r="D11" s="102" t="str">
        <x:v>COMP_PROXITY</x:v>
      </x:c>
      <x:c r="E11" s="102" t="str">
        <x:v>Proxity logistics portfolio</x:v>
      </x:c>
      <x:c r="F11" s="102" t="str">
        <x:v>Logistics real estate</x:v>
      </x:c>
      <x:c r="G11" s="102" t="str">
        <x:v>Europe</x:v>
      </x:c>
      <x:c r="H11" s="102"/>
      <x:c r="I11" s="102" t="str">
        <x:v>Fund ownership / platform</x:v>
      </x:c>
      <x:c r="J11" s="102" t="str">
        <x:v>Platform controlled via managed funds</x:v>
      </x:c>
      <x:c r="K11" s="102" t="str">
        <x:v>2025-04-29</x:v>
      </x:c>
      <x:c r="L11" s="102"/>
      <x:c r="M11" s="102" t="str">
        <x:v>Current</x:v>
      </x:c>
      <x:c r="N11" s="102" t="str">
        <x:v>SRC_0264</x:v>
      </x:c>
      <x:c r="O11" s="102" t="str">
        <x:v>https://www.blackstone.com/news/press/blackstone-launches-proxity-a-new-pan-european-logistics-platform/</x:v>
      </x:c>
      <x:c r="P11" s="102" t="str">
        <x:v>Platform initially ~500 properties and &gt;7m sqm.</x:v>
      </x:c>
    </x:row>
    <x:row r="12">
      <x:c r="A12" s="102" t="str">
        <x:v>HOLD_0011</x:v>
      </x:c>
      <x:c r="B12" s="102" t="str">
        <x:v>COMP_CIC</x:v>
      </x:c>
      <x:c r="C12" s="102" t="str">
        <x:v>China Investment Corporation</x:v>
      </x:c>
      <x:c r="D12" s="102" t="str">
        <x:v>COMP_LOGICOR</x:v>
      </x:c>
      <x:c r="E12" s="102" t="str">
        <x:v>Logicor</x:v>
      </x:c>
      <x:c r="F12" s="102" t="str">
        <x:v>Logistics real estate</x:v>
      </x:c>
      <x:c r="G12" s="102" t="str">
        <x:v>Europe</x:v>
      </x:c>
      <x:c r="H12" s="102"/>
      <x:c r="I12" s="102" t="str">
        <x:v>Majority ownership</x:v>
      </x:c>
      <x:c r="J12" s="102" t="str">
        <x:v>Majority owner</x:v>
      </x:c>
      <x:c r="K12" s="102"/>
      <x:c r="L12" s="102"/>
      <x:c r="M12" s="102" t="str">
        <x:v>Current</x:v>
      </x:c>
      <x:c r="N12" s="102" t="str">
        <x:v>SRC_0270</x:v>
      </x:c>
      <x:c r="O12" s="102" t="str">
        <x:v>https://www.logicor.eu/en/eu/investors</x:v>
      </x:c>
      <x:c r="P12" s="102" t="str">
        <x:v>Exact percentage to resolve.</x:v>
      </x:c>
    </x:row>
    <x:row r="13">
      <x:c r="A13" s="102" t="str">
        <x:v>HOLD_0012</x:v>
      </x:c>
      <x:c r="B13" s="102" t="str">
        <x:v>COMP_LA_CAISSE</x:v>
      </x:c>
      <x:c r="C13" s="102" t="str">
        <x:v>La Caisse (CDPQ)</x:v>
      </x:c>
      <x:c r="D13" s="102" t="str">
        <x:v>COMP_PLIVE</x:v>
      </x:c>
      <x:c r="E13" s="102" t="str">
        <x:v>PLIVE</x:v>
      </x:c>
      <x:c r="F13" s="102" t="str">
        <x:v>Logistics real estate JV</x:v>
      </x:c>
      <x:c r="G13" s="102" t="str">
        <x:v>Europe</x:v>
      </x:c>
      <x:c r="H13" s="102" t="n">
        <x:v>70</x:v>
      </x:c>
      <x:c r="I13" s="102" t="str">
        <x:v>Equity</x:v>
      </x:c>
      <x:c r="J13" s="102" t="str">
        <x:v>Shared governance</x:v>
      </x:c>
      <x:c r="K13" s="102" t="str">
        <x:v>2026-04-09</x:v>
      </x:c>
      <x:c r="L13" s="102"/>
      <x:c r="M13" s="102" t="str">
        <x:v>Current</x:v>
      </x:c>
      <x:c r="N13" s="102" t="str">
        <x:v>SRC_0268</x:v>
      </x:c>
      <x:c r="O13" s="102" t="str">
        <x:v>https://ir.prologis.com/news-events/press-releases/detail/1035/la-caisse-and-prologis-launch-pan-european-logistics-joint-venture</x:v>
      </x:c>
      <x:c r="P13" s="102"/>
    </x:row>
    <x:row r="14">
      <x:c r="A14" s="102" t="str">
        <x:v>HOLD_0013</x:v>
      </x:c>
      <x:c r="B14" s="102" t="str">
        <x:v>COMP_PROLOGIS</x:v>
      </x:c>
      <x:c r="C14" s="102" t="str">
        <x:v>Prologis</x:v>
      </x:c>
      <x:c r="D14" s="102" t="str">
        <x:v>COMP_PLIVE</x:v>
      </x:c>
      <x:c r="E14" s="102" t="str">
        <x:v>PLIVE</x:v>
      </x:c>
      <x:c r="F14" s="102" t="str">
        <x:v>Logistics real estate JV</x:v>
      </x:c>
      <x:c r="G14" s="102" t="str">
        <x:v>Europe</x:v>
      </x:c>
      <x:c r="H14" s="102" t="n">
        <x:v>30</x:v>
      </x:c>
      <x:c r="I14" s="102" t="str">
        <x:v>Equity / operating partner</x:v>
      </x:c>
      <x:c r="J14" s="102" t="str">
        <x:v>Operating partner / shared governance</x:v>
      </x:c>
      <x:c r="K14" s="102" t="str">
        <x:v>2026-04-09</x:v>
      </x:c>
      <x:c r="L14" s="102"/>
      <x:c r="M14" s="102" t="str">
        <x:v>Current</x:v>
      </x:c>
      <x:c r="N14" s="102" t="str">
        <x:v>SRC_0268</x:v>
      </x:c>
      <x:c r="O14" s="102" t="str">
        <x:v>https://ir.prologis.com/news-events/press-releases/detail/1035/la-caisse-and-prologis-launch-pan-european-logistics-joint-venture</x:v>
      </x:c>
      <x:c r="P14" s="102"/>
    </x:row>
    <x:row r="15">
      <x:c r="A15" s="102" t="str">
        <x:v>HOLD_0014</x:v>
      </x:c>
      <x:c r="B15" s="102" t="str">
        <x:v>COMP_ADPORTS</x:v>
      </x:c>
      <x:c r="C15" s="102" t="str">
        <x:v>AD Ports Group</x:v>
      </x:c>
      <x:c r="D15" s="102" t="str">
        <x:v>COMP_TBILISI_DRY_PORT</x:v>
      </x:c>
      <x:c r="E15" s="102" t="str">
        <x:v>Tbilisi Dry Port LLC</x:v>
      </x:c>
      <x:c r="F15" s="102" t="str">
        <x:v>Dry port / inland intermodal</x:v>
      </x:c>
      <x:c r="G15" s="102" t="str">
        <x:v>Georgia</x:v>
      </x:c>
      <x:c r="H15" s="102" t="n">
        <x:v>60</x:v>
      </x:c>
      <x:c r="I15" s="102" t="str">
        <x:v>Equity</x:v>
      </x:c>
      <x:c r="J15" s="102" t="str">
        <x:v>Majority owner</x:v>
      </x:c>
      <x:c r="K15" s="102" t="str">
        <x:v>2024-08-15</x:v>
      </x:c>
      <x:c r="L15" s="102"/>
      <x:c r="M15" s="102" t="str">
        <x:v>Current</x:v>
      </x:c>
      <x:c r="N15" s="102" t="str">
        <x:v>SRC_0277</x:v>
      </x:c>
      <x:c r="O15" s="102" t="str">
        <x:v>https://www.adportsgroup.com/en/news-and-media/2024/08/15/ad-ports-group-completes-tbilisi-dry-port-acquisition-to-become-majority-owner</x:v>
      </x:c>
      <x:c r="P15" s="102" t="str">
        <x:v>Remaining 40% split between Wilhelmsen Port Services Georgia and Inveco LLC is not publicly specified in cited source.</x:v>
      </x:c>
    </x:row>
  </x:sheetData>
  <x:pageMargins left="0.7" right="0.7" top="0.75" bottom="0.75" header="0.3" footer="0.3"/>
  <x:tableParts count="1">
    <x:tablePart xmlns:r="http://schemas.openxmlformats.org/officeDocument/2006/relationships" r:id="R5334c6f283c24b05"/>
  </x:tableParts>
</x:worksheet>
</file>

<file path=xl/worksheets/sheet71.xml><?xml version="1.0" encoding="utf-8"?>
<x:worksheet xmlns:x="http://schemas.openxmlformats.org/spreadsheetml/2006/main">
  <x:sheetFormatPr defaultRowHeight="15"/>
  <x:cols>
    <x:col min="1" max="1" width="14" hidden="0" customWidth="1"/>
    <x:col min="2" max="2" width="15" hidden="0" customWidth="1"/>
    <x:col min="3" max="3" width="18" hidden="0" customWidth="1"/>
    <x:col min="4" max="4" width="28" hidden="0" customWidth="1"/>
    <x:col min="5" max="5" width="28" hidden="0" customWidth="1"/>
    <x:col min="6" max="6" width="24" hidden="0" customWidth="1"/>
    <x:col min="7" max="7" width="24" hidden="0" customWidth="1"/>
    <x:col min="8" max="8" width="34" hidden="0" customWidth="1"/>
    <x:col min="9" max="9" width="26" hidden="0" customWidth="1"/>
    <x:col min="10" max="10" width="20" hidden="0" customWidth="1"/>
    <x:col min="11" max="11" width="24" hidden="0" customWidth="1"/>
    <x:col min="12" max="12" width="12" hidden="0" customWidth="1"/>
    <x:col min="13" max="13" width="16" hidden="0" customWidth="1"/>
    <x:col min="14" max="14" width="12" hidden="0" customWidth="1"/>
    <x:col min="15" max="15" width="28" hidden="0" customWidth="1"/>
    <x:col min="16" max="16" width="22" hidden="0" customWidth="1"/>
    <x:col min="17" max="17" width="34" hidden="0" customWidth="1"/>
    <x:col min="18" max="18" width="14" hidden="0" customWidth="1"/>
    <x:col min="19" max="19" width="50" hidden="0" customWidth="1"/>
    <x:col min="20" max="20" width="50" hidden="0" customWidth="1"/>
  </x:cols>
  <x:sheetData>
    <x:row r="1">
      <x:c r="A1" s="180" t="str">
        <x:v>Deal ID</x:v>
      </x:c>
      <x:c r="B1" s="180" t="str">
        <x:v>Announced Date</x:v>
      </x:c>
      <x:c r="C1" s="180" t="str">
        <x:v>Completed / Effective Date</x:v>
      </x:c>
      <x:c r="D1" s="180" t="str">
        <x:v>Investor / Buyer IDs</x:v>
      </x:c>
      <x:c r="E1" s="180" t="str">
        <x:v>Co-Investor / Partner IDs</x:v>
      </x:c>
      <x:c r="F1" s="180" t="str">
        <x:v>Seller / Counterparty</x:v>
      </x:c>
      <x:c r="G1" s="180" t="str">
        <x:v>Target Entity / Asset ID</x:v>
      </x:c>
      <x:c r="H1" s="180" t="str">
        <x:v>Target / Asset</x:v>
      </x:c>
      <x:c r="I1" s="180" t="str">
        <x:v>Asset Class</x:v>
      </x:c>
      <x:c r="J1" s="180" t="str">
        <x:v>Country / Region</x:v>
      </x:c>
      <x:c r="K1" s="180" t="str">
        <x:v>Deal Type</x:v>
      </x:c>
      <x:c r="L1" s="180" t="str">
        <x:v>Equity %</x:v>
      </x:c>
      <x:c r="M1" s="180" t="str">
        <x:v>Reported Value</x:v>
      </x:c>
      <x:c r="N1" s="180" t="str">
        <x:v>Currency</x:v>
      </x:c>
      <x:c r="O1" s="180" t="str">
        <x:v>Operating Control</x:v>
      </x:c>
      <x:c r="P1" s="180" t="str">
        <x:v>Status</x:v>
      </x:c>
      <x:c r="Q1" s="180" t="str">
        <x:v>Regulatory / Political Status</x:v>
      </x:c>
      <x:c r="R1" s="180" t="str">
        <x:v>Source ID</x:v>
      </x:c>
      <x:c r="S1" s="180" t="str">
        <x:v>Source URL</x:v>
      </x:c>
      <x:c r="T1" s="180" t="str">
        <x:v>Notes</x:v>
      </x:c>
    </x:row>
    <x:row r="2">
      <x:c r="A2" s="102" t="str">
        <x:v>IDEAL_0001</x:v>
      </x:c>
      <x:c r="B2" s="102" t="str">
        <x:v>2026-01-28</x:v>
      </x:c>
      <x:c r="C2" s="102" t="str">
        <x:v>2026-07-28</x:v>
      </x:c>
      <x:c r="D2" s="102" t="str">
        <x:v>COMP_STONEPEAK</x:v>
      </x:c>
      <x:c r="E2" s="102" t="str">
        <x:v>COMP_CMA_CGM</x:v>
      </x:c>
      <x:c r="F2" s="102"/>
      <x:c r="G2" s="102" t="str">
        <x:v>COMP_UNITED_PORTS</x:v>
      </x:c>
      <x:c r="H2" s="102" t="str">
        <x:v>United Ports LLC / 9-terminal portfolio</x:v>
      </x:c>
      <x:c r="I2" s="102" t="str">
        <x:v>Port terminals</x:v>
      </x:c>
      <x:c r="J2" s="102" t="str">
        <x:v>Global</x:v>
      </x:c>
      <x:c r="K2" s="102" t="str">
        <x:v>Minority investment / JV formation</x:v>
      </x:c>
      <x:c r="L2" s="102" t="n">
        <x:v>25</x:v>
      </x:c>
      <x:c r="M2" s="191" t="n">
        <x:v>2400000000</x:v>
      </x:c>
      <x:c r="N2" s="102" t="str">
        <x:v>USD</x:v>
      </x:c>
      <x:c r="O2" s="102" t="str">
        <x:v>CMA CGM retains full operational control</x:v>
      </x:c>
      <x:c r="P2" s="102" t="str">
        <x:v>Completed</x:v>
      </x:c>
      <x:c r="Q2" s="102" t="str">
        <x:v>Regulatory approvals received</x:v>
      </x:c>
      <x:c r="R2" s="102" t="str">
        <x:v>SRC_0256</x:v>
      </x:c>
      <x:c r="S2" s="102" t="str">
        <x:v>https://stonepeak.com/news/cma-cgm-and-stonepeak-complete-the-formation-of-united-ports-llc</x:v>
      </x:c>
      <x:c r="T2" s="102" t="str">
        <x:v>Potential addition of Nhava Sheva Freeport Terminal remains subject to approvals; Stonepeak may invest up to another $3.6bn.</x:v>
      </x:c>
    </x:row>
    <x:row r="3">
      <x:c r="A3" s="102" t="str">
        <x:v>IDEAL_0002</x:v>
      </x:c>
      <x:c r="B3" s="102"/>
      <x:c r="C3" s="102" t="str">
        <x:v>2025-10-01</x:v>
      </x:c>
      <x:c r="D3" s="102" t="str">
        <x:v>COMP_BROOKFIELD_INFRA</x:v>
      </x:c>
      <x:c r="E3" s="102"/>
      <x:c r="F3" s="102"/>
      <x:c r="G3" s="102" t="str">
        <x:v>COMP_PDPORTS</x:v>
      </x:c>
      <x:c r="H3" s="102" t="str">
        <x:v>UK port operation / PD Ports</x:v>
      </x:c>
      <x:c r="I3" s="102" t="str">
        <x:v>Port infrastructure</x:v>
      </x:c>
      <x:c r="J3" s="102" t="str">
        <x:v>United Kingdom</x:v>
      </x:c>
      <x:c r="K3" s="102" t="str">
        <x:v>Partial disposition</x:v>
      </x:c>
      <x:c r="L3" s="102" t="n">
        <x:v>34</x:v>
      </x:c>
      <x:c r="M3" s="191" t="n">
        <x:v>380000000</x:v>
      </x:c>
      <x:c r="N3" s="102" t="str">
        <x:v>USD</x:v>
      </x:c>
      <x:c r="O3" s="102" t="str">
        <x:v>Retained 25% interest only</x:v>
      </x:c>
      <x:c r="P3" s="102" t="str">
        <x:v>Completed</x:v>
      </x:c>
      <x:c r="Q3" s="102" t="str">
        <x:v>Completed</x:v>
      </x:c>
      <x:c r="R3" s="102" t="str">
        <x:v>SRC_0255</x:v>
      </x:c>
      <x:c r="S3" s="102" t="str">
        <x:v>https://www.sec.gov/Archives/edgar/data/1406234/000140623426000006/bip-20260630_d2.htm</x:v>
      </x:c>
      <x:c r="T3" s="102" t="str">
        <x:v>Value is net proceeds to Brookfield Infrastructure partnership; consortium-level proceeds higher.</x:v>
      </x:c>
    </x:row>
    <x:row r="4">
      <x:c r="A4" s="102" t="str">
        <x:v>IDEAL_0003</x:v>
      </x:c>
      <x:c r="B4" s="102"/>
      <x:c r="C4" s="102" t="str">
        <x:v>2026-07-31</x:v>
      </x:c>
      <x:c r="D4" s="102" t="str">
        <x:v>COMP_KKR</x:v>
      </x:c>
      <x:c r="E4" s="102" t="str">
        <x:v>COMP_MIRASTAR</x:v>
      </x:c>
      <x:c r="F4" s="102" t="str">
        <x:v>COMP_PLP</x:v>
      </x:c>
      <x:c r="G4" s="102" t="str">
        <x:v>ASSET077</x:v>
      </x:c>
      <x:c r="H4" s="102" t="str">
        <x:v>Four UK logistics assets</x:v>
      </x:c>
      <x:c r="I4" s="102" t="str">
        <x:v>Logistics real estate</x:v>
      </x:c>
      <x:c r="J4" s="102" t="str">
        <x:v>United Kingdom</x:v>
      </x:c>
      <x:c r="K4" s="102" t="str">
        <x:v>Portfolio acquisition</x:v>
      </x:c>
      <x:c r="L4" s="102"/>
      <x:c r="M4" s="191" t="n">
        <x:v>170000000</x:v>
      </x:c>
      <x:c r="N4" s="102" t="str">
        <x:v>GBP</x:v>
      </x:c>
      <x:c r="O4" s="102" t="str">
        <x:v>KKR/Mirastar ownership / asset management</x:v>
      </x:c>
      <x:c r="P4" s="102" t="str">
        <x:v>Completed</x:v>
      </x:c>
      <x:c r="Q4" s="102" t="str">
        <x:v>Completed</x:v>
      </x:c>
      <x:c r="R4" s="102" t="str">
        <x:v>SRC_0263</x:v>
      </x:c>
      <x:c r="S4" s="102" t="str">
        <x:v>https://media.kkr.com/news-details?news_id=4f6ff0d9-9b59-487c-abce-108f533fdd9b</x:v>
      </x:c>
      <x:c r="T4" s="102" t="str">
        <x:v>Stafford, Crewe, Ellesmere Port and Wakefield; 1.25m sq ft.</x:v>
      </x:c>
    </x:row>
    <x:row r="5">
      <x:c r="A5" s="102" t="str">
        <x:v>IDEAL_0004</x:v>
      </x:c>
      <x:c r="B5" s="102" t="str">
        <x:v>2026-03-19</x:v>
      </x:c>
      <x:c r="C5" s="102" t="str">
        <x:v>2026-03-19</x:v>
      </x:c>
      <x:c r="D5" s="102" t="str">
        <x:v>COMP_PROLOGIS</x:v>
      </x:c>
      <x:c r="E5" s="102" t="str">
        <x:v>COMP_GIC</x:v>
      </x:c>
      <x:c r="F5" s="102"/>
      <x:c r="G5" s="102"/>
      <x:c r="H5" s="102" t="str">
        <x:v>U.S. Build-to-Suit Logistics JV</x:v>
      </x:c>
      <x:c r="I5" s="102" t="str">
        <x:v>Logistics real estate</x:v>
      </x:c>
      <x:c r="J5" s="102" t="str">
        <x:v>United States</x:v>
      </x:c>
      <x:c r="K5" s="102" t="str">
        <x:v>JV formation / development capital</x:v>
      </x:c>
      <x:c r="L5" s="102"/>
      <x:c r="M5" s="191" t="n">
        <x:v>1600000000</x:v>
      </x:c>
      <x:c r="N5" s="102" t="str">
        <x:v>USD</x:v>
      </x:c>
      <x:c r="O5" s="102" t="str">
        <x:v>Prologis development / operating expertise</x:v>
      </x:c>
      <x:c r="P5" s="102" t="str">
        <x:v>Formed</x:v>
      </x:c>
      <x:c r="Q5" s="102" t="str">
        <x:v>Active</x:v>
      </x:c>
      <x:c r="R5" s="102" t="str">
        <x:v>SRC_0267</x:v>
      </x:c>
      <x:c r="S5" s="102" t="str">
        <x:v>https://ir.prologis.com/news-events/press-releases/detail/1034/prologis-and-gic-form-1-6-billion-u-s-build-to-suit-logistics-joint-venture</x:v>
      </x:c>
      <x:c r="T5" s="102" t="str">
        <x:v>Initial portfolio ~4.1m sq ft.</x:v>
      </x:c>
    </x:row>
    <x:row r="6">
      <x:c r="A6" s="102" t="str">
        <x:v>IDEAL_0005</x:v>
      </x:c>
      <x:c r="B6" s="102" t="str">
        <x:v>2026-04-09</x:v>
      </x:c>
      <x:c r="C6" s="102" t="str">
        <x:v>2026-04-09</x:v>
      </x:c>
      <x:c r="D6" s="102" t="str">
        <x:v>COMP_LA_CAISSE</x:v>
      </x:c>
      <x:c r="E6" s="102" t="str">
        <x:v>COMP_PROLOGIS</x:v>
      </x:c>
      <x:c r="F6" s="102"/>
      <x:c r="G6" s="102" t="str">
        <x:v>COMP_PLIVE</x:v>
      </x:c>
      <x:c r="H6" s="102" t="str">
        <x:v>PLIVE</x:v>
      </x:c>
      <x:c r="I6" s="102" t="str">
        <x:v>Logistics real estate</x:v>
      </x:c>
      <x:c r="J6" s="102" t="str">
        <x:v>Europe</x:v>
      </x:c>
      <x:c r="K6" s="102" t="str">
        <x:v>JV formation</x:v>
      </x:c>
      <x:c r="L6" s="102" t="n">
        <x:v>70</x:v>
      </x:c>
      <x:c r="M6" s="191" t="n">
        <x:v>1000000000</x:v>
      </x:c>
      <x:c r="N6" s="102" t="str">
        <x:v>EUR</x:v>
      </x:c>
      <x:c r="O6" s="102" t="str">
        <x:v>Shared governance; Prologis operating partner</x:v>
      </x:c>
      <x:c r="P6" s="102" t="str">
        <x:v>Formed</x:v>
      </x:c>
      <x:c r="Q6" s="102" t="str">
        <x:v>Active</x:v>
      </x:c>
      <x:c r="R6" s="102" t="str">
        <x:v>SRC_0268</x:v>
      </x:c>
      <x:c r="S6" s="102" t="str">
        <x:v>https://ir.prologis.com/news-events/press-releases/detail/1035/la-caisse-and-prologis-launch-pan-european-logistics-joint-venture</x:v>
      </x:c>
      <x:c r="T6" s="102" t="str">
        <x:v>Reported value is seed portfolio; equity percentage shown for La Caisse.</x:v>
      </x:c>
    </x:row>
    <x:row r="7">
      <x:c r="A7" s="102" t="str">
        <x:v>IDEAL_0006</x:v>
      </x:c>
      <x:c r="B7" s="102" t="str">
        <x:v>2024-01-12</x:v>
      </x:c>
      <x:c r="C7" s="102" t="str">
        <x:v>2024-10-01</x:v>
      </x:c>
      <x:c r="D7" s="102" t="str">
        <x:v>COMP_BLACKROCK</x:v>
      </x:c>
      <x:c r="E7" s="102"/>
      <x:c r="F7" s="102" t="str">
        <x:v>GIP owners / partners</x:v>
      </x:c>
      <x:c r="G7" s="102" t="str">
        <x:v>COMP_GIP</x:v>
      </x:c>
      <x:c r="H7" s="102" t="str">
        <x:v>Global Infrastructure Partners</x:v>
      </x:c>
      <x:c r="I7" s="102" t="str">
        <x:v>Infrastructure investment platform</x:v>
      </x:c>
      <x:c r="J7" s="102" t="str">
        <x:v>Global</x:v>
      </x:c>
      <x:c r="K7" s="102" t="str">
        <x:v>Corporate acquisition</x:v>
      </x:c>
      <x:c r="L7" s="102" t="n">
        <x:v>100</x:v>
      </x:c>
      <x:c r="M7" s="191" t="n">
        <x:v>3000000000</x:v>
      </x:c>
      <x:c r="N7" s="102" t="str">
        <x:v>USD</x:v>
      </x:c>
      <x:c r="O7" s="102" t="str">
        <x:v>BlackRock parent ownership</x:v>
      </x:c>
      <x:c r="P7" s="102" t="str">
        <x:v>Completed</x:v>
      </x:c>
      <x:c r="Q7" s="102" t="str">
        <x:v>Completed</x:v>
      </x:c>
      <x:c r="R7" s="102" t="str">
        <x:v>SRC_0258</x:v>
      </x:c>
      <x:c r="S7" s="102" t="str">
        <x:v>https://ir.blackrock.com/news-and-events/press-releases/press-releases-details/2024/BlackRock-Completes-Acquisition-of-Global-Infrastructure-Partners/default.aspx</x:v>
      </x:c>
      <x:c r="T7" s="102" t="str">
        <x:v>$3bn cash plus BlackRock shares; reported cash value is not total consideration.</x:v>
      </x:c>
    </x:row>
    <x:row r="8">
      <x:c r="A8" s="102" t="str">
        <x:v>IDEAL_0007</x:v>
      </x:c>
      <x:c r="B8" s="102" t="str">
        <x:v>2022-11-20</x:v>
      </x:c>
      <x:c r="C8" s="102" t="str">
        <x:v>2023-04-26</x:v>
      </x:c>
      <x:c r="D8" s="102" t="str">
        <x:v>COMP_STONEPEAK</x:v>
      </x:c>
      <x:c r="E8" s="102" t="str">
        <x:v>COMP_CARESUPER</x:v>
      </x:c>
      <x:c r="F8" s="102"/>
      <x:c r="G8" s="102" t="str">
        <x:v>COMP_GEELONGPORT</x:v>
      </x:c>
      <x:c r="H8" s="102" t="str">
        <x:v>GeelongPort</x:v>
      </x:c>
      <x:c r="I8" s="102" t="str">
        <x:v>Port infrastructure</x:v>
      </x:c>
      <x:c r="J8" s="102" t="str">
        <x:v>Australia</x:v>
      </x:c>
      <x:c r="K8" s="102" t="str">
        <x:v>Acquisition</x:v>
      </x:c>
      <x:c r="L8" s="102" t="n">
        <x:v>70</x:v>
      </x:c>
      <x:c r="M8" s="191"/>
      <x:c r="N8" s="102"/>
      <x:c r="O8" s="102" t="str">
        <x:v>Stonepeak majority investor</x:v>
      </x:c>
      <x:c r="P8" s="102" t="str">
        <x:v>Completed</x:v>
      </x:c>
      <x:c r="Q8" s="102" t="str">
        <x:v>Completed</x:v>
      </x:c>
      <x:c r="R8" s="102" t="str">
        <x:v>SRC_0257</x:v>
      </x:c>
      <x:c r="S8" s="102" t="str">
        <x:v>https://stonepeak.com/investments</x:v>
      </x:c>
      <x:c r="T8" s="102" t="str">
        <x:v>CareSuper owns remaining 30%.</x:v>
      </x:c>
    </x:row>
    <x:row r="9">
      <x:c r="A9" s="102" t="str">
        <x:v>IDEAL_0008</x:v>
      </x:c>
      <x:c r="B9" s="102" t="str">
        <x:v>2024-03-22</x:v>
      </x:c>
      <x:c r="C9" s="102" t="str">
        <x:v>2024-08-15</x:v>
      </x:c>
      <x:c r="D9" s="102" t="str">
        <x:v>COMP_ADPORTS</x:v>
      </x:c>
      <x:c r="E9" s="102" t="str">
        <x:v>COMP_WILHELMSEN_PORT_SERVICES;COMP_INVECO</x:v>
      </x:c>
      <x:c r="F9" s="102"/>
      <x:c r="G9" s="102" t="str">
        <x:v>COMP_TBILISI_DRY_PORT</x:v>
      </x:c>
      <x:c r="H9" s="102" t="str">
        <x:v>Tbilisi Dry Port</x:v>
      </x:c>
      <x:c r="I9" s="102" t="str">
        <x:v>Dry port / inland logistics</x:v>
      </x:c>
      <x:c r="J9" s="102" t="str">
        <x:v>Georgia</x:v>
      </x:c>
      <x:c r="K9" s="102" t="str">
        <x:v>Majority acquisition</x:v>
      </x:c>
      <x:c r="L9" s="102" t="n">
        <x:v>60</x:v>
      </x:c>
      <x:c r="M9" s="191"/>
      <x:c r="N9" s="102"/>
      <x:c r="O9" s="102" t="str">
        <x:v>AD Ports majority owner</x:v>
      </x:c>
      <x:c r="P9" s="102" t="str">
        <x:v>Completed</x:v>
      </x:c>
      <x:c r="Q9" s="102" t="str">
        <x:v>Completed</x:v>
      </x:c>
      <x:c r="R9" s="102" t="str">
        <x:v>SRC_0277</x:v>
      </x:c>
      <x:c r="S9" s="102" t="str">
        <x:v>https://www.adportsgroup.com/en/news-and-media/2024/08/15/ad-ports-group-completes-tbilisi-dry-port-acquisition-to-become-majority-owner</x:v>
      </x:c>
      <x:c r="T9" s="102" t="str">
        <x:v>Remaining ownership percentages not publicly specified in cited source.</x:v>
      </x:c>
    </x:row>
    <x:row r="10">
      <x:c r="A10" s="102" t="str">
        <x:v>IDEAL_0009</x:v>
      </x:c>
      <x:c r="B10" s="102" t="str">
        <x:v>2025-04-29</x:v>
      </x:c>
      <x:c r="C10" s="102" t="str">
        <x:v>2025-04-29</x:v>
      </x:c>
      <x:c r="D10" s="102" t="str">
        <x:v>COMP_BLACKSTONE</x:v>
      </x:c>
      <x:c r="E10" s="102"/>
      <x:c r="F10" s="102"/>
      <x:c r="G10" s="102" t="str">
        <x:v>COMP_PROXITY</x:v>
      </x:c>
      <x:c r="H10" s="102" t="str">
        <x:v>Proxity</x:v>
      </x:c>
      <x:c r="I10" s="102" t="str">
        <x:v>Logistics real estate</x:v>
      </x:c>
      <x:c r="J10" s="102" t="str">
        <x:v>Europe</x:v>
      </x:c>
      <x:c r="K10" s="102" t="str">
        <x:v>Platform formation</x:v>
      </x:c>
      <x:c r="L10" s="102"/>
      <x:c r="M10" s="191"/>
      <x:c r="N10" s="102"/>
      <x:c r="O10" s="102" t="str">
        <x:v>Blackstone-managed funds own underlying assets</x:v>
      </x:c>
      <x:c r="P10" s="102" t="str">
        <x:v>Active platform</x:v>
      </x:c>
      <x:c r="Q10" s="102" t="str">
        <x:v>Active</x:v>
      </x:c>
      <x:c r="R10" s="102" t="str">
        <x:v>SRC_0264</x:v>
      </x:c>
      <x:c r="S10" s="102" t="str">
        <x:v>https://www.blackstone.com/news/press/blackstone-launches-proxity-a-new-pan-european-logistics-platform/</x:v>
      </x:c>
      <x:c r="T10" s="102" t="str">
        <x:v>~500 properties and developments / &gt;7m sqm at launch.</x:v>
      </x:c>
    </x:row>
    <x:row r="11">
      <x:c r="A11" s="102" t="str">
        <x:v>IDEAL_0010</x:v>
      </x:c>
      <x:c r="B11" s="102" t="str">
        <x:v>2025-03-04</x:v>
      </x:c>
      <x:c r="C11" s="102"/>
      <x:c r="D11" s="102" t="str">
        <x:v>COMP_BLACKROCK;COMP_GIP</x:v>
      </x:c>
      <x:c r="E11" s="102" t="str">
        <x:v>COMP_TIL</x:v>
      </x:c>
      <x:c r="F11" s="102" t="str">
        <x:v>CK Hutchison</x:v>
      </x:c>
      <x:c r="G11" s="102" t="str">
        <x:v>43-port sale perimeter</x:v>
      </x:c>
      <x:c r="H11" s="102" t="str">
        <x:v>CK Hutchison global port portfolio</x:v>
      </x:c>
      <x:c r="I11" s="102" t="str">
        <x:v>Port terminals</x:v>
      </x:c>
      <x:c r="J11" s="102" t="str">
        <x:v>23 countries</x:v>
      </x:c>
      <x:c r="K11" s="102" t="str">
        <x:v>In-principle acquisition</x:v>
      </x:c>
      <x:c r="L11" s="102" t="n">
        <x:v>80</x:v>
      </x:c>
      <x:c r="M11" s="191" t="n">
        <x:v>22800000000</x:v>
      </x:c>
      <x:c r="N11" s="102" t="str">
        <x:v>USD</x:v>
      </x:c>
      <x:c r="O11" s="102"/>
      <x:c r="P11" s="102" t="str">
        <x:v>In principle / unresolved</x:v>
      </x:c>
      <x:c r="Q11" s="102" t="str">
        <x:v>Strategic, competition and geopolitical review; specific Barcelona approval request withdrawn Aug 2026</x:v>
      </x:c>
      <x:c r="R11" s="102" t="str">
        <x:v>SRC_0283;SRC_0284</x:v>
      </x:c>
      <x:c r="S11" s="102" t="str">
        <x:v>https://www.ckh.com.hk/en/media/press_each.php?id=3431&amp;print=Y | https://www.reuters.com/business/msc-blackrock-withdraw-approval-request-purchase-stake-barcelona-port-2026-08-10/</x:v>
      </x:c>
      <x:c r="T11" s="102" t="str">
        <x:v>Track failed/withdrawn approvals and any revised transaction perimeter separately; do not treat as closed ownership.</x:v>
      </x:c>
    </x:row>
    <x:row r="12">
      <x:c r="A12" s="102" t="str">
        <x:v>IDEAL_0011</x:v>
      </x:c>
      <x:c r="B12" s="102"/>
      <x:c r="C12" s="102" t="str">
        <x:v>2026-08-11</x:v>
      </x:c>
      <x:c r="D12" s="102" t="str">
        <x:v>COMP_STONEPEAK</x:v>
      </x:c>
      <x:c r="E12" s="102"/>
      <x:c r="F12" s="102"/>
      <x:c r="G12" s="102" t="str">
        <x:v>ASSET078</x:v>
      </x:c>
      <x:c r="H12" s="102" t="str">
        <x:v>Fort Worth rail-served logistics asset</x:v>
      </x:c>
      <x:c r="I12" s="102" t="str">
        <x:v>Logistics real estate / intermodal</x:v>
      </x:c>
      <x:c r="J12" s="102" t="str">
        <x:v>United States</x:v>
      </x:c>
      <x:c r="K12" s="102" t="str">
        <x:v>Asset acquisition</x:v>
      </x:c>
      <x:c r="L12" s="102"/>
      <x:c r="M12" s="191"/>
      <x:c r="N12" s="102"/>
      <x:c r="O12" s="102" t="str">
        <x:v>Stonepeak owner</x:v>
      </x:c>
      <x:c r="P12" s="102" t="str">
        <x:v>Completed</x:v>
      </x:c>
      <x:c r="Q12" s="102" t="str">
        <x:v>Completed</x:v>
      </x:c>
      <x:c r="R12" s="102" t="str">
        <x:v>SRC_0285</x:v>
      </x:c>
      <x:c r="S12" s="102" t="str">
        <x:v>https://stonepeak.com/news/stonepeak-acquires-rail-served-logistics-asset-in-fort-worth-texas</x:v>
      </x:c>
      <x:c r="T12" s="102" t="str">
        <x:v>860,100 sq ft; BNSF Alliance, cargo airport and I-35 corridor.</x:v>
      </x:c>
    </x:row>
    <x:row r="13">
      <x:c r="A13" s="102" t="str">
        <x:v>IDEAL_0012</x:v>
      </x:c>
      <x:c r="B13" s="102" t="str">
        <x:v>2025</x:v>
      </x:c>
      <x:c r="C13" s="102"/>
      <x:c r="D13" s="102" t="str">
        <x:v>COMP_KEZAD</x:v>
      </x:c>
      <x:c r="E13" s="102" t="str">
        <x:v>COMP_ADPORTS</x:v>
      </x:c>
      <x:c r="F13" s="102" t="str">
        <x:v>Suez Canal Economic Zone</x:v>
      </x:c>
      <x:c r="G13" s="102" t="str">
        <x:v>ASSET088</x:v>
      </x:c>
      <x:c r="H13" s="102" t="str">
        <x:v>KEZAD East Port Said Economic Zone</x:v>
      </x:c>
      <x:c r="I13" s="102" t="str">
        <x:v>Economic zone / logistics real estate</x:v>
      </x:c>
      <x:c r="J13" s="102" t="str">
        <x:v>Egypt</x:v>
      </x:c>
      <x:c r="K13" s="102" t="str">
        <x:v>50-year renewable usufruct / development</x:v>
      </x:c>
      <x:c r="L13" s="102"/>
      <x:c r="M13" s="191" t="n">
        <x:v>120000000</x:v>
      </x:c>
      <x:c r="N13" s="102" t="str">
        <x:v>USD</x:v>
      </x:c>
      <x:c r="O13" s="102" t="str">
        <x:v>Developer/operator under agreement</x:v>
      </x:c>
      <x:c r="P13" s="102" t="str">
        <x:v>Development</x:v>
      </x:c>
      <x:c r="Q13" s="102" t="str">
        <x:v>Phase 1 development</x:v>
      </x:c>
      <x:c r="R13" s="102" t="str">
        <x:v>SRC_0281</x:v>
      </x:c>
      <x:c r="S13" s="102" t="str">
        <x:v>https://www.adportsgroup.com/-/media/sites/adports/investors/2025/downloads/adpg-earnings-presentation-q3-2025.pdf?rev=-1</x:v>
      </x:c>
      <x:c r="T13" s="102" t="str">
        <x:v>Reported value relates to phase-1 investment over three years.</x:v>
      </x:c>
    </x:row>
    <x:row r="14">
      <x:c r="A14"/>
      <x:c r="B14"/>
      <x:c r="C14"/>
      <x:c r="D14"/>
      <x:c r="E14"/>
      <x:c r="F14"/>
      <x:c r="G14"/>
      <x:c r="H14"/>
      <x:c r="I14"/>
      <x:c r="J14"/>
      <x:c r="K14"/>
      <x:c r="L14"/>
      <x:c r="M14" s="192"/>
      <x:c r="N14"/>
      <x:c r="O14"/>
      <x:c r="P14"/>
      <x:c r="Q14"/>
      <x:c r="R14"/>
      <x:c r="S14"/>
      <x:c r="T14"/>
    </x:row>
    <x:row r="15">
      <x:c r="A15"/>
      <x:c r="B15"/>
      <x:c r="C15"/>
      <x:c r="D15"/>
      <x:c r="E15"/>
      <x:c r="F15"/>
      <x:c r="G15"/>
      <x:c r="H15"/>
      <x:c r="I15"/>
      <x:c r="J15"/>
      <x:c r="K15"/>
      <x:c r="L15"/>
      <x:c r="M15" s="192"/>
      <x:c r="N15"/>
      <x:c r="O15"/>
      <x:c r="P15"/>
      <x:c r="Q15"/>
      <x:c r="R15"/>
      <x:c r="S15"/>
      <x:c r="T15"/>
    </x:row>
    <x:row r="16">
      <x:c r="A16"/>
      <x:c r="B16"/>
      <x:c r="C16"/>
      <x:c r="D16"/>
      <x:c r="E16"/>
      <x:c r="F16"/>
      <x:c r="G16"/>
      <x:c r="H16"/>
      <x:c r="I16"/>
      <x:c r="J16"/>
      <x:c r="K16"/>
      <x:c r="L16"/>
      <x:c r="M16" s="192"/>
      <x:c r="N16"/>
      <x:c r="O16"/>
      <x:c r="P16"/>
      <x:c r="Q16"/>
      <x:c r="R16"/>
      <x:c r="S16"/>
      <x:c r="T16"/>
    </x:row>
    <x:row r="17">
      <x:c r="A17"/>
      <x:c r="B17"/>
      <x:c r="C17"/>
      <x:c r="D17"/>
      <x:c r="E17"/>
      <x:c r="F17"/>
      <x:c r="G17"/>
      <x:c r="H17"/>
      <x:c r="I17"/>
      <x:c r="J17"/>
      <x:c r="K17"/>
      <x:c r="L17"/>
      <x:c r="M17" s="192"/>
      <x:c r="N17"/>
      <x:c r="O17"/>
      <x:c r="P17"/>
      <x:c r="Q17"/>
      <x:c r="R17"/>
      <x:c r="S17"/>
      <x:c r="T17"/>
    </x:row>
    <x:row r="18">
      <x:c r="A18"/>
      <x:c r="B18"/>
      <x:c r="C18"/>
      <x:c r="D18"/>
      <x:c r="E18"/>
      <x:c r="F18"/>
      <x:c r="G18"/>
      <x:c r="H18"/>
      <x:c r="I18"/>
      <x:c r="J18"/>
      <x:c r="K18"/>
      <x:c r="L18"/>
      <x:c r="M18" s="192"/>
      <x:c r="N18"/>
      <x:c r="O18"/>
      <x:c r="P18"/>
      <x:c r="Q18"/>
      <x:c r="R18"/>
      <x:c r="S18"/>
      <x:c r="T18"/>
    </x:row>
    <x:row r="19">
      <x:c r="A19"/>
      <x:c r="B19"/>
      <x:c r="C19"/>
      <x:c r="D19"/>
      <x:c r="E19"/>
      <x:c r="F19"/>
      <x:c r="G19"/>
      <x:c r="H19"/>
      <x:c r="I19"/>
      <x:c r="J19"/>
      <x:c r="K19"/>
      <x:c r="L19"/>
      <x:c r="M19" s="192"/>
      <x:c r="N19"/>
      <x:c r="O19"/>
      <x:c r="P19"/>
      <x:c r="Q19"/>
      <x:c r="R19"/>
      <x:c r="S19"/>
      <x:c r="T19"/>
    </x:row>
    <x:row r="20">
      <x:c r="A20"/>
      <x:c r="B20"/>
      <x:c r="C20"/>
      <x:c r="D20"/>
      <x:c r="E20"/>
      <x:c r="F20"/>
      <x:c r="G20"/>
      <x:c r="H20"/>
      <x:c r="I20"/>
      <x:c r="J20"/>
      <x:c r="K20"/>
      <x:c r="L20"/>
      <x:c r="M20" s="192"/>
      <x:c r="N20"/>
      <x:c r="O20"/>
      <x:c r="P20"/>
      <x:c r="Q20"/>
      <x:c r="R20"/>
      <x:c r="S20"/>
      <x:c r="T20"/>
    </x:row>
    <x:row r="21">
      <x:c r="A21"/>
      <x:c r="B21"/>
      <x:c r="C21"/>
      <x:c r="D21"/>
      <x:c r="E21"/>
      <x:c r="F21"/>
      <x:c r="G21"/>
      <x:c r="H21"/>
      <x:c r="I21"/>
      <x:c r="J21"/>
      <x:c r="K21"/>
      <x:c r="L21"/>
      <x:c r="M21" s="192"/>
      <x:c r="N21"/>
      <x:c r="O21"/>
      <x:c r="P21"/>
      <x:c r="Q21"/>
      <x:c r="R21"/>
      <x:c r="S21"/>
      <x:c r="T21"/>
    </x:row>
    <x:row r="22">
      <x:c r="A22"/>
      <x:c r="B22"/>
      <x:c r="C22"/>
      <x:c r="D22"/>
      <x:c r="E22"/>
      <x:c r="F22"/>
      <x:c r="G22"/>
      <x:c r="H22"/>
      <x:c r="I22"/>
      <x:c r="J22"/>
      <x:c r="K22"/>
      <x:c r="L22"/>
      <x:c r="M22" s="192"/>
      <x:c r="N22"/>
      <x:c r="O22"/>
      <x:c r="P22"/>
      <x:c r="Q22"/>
      <x:c r="R22"/>
      <x:c r="S22"/>
      <x:c r="T22"/>
    </x:row>
    <x:row r="23">
      <x:c r="A23"/>
      <x:c r="B23"/>
      <x:c r="C23"/>
      <x:c r="D23"/>
      <x:c r="E23"/>
      <x:c r="F23"/>
      <x:c r="G23"/>
      <x:c r="H23"/>
      <x:c r="I23"/>
      <x:c r="J23"/>
      <x:c r="K23"/>
      <x:c r="L23"/>
      <x:c r="M23" s="192"/>
      <x:c r="N23"/>
      <x:c r="O23"/>
      <x:c r="P23"/>
      <x:c r="Q23"/>
      <x:c r="R23"/>
      <x:c r="S23"/>
      <x:c r="T23"/>
    </x:row>
    <x:row r="24">
      <x:c r="A24"/>
      <x:c r="B24"/>
      <x:c r="C24"/>
      <x:c r="D24"/>
      <x:c r="E24"/>
      <x:c r="F24"/>
      <x:c r="G24"/>
      <x:c r="H24"/>
      <x:c r="I24"/>
      <x:c r="J24"/>
      <x:c r="K24"/>
      <x:c r="L24"/>
      <x:c r="M24" s="192"/>
      <x:c r="N24"/>
      <x:c r="O24"/>
      <x:c r="P24"/>
      <x:c r="Q24"/>
      <x:c r="R24"/>
      <x:c r="S24"/>
      <x:c r="T24"/>
    </x:row>
    <x:row r="25">
      <x:c r="A25"/>
      <x:c r="B25"/>
      <x:c r="C25"/>
      <x:c r="D25"/>
      <x:c r="E25"/>
      <x:c r="F25"/>
      <x:c r="G25"/>
      <x:c r="H25"/>
      <x:c r="I25"/>
      <x:c r="J25"/>
      <x:c r="K25"/>
      <x:c r="L25"/>
      <x:c r="M25" s="192"/>
      <x:c r="N25"/>
      <x:c r="O25"/>
      <x:c r="P25"/>
      <x:c r="Q25"/>
      <x:c r="R25"/>
      <x:c r="S25"/>
      <x:c r="T25"/>
    </x:row>
    <x:row r="26">
      <x:c r="A26"/>
      <x:c r="B26"/>
      <x:c r="C26"/>
      <x:c r="D26"/>
      <x:c r="E26"/>
      <x:c r="F26"/>
      <x:c r="G26"/>
      <x:c r="H26"/>
      <x:c r="I26"/>
      <x:c r="J26"/>
      <x:c r="K26"/>
      <x:c r="L26"/>
      <x:c r="M26" s="192"/>
      <x:c r="N26"/>
      <x:c r="O26"/>
      <x:c r="P26"/>
      <x:c r="Q26"/>
      <x:c r="R26"/>
      <x:c r="S26"/>
      <x:c r="T26"/>
    </x:row>
    <x:row r="27">
      <x:c r="A27"/>
      <x:c r="B27"/>
      <x:c r="C27"/>
      <x:c r="D27"/>
      <x:c r="E27"/>
      <x:c r="F27"/>
      <x:c r="G27"/>
      <x:c r="H27"/>
      <x:c r="I27"/>
      <x:c r="J27"/>
      <x:c r="K27"/>
      <x:c r="L27"/>
      <x:c r="M27" s="192"/>
      <x:c r="N27"/>
      <x:c r="O27"/>
      <x:c r="P27"/>
      <x:c r="Q27"/>
      <x:c r="R27"/>
      <x:c r="S27"/>
      <x:c r="T27"/>
    </x:row>
    <x:row r="28">
      <x:c r="A28"/>
      <x:c r="B28"/>
      <x:c r="C28"/>
      <x:c r="D28"/>
      <x:c r="E28"/>
      <x:c r="F28"/>
      <x:c r="G28"/>
      <x:c r="H28"/>
      <x:c r="I28"/>
      <x:c r="J28"/>
      <x:c r="K28"/>
      <x:c r="L28"/>
      <x:c r="M28" s="192"/>
      <x:c r="N28"/>
      <x:c r="O28"/>
      <x:c r="P28"/>
      <x:c r="Q28"/>
      <x:c r="R28"/>
      <x:c r="S28"/>
      <x:c r="T28"/>
    </x:row>
    <x:row r="29">
      <x:c r="A29"/>
      <x:c r="B29"/>
      <x:c r="C29"/>
      <x:c r="D29"/>
      <x:c r="E29"/>
      <x:c r="F29"/>
      <x:c r="G29"/>
      <x:c r="H29"/>
      <x:c r="I29"/>
      <x:c r="J29"/>
      <x:c r="K29"/>
      <x:c r="L29"/>
      <x:c r="M29" s="192"/>
      <x:c r="N29"/>
      <x:c r="O29"/>
      <x:c r="P29"/>
      <x:c r="Q29"/>
      <x:c r="R29"/>
      <x:c r="S29"/>
      <x:c r="T29"/>
    </x:row>
    <x:row r="30">
      <x:c r="A30"/>
      <x:c r="B30"/>
      <x:c r="C30"/>
      <x:c r="D30"/>
      <x:c r="E30"/>
      <x:c r="F30"/>
      <x:c r="G30"/>
      <x:c r="H30"/>
      <x:c r="I30"/>
      <x:c r="J30"/>
      <x:c r="K30"/>
      <x:c r="L30"/>
      <x:c r="M30" s="192"/>
      <x:c r="N30"/>
      <x:c r="O30"/>
      <x:c r="P30"/>
      <x:c r="Q30"/>
      <x:c r="R30"/>
      <x:c r="S30"/>
      <x:c r="T30"/>
    </x:row>
    <x:row r="31">
      <x:c r="M31" s="192"/>
    </x:row>
    <x:row r="32">
      <x:c r="M32" s="192"/>
    </x:row>
    <x:row r="33">
      <x:c r="M33" s="192"/>
    </x:row>
    <x:row r="34">
      <x:c r="M34" s="192"/>
    </x:row>
    <x:row r="35">
      <x:c r="M35" s="192"/>
    </x:row>
    <x:row r="36">
      <x:c r="M36" s="192"/>
    </x:row>
    <x:row r="37">
      <x:c r="M37" s="192"/>
    </x:row>
    <x:row r="38">
      <x:c r="M38" s="192"/>
    </x:row>
    <x:row r="39">
      <x:c r="M39" s="192"/>
    </x:row>
    <x:row r="40">
      <x:c r="M40" s="192"/>
    </x:row>
    <x:row r="41">
      <x:c r="M41" s="192"/>
    </x:row>
    <x:row r="42">
      <x:c r="M42" s="192"/>
    </x:row>
    <x:row r="43">
      <x:c r="M43" s="192"/>
    </x:row>
    <x:row r="44">
      <x:c r="M44" s="192"/>
    </x:row>
    <x:row r="45">
      <x:c r="M45" s="192"/>
    </x:row>
    <x:row r="46">
      <x:c r="M46" s="192"/>
    </x:row>
    <x:row r="47">
      <x:c r="M47" s="192"/>
    </x:row>
    <x:row r="48">
      <x:c r="M48" s="192"/>
    </x:row>
    <x:row r="49">
      <x:c r="M49" s="192"/>
    </x:row>
    <x:row r="50">
      <x:c r="M50" s="192"/>
    </x:row>
  </x:sheetData>
  <x:pageMargins left="0.7" right="0.7" top="0.75" bottom="0.75" header="0.3" footer="0.3"/>
  <x:tableParts count="1">
    <x:tablePart xmlns:r="http://schemas.openxmlformats.org/officeDocument/2006/relationships" r:id="Rdbe523679969442c"/>
  </x:tableParts>
</x:worksheet>
</file>

<file path=xl/worksheets/sheet72.xml><?xml version="1.0" encoding="utf-8"?>
<x:worksheet xmlns:x="http://schemas.openxmlformats.org/spreadsheetml/2006/main">
  <x:sheetFormatPr defaultRowHeight="15"/>
  <x:cols>
    <x:col min="1" max="1" width="14" hidden="0" customWidth="1"/>
    <x:col min="2" max="2" width="14" hidden="0" customWidth="1"/>
    <x:col min="3" max="3" width="30" hidden="0" customWidth="1"/>
    <x:col min="4" max="4" width="20" hidden="0" customWidth="1"/>
    <x:col min="5" max="5" width="28" hidden="0" customWidth="1"/>
    <x:col min="6" max="6" width="28" hidden="0" customWidth="1"/>
    <x:col min="7" max="7" width="22" hidden="0" customWidth="1"/>
    <x:col min="8" max="8" width="22" hidden="0" customWidth="1"/>
    <x:col min="9" max="9" width="14" hidden="0" customWidth="1"/>
    <x:col min="10" max="10" width="16" hidden="0" customWidth="1"/>
    <x:col min="11" max="11" width="20" hidden="0" customWidth="1"/>
    <x:col min="12" max="12" width="24" hidden="0" customWidth="1"/>
    <x:col min="13" max="13" width="34" hidden="0" customWidth="1"/>
    <x:col min="14" max="14" width="28" hidden="0" customWidth="1"/>
    <x:col min="15" max="15" width="28" hidden="0" customWidth="1"/>
    <x:col min="16" max="16" width="38" hidden="0" customWidth="1"/>
    <x:col min="17" max="17" width="38" hidden="0" customWidth="1"/>
    <x:col min="18" max="18" width="20" hidden="0" customWidth="1"/>
    <x:col min="19" max="19" width="14" hidden="0" customWidth="1"/>
    <x:col min="20" max="20" width="50" hidden="0" customWidth="1"/>
    <x:col min="21" max="21" width="50" hidden="0" customWidth="1"/>
  </x:cols>
  <x:sheetData>
    <x:row r="1">
      <x:c r="A1" s="180" t="str">
        <x:v>Zone ID</x:v>
      </x:c>
      <x:c r="B1" s="180" t="str">
        <x:v>Asset ID</x:v>
      </x:c>
      <x:c r="C1" s="180" t="str">
        <x:v>Zone Name</x:v>
      </x:c>
      <x:c r="D1" s="180" t="str">
        <x:v>Country</x:v>
      </x:c>
      <x:c r="E1" s="180" t="str">
        <x:v>City / Region</x:v>
      </x:c>
      <x:c r="F1" s="180" t="str">
        <x:v>Zone Type</x:v>
      </x:c>
      <x:c r="G1" s="180" t="str">
        <x:v>Operator Company ID</x:v>
      </x:c>
      <x:c r="H1" s="180" t="str">
        <x:v>Parent / Owner Company ID</x:v>
      </x:c>
      <x:c r="I1" s="180" t="str">
        <x:v>Total Area km²</x:v>
      </x:c>
      <x:c r="J1" s="180" t="str">
        <x:v>Free Zone Area km²</x:v>
      </x:c>
      <x:c r="K1" s="180" t="str">
        <x:v>Warehouse / Built Logistics Area sqm</x:v>
      </x:c>
      <x:c r="L1" s="180" t="str">
        <x:v>Customs / Bonded Status</x:v>
      </x:c>
      <x:c r="M1" s="180" t="str">
        <x:v>Linked Port(s)</x:v>
      </x:c>
      <x:c r="N1" s="180" t="str">
        <x:v>Rail Connection</x:v>
      </x:c>
      <x:c r="O1" s="180" t="str">
        <x:v>Airport Connection</x:v>
      </x:c>
      <x:c r="P1" s="180" t="str">
        <x:v>Road / Inland Connectivity</x:v>
      </x:c>
      <x:c r="Q1" s="180" t="str">
        <x:v>Key Activities / Industries</x:v>
      </x:c>
      <x:c r="R1" s="180" t="str">
        <x:v>Status</x:v>
      </x:c>
      <x:c r="S1" s="180" t="str">
        <x:v>Source ID</x:v>
      </x:c>
      <x:c r="T1" s="180" t="str">
        <x:v>Source URL</x:v>
      </x:c>
      <x:c r="U1" s="180" t="str">
        <x:v>Notes</x:v>
      </x:c>
    </x:row>
    <x:row r="2">
      <x:c r="A2" s="102" t="str">
        <x:v>ZONE_0001</x:v>
      </x:c>
      <x:c r="B2" s="102" t="str">
        <x:v>ASSET085</x:v>
      </x:c>
      <x:c r="C2" s="102" t="str">
        <x:v>Jebel Ali Free Zone (JAFZA)</x:v>
      </x:c>
      <x:c r="D2" s="102" t="str">
        <x:v>United Arab Emirates</x:v>
      </x:c>
      <x:c r="E2" s="102" t="str">
        <x:v>Jebel Ali, Dubai</x:v>
      </x:c>
      <x:c r="F2" s="102" t="str">
        <x:v>Free zone / industrial-logistics zone</x:v>
      </x:c>
      <x:c r="G2" s="102" t="str">
        <x:v>COMP_JAFZA</x:v>
      </x:c>
      <x:c r="H2" s="102" t="str">
        <x:v>COMP_DPW</x:v>
      </x:c>
      <x:c r="I2" s="102" t="n">
        <x:v>57</x:v>
      </x:c>
      <x:c r="J2" s="102"/>
      <x:c r="K2" s="102"/>
      <x:c r="L2" s="102" t="str">
        <x:v>Customs-bonded free zone</x:v>
      </x:c>
      <x:c r="M2" s="102" t="str">
        <x:v>Jebel Ali Port</x:v>
      </x:c>
      <x:c r="N2" s="102"/>
      <x:c r="O2" s="102" t="str">
        <x:v>Dubai airports / regional air cargo access</x:v>
      </x:c>
      <x:c r="P2" s="102" t="str">
        <x:v>UAE/GCC highway network</x:v>
      </x:c>
      <x:c r="Q2" s="102" t="str">
        <x:v>Logistics; trading; manufacturing; warehousing; distribution</x:v>
      </x:c>
      <x:c r="R2" s="102" t="str">
        <x:v>Operating</x:v>
      </x:c>
      <x:c r="S2" s="102" t="str">
        <x:v>SRC_0273</x:v>
      </x:c>
      <x:c r="T2" s="102" t="str">
        <x:v>https://www.jafza.ae/offerings/</x:v>
      </x:c>
      <x:c r="U2" s="102" t="str">
        <x:v>Model as integrated trade/real-estate ecosystem, not simply a company-registration zone.</x:v>
      </x:c>
    </x:row>
    <x:row r="3">
      <x:c r="A3" s="102" t="str">
        <x:v>ZONE_0002</x:v>
      </x:c>
      <x:c r="B3" s="102" t="str">
        <x:v>ASSET087</x:v>
      </x:c>
      <x:c r="C3" s="102" t="str">
        <x:v>KEZAD economic-zones ecosystem</x:v>
      </x:c>
      <x:c r="D3" s="102" t="str">
        <x:v>United Arab Emirates</x:v>
      </x:c>
      <x:c r="E3" s="102" t="str">
        <x:v>Abu Dhabi</x:v>
      </x:c>
      <x:c r="F3" s="102" t="str">
        <x:v>Economic cities / free zones / industrial real estate</x:v>
      </x:c>
      <x:c r="G3" s="102" t="str">
        <x:v>COMP_KEZAD</x:v>
      </x:c>
      <x:c r="H3" s="102" t="str">
        <x:v>COMP_ADPORTS</x:v>
      </x:c>
      <x:c r="I3" s="102" t="n">
        <x:v>550</x:v>
      </x:c>
      <x:c r="J3" s="102" t="n">
        <x:v>100</x:v>
      </x:c>
      <x:c r="K3" s="102" t="n">
        <x:v>625000</x:v>
      </x:c>
      <x:c r="L3" s="102" t="str">
        <x:v>Free-zone and domestic economic-zone regimes</x:v>
      </x:c>
      <x:c r="M3" s="102" t="str">
        <x:v>Khalifa Port; wider AD Ports network</x:v>
      </x:c>
      <x:c r="N3" s="102" t="str">
        <x:v>Etihad Rail-connected ecosystem</x:v>
      </x:c>
      <x:c r="O3" s="102" t="str">
        <x:v>Abu Dhabi / Al Ain / UAE airports</x:v>
      </x:c>
      <x:c r="P3" s="102" t="str">
        <x:v>Major UAE road network</x:v>
      </x:c>
      <x:c r="Q3" s="102" t="str">
        <x:v>Industry; logistics; food; metals; automotive; warehousing; manufacturing</x:v>
      </x:c>
      <x:c r="R3" s="102" t="str">
        <x:v>Operating / expanding</x:v>
      </x:c>
      <x:c r="S3" s="102" t="str">
        <x:v>SRC_0276</x:v>
      </x:c>
      <x:c r="T3" s="102" t="str">
        <x:v>https://www.adportsgroup.com/-/media/sites/adports/investors/2025/downloads/adpg--2025-capital-market-day-consolidated.pdf?rev=-1</x:v>
      </x:c>
      <x:c r="U3" s="102" t="str">
        <x:v>2025 Capital Markets Day reported 12 economic cities, 550 km², 100 km² free zone and 625,000 sqm of warehouses.</x:v>
      </x:c>
    </x:row>
    <x:row r="4">
      <x:c r="A4" s="102" t="str">
        <x:v>ZONE_0003</x:v>
      </x:c>
      <x:c r="B4" s="102" t="str">
        <x:v>ASSET088</x:v>
      </x:c>
      <x:c r="C4" s="102" t="str">
        <x:v>KEZAD East Port Said Economic Zone</x:v>
      </x:c>
      <x:c r="D4" s="102" t="str">
        <x:v>Egypt</x:v>
      </x:c>
      <x:c r="E4" s="102" t="str">
        <x:v>East Port Said</x:v>
      </x:c>
      <x:c r="F4" s="102" t="str">
        <x:v>Industrial and logistics park / economic zone</x:v>
      </x:c>
      <x:c r="G4" s="102" t="str">
        <x:v>COMP_KEZAD</x:v>
      </x:c>
      <x:c r="H4" s="102" t="str">
        <x:v>COMP_ADPORTS</x:v>
      </x:c>
      <x:c r="I4" s="102" t="n">
        <x:v>20</x:v>
      </x:c>
      <x:c r="J4" s="102"/>
      <x:c r="K4" s="102"/>
      <x:c r="L4" s="102" t="str">
        <x:v>Under Suez Canal Economic Zone framework</x:v>
      </x:c>
      <x:c r="M4" s="102" t="str">
        <x:v>East Port Said / Port Said</x:v>
      </x:c>
      <x:c r="N4" s="102" t="str">
        <x:v>To resolve</x:v>
      </x:c>
      <x:c r="O4" s="102" t="str">
        <x:v>Regional airport access to resolve</x:v>
      </x:c>
      <x:c r="P4" s="102" t="str">
        <x:v>Suez / Egyptian road network</x:v>
      </x:c>
      <x:c r="Q4" s="102" t="str">
        <x:v>Industrial production; logistics; warehousing; trade services</x:v>
      </x:c>
      <x:c r="R4" s="102" t="str">
        <x:v>Development</x:v>
      </x:c>
      <x:c r="S4" s="102" t="str">
        <x:v>SRC_0281</x:v>
      </x:c>
      <x:c r="T4" s="102" t="str">
        <x:v>https://www.adportsgroup.com/-/media/sites/adports/investors/2025/downloads/adpg-earnings-presentation-q3-2025.pdf?rev=-1</x:v>
      </x:c>
      <x:c r="U4" s="102" t="str">
        <x:v>50-year renewable usufruct; phase 1 covers 2.8 km² with $120m planned investment over three years.</x:v>
      </x:c>
    </x:row>
    <x:row r="5">
      <x:c r="A5" s="102" t="str">
        <x:v>ZONE_0004</x:v>
      </x:c>
      <x:c r="B5" s="102" t="str">
        <x:v>ASSET084</x:v>
      </x:c>
      <x:c r="C5" s="102" t="str">
        <x:v>CentrePort Canada</x:v>
      </x:c>
      <x:c r="D5" s="102" t="str">
        <x:v>Canada</x:v>
      </x:c>
      <x:c r="E5" s="102" t="str">
        <x:v>Winnipeg / Rosser, Manitoba</x:v>
      </x:c>
      <x:c r="F5" s="102" t="str">
        <x:v>Inland port / Foreign Trade Zone</x:v>
      </x:c>
      <x:c r="G5" s="102" t="str">
        <x:v>COMP_CENTREPORT</x:v>
      </x:c>
      <x:c r="H5" s="102"/>
      <x:c r="I5" s="102" t="n">
        <x:v>80.94</x:v>
      </x:c>
      <x:c r="J5" s="102"/>
      <x:c r="K5" s="102"/>
      <x:c r="L5" s="102" t="str">
        <x:v>Foreign Trade Zone</x:v>
      </x:c>
      <x:c r="M5" s="102" t="str">
        <x:v>Gateway links to Churchill, Vancouver, Prince Rupert, Thunder Bay, Montreal, Halifax and U.S./Mexican ports</x:v>
      </x:c>
      <x:c r="N5" s="102" t="str">
        <x:v>CPKC direct / CN / BNSF access</x:v>
      </x:c>
      <x:c r="O5" s="102" t="str">
        <x:v>Winnipeg Richardson International Airport</x:v>
      </x:c>
      <x:c r="P5" s="102" t="str">
        <x:v>CentrePort Canada Way / continental trucking</x:v>
      </x:c>
      <x:c r="Q5" s="102" t="str">
        <x:v>Industrial land; logistics; manufacturing; air cargo; rail; trucking</x:v>
      </x:c>
      <x:c r="R5" s="102" t="str">
        <x:v>Operating / expanding</x:v>
      </x:c>
      <x:c r="S5" s="102" t="str">
        <x:v>SRC_0271</x:v>
      </x:c>
      <x:c r="T5" s="102" t="str">
        <x:v>https://centreportcanada.ca/about-centreport/</x:v>
      </x:c>
      <x:c r="U5" s="102" t="str">
        <x:v>20,000 acres converted to ~80.94 km² for model comparability; keep original acreage in Dry Ports/Inland Hubs table.</x:v>
      </x:c>
    </x:row>
  </x:sheetData>
  <x:pageMargins left="0.7" right="0.7" top="0.75" bottom="0.75" header="0.3" footer="0.3"/>
  <x:tableParts count="1">
    <x:tablePart xmlns:r="http://schemas.openxmlformats.org/officeDocument/2006/relationships" r:id="Rfa7c6be7c75b452f"/>
  </x:tableParts>
</x:worksheet>
</file>

<file path=xl/worksheets/sheet73.xml><?xml version="1.0" encoding="utf-8"?>
<x:worksheet xmlns:x="http://schemas.openxmlformats.org/spreadsheetml/2006/main">
  <x:sheetFormatPr defaultRowHeight="15"/>
  <x:cols>
    <x:col min="1" max="1" width="14" hidden="0" customWidth="1"/>
    <x:col min="2" max="2" width="14" hidden="0" customWidth="1"/>
    <x:col min="3" max="3" width="32" hidden="0" customWidth="1"/>
    <x:col min="4" max="4" width="22" hidden="0" customWidth="1"/>
    <x:col min="5" max="5" width="30" hidden="0" customWidth="1"/>
    <x:col min="6" max="6" width="30" hidden="0" customWidth="1"/>
    <x:col min="7" max="7" width="24" hidden="0" customWidth="1"/>
    <x:col min="8" max="8" width="28" hidden="0" customWidth="1"/>
    <x:col min="9" max="9" width="16" hidden="0" customWidth="1"/>
    <x:col min="10" max="10" width="16" hidden="0" customWidth="1"/>
    <x:col min="11" max="11" width="16" hidden="0" customWidth="1"/>
    <x:col min="12" max="12" width="28" hidden="0" customWidth="1"/>
    <x:col min="13" max="13" width="32" hidden="0" customWidth="1"/>
    <x:col min="14" max="14" width="28" hidden="0" customWidth="1"/>
    <x:col min="15" max="15" width="34" hidden="0" customWidth="1"/>
    <x:col min="16" max="16" width="20" hidden="0" customWidth="1"/>
    <x:col min="17" max="17" width="16" hidden="0" customWidth="1"/>
    <x:col min="18" max="18" width="14" hidden="0" customWidth="1"/>
    <x:col min="19" max="19" width="50" hidden="0" customWidth="1"/>
    <x:col min="20" max="20" width="48" hidden="0" customWidth="1"/>
  </x:cols>
  <x:sheetData>
    <x:row r="1">
      <x:c r="A1" s="180" t="str">
        <x:v>LRE ID</x:v>
      </x:c>
      <x:c r="B1" s="180" t="str">
        <x:v>Asset ID</x:v>
      </x:c>
      <x:c r="C1" s="180" t="str">
        <x:v>Asset / Portfolio</x:v>
      </x:c>
      <x:c r="D1" s="180" t="str">
        <x:v>Country / Region</x:v>
      </x:c>
      <x:c r="E1" s="180" t="str">
        <x:v>Location</x:v>
      </x:c>
      <x:c r="F1" s="180" t="str">
        <x:v>Investor / Owner Company IDs</x:v>
      </x:c>
      <x:c r="G1" s="180" t="str">
        <x:v>Developer / Manager</x:v>
      </x:c>
      <x:c r="H1" s="180" t="str">
        <x:v>Asset Type</x:v>
      </x:c>
      <x:c r="I1" s="180" t="str">
        <x:v>Reported Area</x:v>
      </x:c>
      <x:c r="J1" s="180" t="str">
        <x:v>Area Unit</x:v>
      </x:c>
      <x:c r="K1" s="180" t="str">
        <x:v>Properties / Units</x:v>
      </x:c>
      <x:c r="L1" s="180" t="str">
        <x:v>Rail Access</x:v>
      </x:c>
      <x:c r="M1" s="180" t="str">
        <x:v>Port Connection</x:v>
      </x:c>
      <x:c r="N1" s="180" t="str">
        <x:v>Airport Connection</x:v>
      </x:c>
      <x:c r="O1" s="180" t="str">
        <x:v>Tenant / Occupier Profile</x:v>
      </x:c>
      <x:c r="P1" s="180" t="str">
        <x:v>Status</x:v>
      </x:c>
      <x:c r="Q1" s="180" t="str">
        <x:v>Related Deal ID</x:v>
      </x:c>
      <x:c r="R1" s="180" t="str">
        <x:v>Source ID</x:v>
      </x:c>
      <x:c r="S1" s="180" t="str">
        <x:v>Source URL</x:v>
      </x:c>
      <x:c r="T1" s="180" t="str">
        <x:v>Notes</x:v>
      </x:c>
    </x:row>
    <x:row r="2">
      <x:c r="A2" s="102" t="str">
        <x:v>LRE_0001</x:v>
      </x:c>
      <x:c r="B2" s="102" t="str">
        <x:v>ASSET077</x:v>
      </x:c>
      <x:c r="C2" s="102" t="str">
        <x:v>KKR/Mirastar UK logistics portfolio</x:v>
      </x:c>
      <x:c r="D2" s="102" t="str">
        <x:v>United Kingdom</x:v>
      </x:c>
      <x:c r="E2" s="102" t="str">
        <x:v>Stafford / Crewe / Ellesmere Port / Wakefield</x:v>
      </x:c>
      <x:c r="F2" s="102" t="str">
        <x:v>COMP_KKR;COMP_MIRASTAR</x:v>
      </x:c>
      <x:c r="G2" s="102" t="str">
        <x:v>Mirastar</x:v>
      </x:c>
      <x:c r="H2" s="102" t="str">
        <x:v>Prime logistics portfolio</x:v>
      </x:c>
      <x:c r="I2" s="102" t="n">
        <x:v>1250000</x:v>
      </x:c>
      <x:c r="J2" s="102" t="str">
        <x:v>sq ft</x:v>
      </x:c>
      <x:c r="K2" s="102" t="n">
        <x:v>4</x:v>
      </x:c>
      <x:c r="L2" s="102" t="str">
        <x:v>Site-specific / to resolve</x:v>
      </x:c>
      <x:c r="M2" s="102" t="str">
        <x:v>Ellesmere Port asset is port-adjacent; wider portfolio linked to UK logistics markets</x:v>
      </x:c>
      <x:c r="N2" s="102"/>
      <x:c r="O2" s="102" t="str">
        <x:v>Retail distribution; 3PL; e-commerce</x:v>
      </x:c>
      <x:c r="P2" s="102" t="str">
        <x:v>Operating</x:v>
      </x:c>
      <x:c r="Q2" s="102" t="str">
        <x:v>IDEAL_0003</x:v>
      </x:c>
      <x:c r="R2" s="102" t="str">
        <x:v>SRC_0263</x:v>
      </x:c>
      <x:c r="S2" s="102" t="str">
        <x:v>https://media.kkr.com/news-details?news_id=4f6ff0d9-9b59-487c-abce-108f533fdd9b</x:v>
      </x:c>
      <x:c r="T2" s="102" t="str">
        <x:v>Fully let portfolio acquired for ~GBP170m.</x:v>
      </x:c>
    </x:row>
    <x:row r="3">
      <x:c r="A3" s="102" t="str">
        <x:v>LRE_0002</x:v>
      </x:c>
      <x:c r="B3" s="102" t="str">
        <x:v>ASSET078</x:v>
      </x:c>
      <x:c r="C3" s="102" t="str">
        <x:v>Fort Worth rail-served logistics asset</x:v>
      </x:c>
      <x:c r="D3" s="102" t="str">
        <x:v>United States</x:v>
      </x:c>
      <x:c r="E3" s="102" t="str">
        <x:v>Alliance submarket, Fort Worth, Texas</x:v>
      </x:c>
      <x:c r="F3" s="102" t="str">
        <x:v>COMP_STONEPEAK</x:v>
      </x:c>
      <x:c r="G3" s="102" t="str">
        <x:v>Stonepeak</x:v>
      </x:c>
      <x:c r="H3" s="102" t="str">
        <x:v>Rail-served logistics facility</x:v>
      </x:c>
      <x:c r="I3" s="102" t="n">
        <x:v>860100</x:v>
      </x:c>
      <x:c r="J3" s="102" t="str">
        <x:v>sq ft</x:v>
      </x:c>
      <x:c r="K3" s="102" t="n">
        <x:v>1</x:v>
      </x:c>
      <x:c r="L3" s="102" t="str">
        <x:v>BNSF Alliance intermodal terminal / two Class I rail lines</x:v>
      </x:c>
      <x:c r="M3" s="102" t="str">
        <x:v>North American inland/intermodal network</x:v>
      </x:c>
      <x:c r="N3" s="102" t="str">
        <x:v>Fort Worth Alliance cargo airport</x:v>
      </x:c>
      <x:c r="O3" s="102" t="str">
        <x:v>Supply-chain / logistics occupiers</x:v>
      </x:c>
      <x:c r="P3" s="102" t="str">
        <x:v>Operating</x:v>
      </x:c>
      <x:c r="Q3" s="102" t="str">
        <x:v>IDEAL_0011</x:v>
      </x:c>
      <x:c r="R3" s="102" t="str">
        <x:v>SRC_0285</x:v>
      </x:c>
      <x:c r="S3" s="102" t="str">
        <x:v>https://stonepeak.com/news/stonepeak-acquires-rail-served-logistics-asset-in-fort-worth-texas</x:v>
      </x:c>
      <x:c r="T3" s="102" t="str">
        <x:v>Direct I-35 NAFTA corridor relevance.</x:v>
      </x:c>
    </x:row>
    <x:row r="4">
      <x:c r="A4" s="102" t="str">
        <x:v>LRE_0003</x:v>
      </x:c>
      <x:c r="B4" s="102" t="str">
        <x:v>ASSET079</x:v>
      </x:c>
      <x:c r="C4" s="102" t="str">
        <x:v>Proxity pan-European logistics platform</x:v>
      </x:c>
      <x:c r="D4" s="102" t="str">
        <x:v>Europe</x:v>
      </x:c>
      <x:c r="E4" s="102" t="str">
        <x:v>Continental Europe / Nordics / Ireland</x:v>
      </x:c>
      <x:c r="F4" s="102" t="str">
        <x:v>COMP_BLACKSTONE</x:v>
      </x:c>
      <x:c r="G4" s="102" t="str">
        <x:v>COMP_PROXITY</x:v>
      </x:c>
      <x:c r="H4" s="102" t="str">
        <x:v>Pan-European logistics portfolio</x:v>
      </x:c>
      <x:c r="I4" s="102" t="n">
        <x:v>7000000</x:v>
      </x:c>
      <x:c r="J4" s="102" t="str">
        <x:v>&gt; sqm</x:v>
      </x:c>
      <x:c r="K4" s="102" t="n">
        <x:v>500</x:v>
      </x:c>
      <x:c r="L4" s="102"/>
      <x:c r="M4" s="102" t="str">
        <x:v>Gateway-market logistics network</x:v>
      </x:c>
      <x:c r="N4" s="102"/>
      <x:c r="O4" s="102" t="str">
        <x:v>Diversified logistics / warehouse tenants</x:v>
      </x:c>
      <x:c r="P4" s="102" t="str">
        <x:v>Operating / expanding</x:v>
      </x:c>
      <x:c r="Q4" s="102" t="str">
        <x:v>IDEAL_0009</x:v>
      </x:c>
      <x:c r="R4" s="102" t="str">
        <x:v>SRC_0264</x:v>
      </x:c>
      <x:c r="S4" s="102" t="str">
        <x:v>https://www.blackstone.com/news/press/blackstone-launches-proxity-a-new-pan-european-logistics-platform/</x:v>
      </x:c>
      <x:c r="T4" s="102" t="str">
        <x:v>Reported as more than seven million sqm; approximately 500 properties/development projects at launch.</x:v>
      </x:c>
    </x:row>
    <x:row r="5">
      <x:c r="A5" s="102" t="str">
        <x:v>LRE_0004</x:v>
      </x:c>
      <x:c r="B5" s="102"/>
      <x:c r="C5" s="102" t="str">
        <x:v>Prologis global logistics portfolio</x:v>
      </x:c>
      <x:c r="D5" s="102" t="str">
        <x:v>20 countries</x:v>
      </x:c>
      <x:c r="E5" s="102" t="str">
        <x:v>Global key commercial hubs</x:v>
      </x:c>
      <x:c r="F5" s="102" t="str">
        <x:v>COMP_PROLOGIS</x:v>
      </x:c>
      <x:c r="G5" s="102" t="str">
        <x:v>Prologis</x:v>
      </x:c>
      <x:c r="H5" s="102" t="str">
        <x:v>Global logistics real-estate portfolio</x:v>
      </x:c>
      <x:c r="I5" s="102" t="n">
        <x:v>1300000000</x:v>
      </x:c>
      <x:c r="J5" s="102" t="str">
        <x:v>sq ft</x:v>
      </x:c>
      <x:c r="K5" s="102" t="n">
        <x:v>5929</x:v>
      </x:c>
      <x:c r="L5" s="102" t="str">
        <x:v>Many intermodal / gateway locations</x:v>
      </x:c>
      <x:c r="M5" s="102" t="str">
        <x:v>Portfolio includes import and national distribution centres with seaport access</x:v>
      </x:c>
      <x:c r="N5" s="102" t="str">
        <x:v>Major-market airport access</x:v>
      </x:c>
      <x:c r="O5" s="102" t="str">
        <x:v>~6,500 customers</x:v>
      </x:c>
      <x:c r="P5" s="102" t="str">
        <x:v>Operating / expanding</x:v>
      </x:c>
      <x:c r="Q5" s="102"/>
      <x:c r="R5" s="102" t="str">
        <x:v>SRC_0266</x:v>
      </x:c>
      <x:c r="S5" s="102" t="str">
        <x:v>https://ir.prologis.com/financials/sec-filings/content/0001193125-26-305416/pld-ex99_1.htm</x:v>
      </x:c>
      <x:c r="T5" s="102" t="str">
        <x:v>June 30 2026 scale snapshot.</x:v>
      </x:c>
    </x:row>
    <x:row r="6">
      <x:c r="A6" s="102" t="str">
        <x:v>LRE_0005</x:v>
      </x:c>
      <x:c r="B6" s="102" t="str">
        <x:v>ASSET080</x:v>
      </x:c>
      <x:c r="C6" s="102" t="str">
        <x:v>PLIVE seed logistics portfolio</x:v>
      </x:c>
      <x:c r="D6" s="102" t="str">
        <x:v>Europe</x:v>
      </x:c>
      <x:c r="E6" s="102" t="str">
        <x:v>France / Germany / Netherlands / Sweden / United Kingdom</x:v>
      </x:c>
      <x:c r="F6" s="102" t="str">
        <x:v>COMP_LA_CAISSE;COMP_PROLOGIS</x:v>
      </x:c>
      <x:c r="G6" s="102" t="str">
        <x:v>Prologis</x:v>
      </x:c>
      <x:c r="H6" s="102" t="str">
        <x:v>Pan-European logistics JV portfolio</x:v>
      </x:c>
      <x:c r="I6" s="102" t="n">
        <x:v>1000000000</x:v>
      </x:c>
      <x:c r="J6" s="102" t="str">
        <x:v>EUR seed value</x:v>
      </x:c>
      <x:c r="K6" s="102"/>
      <x:c r="L6" s="102"/>
      <x:c r="M6" s="102" t="str">
        <x:v>Core European logistics markets</x:v>
      </x:c>
      <x:c r="N6" s="102"/>
      <x:c r="O6" s="102" t="str">
        <x:v>Logistics customers</x:v>
      </x:c>
      <x:c r="P6" s="102" t="str">
        <x:v>Operating / expanding</x:v>
      </x:c>
      <x:c r="Q6" s="102" t="str">
        <x:v>IDEAL_0005</x:v>
      </x:c>
      <x:c r="R6" s="102" t="str">
        <x:v>SRC_0268</x:v>
      </x:c>
      <x:c r="S6" s="102" t="str">
        <x:v>https://ir.prologis.com/news-events/press-releases/detail/1035/la-caisse-and-prologis-launch-pan-european-logistics-joint-venture</x:v>
      </x:c>
      <x:c r="T6" s="102" t="str">
        <x:v>Value is seed portfolio value, not physical area.</x:v>
      </x:c>
    </x:row>
    <x:row r="7">
      <x:c r="A7" s="102" t="str">
        <x:v>LRE_0006</x:v>
      </x:c>
      <x:c r="B7" s="102" t="str">
        <x:v>ASSET086</x:v>
      </x:c>
      <x:c r="C7" s="102" t="str">
        <x:v>JAFZA Logistics Park</x:v>
      </x:c>
      <x:c r="D7" s="102" t="str">
        <x:v>United Arab Emirates</x:v>
      </x:c>
      <x:c r="E7" s="102" t="str">
        <x:v>Jebel Ali Free Zone, Dubai</x:v>
      </x:c>
      <x:c r="F7" s="102" t="str">
        <x:v>COMP_DPW;COMP_JAFZA</x:v>
      </x:c>
      <x:c r="G7" s="102" t="str">
        <x:v>JAFZA / DP World</x:v>
      </x:c>
      <x:c r="H7" s="102" t="str">
        <x:v>Multi-tenant logistics park</x:v>
      </x:c>
      <x:c r="I7" s="102" t="n">
        <x:v>562507</x:v>
      </x:c>
      <x:c r="J7" s="102" t="str">
        <x:v>sq ft phase 1</x:v>
      </x:c>
      <x:c r="K7" s="102"/>
      <x:c r="L7" s="102"/>
      <x:c r="M7" s="102" t="str">
        <x:v>Adjacent to Jebel Ali Port</x:v>
      </x:c>
      <x:c r="N7" s="102" t="str">
        <x:v>Dubai air-cargo network</x:v>
      </x:c>
      <x:c r="O7" s="102" t="str">
        <x:v>Dry storage; pharma; temperature-controlled; offices</x:v>
      </x:c>
      <x:c r="P7" s="102" t="str">
        <x:v>Operating / expanding</x:v>
      </x:c>
      <x:c r="Q7" s="102"/>
      <x:c r="R7" s="102" t="str">
        <x:v>SRC_0274</x:v>
      </x:c>
      <x:c r="S7" s="102" t="str">
        <x:v>https://www.jafza.ae/resource-centre/media/news/jafza-completes-phase-1-of-new-logistics-park/</x:v>
      </x:c>
      <x:c r="T7" s="102" t="str">
        <x:v>Phase 2 was planned to add 250,000 sq ft; current completion status to refresh separately.</x:v>
      </x:c>
    </x:row>
    <x:row r="8">
      <x:c r="A8" s="102" t="str">
        <x:v>LRE_0007</x:v>
      </x:c>
      <x:c r="B8" s="102" t="str">
        <x:v>ASSET087</x:v>
      </x:c>
      <x:c r="C8" s="102" t="str">
        <x:v>KEZAD warehouse / industrial real-estate ecosystem</x:v>
      </x:c>
      <x:c r="D8" s="102" t="str">
        <x:v>United Arab Emirates</x:v>
      </x:c>
      <x:c r="E8" s="102" t="str">
        <x:v>Abu Dhabi</x:v>
      </x:c>
      <x:c r="F8" s="102" t="str">
        <x:v>COMP_ADPORTS;COMP_KEZAD</x:v>
      </x:c>
      <x:c r="G8" s="102" t="str">
        <x:v>KEZAD Group</x:v>
      </x:c>
      <x:c r="H8" s="102" t="str">
        <x:v>Economic-zone logistics / industrial real estate</x:v>
      </x:c>
      <x:c r="I8" s="102" t="n">
        <x:v>625000</x:v>
      </x:c>
      <x:c r="J8" s="102" t="str">
        <x:v>sqm warehouses</x:v>
      </x:c>
      <x:c r="K8" s="102"/>
      <x:c r="L8" s="102" t="str">
        <x:v>Etihad Rail-connected ecosystem</x:v>
      </x:c>
      <x:c r="M8" s="102" t="str">
        <x:v>Khalifa Port / AD Ports network</x:v>
      </x:c>
      <x:c r="N8" s="102" t="str">
        <x:v>UAE airport connectivity</x:v>
      </x:c>
      <x:c r="O8" s="102" t="str">
        <x:v>2,100+ client ecosystem reported in 2025 presentation</x:v>
      </x:c>
      <x:c r="P8" s="102" t="str">
        <x:v>Operating / expanding</x:v>
      </x:c>
      <x:c r="Q8" s="102"/>
      <x:c r="R8" s="102" t="str">
        <x:v>SRC_0276</x:v>
      </x:c>
      <x:c r="S8" s="102" t="str">
        <x:v>https://www.adportsgroup.com/-/media/sites/adports/investors/2025/downloads/adpg--2025-capital-market-day-consolidated.pdf?rev=-1</x:v>
      </x:c>
      <x:c r="T8" s="102" t="str">
        <x:v>Keep zone-level land and warehouse stock separate from individual tenant/build-to-suit facilities.</x:v>
      </x:c>
    </x:row>
    <x:row r="9">
      <x:c r="A9" s="102" t="str">
        <x:v>LRE_0008</x:v>
      </x:c>
      <x:c r="B9" s="102" t="str">
        <x:v>ASSET081</x:v>
      </x:c>
      <x:c r="C9" s="102" t="str">
        <x:v>Tbilisi Dry Port logistics real estate</x:v>
      </x:c>
      <x:c r="D9" s="102" t="str">
        <x:v>Georgia</x:v>
      </x:c>
      <x:c r="E9" s="102" t="str">
        <x:v>Tbilisi</x:v>
      </x:c>
      <x:c r="F9" s="102" t="str">
        <x:v>COMP_ADPORTS;COMP_TBILISI_DRY_PORT</x:v>
      </x:c>
      <x:c r="G9" s="102" t="str">
        <x:v>Tbilisi Dry Port LLC</x:v>
      </x:c>
      <x:c r="H9" s="102" t="str">
        <x:v>Customs-bonded warehousing / container yards</x:v>
      </x:c>
      <x:c r="I9" s="102" t="n">
        <x:v>12300</x:v>
      </x:c>
      <x:c r="J9" s="102" t="str">
        <x:v>sqm warehouse</x:v>
      </x:c>
      <x:c r="K9" s="102" t="n">
        <x:v>2</x:v>
      </x:c>
      <x:c r="L9" s="102" t="str">
        <x:v>Four 600m rail spurs</x:v>
      </x:c>
      <x:c r="M9" s="102" t="str">
        <x:v>Poti / Batumi</x:v>
      </x:c>
      <x:c r="N9" s="102" t="str">
        <x:v>Near Tbilisi Airport</x:v>
      </x:c>
      <x:c r="O9" s="102" t="str">
        <x:v>3PL; cross-stuffing; container storage; vehicle storage</x:v>
      </x:c>
      <x:c r="P9" s="102" t="str">
        <x:v>Operating / expanding</x:v>
      </x:c>
      <x:c r="Q9" s="102" t="str">
        <x:v>IDEAL_0008</x:v>
      </x:c>
      <x:c r="R9" s="102" t="str">
        <x:v>SRC_0278</x:v>
      </x:c>
      <x:c r="S9" s="102" t="str">
        <x:v>https://www.tbilisidryport.com/infrastructure-facilities/</x:v>
      </x:c>
      <x:c r="T9" s="102" t="str">
        <x:v>9,800 sqm Class A + 2,500 sqm Class B warehouse; yard figures kept in dry-port table.</x:v>
      </x:c>
    </x:row>
    <x:row r="10">
      <x:c r="A10" s="42" t="str">
        <x:v>LRE_0009</x:v>
      </x:c>
      <x:c r="B10" s="42" t="str">
        <x:v>ASSET092</x:v>
      </x:c>
      <x:c r="C10" s="42" t="str">
        <x:v>DHL Supply Chain Halle Logistics Center</x:v>
      </x:c>
      <x:c r="D10" s="42" t="str">
        <x:v>Germany</x:v>
      </x:c>
      <x:c r="E10" s="42" t="str">
        <x:v>Halle / Leipzig region</x:v>
      </x:c>
      <x:c r="F10" s="42" t="str">
        <x:v>COMP_DHL_SUPPLY_CHAIN</x:v>
      </x:c>
      <x:c r="G10" s="42" t="str">
        <x:v>DHL Supply Chain</x:v>
      </x:c>
      <x:c r="H10" s="42" t="str">
        <x:v>Multi-user / contract logistics warehouse</x:v>
      </x:c>
      <x:c r="I10" s="42" t="str">
        <x:v>34000</x:v>
      </x:c>
      <x:c r="J10" s="42" t="str">
        <x:v>sqm warehouse</x:v>
      </x:c>
      <x:c r="K10" s="42" t="str">
        <x:v>55,000 pallet spaces</x:v>
      </x:c>
      <x:c r="L10" s="42" t="str"/>
      <x:c r="M10" s="42" t="str"/>
      <x:c r="N10" s="42" t="str">
        <x:v>Leipzig/Halle Airport / DHL Express global hub</x:v>
      </x:c>
      <x:c r="O10" s="42" t="str">
        <x:v>Multi-sector contract-logistics customers</x:v>
      </x:c>
      <x:c r="P10" s="42" t="str">
        <x:v>Operating / expanding</x:v>
      </x:c>
      <x:c r="Q10" s="42" t="str"/>
      <x:c r="R10" s="42" t="str">
        <x:v>SRC_0316</x:v>
      </x:c>
      <x:c r="S10" s="42" t="str">
        <x:v>https://group.dhl.com/en/media-relations/press-releases/2025/dhl-supply-chain-invests-in-climate-neutral-expansion-new-logistics-center-strengthens-leipzig-halle-as-europes-freight-hub.html</x:v>
      </x:c>
      <x:c r="T10" s="42" t="str">
        <x:v>Illustrates cross-division proximity between DHL Supply Chain warehousing and DHL Express air-hub capacity.</x:v>
      </x:c>
    </x:row>
    <x:row r="11">
      <x:c r="A11" s="42" t="str">
        <x:v>LRE_0010</x:v>
      </x:c>
      <x:c r="B11" s="42" t="str">
        <x:v>ASSET093</x:v>
      </x:c>
      <x:c r="C11" s="42" t="str">
        <x:v>DHL Supply Chain SILZ Regional Hub</x:v>
      </x:c>
      <x:c r="D11" s="42" t="str">
        <x:v>Saudi Arabia</x:v>
      </x:c>
      <x:c r="E11" s="42" t="str">
        <x:v>Special Integrated Logistics Zone, Riyadh</x:v>
      </x:c>
      <x:c r="F11" s="42" t="str">
        <x:v>COMP_DHL_SUPPLY_CHAIN</x:v>
      </x:c>
      <x:c r="G11" s="42" t="str">
        <x:v>DHL Supply Chain</x:v>
      </x:c>
      <x:c r="H11" s="42" t="str">
        <x:v>Airport-linked bonded logistics / warehouse development</x:v>
      </x:c>
      <x:c r="I11" s="42" t="str">
        <x:v>53000</x:v>
      </x:c>
      <x:c r="J11" s="42" t="str">
        <x:v>sqm warehouse</x:v>
      </x:c>
      <x:c r="K11" s="42" t="str">
        <x:v>78,000 sqm site; 26-year land lease</x:v>
      </x:c>
      <x:c r="L11" s="42" t="str"/>
      <x:c r="M11" s="42" t="str"/>
      <x:c r="N11" s="42" t="str">
        <x:v>King Khalid International Airport ~8 km; bonded corridor</x:v>
      </x:c>
      <x:c r="O11" s="42" t="str">
        <x:v>Technology; retail; consumer; automotive; energy; e-commerce</x:v>
      </x:c>
      <x:c r="P11" s="42" t="str">
        <x:v>Development</x:v>
      </x:c>
      <x:c r="Q11" s="42" t="str"/>
      <x:c r="R11" s="42" t="str">
        <x:v>SRC_0296</x:v>
      </x:c>
      <x:c r="S11" s="42" t="str">
        <x:v>https://group.dhl.com/en/media-relations/press-releases/2025/dhl-supply-chain-to-invest-eur-130-million-in-new-warehouse-at-saudi-arabia.html</x:v>
      </x:c>
      <x:c r="T11" s="42" t="str">
        <x:v>Part of DHL's wider €500m Middle East investment program through 2030; do not double-count this €130m when aggregating the broader program.</x:v>
      </x:c>
    </x:row>
    <x:row r="12">
      <x:c r="A12" s="42" t="str">
        <x:v>LRE_0011</x:v>
      </x:c>
      <x:c r="B12" s="42" t="str">
        <x:v>ASSET096</x:v>
      </x:c>
      <x:c r="C12" s="42" t="str">
        <x:v>FedEx Delhi Integrated Air Cargo Hub</x:v>
      </x:c>
      <x:c r="D12" s="42" t="str">
        <x:v>India</x:v>
      </x:c>
      <x:c r="E12" s="42" t="str">
        <x:v>GMR Cargo City, Delhi IGI Airport</x:v>
      </x:c>
      <x:c r="F12" s="42" t="str">
        <x:v>COMP_FEDERAL_EXPRESS</x:v>
      </x:c>
      <x:c r="G12" s="42" t="str">
        <x:v>Federal Express Corporation</x:v>
      </x:c>
      <x:c r="H12" s="42" t="str">
        <x:v>Integrated air-cargo gateway / pickup-delivery hub</x:v>
      </x:c>
      <x:c r="I12" s="42" t="str">
        <x:v>230000</x:v>
      </x:c>
      <x:c r="J12" s="42" t="str">
        <x:v>sq ft</x:v>
      </x:c>
      <x:c r="K12" s="42" t="str">
        <x:v>Planned automated hub</x:v>
      </x:c>
      <x:c r="L12" s="42" t="str"/>
      <x:c r="M12" s="42" t="str"/>
      <x:c r="N12" s="42" t="str">
        <x:v>Delhi Indira Gandhi International Airport</x:v>
      </x:c>
      <x:c r="O12" s="42" t="str">
        <x:v>North and East India international express / cargo customers</x:v>
      </x:c>
      <x:c r="P12" s="42" t="str">
        <x:v>Development</x:v>
      </x:c>
      <x:c r="Q12" s="42" t="str"/>
      <x:c r="R12" s="42" t="str">
        <x:v>SRC_0300</x:v>
      </x:c>
      <x:c r="S12" s="42" t="str">
        <x:v>https://newsroom.fedex.com/newsroom/global/fedex-announces-plans-to-develop-new-integrated-air-cargo-hub-at-gmr-cargo-city-delhi-airport</x:v>
      </x:c>
      <x:c r="T12" s="42" t="str">
        <x:v>Gateway and pickup/delivery functions designed under one roof.</x:v>
      </x:c>
    </x:row>
    <x:row r="13">
      <x:c r="A13" s="42" t="str">
        <x:v>LRE_0012</x:v>
      </x:c>
      <x:c r="B13" s="42" t="str">
        <x:v>ASSET097</x:v>
      </x:c>
      <x:c r="C13" s="42" t="str">
        <x:v>Amazon Air CVG Hub</x:v>
      </x:c>
      <x:c r="D13" s="42" t="str">
        <x:v>United States</x:v>
      </x:c>
      <x:c r="E13" s="42" t="str">
        <x:v>Cincinnati/Northern Kentucky International Airport</x:v>
      </x:c>
      <x:c r="F13" s="42" t="str">
        <x:v>COMP_AMAZON;COMP_AMAZON_AIR</x:v>
      </x:c>
      <x:c r="G13" s="42" t="str">
        <x:v>Amazon Air</x:v>
      </x:c>
      <x:c r="H13" s="42" t="str">
        <x:v>Air-cargo sortation / logistics campus</x:v>
      </x:c>
      <x:c r="I13" s="42" t="str">
        <x:v>800000</x:v>
      </x:c>
      <x:c r="J13" s="42" t="str">
        <x:v>sq ft</x:v>
      </x:c>
      <x:c r="K13" s="42" t="str">
        <x:v>600-acre hub campus</x:v>
      </x:c>
      <x:c r="L13" s="42" t="str"/>
      <x:c r="M13" s="42" t="str"/>
      <x:c r="N13" s="42" t="str">
        <x:v>CVG Airport</x:v>
      </x:c>
      <x:c r="O13" s="42" t="str">
        <x:v>Amazon network / external logistics ecosystem</x:v>
      </x:c>
      <x:c r="P13" s="42" t="str">
        <x:v>Operating</x:v>
      </x:c>
      <x:c r="Q13" s="42" t="str"/>
      <x:c r="R13" s="42" t="str">
        <x:v>SRC_0306</x:v>
      </x:c>
      <x:c r="S13" s="42" t="str">
        <x:v>https://www.aboutamazon.com/news/operations/welcome-to-the-amazon-air-hub</x:v>
      </x:c>
      <x:c r="T13" s="42" t="str">
        <x:v>Flagship Amazon Air hub; investment and land-area fields are captured separately.</x:v>
      </x:c>
    </x:row>
    <x:row r="14">
      <x:c r="A14" s="42" t="str">
        <x:v>LRE_0013</x:v>
      </x:c>
      <x:c r="B14" s="42" t="str">
        <x:v>ASSET098</x:v>
      </x:c>
      <x:c r="C14" s="42" t="str">
        <x:v>Aramex Healthcare Warehouse - Dubai Logistics City</x:v>
      </x:c>
      <x:c r="D14" s="42" t="str">
        <x:v>United Arab Emirates</x:v>
      </x:c>
      <x:c r="E14" s="42" t="str">
        <x:v>Dubai Logistics City / DWC Free Zone</x:v>
      </x:c>
      <x:c r="F14" s="42" t="str">
        <x:v>COMP_ARAMEX</x:v>
      </x:c>
      <x:c r="G14" s="42" t="str">
        <x:v>Aramex</x:v>
      </x:c>
      <x:c r="H14" s="42" t="str">
        <x:v>Healthcare / cold-chain warehouse</x:v>
      </x:c>
      <x:c r="I14" s="42" t="str">
        <x:v>5600</x:v>
      </x:c>
      <x:c r="J14" s="42" t="str">
        <x:v>approx sqm combined</x:v>
      </x:c>
      <x:c r="K14" s="42" t="str">
        <x:v>6,750 ambient + 140 cold-chain pallet positions</x:v>
      </x:c>
      <x:c r="L14" s="42" t="str"/>
      <x:c r="M14" s="42" t="str"/>
      <x:c r="N14" s="42" t="str">
        <x:v>Al Maktoum International Airport / DWC</x:v>
      </x:c>
      <x:c r="O14" s="42" t="str">
        <x:v>Pharmaceuticals; medical devices; healthcare goods</x:v>
      </x:c>
      <x:c r="P14" s="42" t="str">
        <x:v>Operating</x:v>
      </x:c>
      <x:c r="Q14" s="42" t="str"/>
      <x:c r="R14" s="42" t="str">
        <x:v>SRC_0315</x:v>
      </x:c>
      <x:c r="S14" s="42" t="str">
        <x:v>https://www.aramex.com/ae/en/best-in-class-logistic-solutions-for-multi-faceted-industries/sciences-and-pharmaceutical-distribution</x:v>
      </x:c>
      <x:c r="T14" s="42" t="str">
        <x:v>Approximate area combines ~5,500 sqm ambient and ~100 sqm cold-chain; preserve component values in notes.</x:v>
      </x:c>
    </x:row>
  </x:sheetData>
  <x:pageMargins left="0.7" right="0.7" top="0.75" bottom="0.75" header="0.3" footer="0.3"/>
  <x:tableParts count="1">
    <x:tablePart xmlns:r="http://schemas.openxmlformats.org/officeDocument/2006/relationships" r:id="R92a195c73880498e"/>
  </x:tableParts>
</x:worksheet>
</file>

<file path=xl/worksheets/sheet74.xml><?xml version="1.0" encoding="utf-8"?>
<x:worksheet xmlns:x="http://schemas.openxmlformats.org/spreadsheetml/2006/main">
  <x:sheetFormatPr defaultRowHeight="15"/>
  <x:cols>
    <x:col min="1" max="1" width="14" hidden="0" customWidth="1"/>
    <x:col min="2" max="2" width="14" hidden="0" customWidth="1"/>
    <x:col min="3" max="3" width="34" hidden="0" customWidth="1"/>
    <x:col min="4" max="4" width="20" hidden="0" customWidth="1"/>
    <x:col min="5" max="5" width="28" hidden="0" customWidth="1"/>
    <x:col min="6" max="6" width="24" hidden="0" customWidth="1"/>
    <x:col min="7" max="7" width="24" hidden="0" customWidth="1"/>
    <x:col min="8" max="8" width="12" hidden="0" customWidth="1"/>
    <x:col min="9" max="9" width="28" hidden="0" customWidth="1"/>
    <x:col min="10" max="10" width="20" hidden="0" customWidth="1"/>
    <x:col min="11" max="11" width="14" hidden="0" customWidth="1"/>
    <x:col min="12" max="12" width="28" hidden="0" customWidth="1"/>
    <x:col min="13" max="13" width="30" hidden="0" customWidth="1"/>
    <x:col min="14" max="14" width="26" hidden="0" customWidth="1"/>
    <x:col min="15" max="15" width="24" hidden="0" customWidth="1"/>
    <x:col min="16" max="16" width="42" hidden="0" customWidth="1"/>
    <x:col min="17" max="17" width="16" hidden="0" customWidth="1"/>
    <x:col min="18" max="18" width="18" hidden="0" customWidth="1"/>
    <x:col min="19" max="19" width="16" hidden="0" customWidth="1"/>
    <x:col min="20" max="20" width="16" hidden="0" customWidth="1"/>
    <x:col min="21" max="21" width="16" hidden="0" customWidth="1"/>
    <x:col min="22" max="22" width="38" hidden="0" customWidth="1"/>
    <x:col min="23" max="23" width="14" hidden="0" customWidth="1"/>
    <x:col min="24" max="24" width="50" hidden="0" customWidth="1"/>
    <x:col min="25" max="25" width="50" hidden="0" customWidth="1"/>
  </x:cols>
  <x:sheetData>
    <x:row r="1">
      <x:c r="A1" s="180" t="str">
        <x:v>Hub ID</x:v>
      </x:c>
      <x:c r="B1" s="180" t="str">
        <x:v>Asset ID</x:v>
      </x:c>
      <x:c r="C1" s="180" t="str">
        <x:v>Hub Name</x:v>
      </x:c>
      <x:c r="D1" s="180" t="str">
        <x:v>Country</x:v>
      </x:c>
      <x:c r="E1" s="180" t="str">
        <x:v>City / Region</x:v>
      </x:c>
      <x:c r="F1" s="180" t="str">
        <x:v>Operator Company ID</x:v>
      </x:c>
      <x:c r="G1" s="180" t="str">
        <x:v>Parent / Investor Company ID</x:v>
      </x:c>
      <x:c r="H1" s="180" t="str">
        <x:v>Ownership %</x:v>
      </x:c>
      <x:c r="I1" s="180" t="str">
        <x:v>Hub Type</x:v>
      </x:c>
      <x:c r="J1" s="180" t="str">
        <x:v>Status</x:v>
      </x:c>
      <x:c r="K1" s="180" t="str">
        <x:v>UN/LOCODE</x:v>
      </x:c>
      <x:c r="L1" s="180" t="str">
        <x:v>Customs / Bonded Status</x:v>
      </x:c>
      <x:c r="M1" s="180" t="str">
        <x:v>Rail Access</x:v>
      </x:c>
      <x:c r="N1" s="180" t="str">
        <x:v>Road Access</x:v>
      </x:c>
      <x:c r="O1" s="180" t="str">
        <x:v>Air Access</x:v>
      </x:c>
      <x:c r="P1" s="180" t="str">
        <x:v>Linked Seaports / Gateways</x:v>
      </x:c>
      <x:c r="Q1" s="180" t="str">
        <x:v>Annual Capacity TEU</x:v>
      </x:c>
      <x:c r="R1" s="180" t="str">
        <x:v>Container Yard sqm</x:v>
      </x:c>
      <x:c r="S1" s="180" t="str">
        <x:v>Warehouse sqm</x:v>
      </x:c>
      <x:c r="T1" s="180" t="str">
        <x:v>Land Area</x:v>
      </x:c>
      <x:c r="U1" s="180" t="str">
        <x:v>Land Area Unit</x:v>
      </x:c>
      <x:c r="V1" s="180" t="str">
        <x:v>Key Cargo / Functions</x:v>
      </x:c>
      <x:c r="W1" s="180" t="str">
        <x:v>Source ID</x:v>
      </x:c>
      <x:c r="X1" s="180" t="str">
        <x:v>Source URL</x:v>
      </x:c>
      <x:c r="Y1" s="180" t="str">
        <x:v>Notes</x:v>
      </x:c>
    </x:row>
    <x:row r="2">
      <x:c r="A2" s="102" t="str">
        <x:v>HUB_0001</x:v>
      </x:c>
      <x:c r="B2" s="102" t="str">
        <x:v>ASSET081</x:v>
      </x:c>
      <x:c r="C2" s="102" t="str">
        <x:v>Tbilisi Intermodal Hub / Tbilisi Dry Port</x:v>
      </x:c>
      <x:c r="D2" s="102" t="str">
        <x:v>Georgia</x:v>
      </x:c>
      <x:c r="E2" s="102" t="str">
        <x:v>Tbilisi</x:v>
      </x:c>
      <x:c r="F2" s="102" t="str">
        <x:v>COMP_TBILISI_DRY_PORT</x:v>
      </x:c>
      <x:c r="G2" s="102" t="str">
        <x:v>COMP_ADPORTS</x:v>
      </x:c>
      <x:c r="H2" s="102" t="n">
        <x:v>60</x:v>
      </x:c>
      <x:c r="I2" s="102" t="str">
        <x:v>Dry port / inland intermodal hub</x:v>
      </x:c>
      <x:c r="J2" s="102" t="str">
        <x:v>Operating / expanding</x:v>
      </x:c>
      <x:c r="K2" s="102"/>
      <x:c r="L2" s="102" t="str">
        <x:v>Customs-bonded zone; customs-zone authorization</x:v>
      </x:c>
      <x:c r="M2" s="102" t="str">
        <x:v>Four 600m rail spurs; block-train access</x:v>
      </x:c>
      <x:c r="N2" s="102" t="str">
        <x:v>Direct truck / road transfer</x:v>
      </x:c>
      <x:c r="O2" s="102" t="str">
        <x:v>Near Tbilisi International Airport</x:v>
      </x:c>
      <x:c r="P2" s="102" t="str">
        <x:v>Poti; Batumi; Azerbaijan/Caspian; Armenia</x:v>
      </x:c>
      <x:c r="Q2" s="102" t="n">
        <x:v>200000</x:v>
      </x:c>
      <x:c r="R2" s="102" t="n">
        <x:v>44000</x:v>
      </x:c>
      <x:c r="S2" s="102" t="n">
        <x:v>12300</x:v>
      </x:c>
      <x:c r="T2" s="102" t="n">
        <x:v>196000</x:v>
      </x:c>
      <x:c r="U2" s="102" t="str">
        <x:v>sqm primary site</x:v>
      </x:c>
      <x:c r="V2" s="102" t="str">
        <x:v>Containers; vehicles; 3PL; customs; rail-road transfer</x:v>
      </x:c>
      <x:c r="W2" s="102" t="str">
        <x:v>SRC_0278</x:v>
      </x:c>
      <x:c r="X2" s="102" t="str">
        <x:v>https://www.tbilisidryport.com/infrastructure-facilities/</x:v>
      </x:c>
      <x:c r="Y2" s="102" t="str">
        <x:v>Official site also identifies an additional 87,000 sqm land parcel; AD Ports owns 60% of project company.</x:v>
      </x:c>
    </x:row>
    <x:row r="3">
      <x:c r="A3" s="102" t="str">
        <x:v>HUB_0002</x:v>
      </x:c>
      <x:c r="B3" s="102" t="str">
        <x:v>ASSET082</x:v>
      </x:c>
      <x:c r="C3" s="102" t="str">
        <x:v>Al Faya Dry Port</x:v>
      </x:c>
      <x:c r="D3" s="102" t="str">
        <x:v>United Arab Emirates</x:v>
      </x:c>
      <x:c r="E3" s="102" t="str">
        <x:v>Al Faya / Dubai border area</x:v>
      </x:c>
      <x:c r="F3" s="102" t="str">
        <x:v>COMP_ADPORTS</x:v>
      </x:c>
      <x:c r="G3" s="102" t="str">
        <x:v>COMP_ADPORTS</x:v>
      </x:c>
      <x:c r="H3" s="102"/>
      <x:c r="I3" s="102" t="str">
        <x:v>Dry port / bonded inland terminal</x:v>
      </x:c>
      <x:c r="J3" s="102" t="str">
        <x:v>Operating</x:v>
      </x:c>
      <x:c r="K3" s="102" t="str">
        <x:v>AEALF</x:v>
      </x:c>
      <x:c r="L3" s="102" t="str">
        <x:v>Bonded cargo movement / UN/LOCODE integrated</x:v>
      </x:c>
      <x:c r="M3" s="102"/>
      <x:c r="N3" s="102" t="str">
        <x:v>Road-connected inland cargo transit</x:v>
      </x:c>
      <x:c r="O3" s="102" t="str">
        <x:v>UAE airport network</x:v>
      </x:c>
      <x:c r="P3" s="102" t="str">
        <x:v>Khalifa Port; UAE ports / terminals</x:v>
      </x:c>
      <x:c r="Q3" s="102"/>
      <x:c r="R3" s="102"/>
      <x:c r="S3" s="102"/>
      <x:c r="T3" s="102"/>
      <x:c r="U3" s="102"/>
      <x:c r="V3" s="102" t="str">
        <x:v>Containers; inland O&amp;D; bonded transit</x:v>
      </x:c>
      <x:c r="W3" s="102" t="str">
        <x:v>SRC_0280</x:v>
      </x:c>
      <x:c r="X3" s="102" t="str">
        <x:v>https://www.adportsgroup.com/en/news-and-media/2026/06/18/ad-ports-group-enhances-al-faya-dry-ports-integration-with-the-global-trade-and-logistics-ecosystem</x:v>
      </x:c>
      <x:c r="Y3" s="102" t="str">
        <x:v>AD Ports Group facility/ecosystem; strict legal property-title percentage is not asserted. Q2 2025 presentation describes CMA CGM as anchor and Khalifa Port-to-inland function.</x:v>
      </x:c>
    </x:row>
    <x:row r="4">
      <x:c r="A4" s="102" t="str">
        <x:v>HUB_0003</x:v>
      </x:c>
      <x:c r="B4" s="102" t="str">
        <x:v>ASSET083</x:v>
      </x:c>
      <x:c r="C4" s="102" t="str">
        <x:v>Al Ghail Dry Port rail terminal</x:v>
      </x:c>
      <x:c r="D4" s="102" t="str">
        <x:v>United Arab Emirates</x:v>
      </x:c>
      <x:c r="E4" s="102" t="str">
        <x:v>Al Ghail, Ras Al Khaimah</x:v>
      </x:c>
      <x:c r="F4" s="102" t="str">
        <x:v>COMP_ETIHAD_RAIL</x:v>
      </x:c>
      <x:c r="G4" s="102" t="str">
        <x:v>COMP_ETIHAD_RAIL</x:v>
      </x:c>
      <x:c r="H4" s="102"/>
      <x:c r="I4" s="102" t="str">
        <x:v>Dry port / rail freight terminal</x:v>
      </x:c>
      <x:c r="J4" s="102" t="str">
        <x:v>Operating</x:v>
      </x:c>
      <x:c r="K4" s="102"/>
      <x:c r="L4" s="102"/>
      <x:c r="M4" s="102" t="str">
        <x:v>Etihad Rail National Rail Network</x:v>
      </x:c>
      <x:c r="N4" s="102" t="str">
        <x:v>First / last mile trucking</x:v>
      </x:c>
      <x:c r="O4" s="102" t="str">
        <x:v>UAE airport network</x:v>
      </x:c>
      <x:c r="P4" s="102" t="str">
        <x:v>ICAD; Dubai Industrial City; RAK/Fujairah quarries</x:v>
      </x:c>
      <x:c r="Q4" s="102"/>
      <x:c r="R4" s="102"/>
      <x:c r="S4" s="102"/>
      <x:c r="T4" s="102"/>
      <x:c r="U4" s="102"/>
      <x:c r="V4" s="102" t="str">
        <x:v>Aggregates; construction materials; inland freight</x:v>
      </x:c>
      <x:c r="W4" s="102" t="str">
        <x:v>SRC_0272</x:v>
      </x:c>
      <x:c r="X4" s="102" t="str">
        <x:v>https://corporate.etihadrail.ae/en/newsroom/press/etihad-rail-and-trojan-general-contracting-sign-haulage-services-agreement-for-transportation-of-aggregates</x:v>
      </x:c>
      <x:c r="Y4" s="102" t="str">
        <x:v>Etihad Rail Freight operates/uses the Al Ghail Dry Port rail terminal; strict legal property-title percentage is not asserted.</x:v>
      </x:c>
    </x:row>
    <x:row r="5">
      <x:c r="A5" s="102" t="str">
        <x:v>HUB_0004</x:v>
      </x:c>
      <x:c r="B5" s="102" t="str">
        <x:v>ASSET084</x:v>
      </x:c>
      <x:c r="C5" s="102" t="str">
        <x:v>CentrePort Canada</x:v>
      </x:c>
      <x:c r="D5" s="102" t="str">
        <x:v>Canada</x:v>
      </x:c>
      <x:c r="E5" s="102" t="str">
        <x:v>Winnipeg / Rosser, Manitoba</x:v>
      </x:c>
      <x:c r="F5" s="102" t="str">
        <x:v>COMP_CENTREPORT</x:v>
      </x:c>
      <x:c r="G5" s="102"/>
      <x:c r="H5" s="102"/>
      <x:c r="I5" s="102" t="str">
        <x:v>Trimodal inland port / Foreign Trade Zone</x:v>
      </x:c>
      <x:c r="J5" s="102" t="str">
        <x:v>Operating / expanding</x:v>
      </x:c>
      <x:c r="K5" s="102"/>
      <x:c r="L5" s="102" t="str">
        <x:v>Foreign Trade Zone</x:v>
      </x:c>
      <x:c r="M5" s="102" t="str">
        <x:v>CPKC direct; CN and BNSF via access/interswitching</x:v>
      </x:c>
      <x:c r="N5" s="102" t="str">
        <x:v>Major continental trucking hub</x:v>
      </x:c>
      <x:c r="O5" s="102" t="str">
        <x:v>24/7 global air cargo via Winnipeg Richardson International Airport</x:v>
      </x:c>
      <x:c r="P5" s="102" t="str">
        <x:v>Churchill; Vancouver; Prince Rupert; Thunder Bay; Montreal; Halifax; Houston; New Orleans; Manzanillo; Lazaro Cardenas</x:v>
      </x:c>
      <x:c r="Q5" s="102"/>
      <x:c r="R5" s="102"/>
      <x:c r="S5" s="102"/>
      <x:c r="T5" s="102" t="n">
        <x:v>20000</x:v>
      </x:c>
      <x:c r="U5" s="102" t="str">
        <x:v>acres</x:v>
      </x:c>
      <x:c r="V5" s="102" t="str">
        <x:v>Industrial land; logistics; air cargo; rail; trucking; manufacturing</x:v>
      </x:c>
      <x:c r="W5" s="102" t="str">
        <x:v>SRC_0271</x:v>
      </x:c>
      <x:c r="X5" s="102" t="str">
        <x:v>https://centreportcanada.ca/about-centreport/</x:v>
      </x:c>
      <x:c r="Y5" s="102" t="str">
        <x:v>Use as inland-port system node linking Canadian Arctic, Pacific, Atlantic and North American corridors.</x:v>
      </x:c>
    </x:row>
    <x:row r="6">
      <x:c r="A6" s="102" t="str">
        <x:v>HUB_0005</x:v>
      </x:c>
      <x:c r="B6" s="102" t="str">
        <x:v>ASSET089</x:v>
      </x:c>
      <x:c r="C6" s="102" t="str">
        <x:v>Al Dhaid Multi-Modal Trade Corridor</x:v>
      </x:c>
      <x:c r="D6" s="102" t="str">
        <x:v>United Arab Emirates</x:v>
      </x:c>
      <x:c r="E6" s="102" t="str">
        <x:v>Al Dhaid, Sharjah</x:v>
      </x:c>
      <x:c r="F6" s="102" t="str">
        <x:v>COMP_GULFTAINER</x:v>
      </x:c>
      <x:c r="G6" s="102" t="str">
        <x:v>COMP_GULFTAINER</x:v>
      </x:c>
      <x:c r="H6" s="102"/>
      <x:c r="I6" s="102" t="str">
        <x:v>Planned inland logistics hub / dry-port-style corridor</x:v>
      </x:c>
      <x:c r="J6" s="102" t="str">
        <x:v>Development</x:v>
      </x:c>
      <x:c r="K6" s="102"/>
      <x:c r="L6" s="102"/>
      <x:c r="M6" s="102" t="str">
        <x:v>Rail potential / to resolve</x:v>
      </x:c>
      <x:c r="N6" s="102" t="str">
        <x:v>Road corridor</x:v>
      </x:c>
      <x:c r="O6" s="102" t="str">
        <x:v>UAE airport network</x:v>
      </x:c>
      <x:c r="P6" s="102" t="str">
        <x:v>Khorfakkan / GCC inland markets</x:v>
      </x:c>
      <x:c r="Q6" s="102" t="n">
        <x:v>1500000</x:v>
      </x:c>
      <x:c r="R6" s="102"/>
      <x:c r="S6" s="102"/>
      <x:c r="T6" s="102" t="n">
        <x:v>150</x:v>
      </x:c>
      <x:c r="U6" s="102" t="str">
        <x:v>hectares</x:v>
      </x:c>
      <x:c r="V6" s="102" t="str">
        <x:v>Containers; multimodal inland logistics</x:v>
      </x:c>
      <x:c r="W6" s="102" t="str">
        <x:v>SRC_0041</x:v>
      </x:c>
      <x:c r="X6" s="102"/>
      <x:c r="Y6" s="102" t="str">
        <x:v>Existing model investment seed; classify as planned inland hub pending detailed public design and rail/customs verification.</x:v>
      </x:c>
    </x:row>
    <x:row r="7">
      <x:c r="A7"/>
      <x:c r="B7"/>
      <x:c r="C7"/>
      <x:c r="D7"/>
      <x:c r="E7"/>
      <x:c r="F7"/>
      <x:c r="G7"/>
      <x:c r="H7"/>
      <x:c r="I7"/>
      <x:c r="J7"/>
      <x:c r="K7"/>
      <x:c r="L7"/>
      <x:c r="M7"/>
      <x:c r="N7"/>
      <x:c r="O7"/>
      <x:c r="P7"/>
      <x:c r="Q7"/>
      <x:c r="R7"/>
      <x:c r="S7"/>
      <x:c r="T7"/>
      <x:c r="U7"/>
      <x:c r="V7"/>
      <x:c r="W7"/>
      <x:c r="X7"/>
      <x:c r="Y7"/>
    </x:row>
    <x:row r="8">
      <x:c r="A8"/>
      <x:c r="B8"/>
      <x:c r="C8"/>
      <x:c r="D8"/>
      <x:c r="E8"/>
      <x:c r="F8"/>
      <x:c r="G8"/>
      <x:c r="H8"/>
      <x:c r="I8"/>
      <x:c r="J8"/>
      <x:c r="K8"/>
      <x:c r="L8"/>
      <x:c r="M8"/>
      <x:c r="N8"/>
      <x:c r="O8"/>
      <x:c r="P8"/>
      <x:c r="Q8"/>
      <x:c r="R8"/>
      <x:c r="S8"/>
      <x:c r="T8"/>
      <x:c r="U8"/>
      <x:c r="V8"/>
      <x:c r="W8"/>
      <x:c r="X8"/>
      <x:c r="Y8"/>
    </x:row>
    <x:row r="9">
      <x:c r="A9"/>
      <x:c r="B9"/>
      <x:c r="C9"/>
      <x:c r="D9"/>
      <x:c r="E9"/>
      <x:c r="F9"/>
      <x:c r="G9"/>
      <x:c r="H9"/>
      <x:c r="I9"/>
      <x:c r="J9"/>
      <x:c r="K9"/>
      <x:c r="L9"/>
      <x:c r="M9"/>
      <x:c r="N9"/>
      <x:c r="O9"/>
      <x:c r="P9"/>
      <x:c r="Q9"/>
      <x:c r="R9"/>
      <x:c r="S9"/>
      <x:c r="T9"/>
      <x:c r="U9"/>
      <x:c r="V9"/>
      <x:c r="W9"/>
      <x:c r="X9"/>
      <x:c r="Y9"/>
    </x:row>
    <x:row r="10">
      <x:c r="A10"/>
      <x:c r="B10"/>
      <x:c r="C10"/>
      <x:c r="D10"/>
      <x:c r="E10"/>
      <x:c r="F10"/>
      <x:c r="G10"/>
      <x:c r="H10"/>
      <x:c r="I10"/>
      <x:c r="J10"/>
      <x:c r="K10"/>
      <x:c r="L10"/>
      <x:c r="M10"/>
      <x:c r="N10"/>
      <x:c r="O10"/>
      <x:c r="P10"/>
      <x:c r="Q10"/>
      <x:c r="R10"/>
      <x:c r="S10"/>
      <x:c r="T10"/>
      <x:c r="U10"/>
      <x:c r="V10"/>
      <x:c r="W10"/>
      <x:c r="X10"/>
      <x:c r="Y10"/>
    </x:row>
    <x:row r="11">
      <x:c r="A11"/>
      <x:c r="B11"/>
      <x:c r="C11"/>
      <x:c r="D11"/>
      <x:c r="E11"/>
      <x:c r="F11"/>
      <x:c r="G11"/>
      <x:c r="H11"/>
      <x:c r="I11"/>
      <x:c r="J11"/>
      <x:c r="K11"/>
      <x:c r="L11"/>
      <x:c r="M11"/>
      <x:c r="N11"/>
      <x:c r="O11"/>
      <x:c r="P11"/>
      <x:c r="Q11"/>
      <x:c r="R11"/>
      <x:c r="S11"/>
      <x:c r="T11"/>
      <x:c r="U11"/>
      <x:c r="V11"/>
      <x:c r="W11"/>
      <x:c r="X11"/>
      <x:c r="Y11"/>
    </x:row>
    <x:row r="12">
      <x:c r="A12"/>
      <x:c r="B12"/>
      <x:c r="C12"/>
      <x:c r="D12"/>
      <x:c r="E12"/>
      <x:c r="F12"/>
      <x:c r="G12"/>
      <x:c r="H12"/>
      <x:c r="I12"/>
      <x:c r="J12"/>
      <x:c r="K12"/>
      <x:c r="L12"/>
      <x:c r="M12"/>
      <x:c r="N12"/>
      <x:c r="O12"/>
      <x:c r="P12"/>
      <x:c r="Q12"/>
      <x:c r="R12"/>
      <x:c r="S12"/>
      <x:c r="T12"/>
      <x:c r="U12"/>
      <x:c r="V12"/>
      <x:c r="W12"/>
      <x:c r="X12"/>
      <x:c r="Y12"/>
    </x:row>
    <x:row r="13">
      <x:c r="A13"/>
      <x:c r="B13"/>
      <x:c r="C13"/>
      <x:c r="D13"/>
      <x:c r="E13"/>
      <x:c r="F13"/>
      <x:c r="G13"/>
      <x:c r="H13"/>
      <x:c r="I13"/>
      <x:c r="J13"/>
      <x:c r="K13"/>
      <x:c r="L13"/>
      <x:c r="M13"/>
      <x:c r="N13"/>
      <x:c r="O13"/>
      <x:c r="P13"/>
      <x:c r="Q13"/>
      <x:c r="R13"/>
      <x:c r="S13"/>
      <x:c r="T13"/>
      <x:c r="U13"/>
      <x:c r="V13"/>
      <x:c r="W13"/>
      <x:c r="X13"/>
      <x:c r="Y13"/>
    </x:row>
    <x:row r="14">
      <x:c r="A14"/>
      <x:c r="B14"/>
      <x:c r="C14"/>
      <x:c r="D14"/>
      <x:c r="E14"/>
      <x:c r="F14"/>
      <x:c r="G14"/>
      <x:c r="H14"/>
      <x:c r="I14"/>
      <x:c r="J14"/>
      <x:c r="K14"/>
      <x:c r="L14"/>
      <x:c r="M14"/>
      <x:c r="N14"/>
      <x:c r="O14"/>
      <x:c r="P14"/>
      <x:c r="Q14"/>
      <x:c r="R14"/>
      <x:c r="S14"/>
      <x:c r="T14"/>
      <x:c r="U14"/>
      <x:c r="V14"/>
      <x:c r="W14"/>
      <x:c r="X14"/>
      <x:c r="Y14"/>
    </x:row>
    <x:row r="15">
      <x:c r="A15"/>
      <x:c r="B15"/>
      <x:c r="C15"/>
      <x:c r="D15"/>
      <x:c r="E15"/>
      <x:c r="F15"/>
      <x:c r="G15"/>
      <x:c r="H15"/>
      <x:c r="I15"/>
      <x:c r="J15"/>
      <x:c r="K15"/>
      <x:c r="L15"/>
      <x:c r="M15"/>
      <x:c r="N15"/>
      <x:c r="O15"/>
      <x:c r="P15"/>
      <x:c r="Q15"/>
      <x:c r="R15"/>
      <x:c r="S15"/>
      <x:c r="T15"/>
      <x:c r="U15"/>
      <x:c r="V15"/>
      <x:c r="W15"/>
      <x:c r="X15"/>
      <x:c r="Y15"/>
    </x:row>
    <x:row r="16">
      <x:c r="A16"/>
      <x:c r="B16"/>
      <x:c r="C16"/>
      <x:c r="D16"/>
      <x:c r="E16"/>
      <x:c r="F16"/>
      <x:c r="G16"/>
      <x:c r="H16"/>
      <x:c r="I16"/>
      <x:c r="J16"/>
      <x:c r="K16"/>
      <x:c r="L16"/>
      <x:c r="M16"/>
      <x:c r="N16"/>
      <x:c r="O16"/>
      <x:c r="P16"/>
      <x:c r="Q16"/>
      <x:c r="R16"/>
      <x:c r="S16"/>
      <x:c r="T16"/>
      <x:c r="U16"/>
      <x:c r="V16"/>
      <x:c r="W16"/>
      <x:c r="X16"/>
      <x:c r="Y16"/>
    </x:row>
    <x:row r="17">
      <x:c r="A17"/>
      <x:c r="B17"/>
      <x:c r="C17"/>
      <x:c r="D17"/>
      <x:c r="E17"/>
      <x:c r="F17"/>
      <x:c r="G17"/>
      <x:c r="H17"/>
      <x:c r="I17"/>
      <x:c r="J17"/>
      <x:c r="K17"/>
      <x:c r="L17"/>
      <x:c r="M17"/>
      <x:c r="N17"/>
      <x:c r="O17"/>
      <x:c r="P17"/>
      <x:c r="Q17"/>
      <x:c r="R17"/>
      <x:c r="S17"/>
      <x:c r="T17"/>
      <x:c r="U17"/>
      <x:c r="V17"/>
      <x:c r="W17"/>
      <x:c r="X17"/>
      <x:c r="Y17"/>
    </x:row>
    <x:row r="18">
      <x:c r="A18"/>
      <x:c r="B18"/>
      <x:c r="C18"/>
      <x:c r="D18"/>
      <x:c r="E18"/>
      <x:c r="F18"/>
      <x:c r="G18"/>
      <x:c r="H18"/>
      <x:c r="I18"/>
      <x:c r="J18"/>
      <x:c r="K18"/>
      <x:c r="L18"/>
      <x:c r="M18"/>
      <x:c r="N18"/>
      <x:c r="O18"/>
      <x:c r="P18"/>
      <x:c r="Q18"/>
      <x:c r="R18"/>
      <x:c r="S18"/>
      <x:c r="T18"/>
      <x:c r="U18"/>
      <x:c r="V18"/>
      <x:c r="W18"/>
      <x:c r="X18"/>
      <x:c r="Y18"/>
    </x:row>
    <x:row r="19">
      <x:c r="A19"/>
      <x:c r="B19"/>
      <x:c r="C19"/>
      <x:c r="D19"/>
      <x:c r="E19"/>
      <x:c r="F19"/>
      <x:c r="G19"/>
      <x:c r="H19"/>
      <x:c r="I19"/>
      <x:c r="J19"/>
      <x:c r="K19"/>
      <x:c r="L19"/>
      <x:c r="M19"/>
      <x:c r="N19"/>
      <x:c r="O19"/>
      <x:c r="P19"/>
      <x:c r="Q19"/>
      <x:c r="R19"/>
      <x:c r="S19"/>
      <x:c r="T19"/>
      <x:c r="U19"/>
      <x:c r="V19"/>
      <x:c r="W19"/>
      <x:c r="X19"/>
      <x:c r="Y19"/>
    </x:row>
    <x:row r="20">
      <x:c r="A20"/>
      <x:c r="B20"/>
      <x:c r="C20"/>
      <x:c r="D20"/>
      <x:c r="E20"/>
      <x:c r="F20"/>
      <x:c r="G20"/>
      <x:c r="H20"/>
      <x:c r="I20"/>
      <x:c r="J20"/>
      <x:c r="K20"/>
      <x:c r="L20"/>
      <x:c r="M20"/>
      <x:c r="N20"/>
      <x:c r="O20"/>
      <x:c r="P20"/>
      <x:c r="Q20"/>
      <x:c r="R20"/>
      <x:c r="S20"/>
      <x:c r="T20"/>
      <x:c r="U20"/>
      <x:c r="V20"/>
      <x:c r="W20"/>
      <x:c r="X20"/>
      <x:c r="Y20"/>
    </x:row>
  </x:sheetData>
  <x:pageMargins left="0.7" right="0.7" top="0.75" bottom="0.75" header="0.3" footer="0.3"/>
  <x:tableParts count="1">
    <x:tablePart xmlns:r="http://schemas.openxmlformats.org/officeDocument/2006/relationships" r:id="R2cdcba5832da435b"/>
  </x:tableParts>
</x:worksheet>
</file>

<file path=xl/worksheets/sheet75.xml><?xml version="1.0" encoding="utf-8"?>
<x:worksheet xmlns:x="http://schemas.openxmlformats.org/spreadsheetml/2006/main">
  <x:sheetFormatPr defaultRowHeight="15"/>
  <x:cols>
    <x:col min="1" max="1" width="14" hidden="0" customWidth="1"/>
    <x:col min="2" max="2" width="14" hidden="0" customWidth="1"/>
    <x:col min="3" max="3" width="32" hidden="0" customWidth="1"/>
    <x:col min="4" max="4" width="24" hidden="0" customWidth="1"/>
    <x:col min="5" max="5" width="34" hidden="0" customWidth="1"/>
    <x:col min="6" max="6" width="24" hidden="0" customWidth="1"/>
    <x:col min="7" max="7" width="20" hidden="0" customWidth="1"/>
    <x:col min="8" max="8" width="34" hidden="0" customWidth="1"/>
    <x:col min="9" max="9" width="22" hidden="0" customWidth="1"/>
    <x:col min="10" max="10" width="32" hidden="0" customWidth="1"/>
    <x:col min="11" max="11" width="18" hidden="0" customWidth="1"/>
    <x:col min="12" max="12" width="14" hidden="0" customWidth="1"/>
    <x:col min="13" max="13" width="50" hidden="0" customWidth="1"/>
    <x:col min="14" max="14" width="46" hidden="0" customWidth="1"/>
  </x:cols>
  <x:sheetData>
    <x:row r="1">
      <x:c r="A1" s="180" t="str">
        <x:v>Connection ID</x:v>
      </x:c>
      <x:c r="B1" s="180" t="str">
        <x:v>Source Asset ID</x:v>
      </x:c>
      <x:c r="C1" s="180" t="str">
        <x:v>Source Asset</x:v>
      </x:c>
      <x:c r="D1" s="180" t="str">
        <x:v>Target Entity / Asset ID</x:v>
      </x:c>
      <x:c r="E1" s="180" t="str">
        <x:v>Target / Node</x:v>
      </x:c>
      <x:c r="F1" s="180" t="str">
        <x:v>Target Type</x:v>
      </x:c>
      <x:c r="G1" s="180" t="str">
        <x:v>Mode</x:v>
      </x:c>
      <x:c r="H1" s="180" t="str">
        <x:v>Relationship</x:v>
      </x:c>
      <x:c r="I1" s="180" t="str">
        <x:v>Corridor ID</x:v>
      </x:c>
      <x:c r="J1" s="180" t="str">
        <x:v>Commodity / Traffic</x:v>
      </x:c>
      <x:c r="K1" s="180" t="str">
        <x:v>Status</x:v>
      </x:c>
      <x:c r="L1" s="180" t="str">
        <x:v>Source ID</x:v>
      </x:c>
      <x:c r="M1" s="180" t="str">
        <x:v>Source URL</x:v>
      </x:c>
      <x:c r="N1" s="180" t="str">
        <x:v>Notes</x:v>
      </x:c>
    </x:row>
    <x:row r="2">
      <x:c r="A2" s="102" t="str">
        <x:v>ICONN_0001</x:v>
      </x:c>
      <x:c r="B2" s="102" t="str">
        <x:v>ASSET081</x:v>
      </x:c>
      <x:c r="C2" s="102" t="str">
        <x:v>Tbilisi Intermodal Hub</x:v>
      </x:c>
      <x:c r="D2" s="102"/>
      <x:c r="E2" s="102" t="str">
        <x:v>Port of Batumi</x:v>
      </x:c>
      <x:c r="F2" s="102" t="str">
        <x:v>Seaport</x:v>
      </x:c>
      <x:c r="G2" s="102" t="str">
        <x:v>Rail</x:v>
      </x:c>
      <x:c r="H2" s="102" t="str">
        <x:v>Direct block-train / inland-port extension</x:v>
      </x:c>
      <x:c r="I2" s="102" t="str">
        <x:v>CORRIDOR_MIDDLE</x:v>
      </x:c>
      <x:c r="J2" s="102" t="str">
        <x:v>Containers</x:v>
      </x:c>
      <x:c r="K2" s="102" t="str">
        <x:v>Active</x:v>
      </x:c>
      <x:c r="L2" s="102" t="str">
        <x:v>SRC_0278</x:v>
      </x:c>
      <x:c r="M2" s="102" t="str">
        <x:v>https://www.tbilisidryport.com/infrastructure-facilities/</x:v>
      </x:c>
      <x:c r="N2" s="102" t="str">
        <x:v>First soft-launch shipment arrived by rail from an MSC vessel at Batumi.</x:v>
      </x:c>
    </x:row>
    <x:row r="3">
      <x:c r="A3" s="102" t="str">
        <x:v>ICONN_0002</x:v>
      </x:c>
      <x:c r="B3" s="102" t="str">
        <x:v>ASSET081</x:v>
      </x:c>
      <x:c r="C3" s="102" t="str">
        <x:v>Tbilisi Intermodal Hub</x:v>
      </x:c>
      <x:c r="D3" s="102"/>
      <x:c r="E3" s="102" t="str">
        <x:v>Port of Poti</x:v>
      </x:c>
      <x:c r="F3" s="102" t="str">
        <x:v>Seaport</x:v>
      </x:c>
      <x:c r="G3" s="102" t="str">
        <x:v>Rail</x:v>
      </x:c>
      <x:c r="H3" s="102" t="str">
        <x:v>Direct block-train / inland-port extension</x:v>
      </x:c>
      <x:c r="I3" s="102" t="str">
        <x:v>CORRIDOR_MIDDLE</x:v>
      </x:c>
      <x:c r="J3" s="102" t="str">
        <x:v>Containers</x:v>
      </x:c>
      <x:c r="K3" s="102" t="str">
        <x:v>Active</x:v>
      </x:c>
      <x:c r="L3" s="102" t="str">
        <x:v>SRC_0278</x:v>
      </x:c>
      <x:c r="M3" s="102" t="str">
        <x:v>https://www.tbilisidryport.com/infrastructure-facilities/</x:v>
      </x:c>
      <x:c r="N3" s="102"/>
    </x:row>
    <x:row r="4">
      <x:c r="A4" s="102" t="str">
        <x:v>ICONN_0003</x:v>
      </x:c>
      <x:c r="B4" s="102" t="str">
        <x:v>ASSET081</x:v>
      </x:c>
      <x:c r="C4" s="102" t="str">
        <x:v>Tbilisi Intermodal Hub</x:v>
      </x:c>
      <x:c r="D4" s="102"/>
      <x:c r="E4" s="102" t="str">
        <x:v>Azerbaijan / Caspian ports</x:v>
      </x:c>
      <x:c r="F4" s="102" t="str">
        <x:v>Regional gateway</x:v>
      </x:c>
      <x:c r="G4" s="102" t="str">
        <x:v>Rail</x:v>
      </x:c>
      <x:c r="H4" s="102" t="str">
        <x:v>Eastward corridor connection</x:v>
      </x:c>
      <x:c r="I4" s="102" t="str">
        <x:v>CORRIDOR_MIDDLE</x:v>
      </x:c>
      <x:c r="J4" s="102" t="str">
        <x:v>Containers; transit cargo</x:v>
      </x:c>
      <x:c r="K4" s="102" t="str">
        <x:v>Active</x:v>
      </x:c>
      <x:c r="L4" s="102" t="str">
        <x:v>SRC_0277</x:v>
      </x:c>
      <x:c r="M4" s="102" t="str">
        <x:v>https://www.adportsgroup.com/en/news-and-media/2024/08/15/ad-ports-group-completes-tbilisi-dry-port-acquisition-to-become-majority-owner</x:v>
      </x:c>
      <x:c r="N4" s="102"/>
    </x:row>
    <x:row r="5">
      <x:c r="A5" s="102" t="str">
        <x:v>ICONN_0004</x:v>
      </x:c>
      <x:c r="B5" s="102" t="str">
        <x:v>ASSET081</x:v>
      </x:c>
      <x:c r="C5" s="102" t="str">
        <x:v>Tbilisi Intermodal Hub</x:v>
      </x:c>
      <x:c r="D5" s="102"/>
      <x:c r="E5" s="102" t="str">
        <x:v>Armenia</x:v>
      </x:c>
      <x:c r="F5" s="102" t="str">
        <x:v>Country / inland market</x:v>
      </x:c>
      <x:c r="G5" s="102" t="str">
        <x:v>Rail / Road</x:v>
      </x:c>
      <x:c r="H5" s="102" t="str">
        <x:v>Regional transshipment connection</x:v>
      </x:c>
      <x:c r="I5" s="102" t="str">
        <x:v>CORRIDOR_MIDDLE</x:v>
      </x:c>
      <x:c r="J5" s="102" t="str">
        <x:v>Containers; general cargo</x:v>
      </x:c>
      <x:c r="K5" s="102" t="str">
        <x:v>Active</x:v>
      </x:c>
      <x:c r="L5" s="102" t="str">
        <x:v>SRC_0278</x:v>
      </x:c>
      <x:c r="M5" s="102" t="str">
        <x:v>https://www.tbilisidryport.com/infrastructure-facilities/</x:v>
      </x:c>
      <x:c r="N5" s="102"/>
    </x:row>
    <x:row r="6">
      <x:c r="A6" s="102" t="str">
        <x:v>ICONN_0005</x:v>
      </x:c>
      <x:c r="B6" s="102" t="str">
        <x:v>ASSET081</x:v>
      </x:c>
      <x:c r="C6" s="102" t="str">
        <x:v>Tbilisi Intermodal Hub</x:v>
      </x:c>
      <x:c r="D6" s="102"/>
      <x:c r="E6" s="102" t="str">
        <x:v>Middle Corridor</x:v>
      </x:c>
      <x:c r="F6" s="102" t="str">
        <x:v>Trade corridor</x:v>
      </x:c>
      <x:c r="G6" s="102" t="str">
        <x:v>Rail / Road / Maritime</x:v>
      </x:c>
      <x:c r="H6" s="102" t="str">
        <x:v>Strategic inland node</x:v>
      </x:c>
      <x:c r="I6" s="102" t="str">
        <x:v>CORRIDOR_MIDDLE</x:v>
      </x:c>
      <x:c r="J6" s="102" t="str">
        <x:v>Asia-Europe container flows</x:v>
      </x:c>
      <x:c r="K6" s="102" t="str">
        <x:v>Active</x:v>
      </x:c>
      <x:c r="L6" s="102" t="str">
        <x:v>SRC_0279</x:v>
      </x:c>
      <x:c r="M6" s="102" t="str">
        <x:v>https://wpvip.adportsgroup.com/adportsgroup/news-and-media/2025/06/03/ad-ports-group-inaugurates-tbilisi-intermodal-hub-in-georgia/</x:v>
      </x:c>
      <x:c r="N6" s="102" t="str">
        <x:v>Links AD Ports maritime/terminal footprint with overland Central Asian strategy.</x:v>
      </x:c>
    </x:row>
    <x:row r="7">
      <x:c r="A7" s="102" t="str">
        <x:v>ICONN_0006</x:v>
      </x:c>
      <x:c r="B7" s="102" t="str">
        <x:v>ASSET082</x:v>
      </x:c>
      <x:c r="C7" s="102" t="str">
        <x:v>Al Faya Dry Port</x:v>
      </x:c>
      <x:c r="D7" s="102"/>
      <x:c r="E7" s="102" t="str">
        <x:v>Khalifa Port</x:v>
      </x:c>
      <x:c r="F7" s="102" t="str">
        <x:v>Seaport</x:v>
      </x:c>
      <x:c r="G7" s="102" t="str">
        <x:v>Road</x:v>
      </x:c>
      <x:c r="H7" s="102" t="str">
        <x:v>Bonded inland extension / cargo transit</x:v>
      </x:c>
      <x:c r="I7" s="102" t="str">
        <x:v>CORRIDOR_UAE_RAIL</x:v>
      </x:c>
      <x:c r="J7" s="102" t="str">
        <x:v>Containers / O&amp;D cargo</x:v>
      </x:c>
      <x:c r="K7" s="102" t="str">
        <x:v>Active</x:v>
      </x:c>
      <x:c r="L7" s="102" t="str">
        <x:v>SRC_0287</x:v>
      </x:c>
      <x:c r="M7" s="102" t="str">
        <x:v>https://www.adportsgroup.com/-/media/sites/adports/investors/2025/downloads/adpg-earnings-presentation-q2-2025.pdf?rev=171f736cc8ea44f4a3c70650630e217e</x:v>
      </x:c>
      <x:c r="N7" s="102" t="str">
        <x:v>Anchored by CMA CGM.</x:v>
      </x:c>
    </x:row>
    <x:row r="8">
      <x:c r="A8" s="102" t="str">
        <x:v>ICONN_0007</x:v>
      </x:c>
      <x:c r="B8" s="102" t="str">
        <x:v>ASSET082</x:v>
      </x:c>
      <x:c r="C8" s="102" t="str">
        <x:v>Al Faya Dry Port</x:v>
      </x:c>
      <x:c r="D8" s="102"/>
      <x:c r="E8" s="102" t="str">
        <x:v>UAE inland O&amp;D destinations</x:v>
      </x:c>
      <x:c r="F8" s="102" t="str">
        <x:v>Inland market</x:v>
      </x:c>
      <x:c r="G8" s="102" t="str">
        <x:v>Road</x:v>
      </x:c>
      <x:c r="H8" s="102" t="str">
        <x:v>Bonded inland distribution</x:v>
      </x:c>
      <x:c r="I8" s="102" t="str">
        <x:v>CORRIDOR_UAE_RAIL</x:v>
      </x:c>
      <x:c r="J8" s="102" t="str">
        <x:v>Containers</x:v>
      </x:c>
      <x:c r="K8" s="102" t="str">
        <x:v>Active</x:v>
      </x:c>
      <x:c r="L8" s="102" t="str">
        <x:v>SRC_0280</x:v>
      </x:c>
      <x:c r="M8" s="102" t="str">
        <x:v>https://www.adportsgroup.com/en/news-and-media/2026/06/18/ad-ports-group-enhances-al-faya-dry-ports-integration-with-the-global-trade-and-logistics-ecosystem</x:v>
      </x:c>
      <x:c r="N8" s="102"/>
    </x:row>
    <x:row r="9">
      <x:c r="A9" s="102" t="str">
        <x:v>ICONN_0008</x:v>
      </x:c>
      <x:c r="B9" s="102" t="str">
        <x:v>ASSET083</x:v>
      </x:c>
      <x:c r="C9" s="102" t="str">
        <x:v>Al Ghail Dry Port</x:v>
      </x:c>
      <x:c r="D9" s="102"/>
      <x:c r="E9" s="102" t="str">
        <x:v>RAK / Fujairah quarries</x:v>
      </x:c>
      <x:c r="F9" s="102" t="str">
        <x:v>Industrial origin</x:v>
      </x:c>
      <x:c r="G9" s="102" t="str">
        <x:v>Road / Rail</x:v>
      </x:c>
      <x:c r="H9" s="102" t="str">
        <x:v>Aggregate collection and rail transfer</x:v>
      </x:c>
      <x:c r="I9" s="102" t="str">
        <x:v>CORRIDOR_UAE_RAIL</x:v>
      </x:c>
      <x:c r="J9" s="102" t="str">
        <x:v>Aggregates</x:v>
      </x:c>
      <x:c r="K9" s="102" t="str">
        <x:v>Active</x:v>
      </x:c>
      <x:c r="L9" s="102" t="str">
        <x:v>SRC_0272</x:v>
      </x:c>
      <x:c r="M9" s="102" t="str">
        <x:v>https://corporate.etihadrail.ae/en/newsroom/press/etihad-rail-and-trojan-general-contracting-sign-haulage-services-agreement-for-transportation-of-aggregates</x:v>
      </x:c>
      <x:c r="N9" s="102"/>
    </x:row>
    <x:row r="10">
      <x:c r="A10" s="102" t="str">
        <x:v>ICONN_0009</x:v>
      </x:c>
      <x:c r="B10" s="102" t="str">
        <x:v>ASSET083</x:v>
      </x:c>
      <x:c r="C10" s="102" t="str">
        <x:v>Al Ghail Dry Port</x:v>
      </x:c>
      <x:c r="D10" s="102"/>
      <x:c r="E10" s="102" t="str">
        <x:v>Industrial City of Abu Dhabi (ICAD)</x:v>
      </x:c>
      <x:c r="F10" s="102" t="str">
        <x:v>Industrial zone</x:v>
      </x:c>
      <x:c r="G10" s="102" t="str">
        <x:v>Rail</x:v>
      </x:c>
      <x:c r="H10" s="102" t="str">
        <x:v>Destination rail service</x:v>
      </x:c>
      <x:c r="I10" s="102" t="str">
        <x:v>CORRIDOR_UAE_RAIL</x:v>
      </x:c>
      <x:c r="J10" s="102" t="str">
        <x:v>Aggregates</x:v>
      </x:c>
      <x:c r="K10" s="102" t="str">
        <x:v>Active</x:v>
      </x:c>
      <x:c r="L10" s="102" t="str">
        <x:v>SRC_0272</x:v>
      </x:c>
      <x:c r="M10" s="102" t="str">
        <x:v>https://corporate.etihadrail.ae/en/newsroom/press/etihad-rail-and-trojan-general-contracting-sign-haulage-services-agreement-for-transportation-of-aggregates</x:v>
      </x:c>
      <x:c r="N10" s="102"/>
    </x:row>
    <x:row r="11">
      <x:c r="A11" s="102" t="str">
        <x:v>ICONN_0010</x:v>
      </x:c>
      <x:c r="B11" s="102" t="str">
        <x:v>ASSET083</x:v>
      </x:c>
      <x:c r="C11" s="102" t="str">
        <x:v>Al Ghail Dry Port</x:v>
      </x:c>
      <x:c r="D11" s="102"/>
      <x:c r="E11" s="102" t="str">
        <x:v>Dubai Industrial City</x:v>
      </x:c>
      <x:c r="F11" s="102" t="str">
        <x:v>Industrial zone</x:v>
      </x:c>
      <x:c r="G11" s="102" t="str">
        <x:v>Rail</x:v>
      </x:c>
      <x:c r="H11" s="102" t="str">
        <x:v>Destination rail service</x:v>
      </x:c>
      <x:c r="I11" s="102" t="str">
        <x:v>CORRIDOR_UAE_RAIL</x:v>
      </x:c>
      <x:c r="J11" s="102" t="str">
        <x:v>Aggregates</x:v>
      </x:c>
      <x:c r="K11" s="102" t="str">
        <x:v>Active</x:v>
      </x:c>
      <x:c r="L11" s="102" t="str">
        <x:v>SRC_0272</x:v>
      </x:c>
      <x:c r="M11" s="102" t="str">
        <x:v>https://corporate.etihadrail.ae/en/newsroom/press/etihad-rail-and-trojan-general-contracting-sign-haulage-services-agreement-for-transportation-of-aggregates</x:v>
      </x:c>
      <x:c r="N11" s="102"/>
    </x:row>
    <x:row r="12">
      <x:c r="A12" s="102" t="str">
        <x:v>ICONN_0011</x:v>
      </x:c>
      <x:c r="B12" s="102" t="str">
        <x:v>ASSET084</x:v>
      </x:c>
      <x:c r="C12" s="102" t="str">
        <x:v>CentrePort Canada</x:v>
      </x:c>
      <x:c r="D12" s="102"/>
      <x:c r="E12" s="102" t="str">
        <x:v>CPKC / CN / BNSF</x:v>
      </x:c>
      <x:c r="F12" s="102" t="str">
        <x:v>Rail networks</x:v>
      </x:c>
      <x:c r="G12" s="102" t="str">
        <x:v>Rail</x:v>
      </x:c>
      <x:c r="H12" s="102" t="str">
        <x:v>Three-Class-I railway access</x:v>
      </x:c>
      <x:c r="I12" s="102" t="str">
        <x:v>CORRIDOR_MIDCONTINENT</x:v>
      </x:c>
      <x:c r="J12" s="102" t="str">
        <x:v>Containers; bulk; industrial goods</x:v>
      </x:c>
      <x:c r="K12" s="102" t="str">
        <x:v>Active</x:v>
      </x:c>
      <x:c r="L12" s="102" t="str">
        <x:v>SRC_0271</x:v>
      </x:c>
      <x:c r="M12" s="102" t="str">
        <x:v>https://centreportcanada.ca/about-centreport/</x:v>
      </x:c>
      <x:c r="N12" s="102"/>
    </x:row>
    <x:row r="13">
      <x:c r="A13" s="102" t="str">
        <x:v>ICONN_0012</x:v>
      </x:c>
      <x:c r="B13" s="102" t="str">
        <x:v>ASSET084</x:v>
      </x:c>
      <x:c r="C13" s="102" t="str">
        <x:v>CentrePort Canada</x:v>
      </x:c>
      <x:c r="D13" s="102"/>
      <x:c r="E13" s="102" t="str">
        <x:v>Winnipeg Richardson International Airport</x:v>
      </x:c>
      <x:c r="F13" s="102" t="str">
        <x:v>Cargo airport</x:v>
      </x:c>
      <x:c r="G13" s="102" t="str">
        <x:v>Air Cargo</x:v>
      </x:c>
      <x:c r="H13" s="102" t="str">
        <x:v>On-site / adjacent air-cargo gateway</x:v>
      </x:c>
      <x:c r="I13" s="102" t="str">
        <x:v>CORRIDOR_MIDCONTINENT</x:v>
      </x:c>
      <x:c r="J13" s="102" t="str">
        <x:v>Air cargo</x:v>
      </x:c>
      <x:c r="K13" s="102" t="str">
        <x:v>Active</x:v>
      </x:c>
      <x:c r="L13" s="102" t="str">
        <x:v>SRC_0271</x:v>
      </x:c>
      <x:c r="M13" s="102" t="str">
        <x:v>https://centreportcanada.ca/about-centreport/</x:v>
      </x:c>
      <x:c r="N13" s="102"/>
    </x:row>
    <x:row r="14">
      <x:c r="A14" s="102" t="str">
        <x:v>ICONN_0013</x:v>
      </x:c>
      <x:c r="B14" s="102" t="str">
        <x:v>ASSET084</x:v>
      </x:c>
      <x:c r="C14" s="102" t="str">
        <x:v>CentrePort Canada</x:v>
      </x:c>
      <x:c r="D14" s="102"/>
      <x:c r="E14" s="102" t="str">
        <x:v>Port of Churchill</x:v>
      </x:c>
      <x:c r="F14" s="102" t="str">
        <x:v>Seaport / Arctic gateway</x:v>
      </x:c>
      <x:c r="G14" s="102" t="str">
        <x:v>Rail / Road</x:v>
      </x:c>
      <x:c r="H14" s="102" t="str">
        <x:v>Northern gateway connection</x:v>
      </x:c>
      <x:c r="I14" s="102" t="str">
        <x:v>CORRIDOR_MIDCONTINENT</x:v>
      </x:c>
      <x:c r="J14" s="102" t="str">
        <x:v>Bulk; northern supply; export cargo</x:v>
      </x:c>
      <x:c r="K14" s="102" t="str">
        <x:v>Active / strategic</x:v>
      </x:c>
      <x:c r="L14" s="102" t="str">
        <x:v>SRC_0271</x:v>
      </x:c>
      <x:c r="M14" s="102" t="str">
        <x:v>https://centreportcanada.ca/about-centreport/</x:v>
      </x:c>
      <x:c r="N14" s="102" t="str">
        <x:v>Connect to existing Churchill / Arctic research workstream.</x:v>
      </x:c>
    </x:row>
    <x:row r="15">
      <x:c r="A15" s="102" t="str">
        <x:v>ICONN_0014</x:v>
      </x:c>
      <x:c r="B15" s="102" t="str">
        <x:v>ASSET084</x:v>
      </x:c>
      <x:c r="C15" s="102" t="str">
        <x:v>CentrePort Canada</x:v>
      </x:c>
      <x:c r="D15" s="102"/>
      <x:c r="E15" s="102" t="str">
        <x:v>Vancouver / Prince Rupert</x:v>
      </x:c>
      <x:c r="F15" s="102" t="str">
        <x:v>Pacific seaports</x:v>
      </x:c>
      <x:c r="G15" s="102" t="str">
        <x:v>Rail</x:v>
      </x:c>
      <x:c r="H15" s="102" t="str">
        <x:v>Westbound gateway connection</x:v>
      </x:c>
      <x:c r="I15" s="102" t="str">
        <x:v>CORRIDOR_MIDCONTINENT</x:v>
      </x:c>
      <x:c r="J15" s="102" t="str">
        <x:v>Containers; international trade</x:v>
      </x:c>
      <x:c r="K15" s="102" t="str">
        <x:v>Active</x:v>
      </x:c>
      <x:c r="L15" s="102" t="str">
        <x:v>SRC_0271</x:v>
      </x:c>
      <x:c r="M15" s="102" t="str">
        <x:v>https://centreportcanada.ca/about-centreport/</x:v>
      </x:c>
      <x:c r="N15" s="102"/>
    </x:row>
    <x:row r="16">
      <x:c r="A16" s="102" t="str">
        <x:v>ICONN_0015</x:v>
      </x:c>
      <x:c r="B16" s="102" t="str">
        <x:v>ASSET084</x:v>
      </x:c>
      <x:c r="C16" s="102" t="str">
        <x:v>CentrePort Canada</x:v>
      </x:c>
      <x:c r="D16" s="102"/>
      <x:c r="E16" s="102" t="str">
        <x:v>Thunder Bay / Montreal / Halifax</x:v>
      </x:c>
      <x:c r="F16" s="102" t="str">
        <x:v>Great Lakes / Atlantic gateways</x:v>
      </x:c>
      <x:c r="G16" s="102" t="str">
        <x:v>Rail / Road</x:v>
      </x:c>
      <x:c r="H16" s="102" t="str">
        <x:v>Eastbound gateway connection</x:v>
      </x:c>
      <x:c r="I16" s="102" t="str">
        <x:v>CORRIDOR_MIDCONTINENT</x:v>
      </x:c>
      <x:c r="J16" s="102" t="str">
        <x:v>Containers; bulk; international trade</x:v>
      </x:c>
      <x:c r="K16" s="102" t="str">
        <x:v>Active</x:v>
      </x:c>
      <x:c r="L16" s="102" t="str">
        <x:v>SRC_0271</x:v>
      </x:c>
      <x:c r="M16" s="102" t="str">
        <x:v>https://centreportcanada.ca/about-centreport/</x:v>
      </x:c>
      <x:c r="N16" s="102"/>
    </x:row>
    <x:row r="17">
      <x:c r="A17" s="102" t="str">
        <x:v>ICONN_0016</x:v>
      </x:c>
      <x:c r="B17" s="102" t="str">
        <x:v>ASSET084</x:v>
      </x:c>
      <x:c r="C17" s="102" t="str">
        <x:v>CentrePort Canada</x:v>
      </x:c>
      <x:c r="D17" s="102"/>
      <x:c r="E17" s="102" t="str">
        <x:v>Houston / New Orleans / Manzanillo / Lazaro Cardenas</x:v>
      </x:c>
      <x:c r="F17" s="102" t="str">
        <x:v>U.S./Mexico seaports</x:v>
      </x:c>
      <x:c r="G17" s="102" t="str">
        <x:v>Rail / Road</x:v>
      </x:c>
      <x:c r="H17" s="102" t="str">
        <x:v>Southbound continental gateway connection</x:v>
      </x:c>
      <x:c r="I17" s="102" t="str">
        <x:v>CORRIDOR_MIDCONTINENT</x:v>
      </x:c>
      <x:c r="J17" s="102" t="str">
        <x:v>Containers; industrial goods</x:v>
      </x:c>
      <x:c r="K17" s="102" t="str">
        <x:v>Active</x:v>
      </x:c>
      <x:c r="L17" s="102" t="str">
        <x:v>SRC_0271</x:v>
      </x:c>
      <x:c r="M17" s="102" t="str">
        <x:v>https://centreportcanada.ca/about-centreport/</x:v>
      </x:c>
      <x:c r="N17" s="102"/>
    </x:row>
    <x:row r="18">
      <x:c r="A18" s="102" t="str">
        <x:v>ICONN_0017</x:v>
      </x:c>
      <x:c r="B18" s="102" t="str">
        <x:v>ASSET085</x:v>
      </x:c>
      <x:c r="C18" s="102" t="str">
        <x:v>JAFZA</x:v>
      </x:c>
      <x:c r="D18" s="102"/>
      <x:c r="E18" s="102" t="str">
        <x:v>Jebel Ali Port</x:v>
      </x:c>
      <x:c r="F18" s="102" t="str">
        <x:v>Seaport</x:v>
      </x:c>
      <x:c r="G18" s="102" t="str">
        <x:v>Road / Port</x:v>
      </x:c>
      <x:c r="H18" s="102" t="str">
        <x:v>Adjacent integrated free-zone / port system</x:v>
      </x:c>
      <x:c r="I18" s="102"/>
      <x:c r="J18" s="102" t="str">
        <x:v>Containers; manufacturing inputs; re-exports</x:v>
      </x:c>
      <x:c r="K18" s="102" t="str">
        <x:v>Active</x:v>
      </x:c>
      <x:c r="L18" s="102" t="str">
        <x:v>SRC_0273</x:v>
      </x:c>
      <x:c r="M18" s="102" t="str">
        <x:v>https://www.jafza.ae/offerings/</x:v>
      </x:c>
      <x:c r="N18" s="102" t="str">
        <x:v>Economic-zone real estate should be queried with the seaport rather than as standalone property.</x:v>
      </x:c>
    </x:row>
    <x:row r="19">
      <x:c r="A19" s="102" t="str">
        <x:v>ICONN_0018</x:v>
      </x:c>
      <x:c r="B19" s="102" t="str">
        <x:v>ASSET087</x:v>
      </x:c>
      <x:c r="C19" s="102" t="str">
        <x:v>KEZAD economic-zones ecosystem</x:v>
      </x:c>
      <x:c r="D19" s="102"/>
      <x:c r="E19" s="102" t="str">
        <x:v>Khalifa Port</x:v>
      </x:c>
      <x:c r="F19" s="102" t="str">
        <x:v>Seaport</x:v>
      </x:c>
      <x:c r="G19" s="102" t="str">
        <x:v>Road / Port</x:v>
      </x:c>
      <x:c r="H19" s="102" t="str">
        <x:v>Integrated economic-zone / port system</x:v>
      </x:c>
      <x:c r="I19" s="102" t="str">
        <x:v>CORRIDOR_UAE_RAIL</x:v>
      </x:c>
      <x:c r="J19" s="102" t="str">
        <x:v>Industrial cargo; containers</x:v>
      </x:c>
      <x:c r="K19" s="102" t="str">
        <x:v>Active</x:v>
      </x:c>
      <x:c r="L19" s="102" t="str">
        <x:v>SRC_0275</x:v>
      </x:c>
      <x:c r="M19" s="102" t="str">
        <x:v>https://www.kezadgroup.com/</x:v>
      </x:c>
      <x:c r="N19" s="102"/>
    </x:row>
    <x:row r="20">
      <x:c r="A20" s="102" t="str">
        <x:v>ICONN_0019</x:v>
      </x:c>
      <x:c r="B20" s="102" t="str">
        <x:v>ASSET087</x:v>
      </x:c>
      <x:c r="C20" s="102" t="str">
        <x:v>KEZAD economic-zones ecosystem</x:v>
      </x:c>
      <x:c r="D20" s="102" t="str">
        <x:v>COMP_ETIHAD_RAIL</x:v>
      </x:c>
      <x:c r="E20" s="102" t="str">
        <x:v>Etihad Rail</x:v>
      </x:c>
      <x:c r="F20" s="102" t="str">
        <x:v>Rail network</x:v>
      </x:c>
      <x:c r="G20" s="102" t="str">
        <x:v>Rail</x:v>
      </x:c>
      <x:c r="H20" s="102" t="str">
        <x:v>Economic-zone / national rail connectivity</x:v>
      </x:c>
      <x:c r="I20" s="102" t="str">
        <x:v>CORRIDOR_UAE_RAIL</x:v>
      </x:c>
      <x:c r="J20" s="102" t="str">
        <x:v>Industrial cargo</x:v>
      </x:c>
      <x:c r="K20" s="102" t="str">
        <x:v>Active / expanding</x:v>
      </x:c>
      <x:c r="L20" s="102" t="str">
        <x:v>SRC_0276</x:v>
      </x:c>
      <x:c r="M20" s="102" t="str">
        <x:v>https://www.adportsgroup.com/-/media/sites/adports/investors/2025/downloads/adpg--2025-capital-market-day-consolidated.pdf?rev=-1</x:v>
      </x:c>
      <x:c r="N20" s="102"/>
    </x:row>
    <x:row r="21">
      <x:c r="A21" s="102" t="str">
        <x:v>ICONN_0020</x:v>
      </x:c>
      <x:c r="B21" s="102" t="str">
        <x:v>ASSET088</x:v>
      </x:c>
      <x:c r="C21" s="102" t="str">
        <x:v>KEZAD East Port Said Economic Zone</x:v>
      </x:c>
      <x:c r="D21" s="102"/>
      <x:c r="E21" s="102" t="str">
        <x:v>East Port Said / Suez Canal system</x:v>
      </x:c>
      <x:c r="F21" s="102" t="str">
        <x:v>Port / maritime corridor</x:v>
      </x:c>
      <x:c r="G21" s="102" t="str">
        <x:v>Road / Port</x:v>
      </x:c>
      <x:c r="H21" s="102" t="str">
        <x:v>Port-linked industrial and logistics zone</x:v>
      </x:c>
      <x:c r="I21" s="102" t="str">
        <x:v>CORRIDOR_SUEZ</x:v>
      </x:c>
      <x:c r="J21" s="102" t="str">
        <x:v>Industrial cargo; containers</x:v>
      </x:c>
      <x:c r="K21" s="102" t="str">
        <x:v>Development</x:v>
      </x:c>
      <x:c r="L21" s="102" t="str">
        <x:v>SRC_0281</x:v>
      </x:c>
      <x:c r="M21" s="102" t="str">
        <x:v>https://www.adportsgroup.com/-/media/sites/adports/investors/2025/downloads/adpg-earnings-presentation-q3-2025.pdf?rev=-1</x:v>
      </x:c>
      <x:c r="N21" s="102"/>
    </x:row>
    <x:row r="22">
      <x:c r="A22" s="102" t="str">
        <x:v>ICONN_0021</x:v>
      </x:c>
      <x:c r="B22" s="102" t="str">
        <x:v>ASSET078</x:v>
      </x:c>
      <x:c r="C22" s="102" t="str">
        <x:v>Fort Worth rail-served logistics asset</x:v>
      </x:c>
      <x:c r="D22" s="102"/>
      <x:c r="E22" s="102" t="str">
        <x:v>BNSF Alliance intermodal terminal</x:v>
      </x:c>
      <x:c r="F22" s="102" t="str">
        <x:v>Rail terminal</x:v>
      </x:c>
      <x:c r="G22" s="102" t="str">
        <x:v>Rail</x:v>
      </x:c>
      <x:c r="H22" s="102" t="str">
        <x:v>Rail-served logistics adjacency</x:v>
      </x:c>
      <x:c r="I22" s="102" t="str">
        <x:v>CORRIDOR_MIDCONTINENT</x:v>
      </x:c>
      <x:c r="J22" s="102" t="str">
        <x:v>Intermodal cargo</x:v>
      </x:c>
      <x:c r="K22" s="102" t="str">
        <x:v>Active</x:v>
      </x:c>
      <x:c r="L22" s="102" t="str">
        <x:v>SRC_0285</x:v>
      </x:c>
      <x:c r="M22" s="102" t="str">
        <x:v>https://stonepeak.com/news/stonepeak-acquires-rail-served-logistics-asset-in-fort-worth-texas</x:v>
      </x:c>
      <x:c r="N22" s="102"/>
    </x:row>
    <x:row r="23">
      <x:c r="A23" s="102" t="str">
        <x:v>ICONN_0022</x:v>
      </x:c>
      <x:c r="B23" s="102" t="str">
        <x:v>ASSET078</x:v>
      </x:c>
      <x:c r="C23" s="102" t="str">
        <x:v>Fort Worth rail-served logistics asset</x:v>
      </x:c>
      <x:c r="D23" s="102"/>
      <x:c r="E23" s="102" t="str">
        <x:v>Fort Worth Alliance cargo airport</x:v>
      </x:c>
      <x:c r="F23" s="102" t="str">
        <x:v>Cargo airport</x:v>
      </x:c>
      <x:c r="G23" s="102" t="str">
        <x:v>Air Cargo / Road</x:v>
      </x:c>
      <x:c r="H23" s="102" t="str">
        <x:v>Cargo-airport adjacency</x:v>
      </x:c>
      <x:c r="I23" s="102" t="str">
        <x:v>CORRIDOR_MIDCONTINENT</x:v>
      </x:c>
      <x:c r="J23" s="102" t="str">
        <x:v>Air cargo / logistics</x:v>
      </x:c>
      <x:c r="K23" s="102" t="str">
        <x:v>Active</x:v>
      </x:c>
      <x:c r="L23" s="102" t="str">
        <x:v>SRC_0285</x:v>
      </x:c>
      <x:c r="M23" s="102" t="str">
        <x:v>https://stonepeak.com/news/stonepeak-acquires-rail-served-logistics-asset-in-fort-worth-texas</x:v>
      </x:c>
      <x:c r="N23" s="102"/>
    </x:row>
    <x:row r="24">
      <x:c r="A24" s="102" t="str">
        <x:v>ICONN_0023</x:v>
      </x:c>
      <x:c r="B24" s="102" t="str">
        <x:v>ASSET078</x:v>
      </x:c>
      <x:c r="C24" s="102" t="str">
        <x:v>Fort Worth rail-served logistics asset</x:v>
      </x:c>
      <x:c r="D24" s="102"/>
      <x:c r="E24" s="102" t="str">
        <x:v>I-35 / NAFTA highway</x:v>
      </x:c>
      <x:c r="F24" s="102" t="str">
        <x:v>Road corridor</x:v>
      </x:c>
      <x:c r="G24" s="102" t="str">
        <x:v>Road</x:v>
      </x:c>
      <x:c r="H24" s="102" t="str">
        <x:v>Direct corridor access</x:v>
      </x:c>
      <x:c r="I24" s="102" t="str">
        <x:v>CORRIDOR_MIDCONTINENT</x:v>
      </x:c>
      <x:c r="J24" s="102" t="str">
        <x:v>Truck freight</x:v>
      </x:c>
      <x:c r="K24" s="102" t="str">
        <x:v>Active</x:v>
      </x:c>
      <x:c r="L24" s="102" t="str">
        <x:v>SRC_0285</x:v>
      </x:c>
      <x:c r="M24" s="102" t="str">
        <x:v>https://stonepeak.com/news/stonepeak-acquires-rail-served-logistics-asset-in-fort-worth-texas</x:v>
      </x:c>
      <x:c r="N24" s="102" t="str">
        <x:v>Links Mexico-Canada trucking corridor.</x:v>
      </x:c>
    </x:row>
    <x:row r="25">
      <x:c r="A25" s="42" t="str">
        <x:v>ICONN_0024</x:v>
      </x:c>
      <x:c r="B25" s="42" t="str">
        <x:v>ASSET090</x:v>
      </x:c>
      <x:c r="C25" s="42" t="str">
        <x:v>DHL Express Leipzig Global Hub</x:v>
      </x:c>
      <x:c r="D25" s="42" t="str"/>
      <x:c r="E25" s="42" t="str">
        <x:v>Leipzig/Halle Airport (LEJ)</x:v>
      </x:c>
      <x:c r="F25" s="42" t="str">
        <x:v>Airport</x:v>
      </x:c>
      <x:c r="G25" s="42" t="str">
        <x:v>Air Cargo</x:v>
      </x:c>
      <x:c r="H25" s="42" t="str">
        <x:v>Located at / operates through</x:v>
      </x:c>
      <x:c r="I25" s="42" t="str"/>
      <x:c r="J25" s="42" t="str">
        <x:v>Express parcels; international air freight</x:v>
      </x:c>
      <x:c r="K25" s="42" t="str">
        <x:v>Active</x:v>
      </x:c>
      <x:c r="L25" s="42" t="str">
        <x:v>SRC_0294</x:v>
      </x:c>
      <x:c r="M25" s="42" t="str">
        <x:v>https://group.dhl.com/en/media-relations/press-releases/2024/dhl-extends-partnership-with-mitteldeutsche-flughafen-ag-until-2053.html</x:v>
      </x:c>
      <x:c r="N25" s="42" t="str">
        <x:v>Largest of DHL's three global hubs.</x:v>
      </x:c>
    </x:row>
    <x:row r="26">
      <x:c r="A26" s="42" t="str">
        <x:v>ICONN_0025</x:v>
      </x:c>
      <x:c r="B26" s="42" t="str">
        <x:v>ASSET091</x:v>
      </x:c>
      <x:c r="C26" s="42" t="str">
        <x:v>DHL Express Hong Kong Central Asia Hub</x:v>
      </x:c>
      <x:c r="D26" s="42" t="str"/>
      <x:c r="E26" s="42" t="str">
        <x:v>Hong Kong International Airport (HKG)</x:v>
      </x:c>
      <x:c r="F26" s="42" t="str">
        <x:v>Airport</x:v>
      </x:c>
      <x:c r="G26" s="42" t="str">
        <x:v>Air Cargo</x:v>
      </x:c>
      <x:c r="H26" s="42" t="str">
        <x:v>Located at / operates through</x:v>
      </x:c>
      <x:c r="I26" s="42" t="str"/>
      <x:c r="J26" s="42" t="str">
        <x:v>Express parcels; Asia-Europe / trans-Pacific air cargo</x:v>
      </x:c>
      <x:c r="K26" s="42" t="str">
        <x:v>Active</x:v>
      </x:c>
      <x:c r="L26" s="42" t="str">
        <x:v>SRC_0295</x:v>
      </x:c>
      <x:c r="M26" s="42" t="str">
        <x:v>https://group.dhl.com/en/media-relations/press-releases/2023/dhl-express-opens-newly-expanded-global-hub-in-hong-kong.html</x:v>
      </x:c>
      <x:c r="N26" s="42" t="str"/>
    </x:row>
    <x:row r="27">
      <x:c r="A27" s="42" t="str">
        <x:v>ICONN_0026</x:v>
      </x:c>
      <x:c r="B27" s="42" t="str">
        <x:v>ASSET092</x:v>
      </x:c>
      <x:c r="C27" s="42" t="str">
        <x:v>DHL Supply Chain Halle Logistics Center</x:v>
      </x:c>
      <x:c r="D27" s="42" t="str">
        <x:v>ASSET090</x:v>
      </x:c>
      <x:c r="E27" s="42" t="str">
        <x:v>DHL Express Leipzig Global Hub</x:v>
      </x:c>
      <x:c r="F27" s="42" t="str">
        <x:v>Air cargo hub</x:v>
      </x:c>
      <x:c r="G27" s="42" t="str">
        <x:v>Road / Air Cargo / Logistics</x:v>
      </x:c>
      <x:c r="H27" s="42" t="str">
        <x:v>Proximate logistics feeder / distribution connection</x:v>
      </x:c>
      <x:c r="I27" s="42" t="str"/>
      <x:c r="J27" s="42" t="str">
        <x:v>Contract logistics; express / air cargo</x:v>
      </x:c>
      <x:c r="K27" s="42" t="str">
        <x:v>Active</x:v>
      </x:c>
      <x:c r="L27" s="42" t="str">
        <x:v>SRC_0316</x:v>
      </x:c>
      <x:c r="M27" s="42" t="str">
        <x:v>https://group.dhl.com/en/media-relations/press-releases/2025/dhl-supply-chain-invests-in-climate-neutral-expansion-new-logistics-center-strengthens-leipzig-halle-as-europes-freight-hub.html</x:v>
      </x:c>
      <x:c r="N27" s="42" t="str"/>
    </x:row>
    <x:row r="28">
      <x:c r="A28" s="42" t="str">
        <x:v>ICONN_0027</x:v>
      </x:c>
      <x:c r="B28" s="42" t="str">
        <x:v>ASSET093</x:v>
      </x:c>
      <x:c r="C28" s="42" t="str">
        <x:v>DHL Supply Chain SILZ Regional Hub</x:v>
      </x:c>
      <x:c r="D28" s="42" t="str"/>
      <x:c r="E28" s="42" t="str">
        <x:v>King Khalid International Airport (RUH)</x:v>
      </x:c>
      <x:c r="F28" s="42" t="str">
        <x:v>Airport</x:v>
      </x:c>
      <x:c r="G28" s="42" t="str">
        <x:v>Air Cargo / Road</x:v>
      </x:c>
      <x:c r="H28" s="42" t="str">
        <x:v>~8 km airport adjacency via bonded corridor</x:v>
      </x:c>
      <x:c r="I28" s="42" t="str"/>
      <x:c r="J28" s="42" t="str">
        <x:v>Imports; exports; e-commerce; regional distribution</x:v>
      </x:c>
      <x:c r="K28" s="42" t="str">
        <x:v>Development</x:v>
      </x:c>
      <x:c r="L28" s="42" t="str">
        <x:v>SRC_0296</x:v>
      </x:c>
      <x:c r="M28" s="42" t="str">
        <x:v>https://group.dhl.com/en/media-relations/press-releases/2025/dhl-supply-chain-to-invest-eur-130-million-in-new-warehouse-at-saudi-arabia.html</x:v>
      </x:c>
      <x:c r="N28" s="42" t="str"/>
    </x:row>
    <x:row r="29">
      <x:c r="A29" s="42" t="str">
        <x:v>ICONN_0028</x:v>
      </x:c>
      <x:c r="B29" s="42" t="str">
        <x:v>ASSET093</x:v>
      </x:c>
      <x:c r="C29" s="42" t="str">
        <x:v>DHL Supply Chain SILZ Regional Hub</x:v>
      </x:c>
      <x:c r="D29" s="42" t="str"/>
      <x:c r="E29" s="42" t="str">
        <x:v>Special Integrated Logistics Zone (SILZ)</x:v>
      </x:c>
      <x:c r="F29" s="42" t="str">
        <x:v>Economic / logistics zone</x:v>
      </x:c>
      <x:c r="G29" s="42" t="str">
        <x:v>Logistics / Customs</x:v>
      </x:c>
      <x:c r="H29" s="42" t="str">
        <x:v>Anchor-tenant / 26-year land lease</x:v>
      </x:c>
      <x:c r="I29" s="42" t="str"/>
      <x:c r="J29" s="42" t="str">
        <x:v>Bonded logistics; regional distribution</x:v>
      </x:c>
      <x:c r="K29" s="42" t="str">
        <x:v>Development</x:v>
      </x:c>
      <x:c r="L29" s="42" t="str">
        <x:v>SRC_0296</x:v>
      </x:c>
      <x:c r="M29" s="42" t="str">
        <x:v>https://group.dhl.com/en/media-relations/press-releases/2025/dhl-supply-chain-to-invest-eur-130-million-in-new-warehouse-at-saudi-arabia.html</x:v>
      </x:c>
      <x:c r="N29" s="42" t="str"/>
    </x:row>
    <x:row r="30">
      <x:c r="A30" s="42" t="str">
        <x:v>ICONN_0029</x:v>
      </x:c>
      <x:c r="B30" s="42" t="str">
        <x:v>ASSET094</x:v>
      </x:c>
      <x:c r="C30" s="42" t="str">
        <x:v>FedEx Memphis World Hub</x:v>
      </x:c>
      <x:c r="D30" s="42" t="str"/>
      <x:c r="E30" s="42" t="str">
        <x:v>Memphis International Airport (MEM)</x:v>
      </x:c>
      <x:c r="F30" s="42" t="str">
        <x:v>Airport</x:v>
      </x:c>
      <x:c r="G30" s="42" t="str">
        <x:v>Air Cargo</x:v>
      </x:c>
      <x:c r="H30" s="42" t="str">
        <x:v>Located at / primary world hub</x:v>
      </x:c>
      <x:c r="I30" s="42" t="str"/>
      <x:c r="J30" s="42" t="str">
        <x:v>Express; international and domestic cargo</x:v>
      </x:c>
      <x:c r="K30" s="42" t="str">
        <x:v>Active</x:v>
      </x:c>
      <x:c r="L30" s="42" t="str">
        <x:v>SRC_0297</x:v>
      </x:c>
      <x:c r="M30" s="42" t="str">
        <x:v>https://www.sec.gov/Archives/edgar/data/1048911/000104891126000105/fdx-20260531.htm</x:v>
      </x:c>
      <x:c r="N30" s="42" t="str"/>
    </x:row>
    <x:row r="31">
      <x:c r="A31" s="42" t="str">
        <x:v>ICONN_0030</x:v>
      </x:c>
      <x:c r="B31" s="42" t="str">
        <x:v>ASSET095</x:v>
      </x:c>
      <x:c r="C31" s="42" t="str">
        <x:v>FedEx Indianapolis National Hub</x:v>
      </x:c>
      <x:c r="D31" s="42" t="str"/>
      <x:c r="E31" s="42" t="str">
        <x:v>Indianapolis International Airport (IND)</x:v>
      </x:c>
      <x:c r="F31" s="42" t="str">
        <x:v>Airport</x:v>
      </x:c>
      <x:c r="G31" s="42" t="str">
        <x:v>Air Cargo</x:v>
      </x:c>
      <x:c r="H31" s="42" t="str">
        <x:v>Located at / national hub</x:v>
      </x:c>
      <x:c r="I31" s="42" t="str"/>
      <x:c r="J31" s="42" t="str">
        <x:v>Express; domestic cargo</x:v>
      </x:c>
      <x:c r="K31" s="42" t="str">
        <x:v>Active</x:v>
      </x:c>
      <x:c r="L31" s="42" t="str">
        <x:v>SRC_0297</x:v>
      </x:c>
      <x:c r="M31" s="42" t="str">
        <x:v>https://www.sec.gov/Archives/edgar/data/1048911/000104891126000105/fdx-20260531.htm</x:v>
      </x:c>
      <x:c r="N31" s="42" t="str"/>
    </x:row>
    <x:row r="32">
      <x:c r="A32" s="42" t="str">
        <x:v>ICONN_0031</x:v>
      </x:c>
      <x:c r="B32" s="42" t="str">
        <x:v>ASSET096</x:v>
      </x:c>
      <x:c r="C32" s="42" t="str">
        <x:v>FedEx Delhi Integrated Air Cargo Hub</x:v>
      </x:c>
      <x:c r="D32" s="42" t="str"/>
      <x:c r="E32" s="42" t="str">
        <x:v>Delhi Indira Gandhi International Airport (DEL)</x:v>
      </x:c>
      <x:c r="F32" s="42" t="str">
        <x:v>Airport</x:v>
      </x:c>
      <x:c r="G32" s="42" t="str">
        <x:v>Air Cargo / Road</x:v>
      </x:c>
      <x:c r="H32" s="42" t="str">
        <x:v>Located at GMR Cargo City / integrated gateway</x:v>
      </x:c>
      <x:c r="I32" s="42" t="str"/>
      <x:c r="J32" s="42" t="str">
        <x:v>International express; North and East India cargo</x:v>
      </x:c>
      <x:c r="K32" s="42" t="str">
        <x:v>Development</x:v>
      </x:c>
      <x:c r="L32" s="42" t="str">
        <x:v>SRC_0300</x:v>
      </x:c>
      <x:c r="M32" s="42" t="str">
        <x:v>https://newsroom.fedex.com/newsroom/global/fedex-announces-plans-to-develop-new-integrated-air-cargo-hub-at-gmr-cargo-city-delhi-airport</x:v>
      </x:c>
      <x:c r="N32" s="42" t="str"/>
    </x:row>
    <x:row r="33">
      <x:c r="A33" s="42" t="str">
        <x:v>ICONN_0032</x:v>
      </x:c>
      <x:c r="B33" s="42" t="str">
        <x:v>ASSET097</x:v>
      </x:c>
      <x:c r="C33" s="42" t="str">
        <x:v>Amazon Air CVG Hub</x:v>
      </x:c>
      <x:c r="D33" s="42" t="str"/>
      <x:c r="E33" s="42" t="str">
        <x:v>Cincinnati/Northern Kentucky International Airport (CVG)</x:v>
      </x:c>
      <x:c r="F33" s="42" t="str">
        <x:v>Airport</x:v>
      </x:c>
      <x:c r="G33" s="42" t="str">
        <x:v>Air Cargo / Road</x:v>
      </x:c>
      <x:c r="H33" s="42" t="str">
        <x:v>Located at / flagship air hub</x:v>
      </x:c>
      <x:c r="I33" s="42" t="str"/>
      <x:c r="J33" s="42" t="str">
        <x:v>Amazon parcels; fulfilment replenishment; external logistics traffic</x:v>
      </x:c>
      <x:c r="K33" s="42" t="str">
        <x:v>Active</x:v>
      </x:c>
      <x:c r="L33" s="42" t="str">
        <x:v>SRC_0305</x:v>
      </x:c>
      <x:c r="M33" s="42" t="str">
        <x:v>https://press.aboutamazon.com/2026/8/amazon-celebrates-5-year-milestone-at-its-largest-field-operation</x:v>
      </x:c>
      <x:c r="N33" s="42" t="str"/>
    </x:row>
    <x:row r="34">
      <x:c r="A34" s="42" t="str">
        <x:v>ICONN_0033</x:v>
      </x:c>
      <x:c r="B34" s="42" t="str">
        <x:v>ASSET098</x:v>
      </x:c>
      <x:c r="C34" s="42" t="str">
        <x:v>Aramex Healthcare Warehouse - Dubai Logistics City</x:v>
      </x:c>
      <x:c r="D34" s="42" t="str"/>
      <x:c r="E34" s="42" t="str">
        <x:v>Dubai Logistics City / DWC Free Zone</x:v>
      </x:c>
      <x:c r="F34" s="42" t="str">
        <x:v>Free zone / logistics zone</x:v>
      </x:c>
      <x:c r="G34" s="42" t="str">
        <x:v>Logistics / Customs</x:v>
      </x:c>
      <x:c r="H34" s="42" t="str">
        <x:v>Located in / duty-free logistics zone</x:v>
      </x:c>
      <x:c r="I34" s="42" t="str"/>
      <x:c r="J34" s="42" t="str">
        <x:v>Healthcare; pharmaceuticals; medical devices</x:v>
      </x:c>
      <x:c r="K34" s="42" t="str">
        <x:v>Active</x:v>
      </x:c>
      <x:c r="L34" s="42" t="str">
        <x:v>SRC_0315</x:v>
      </x:c>
      <x:c r="M34" s="42" t="str">
        <x:v>https://www.aramex.com/ae/en/best-in-class-logistic-solutions-for-multi-faceted-industries/sciences-and-pharmaceutical-distribution</x:v>
      </x:c>
      <x:c r="N34" s="42" t="str"/>
    </x:row>
    <x:row r="35">
      <x:c r="A35" s="42" t="str">
        <x:v>ICONN_0034</x:v>
      </x:c>
      <x:c r="B35" s="42" t="str">
        <x:v>ASSET098</x:v>
      </x:c>
      <x:c r="C35" s="42" t="str">
        <x:v>Aramex Healthcare Warehouse - Dubai Logistics City</x:v>
      </x:c>
      <x:c r="D35" s="42" t="str"/>
      <x:c r="E35" s="42" t="str">
        <x:v>Al Maktoum International Airport (DWC)</x:v>
      </x:c>
      <x:c r="F35" s="42" t="str">
        <x:v>Airport</x:v>
      </x:c>
      <x:c r="G35" s="42" t="str">
        <x:v>Air Cargo / Road</x:v>
      </x:c>
      <x:c r="H35" s="42" t="str">
        <x:v>Airport / cargo gateway adjacency</x:v>
      </x:c>
      <x:c r="I35" s="42" t="str"/>
      <x:c r="J35" s="42" t="str">
        <x:v>Healthcare / express / freight</x:v>
      </x:c>
      <x:c r="K35" s="42" t="str">
        <x:v>Active</x:v>
      </x:c>
      <x:c r="L35" s="42" t="str">
        <x:v>SRC_0315</x:v>
      </x:c>
      <x:c r="M35" s="42" t="str">
        <x:v>https://www.aramex.com/ae/en/best-in-class-logistic-solutions-for-multi-faceted-industries/sciences-and-pharmaceutical-distribution</x:v>
      </x:c>
      <x:c r="N35" s="42" t="str"/>
    </x:row>
  </x:sheetData>
  <x:pageMargins left="0.7" right="0.7" top="0.75" bottom="0.75" header="0.3" footer="0.3"/>
  <x:tableParts count="1">
    <x:tablePart xmlns:r="http://schemas.openxmlformats.org/officeDocument/2006/relationships" r:id="Re23aed9a966d4352"/>
  </x:tableParts>
</x:worksheet>
</file>

<file path=xl/worksheets/sheet76.xml><?xml version="1.0" encoding="utf-8"?>
<x:worksheet xmlns:x="http://schemas.openxmlformats.org/spreadsheetml/2006/main">
  <x:sheetFormatPr defaultRowHeight="15"/>
  <x:cols>
    <x:col min="1" max="1" width="18" hidden="0" customWidth="1"/>
    <x:col min="2" max="2" width="18" hidden="0" customWidth="1"/>
    <x:col min="3" max="3" width="24" hidden="0" customWidth="1"/>
    <x:col min="4" max="4" width="24" hidden="0" customWidth="1"/>
    <x:col min="5" max="5" width="24" hidden="0" customWidth="1"/>
    <x:col min="6" max="6" width="18" hidden="0" customWidth="1"/>
    <x:col min="7" max="7" width="30" hidden="0" customWidth="1"/>
    <x:col min="8" max="8" width="30" hidden="0" customWidth="1"/>
    <x:col min="9" max="9" width="30" hidden="0" customWidth="1"/>
    <x:col min="10" max="10" width="30" hidden="0" customWidth="1"/>
    <x:col min="11" max="11" width="30" hidden="0" customWidth="1"/>
    <x:col min="12" max="12" width="30" hidden="0" customWidth="1"/>
    <x:col min="13" max="13" width="18" hidden="0" customWidth="1"/>
    <x:col min="14" max="14" width="18" hidden="0" customWidth="1"/>
    <x:col min="15" max="15" width="42" hidden="0" customWidth="1"/>
    <x:col min="16" max="16" width="18" hidden="0" customWidth="1"/>
    <x:col min="17" max="17" width="30" hidden="0" customWidth="1"/>
  </x:cols>
  <x:sheetData>
    <x:row r="1">
      <x:c r="A1" s="206" t="str">
        <x:v>Network ID</x:v>
      </x:c>
      <x:c r="B1" s="206" t="str">
        <x:v>Parent Company ID</x:v>
      </x:c>
      <x:c r="C1" s="206" t="str">
        <x:v>Platform / Division Company ID</x:v>
      </x:c>
      <x:c r="D1" s="206" t="str">
        <x:v>Platform / Division</x:v>
      </x:c>
      <x:c r="E1" s="206" t="str">
        <x:v>Network Role</x:v>
      </x:c>
      <x:c r="F1" s="206" t="str">
        <x:v>Modes</x:v>
      </x:c>
      <x:c r="G1" s="206" t="str">
        <x:v>Asset Model</x:v>
      </x:c>
      <x:c r="H1" s="206" t="str">
        <x:v>Reported Scale</x:v>
      </x:c>
      <x:c r="I1" s="206" t="str">
        <x:v>Key Hubs / Nodes</x:v>
      </x:c>
      <x:c r="J1" s="206" t="str">
        <x:v>Geographic Footprint</x:v>
      </x:c>
      <x:c r="K1" s="206" t="str">
        <x:v>External Customer Offering</x:v>
      </x:c>
      <x:c r="L1" s="206" t="str">
        <x:v>Strategic / Market Signal</x:v>
      </x:c>
      <x:c r="M1" s="206" t="str">
        <x:v>Status</x:v>
      </x:c>
      <x:c r="N1" s="206" t="str">
        <x:v>Source ID</x:v>
      </x:c>
      <x:c r="O1" s="206" t="str">
        <x:v>Source URL</x:v>
      </x:c>
      <x:c r="P1" s="206" t="str">
        <x:v>As Of</x:v>
      </x:c>
      <x:c r="Q1" s="206" t="str">
        <x:v>Notes</x:v>
      </x:c>
    </x:row>
    <x:row r="2">
      <x:c r="A2" s="42" t="str">
        <x:v>ILN_0001</x:v>
      </x:c>
      <x:c r="B2" s="42" t="str">
        <x:v>COMP_DHL_AG</x:v>
      </x:c>
      <x:c r="C2" s="42" t="str">
        <x:v>COMP_DHL_EXPRESS</x:v>
      </x:c>
      <x:c r="D2" s="42" t="str">
        <x:v>DHL Express</x:v>
      </x:c>
      <x:c r="E2" s="42" t="str">
        <x:v>Time-definite express / air-network integrator</x:v>
      </x:c>
      <x:c r="F2" s="42" t="str">
        <x:v>Air; road; customs</x:v>
      </x:c>
      <x:c r="G2" s="42" t="str">
        <x:v>Dedicated + partner airline network; airport hubs; service points</x:v>
      </x:c>
      <x:c r="H2" s="42" t="str">
        <x:v>&gt;275 dedicated aircraft; &gt;2,400 daily flights; 23 hubs; &gt;500 airports</x:v>
      </x:c>
      <x:c r="I2" s="42" t="str">
        <x:v>Leipzig; Hong Kong; Cincinnati + regional hubs</x:v>
      </x:c>
      <x:c r="J2" s="42" t="str">
        <x:v>220+ countries/territories</x:v>
      </x:c>
      <x:c r="K2" s="42" t="str">
        <x:v>International express and time-definite logistics</x:v>
      </x:c>
      <x:c r="L2" s="42" t="str">
        <x:v>Control/reliability through a virtual-airline model rather than a single legal carrier</x:v>
      </x:c>
      <x:c r="M2" s="42" t="str">
        <x:v>Active</x:v>
      </x:c>
      <x:c r="N2" s="42" t="str">
        <x:v>SRC_0290</x:v>
      </x:c>
      <x:c r="O2" s="42" t="str">
        <x:v>https://group.dhl.com/content/dam/deutschepostdhl/en/investors/creditor-relations/presentations/DHL-Group-Credit-Investor-Presentation-April-2026.pdf</x:v>
      </x:c>
      <x:c r="P2" s="42" t="str">
        <x:v>2026-09-07</x:v>
      </x:c>
      <x:c r="Q2" s="42" t="str"/>
    </x:row>
    <x:row r="3">
      <x:c r="A3" s="42" t="str">
        <x:v>ILN_0002</x:v>
      </x:c>
      <x:c r="B3" s="42" t="str">
        <x:v>COMP_DHL_AG</x:v>
      </x:c>
      <x:c r="C3" s="42" t="str">
        <x:v>COMP_DHL_GLOBAL_FORWARDING</x:v>
      </x:c>
      <x:c r="D3" s="42" t="str">
        <x:v>DHL Global Forwarding</x:v>
      </x:c>
      <x:c r="E3" s="42" t="str">
        <x:v>Asset-light freight forwarder / multimodal orchestrator</x:v>
      </x:c>
      <x:c r="F3" s="42" t="str">
        <x:v>Air; ocean; rail; road; customs</x:v>
      </x:c>
      <x:c r="G3" s="42" t="str">
        <x:v>Carrier procurement + terminals/storage + forwarding control tower</x:v>
      </x:c>
      <x:c r="H3" s="42" t="str">
        <x:v>&gt;200 terminals/storage facilities; &gt;115 countries</x:v>
      </x:c>
      <x:c r="I3" s="42" t="str">
        <x:v>Global gateways; carrier networks</x:v>
      </x:c>
      <x:c r="J3" s="42" t="str">
        <x:v>Global</x:v>
      </x:c>
      <x:c r="K3" s="42" t="str">
        <x:v>External air/ocean/overland forwarding</x:v>
      </x:c>
      <x:c r="L3" s="42" t="str">
        <x:v>Connects owned/controlled network assets with third-party carrier capacity</x:v>
      </x:c>
      <x:c r="M3" s="42" t="str">
        <x:v>Active</x:v>
      </x:c>
      <x:c r="N3" s="42" t="str">
        <x:v>SRC_0291</x:v>
      </x:c>
      <x:c r="O3" s="42" t="str">
        <x:v>https://group.dhl.com/en/about-us/corporate-divisions/global-forwarding-freight.html</x:v>
      </x:c>
      <x:c r="P3" s="42" t="str">
        <x:v>2026-09-07</x:v>
      </x:c>
      <x:c r="Q3" s="42" t="str"/>
    </x:row>
    <x:row r="4">
      <x:c r="A4" s="42" t="str">
        <x:v>ILN_0003</x:v>
      </x:c>
      <x:c r="B4" s="42" t="str">
        <x:v>COMP_DHL_AG</x:v>
      </x:c>
      <x:c r="C4" s="42" t="str">
        <x:v>COMP_DHL_SUPPLY_CHAIN</x:v>
      </x:c>
      <x:c r="D4" s="42" t="str">
        <x:v>DHL Supply Chain</x:v>
      </x:c>
      <x:c r="E4" s="42" t="str">
        <x:v>Contract-logistics / physical-infrastructure operator</x:v>
      </x:c>
      <x:c r="F4" s="42" t="str">
        <x:v>Warehousing; road; air/port-linked distribution</x:v>
      </x:c>
      <x:c r="G4" s="42" t="str">
        <x:v>Owned/leased warehouses + customer sites + automation</x:v>
      </x:c>
      <x:c r="H4" s="42" t="str">
        <x:v>~17.5m sqm owned/leased warehousing and operational space</x:v>
      </x:c>
      <x:c r="I4" s="42" t="str">
        <x:v>Halle; SILZ Riyadh + global facilities</x:v>
      </x:c>
      <x:c r="J4" s="42" t="str">
        <x:v>&gt;55 countries</x:v>
      </x:c>
      <x:c r="K4" s="42" t="str">
        <x:v>Contract logistics, warehousing, fulfilment and 4PL</x:v>
      </x:c>
      <x:c r="L4" s="42" t="str">
        <x:v>Capital is being placed beside major air/logistics nodes to capture regional distribution flows</x:v>
      </x:c>
      <x:c r="M4" s="42" t="str">
        <x:v>Active</x:v>
      </x:c>
      <x:c r="N4" s="42" t="str">
        <x:v>SRC_0292</x:v>
      </x:c>
      <x:c r="O4" s="42" t="str">
        <x:v>https://group.dhl.com/en/about-us/corporate-divisions/supply-chain.html</x:v>
      </x:c>
      <x:c r="P4" s="42" t="str">
        <x:v>2026-09-07</x:v>
      </x:c>
      <x:c r="Q4" s="42" t="str"/>
    </x:row>
    <x:row r="5">
      <x:c r="A5" s="42" t="str">
        <x:v>ILN_0004</x:v>
      </x:c>
      <x:c r="B5" s="42" t="str">
        <x:v>COMP_DHL_AG</x:v>
      </x:c>
      <x:c r="C5" s="42" t="str">
        <x:v>COMP_DHL_ECOMMERCE</x:v>
      </x:c>
      <x:c r="D5" s="42" t="str">
        <x:v>DHL eCommerce</x:v>
      </x:c>
      <x:c r="E5" s="42" t="str">
        <x:v>Parcel / last-mile network</x:v>
      </x:c>
      <x:c r="F5" s="42" t="str">
        <x:v>Road; parcel; cross-border e-commerce</x:v>
      </x:c>
      <x:c r="G5" s="42" t="str">
        <x:v>Lockers + service points + delivery network</x:v>
      </x:c>
      <x:c r="H5" s="42" t="str">
        <x:v>&gt;53,000 lockers; &gt;167,000 service points</x:v>
      </x:c>
      <x:c r="I5" s="42" t="str">
        <x:v>Distributed consumer network</x:v>
      </x:c>
      <x:c r="J5" s="42" t="str">
        <x:v>&gt;20 countries</x:v>
      </x:c>
      <x:c r="K5" s="42" t="str">
        <x:v>External parcel and e-commerce logistics</x:v>
      </x:c>
      <x:c r="L5" s="42" t="str">
        <x:v>Extends DHL from international freight into final-mile customer access nodes</x:v>
      </x:c>
      <x:c r="M5" s="42" t="str">
        <x:v>Active</x:v>
      </x:c>
      <x:c r="N5" s="42" t="str">
        <x:v>SRC_0293</x:v>
      </x:c>
      <x:c r="O5" s="42" t="str">
        <x:v>https://group.dhl.com/en/about-us/corporate-divisions/ecommerce-solutions.html</x:v>
      </x:c>
      <x:c r="P5" s="42" t="str">
        <x:v>2026-09-07</x:v>
      </x:c>
      <x:c r="Q5" s="42" t="str"/>
    </x:row>
    <x:row r="6">
      <x:c r="A6" s="42" t="str">
        <x:v>ILN_0005</x:v>
      </x:c>
      <x:c r="B6" s="42" t="str">
        <x:v>COMP_FEDEX_CORP</x:v>
      </x:c>
      <x:c r="C6" s="42" t="str">
        <x:v>COMP_FEDERAL_EXPRESS</x:v>
      </x:c>
      <x:c r="D6" s="42" t="str">
        <x:v>Federal Express</x:v>
      </x:c>
      <x:c r="E6" s="42" t="str">
        <x:v>Integrated express / industrial network</x:v>
      </x:c>
      <x:c r="F6" s="42" t="str">
        <x:v>Air; road; customs; parcel</x:v>
      </x:c>
      <x:c r="G6" s="42" t="str">
        <x:v>Owned/leased aircraft + hubs + surface facilities + contractors</x:v>
      </x:c>
      <x:c r="H6" s="42" t="str">
        <x:v>700 aircraft; &gt;180,000 vehicles; ~84,000 drop-off locations</x:v>
      </x:c>
      <x:c r="I6" s="42" t="str">
        <x:v>Memphis; Indianapolis; regional hubs; global gateways</x:v>
      </x:c>
      <x:c r="J6" s="42" t="str">
        <x:v>220+ countries/territories</x:v>
      </x:c>
      <x:c r="K6" s="42" t="str">
        <x:v>External express, freight and logistics connectivity</x:v>
      </x:c>
      <x:c r="L6" s="42" t="str">
        <x:v>FedEx's physical network connects air hubs, surface transport and global trade flows</x:v>
      </x:c>
      <x:c r="M6" s="42" t="str">
        <x:v>Active</x:v>
      </x:c>
      <x:c r="N6" s="42" t="str">
        <x:v>SRC_0297</x:v>
      </x:c>
      <x:c r="O6" s="42" t="str">
        <x:v>https://www.sec.gov/Archives/edgar/data/1048911/000104891126000105/fdx-20260531.htm</x:v>
      </x:c>
      <x:c r="P6" s="42" t="str">
        <x:v>2026-09-07</x:v>
      </x:c>
      <x:c r="Q6" s="42" t="str"/>
    </x:row>
    <x:row r="7">
      <x:c r="A7" s="42" t="str">
        <x:v>ILN_0006</x:v>
      </x:c>
      <x:c r="B7" s="42" t="str">
        <x:v>COMP_FEDEX_CORP</x:v>
      </x:c>
      <x:c r="C7" s="42" t="str">
        <x:v>COMP_FEDEX_SUPPLY_CHAIN</x:v>
      </x:c>
      <x:c r="D7" s="42" t="str">
        <x:v>FedEx Supply Chain</x:v>
      </x:c>
      <x:c r="E7" s="42" t="str">
        <x:v>Contract logistics</x:v>
      </x:c>
      <x:c r="F7" s="42" t="str">
        <x:v>Warehousing; fulfilment; returns</x:v>
      </x:c>
      <x:c r="G7" s="42" t="str">
        <x:v>Warehouse / contract-logistics footprint</x:v>
      </x:c>
      <x:c r="H7" s="42" t="str">
        <x:v>Nearly 10,000 employees; proposed sale would nearly triple CEVA North America contract logistics</x:v>
      </x:c>
      <x:c r="I7" s="42" t="str">
        <x:v>North American contract-logistics network</x:v>
      </x:c>
      <x:c r="J7" s="42" t="str">
        <x:v>North America</x:v>
      </x:c>
      <x:c r="K7" s="42" t="str">
        <x:v>External contract logistics</x:v>
      </x:c>
      <x:c r="L7" s="42" t="str">
        <x:v>Pending sale shows convergence between parcel/express networks and ocean-led integrated logistics groups</x:v>
      </x:c>
      <x:c r="M7" s="42" t="str">
        <x:v>Active / sale pending</x:v>
      </x:c>
      <x:c r="N7" s="42" t="str">
        <x:v>SRC_0301</x:v>
      </x:c>
      <x:c r="O7" s="42" t="str">
        <x:v>https://investors.fedex.com/news-and-events/investor-news/investor-news-details/2026/CMA-CGM-Group-to-Acquire-FedEx-Supply-Chain-at-an-Enterprise-Value-of-1-4-billion-Strengthening-Its-Logistics-Presence-in-North-America/default.aspx</x:v>
      </x:c>
      <x:c r="P7" s="42" t="str">
        <x:v>2026-09-07</x:v>
      </x:c>
      <x:c r="Q7" s="42" t="str">
        <x:v>Do not treat CMA CGM/CEVA as current owner until closing is verified.</x:v>
      </x:c>
    </x:row>
    <x:row r="8">
      <x:c r="A8" s="42" t="str">
        <x:v>ILN_0007</x:v>
      </x:c>
      <x:c r="B8" s="42" t="str"/>
      <x:c r="C8" s="42" t="str">
        <x:v>COMP_FEDEX_FREIGHT</x:v>
      </x:c>
      <x:c r="D8" s="42" t="str">
        <x:v>FedEx Freight</x:v>
      </x:c>
      <x:c r="E8" s="42" t="str">
        <x:v>Independent LTL network</x:v>
      </x:c>
      <x:c r="F8" s="42" t="str">
        <x:v>Road; terminal-to-terminal LTL</x:v>
      </x:c>
      <x:c r="G8" s="42" t="str">
        <x:v>Terminal network + tractor/vehicle fleet</x:v>
      </x:c>
      <x:c r="H8" s="42" t="str">
        <x:v>~355 terminals; nearly 30,000 vehicles; ~17,000 tractors</x:v>
      </x:c>
      <x:c r="I8" s="42" t="str">
        <x:v>North American LTL terminals</x:v>
      </x:c>
      <x:c r="J8" s="42" t="str">
        <x:v>North America</x:v>
      </x:c>
      <x:c r="K8" s="42" t="str">
        <x:v>External LTL freight</x:v>
      </x:c>
      <x:c r="L8" s="42" t="str">
        <x:v>Corporate separation changes ownership/control without removing its relevance to trade-system flows</x:v>
      </x:c>
      <x:c r="M8" s="42" t="str">
        <x:v>Independent public company</x:v>
      </x:c>
      <x:c r="N8" s="42" t="str">
        <x:v>SRC_0299</x:v>
      </x:c>
      <x:c r="O8" s="42" t="str">
        <x:v>https://www.sec.gov/Archives/edgar/data/2082247/000162828026053359/fdxf-20260531.htm</x:v>
      </x:c>
      <x:c r="P8" s="42" t="str">
        <x:v>2026-09-07</x:v>
      </x:c>
      <x:c r="Q8" s="42" t="str"/>
    </x:row>
    <x:row r="9">
      <x:c r="A9" s="42" t="str">
        <x:v>ILN_0008</x:v>
      </x:c>
      <x:c r="B9" s="42" t="str">
        <x:v>COMP_AMAZON</x:v>
      </x:c>
      <x:c r="C9" s="42" t="str">
        <x:v>COMP_AMAZON_SUPPLY_CHAIN</x:v>
      </x:c>
      <x:c r="D9" s="42" t="str">
        <x:v>Amazon Supply Chain Services</x:v>
      </x:c>
      <x:c r="E9" s="42" t="str">
        <x:v>End-to-end external logistics platform</x:v>
      </x:c>
      <x:c r="F9" s="42" t="str">
        <x:v>Ocean; air; rail; road; warehousing; parcel</x:v>
      </x:c>
      <x:c r="G9" s="42" t="str">
        <x:v>Amazon internal logistics infrastructure opened to outside businesses</x:v>
      </x:c>
      <x:c r="H9" s="42" t="str">
        <x:v>80,000+ trailers; 24,000+ intermodal containers; 100+ aircraft</x:v>
      </x:c>
      <x:c r="I9" s="42" t="str">
        <x:v>Amazon fulfilment, air and middle-mile network</x:v>
      </x:c>
      <x:c r="J9" s="42" t="str">
        <x:v>Primarily U.S. with international origin connectivity</x:v>
      </x:c>
      <x:c r="K9" s="42" t="str">
        <x:v>Freight, distribution, fulfilment and parcel shipping for non-Amazon businesses</x:v>
      </x:c>
      <x:c r="L9" s="42" t="str">
        <x:v>Converts Amazon's internal commerce network into a third-party logistics platform</x:v>
      </x:c>
      <x:c r="M9" s="42" t="str">
        <x:v>Active</x:v>
      </x:c>
      <x:c r="N9" s="42" t="str">
        <x:v>SRC_0302</x:v>
      </x:c>
      <x:c r="O9" s="42" t="str">
        <x:v>https://press.aboutamazon.com/2026/5/amazon-launches-amazon-supply-chain-services-opening-its-logistics-network-to-all-businesses</x:v>
      </x:c>
      <x:c r="P9" s="42" t="str">
        <x:v>2026-09-07</x:v>
      </x:c>
      <x:c r="Q9" s="42" t="str"/>
    </x:row>
    <x:row r="10">
      <x:c r="A10" s="42" t="str">
        <x:v>ILN_0009</x:v>
      </x:c>
      <x:c r="B10" s="42" t="str">
        <x:v>COMP_AMAZON</x:v>
      </x:c>
      <x:c r="C10" s="42" t="str">
        <x:v>COMP_AMAZON_GLOBAL_LOGISTICS</x:v>
      </x:c>
      <x:c r="D10" s="42" t="str">
        <x:v>Amazon Global Logistics</x:v>
      </x:c>
      <x:c r="E10" s="42" t="str">
        <x:v>International freight forwarder / origin-to-network bridge</x:v>
      </x:c>
      <x:c r="F10" s="42" t="str">
        <x:v>Ocean; air; customs; road</x:v>
      </x:c>
      <x:c r="G10" s="42" t="str">
        <x:v>Carrier capacity + origin pickup + customs + Amazon destination network</x:v>
      </x:c>
      <x:c r="H10" s="42" t="str">
        <x:v>Public scale not stated separately</x:v>
      </x:c>
      <x:c r="I10" s="42" t="str">
        <x:v>China origins → U.S. Amazon network</x:v>
      </x:c>
      <x:c r="J10" s="42" t="str">
        <x:v>Cross-border</x:v>
      </x:c>
      <x:c r="K10" s="42" t="str">
        <x:v>External/integrated seller freight</x:v>
      </x:c>
      <x:c r="L10" s="42" t="str">
        <x:v>Bridges maritime and air freight directly into Amazon fulfilment infrastructure</x:v>
      </x:c>
      <x:c r="M10" s="42" t="str">
        <x:v>Active</x:v>
      </x:c>
      <x:c r="N10" s="42" t="str">
        <x:v>SRC_0304</x:v>
      </x:c>
      <x:c r="O10" s="42" t="str">
        <x:v>https://supplychain.amazon.com/ocean-freight</x:v>
      </x:c>
      <x:c r="P10" s="42" t="str">
        <x:v>2026-09-07</x:v>
      </x:c>
      <x:c r="Q10" s="42" t="str"/>
    </x:row>
    <x:row r="11">
      <x:c r="A11" s="42" t="str">
        <x:v>ILN_0010</x:v>
      </x:c>
      <x:c r="B11" s="42" t="str">
        <x:v>COMP_AMAZON</x:v>
      </x:c>
      <x:c r="C11" s="42" t="str">
        <x:v>COMP_AMAZON_FREIGHT</x:v>
      </x:c>
      <x:c r="D11" s="42" t="str">
        <x:v>Amazon Freight</x:v>
      </x:c>
      <x:c r="E11" s="42" t="str">
        <x:v>Middle-mile freight network</x:v>
      </x:c>
      <x:c r="F11" s="42" t="str">
        <x:v>Road; rail/intermodal</x:v>
      </x:c>
      <x:c r="G11" s="42" t="str">
        <x:v>Amazon trailers + intermodal equipment + external carrier network</x:v>
      </x:c>
      <x:c r="H11" s="42" t="str">
        <x:v>80,000+ trailers; 24,000+ containers; 50,000+ vetted carriers</x:v>
      </x:c>
      <x:c r="I11" s="42" t="str">
        <x:v>U.S. trucking / intermodal corridors</x:v>
      </x:c>
      <x:c r="J11" s="42" t="str">
        <x:v>United States</x:v>
      </x:c>
      <x:c r="K11" s="42" t="str">
        <x:v>FTL, LTL and intermodal services</x:v>
      </x:c>
      <x:c r="L11" s="42" t="str">
        <x:v>Turns Amazon's demand-driven middle-mile capacity into a commercial freight product</x:v>
      </x:c>
      <x:c r="M11" s="42" t="str">
        <x:v>Active</x:v>
      </x:c>
      <x:c r="N11" s="42" t="str">
        <x:v>SRC_0303</x:v>
      </x:c>
      <x:c r="O11" s="42" t="str">
        <x:v>https://freight.amazon.com/</x:v>
      </x:c>
      <x:c r="P11" s="42" t="str">
        <x:v>2026-09-07</x:v>
      </x:c>
      <x:c r="Q11" s="42" t="str"/>
    </x:row>
    <x:row r="12">
      <x:c r="A12" s="42" t="str">
        <x:v>ILN_0011</x:v>
      </x:c>
      <x:c r="B12" s="42" t="str">
        <x:v>COMP_AMAZON</x:v>
      </x:c>
      <x:c r="C12" s="42" t="str">
        <x:v>COMP_AMAZON_AIR</x:v>
      </x:c>
      <x:c r="D12" s="42" t="str">
        <x:v>Amazon Air</x:v>
      </x:c>
      <x:c r="E12" s="42" t="str">
        <x:v>Air cargo network</x:v>
      </x:c>
      <x:c r="F12" s="42" t="str">
        <x:v>Air; road</x:v>
      </x:c>
      <x:c r="G12" s="42" t="str">
        <x:v>Amazon-controlled cargo capacity using contracted operating airlines + hubs</x:v>
      </x:c>
      <x:c r="H12" s="42" t="str">
        <x:v>100+ network aircraft; 22 Sun Country B737-800 freighters explicitly identified</x:v>
      </x:c>
      <x:c r="I12" s="42" t="str">
        <x:v>CVG flagship hub + distributed gateways</x:v>
      </x:c>
      <x:c r="J12" s="42" t="str">
        <x:v>United States / global links</x:v>
      </x:c>
      <x:c r="K12" s="42" t="str">
        <x:v>Supports Amazon fulfilment and external supply-chain offering</x:v>
      </x:c>
      <x:c r="L12" s="42" t="str">
        <x:v>Separates cargo principal/network control from aircraft operator</x:v>
      </x:c>
      <x:c r="M12" s="42" t="str">
        <x:v>Active</x:v>
      </x:c>
      <x:c r="N12" s="42" t="str">
        <x:v>SRC_0307</x:v>
      </x:c>
      <x:c r="O12" s="42" t="str">
        <x:v>https://www.sec.gov/Archives/edgar/data/1362468/000136246826000051/algt-20260630.htm</x:v>
      </x:c>
      <x:c r="P12" s="42" t="str">
        <x:v>2026-09-07</x:v>
      </x:c>
      <x:c r="Q12" s="42" t="str">
        <x:v>P&amp;C should preserve Amazon as cargo principal/network controller where a contracted airline is the legal operator.</x:v>
      </x:c>
    </x:row>
    <x:row r="13">
      <x:c r="A13" s="42" t="str">
        <x:v>ILN_0012</x:v>
      </x:c>
      <x:c r="B13" s="42" t="str">
        <x:v>COMP_ADQ</x:v>
      </x:c>
      <x:c r="C13" s="42" t="str">
        <x:v>COMP_ARAMEX</x:v>
      </x:c>
      <x:c r="D13" s="42" t="str">
        <x:v>Aramex</x:v>
      </x:c>
      <x:c r="E13" s="42" t="str">
        <x:v>Integrated express / freight / contract-logistics platform inside ADQ portfolio</x:v>
      </x:c>
      <x:c r="F13" s="42" t="str">
        <x:v>Air; ocean; road; warehousing; customs</x:v>
      </x:c>
      <x:c r="G13" s="42" t="str">
        <x:v>Asset-light transport + managed warehousing + local networks</x:v>
      </x:c>
      <x:c r="H13" s="42" t="str">
        <x:v>60+ warehouses; 800,000 sqm managed space; operations in 65+ countries</x:v>
      </x:c>
      <x:c r="I13" s="42" t="str">
        <x:v>Dubai / GCC plus global network</x:v>
      </x:c>
      <x:c r="J13" s="42" t="str">
        <x:v>Global</x:v>
      </x:c>
      <x:c r="K13" s="42" t="str">
        <x:v>Express, freight forwarding, contract logistics and 3PL/4PL</x:v>
      </x:c>
      <x:c r="L13" s="42" t="str">
        <x:v>ADQ ownership links Aramex's customer/logistics network to a portfolio that also controls major port and maritime infrastructure</x:v>
      </x:c>
      <x:c r="M13" s="42" t="str">
        <x:v>Active</x:v>
      </x:c>
      <x:c r="N13" s="42" t="str">
        <x:v>SRC_0308</x:v>
      </x:c>
      <x:c r="O13" s="42" t="str">
        <x:v>https://ar.adq.ae/newsroom/adq-completes-acquisition-of-majority-stake-in-aramex</x:v>
      </x:c>
      <x:c r="P13" s="42" t="str">
        <x:v>2026-09-07</x:v>
      </x:c>
      <x:c r="Q13" s="42" t="str">
        <x:v>Aggregate ADQ ownership includes AD Ports Group stake; do not double-count ownership percentages.</x:v>
      </x:c>
    </x:row>
    <x:row r="14">
      <x:c r="A14" s="42" t="str">
        <x:v>ILN_0013</x:v>
      </x:c>
      <x:c r="B14" s="42" t="str">
        <x:v>COMP_ADQ</x:v>
      </x:c>
      <x:c r="C14" s="42" t="str">
        <x:v>COMP_ADPORTS</x:v>
      </x:c>
      <x:c r="D14" s="42" t="str">
        <x:v>AD Ports Group</x:v>
      </x:c>
      <x:c r="E14" s="42" t="str">
        <x:v>Sea / port / logistics infrastructure platform within ADQ</x:v>
      </x:c>
      <x:c r="F14" s="42" t="str">
        <x:v>Sea; ports; logistics; road; rail; inland hubs</x:v>
      </x:c>
      <x:c r="G14" s="42" t="str">
        <x:v>Ports, terminals, vessels, logistics companies, zones and inland hubs</x:v>
      </x:c>
      <x:c r="H14" s="42" t="str">
        <x:v>Existing P&amp;C model captures AD Ports port/logistics ecosystem</x:v>
      </x:c>
      <x:c r="I14" s="42" t="str">
        <x:v>UAE + international assets</x:v>
      </x:c>
      <x:c r="J14" s="42" t="str">
        <x:v>UAE / global</x:v>
      </x:c>
      <x:c r="K14" s="42" t="str">
        <x:v>Port, shipping, logistics and economic-zone services</x:v>
      </x:c>
      <x:c r="L14" s="42" t="str">
        <x:v>Alongside Aramex, shows ADQ assembling complementary sea/land/express infrastructure under one capital owner</x:v>
      </x:c>
      <x:c r="M14" s="42" t="str">
        <x:v>Active</x:v>
      </x:c>
      <x:c r="N14" s="42" t="str">
        <x:v>SRC_0308</x:v>
      </x:c>
      <x:c r="O14" s="42" t="str">
        <x:v>https://ar.adq.ae/newsroom/adq-completes-acquisition-of-majority-stake-in-aramex</x:v>
      </x:c>
      <x:c r="P14" s="42" t="str">
        <x:v>2026-09-07</x:v>
      </x:c>
      <x:c r="Q14" s="42" t="str"/>
    </x:row>
  </x:sheetData>
  <x:pageMargins left="0.7" right="0.7" top="0.75" bottom="0.75" header="0.3" footer="0.3"/>
  <x:tableParts count="1">
    <x:tablePart xmlns:r="http://schemas.openxmlformats.org/officeDocument/2006/relationships" r:id="R33b2340800574e50"/>
  </x:tableParts>
</x:worksheet>
</file>

<file path=xl/worksheets/sheet77.xml><?xml version="1.0" encoding="utf-8"?>
<x:worksheet xmlns:x="http://schemas.openxmlformats.org/spreadsheetml/2006/main">
  <x:sheetFormatPr defaultRowHeight="15"/>
  <x:cols>
    <x:col min="1" max="1" width="34" hidden="0" customWidth="1"/>
    <x:col min="2" max="2"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07" t="str">
        <x:v>P&amp;C Trade System Intelligence — Integrated Logistics v1.12</x:v>
      </x:c>
      <x:c r="B1" s="207"/>
      <x:c r="C1" s="207"/>
      <x:c r="D1" s="207"/>
      <x:c r="E1" s="207"/>
      <x:c r="F1" s="207"/>
      <x:c r="G1" s="207"/>
      <x:c r="H1" s="207"/>
    </x:row>
    <x:row r="2">
      <x:c r="A2" s="210" t="str">
        <x:v>Initial population of DHL, FedEx, Amazon and Aramex/ADQ as connected multimodal trade-system ecosystems rather than flat logistics-company records.</x:v>
      </x:c>
      <x:c r="B2" s="210"/>
      <x:c r="C2" s="210"/>
      <x:c r="D2" s="210"/>
      <x:c r="E2" s="210"/>
      <x:c r="F2" s="210"/>
      <x:c r="G2" s="210"/>
      <x:c r="H2" s="210"/>
    </x:row>
    <x:row r="4">
      <x:c r="A4" s="212" t="str">
        <x:v>Metric</x:v>
      </x:c>
      <x:c r="B4" s="212" t="str">
        <x:v>v1.12</x:v>
      </x:c>
      <x:c r="D4" s="212" t="str">
        <x:v>Model additions</x:v>
      </x:c>
      <x:c r="E4" s="212"/>
      <x:c r="F4" s="212"/>
      <x:c r="G4" s="212"/>
      <x:c r="H4" s="212"/>
    </x:row>
    <x:row r="5">
      <x:c r="A5" s="214" t="str">
        <x:v>Companies / platforms</x:v>
      </x:c>
      <x:c r="B5" s="214" t="n">
        <x:v>172</x:v>
      </x:c>
      <x:c r="D5" s="218" t="str">
        <x:v>DHL: current post-1 Sep 2026 legal structure plus Express, Global Forwarding, Supply Chain, eCommerce and Aviation network layers.
FedEx: Federal Express air/surface network, detailed aircraft-type fleet, independent FedEx Freight, and FedEx Supply Chain pending-sale status.
Amazon: Supply Chain Services, Global Logistics, Freight and Air platforms, including the Sun Country operator / Amazon cargo-principal distinction.
Aramex/ADQ: majority ownership, Q Logistics acquisition vehicle, AD Ports connection, warehouse network and Dubai Logistics City facility.</x:v>
      </x:c>
      <x:c r="E5" s="218"/>
      <x:c r="F5" s="218"/>
      <x:c r="G5" s="218"/>
      <x:c r="H5" s="218"/>
    </x:row>
    <x:row r="6">
      <x:c r="A6" s="214" t="str">
        <x:v>Assets</x:v>
      </x:c>
      <x:c r="B6" s="214" t="n">
        <x:v>98</x:v>
      </x:c>
      <x:c r="D6" s="218"/>
      <x:c r="E6" s="218"/>
      <x:c r="F6" s="218"/>
      <x:c r="G6" s="218"/>
      <x:c r="H6" s="218"/>
    </x:row>
    <x:row r="7">
      <x:c r="A7" s="214" t="str">
        <x:v>Fleet / network portfolio rows</x:v>
      </x:c>
      <x:c r="B7" s="214" t="n">
        <x:v>49</x:v>
      </x:c>
      <x:c r="D7" s="218"/>
      <x:c r="E7" s="218"/>
      <x:c r="F7" s="218"/>
      <x:c r="G7" s="218"/>
      <x:c r="H7" s="218"/>
    </x:row>
    <x:row r="8">
      <x:c r="A8" s="214" t="str">
        <x:v>Aircraft type / operator rows</x:v>
      </x:c>
      <x:c r="B8" s="214" t="n">
        <x:v>13</x:v>
      </x:c>
      <x:c r="D8" s="218"/>
      <x:c r="E8" s="218"/>
      <x:c r="F8" s="218"/>
      <x:c r="G8" s="218"/>
      <x:c r="H8" s="218"/>
    </x:row>
    <x:row r="9">
      <x:c r="A9" s="214" t="str">
        <x:v>Fleet / aircraft orders</x:v>
      </x:c>
      <x:c r="B9" s="214" t="n">
        <x:v>29</x:v>
      </x:c>
      <x:c r="D9" s="218"/>
      <x:c r="E9" s="218"/>
      <x:c r="F9" s="218"/>
      <x:c r="G9" s="218"/>
      <x:c r="H9" s="218"/>
    </x:row>
    <x:row r="10">
      <x:c r="A10" s="214" t="str">
        <x:v>Corporate relationships</x:v>
      </x:c>
      <x:c r="B10" s="214" t="n">
        <x:v>92</x:v>
      </x:c>
      <x:c r="D10" s="218"/>
      <x:c r="E10" s="218"/>
      <x:c r="F10" s="218"/>
      <x:c r="G10" s="218"/>
      <x:c r="H10" s="218"/>
    </x:row>
    <x:row r="11">
      <x:c r="A11" s="214" t="str">
        <x:v>Logistics real-estate records</x:v>
      </x:c>
      <x:c r="B11" s="214" t="n">
        <x:v>13</x:v>
      </x:c>
      <x:c r="D11" s="218"/>
      <x:c r="E11" s="218"/>
      <x:c r="F11" s="218"/>
      <x:c r="G11" s="218"/>
      <x:c r="H11" s="218"/>
    </x:row>
    <x:row r="12">
      <x:c r="A12" s="214" t="str">
        <x:v>Infrastructure connections</x:v>
      </x:c>
      <x:c r="B12" s="214" t="n">
        <x:v>34</x:v>
      </x:c>
      <x:c r="D12" s="218"/>
      <x:c r="E12" s="218"/>
      <x:c r="F12" s="218"/>
      <x:c r="G12" s="218"/>
      <x:c r="H12" s="218"/>
    </x:row>
    <x:row r="13">
      <x:c r="A13" s="214" t="str">
        <x:v>Integrated logistics network rows</x:v>
      </x:c>
      <x:c r="B13" s="214" t="n">
        <x:v>13</x:v>
      </x:c>
    </x:row>
    <x:row r="14">
      <x:c r="A14" s="214" t="str">
        <x:v>Sources</x:v>
      </x:c>
      <x:c r="B14" s="214" t="n">
        <x:v>316</x:v>
      </x:c>
      <x:c r="D14" s="219" t="str">
        <x:v>Integrity controls</x:v>
      </x:c>
      <x:c r="E14" s="219"/>
      <x:c r="F14" s="219"/>
      <x:c r="G14" s="219"/>
      <x:c r="H14" s="219"/>
    </x:row>
    <x:row r="15">
      <x:c r="A15" s="214" t="str">
        <x:v>Research queue</x:v>
      </x:c>
      <x:c r="B15" s="214" t="n">
        <x:v>87</x:v>
      </x:c>
      <x:c r="D15" s="222" t="str">
        <x:v>• Amazon service units are modeled as business platforms unless a separate legal entity is established.
• DHL Aviation is a network/platform, not treated as one legal airline.
• FedEx Freight is independent after 1 Jun 2026; FedEx's 19.9% retained interest is separate from control.
• FedEx Supply Chain remains a FedEx company until the CMA CGM transaction actually closes.
• ADQ's 63.16% Aramex figure is aggregate and includes the AD Ports stake; percentages must not be double-counted.
• Network fleet totals do not imply tail-level aircraft capture.</x:v>
      </x:c>
      <x:c r="E15" s="222"/>
      <x:c r="F15" s="222"/>
      <x:c r="G15" s="222"/>
      <x:c r="H15" s="222"/>
    </x:row>
    <x:row r="16">
      <x:c r="D16" s="222"/>
      <x:c r="E16" s="222"/>
      <x:c r="F16" s="222"/>
      <x:c r="G16" s="222"/>
      <x:c r="H16" s="222"/>
    </x:row>
    <x:row r="17">
      <x:c r="D17" s="222"/>
      <x:c r="E17" s="222"/>
      <x:c r="F17" s="222"/>
      <x:c r="G17" s="222"/>
      <x:c r="H17" s="222"/>
    </x:row>
    <x:row r="18">
      <x:c r="D18" s="222"/>
      <x:c r="E18" s="222"/>
      <x:c r="F18" s="222"/>
      <x:c r="G18" s="222"/>
      <x:c r="H18" s="222"/>
    </x:row>
    <x:row r="19">
      <x:c r="D19" s="222"/>
      <x:c r="E19" s="222"/>
      <x:c r="F19" s="222"/>
      <x:c r="G19" s="222"/>
      <x:c r="H19" s="222"/>
    </x:row>
    <x:row r="20">
      <x:c r="D20" s="222"/>
      <x:c r="E20" s="222"/>
      <x:c r="F20" s="222"/>
      <x:c r="G20" s="222"/>
      <x:c r="H20" s="222"/>
    </x:row>
    <x:row r="21">
      <x:c r="D21" s="222"/>
      <x:c r="E21" s="222"/>
      <x:c r="F21" s="222"/>
      <x:c r="G21" s="222"/>
      <x:c r="H21" s="222"/>
    </x:row>
    <x:row r="22">
      <x:c r="D22" s="222"/>
      <x:c r="E22" s="222"/>
      <x:c r="F22" s="222"/>
      <x:c r="G22" s="222"/>
      <x:c r="H22" s="222"/>
    </x:row>
  </x:sheetData>
  <x:mergeCells>
    <x:mergeCell ref="A1:H1"/>
    <x:mergeCell ref="A2:H2"/>
    <x:mergeCell ref="D4:H4"/>
    <x:mergeCell ref="D5:H12"/>
    <x:mergeCell ref="D14:H14"/>
    <x:mergeCell ref="D15:H22"/>
  </x:mergeCells>
  <x:pageMargins left="0.7" right="0.7" top="0.75" bottom="0.75" header="0.3" footer="0.3"/>
</x:worksheet>
</file>

<file path=xl/worksheets/sheet78.xml><?xml version="1.0" encoding="utf-8"?>
<x:worksheet xmlns:x="http://schemas.openxmlformats.org/spreadsheetml/2006/main">
  <x:sheetFormatPr defaultRowHeight="15"/>
  <x:cols>
    <x:col min="1" max="1" width="14" hidden="0" customWidth="1"/>
    <x:col min="2" max="2" width="36" hidden="0" customWidth="1"/>
    <x:col min="3" max="3" width="14" hidden="0" customWidth="1"/>
    <x:col min="4" max="4" width="30" hidden="0" customWidth="1"/>
    <x:col min="5" max="5" width="18" hidden="0" customWidth="1"/>
    <x:col min="6" max="6" width="20" hidden="0" customWidth="1"/>
    <x:col min="7" max="7" width="22" hidden="0" customWidth="1"/>
    <x:col min="8" max="8" width="25" hidden="0" customWidth="1"/>
    <x:col min="9" max="9" width="26" hidden="0" customWidth="1"/>
    <x:col min="10" max="10" width="22" hidden="0" customWidth="1"/>
    <x:col min="11" max="11" width="28" hidden="0" customWidth="1"/>
    <x:col min="12" max="12" width="28" hidden="0" customWidth="1"/>
    <x:col min="13" max="13" width="24" hidden="0" customWidth="1"/>
    <x:col min="14" max="14" width="18" hidden="0" customWidth="1"/>
    <x:col min="15" max="15" width="14" hidden="0" customWidth="1"/>
    <x:col min="16" max="16" width="14" hidden="0" customWidth="1"/>
    <x:col min="17" max="17" width="13" hidden="0" customWidth="1"/>
    <x:col min="18" max="18" width="12" hidden="0" customWidth="1"/>
    <x:col min="19" max="19" width="14" hidden="0" customWidth="1"/>
    <x:col min="20" max="20" width="14" hidden="0" customWidth="1"/>
    <x:col min="21" max="21" width="45" hidden="0" customWidth="1"/>
    <x:col min="22" max="22" width="26" hidden="0" customWidth="1"/>
    <x:col min="23" max="23" width="70" hidden="0" customWidth="1"/>
    <x:col min="24" max="24" width="12" hidden="0" customWidth="1"/>
    <x:col min="25" max="25" width="62" hidden="0" customWidth="1"/>
    <x:col min="26" max="26" width="28" hidden="0" customWidth="1"/>
  </x:cols>
  <x:sheetData>
    <x:row r="1" ht="34" customHeight="1">
      <x:c r="A1" s="223" t="str">
        <x:v>Terminal ID</x:v>
      </x:c>
      <x:c r="B1" s="223" t="str">
        <x:v>Terminal / Facility</x:v>
      </x:c>
      <x:c r="C1" s="223" t="str">
        <x:v>Port ID</x:v>
      </x:c>
      <x:c r="D1" s="223" t="str">
        <x:v>Parent Port</x:v>
      </x:c>
      <x:c r="E1" s="223" t="str">
        <x:v>Country</x:v>
      </x:c>
      <x:c r="F1" s="223" t="str">
        <x:v>City / Area</x:v>
      </x:c>
      <x:c r="G1" s="223" t="str">
        <x:v>Region</x:v>
      </x:c>
      <x:c r="H1" s="223" t="str">
        <x:v>Asset Type</x:v>
      </x:c>
      <x:c r="I1" s="223" t="str">
        <x:v>Cargo Profile</x:v>
      </x:c>
      <x:c r="J1" s="223" t="str">
        <x:v>Primary Operator Company ID</x:v>
      </x:c>
      <x:c r="K1" s="223" t="str">
        <x:v>Primary Operator</x:v>
      </x:c>
      <x:c r="L1" s="223" t="str">
        <x:v>Operator / Network</x:v>
      </x:c>
      <x:c r="M1" s="223" t="str">
        <x:v>Status</x:v>
      </x:c>
      <x:c r="N1" s="223" t="str">
        <x:v>Container Capacity TEU/yr</x:v>
      </x:c>
      <x:c r="O1" s="223" t="str">
        <x:v>Area sqm</x:v>
      </x:c>
      <x:c r="P1" s="223" t="str">
        <x:v>Quay Length m</x:v>
      </x:c>
      <x:c r="Q1" s="223" t="str">
        <x:v>Max Depth m</x:v>
      </x:c>
      <x:c r="R1" s="223" t="str">
        <x:v>Berth Count</x:v>
      </x:c>
      <x:c r="S1" s="223" t="str">
        <x:v>Rail Connected</x:v>
      </x:c>
      <x:c r="T1" s="223" t="str">
        <x:v>Reefer Points</x:v>
      </x:c>
      <x:c r="U1" s="223" t="str">
        <x:v>Ownership / Structure</x:v>
      </x:c>
      <x:c r="V1" s="223" t="str">
        <x:v>Source Asset IDs</x:v>
      </x:c>
      <x:c r="W1" s="223" t="str">
        <x:v>Source URLs</x:v>
      </x:c>
      <x:c r="X1" s="223" t="str">
        <x:v>Confidence</x:v>
      </x:c>
      <x:c r="Y1" s="223" t="str">
        <x:v>Notes</x:v>
      </x:c>
      <x:c r="Z1" s="223" t="str">
        <x:v>Canonicalization Note</x:v>
      </x:c>
    </x:row>
    <x:row r="2">
      <x:c r="A2" s="102" t="str">
        <x:v>TERM0001</x:v>
      </x:c>
      <x:c r="B2" s="102" t="str">
        <x:v>DP World Sydney</x:v>
      </x:c>
      <x:c r="C2" s="102" t="str">
        <x:v>PORTG0001</x:v>
      </x:c>
      <x:c r="D2" s="102" t="str">
        <x:v>Sydney</x:v>
      </x:c>
      <x:c r="E2" s="102" t="str">
        <x:v>Australia</x:v>
      </x:c>
      <x:c r="F2" s="102" t="str">
        <x:v>Port Botany, Sydney</x:v>
      </x:c>
      <x:c r="G2" s="102" t="str">
        <x:v>Asia Pacific</x:v>
      </x:c>
      <x:c r="H2" s="102" t="str">
        <x:v>Marine container terminal</x:v>
      </x:c>
      <x:c r="I2" s="102" t="str">
        <x:v>Containers</x:v>
      </x:c>
      <x:c r="J2" s="102" t="str">
        <x:v>COMP_DPW</x:v>
      </x:c>
      <x:c r="K2" s="102" t="str">
        <x:v>DP World</x:v>
      </x:c>
      <x:c r="L2" s="102" t="str">
        <x:v>DP World</x:v>
      </x:c>
      <x:c r="M2" s="102" t="str">
        <x:v>Operational</x:v>
      </x:c>
      <x:c r="N2" s="102"/>
      <x:c r="O2" s="102" t="n">
        <x:v>390000</x:v>
      </x:c>
      <x:c r="P2" s="102" t="n">
        <x:v>936</x:v>
      </x:c>
      <x:c r="Q2" s="102" t="n">
        <x:v>15</x:v>
      </x:c>
      <x:c r="R2" s="102" t="n">
        <x:v>3</x:v>
      </x:c>
      <x:c r="S2" s="102"/>
      <x:c r="T2" s="102"/>
      <x:c r="U2" s="102" t="str">
        <x:v>DP World operating/ownership structure; see source notes</x:v>
      </x:c>
      <x:c r="V2" s="102" t="str">
        <x:v>DPW-AUS-SYD</x:v>
      </x:c>
      <x:c r="W2" s="102" t="str">
        <x:v>https://dpw-prod-cd-1.dpworld.com/australia/ports-and-terminals/dp-world-sydney</x:v>
      </x:c>
      <x:c r="X2" s="102" t="str">
        <x:v>High</x:v>
      </x:c>
      <x:c r="Y2" s="102" t="str">
        <x:v>Depth published as approx. 14.2–15.0 m. RTG fleet present.</x:v>
      </x:c>
      <x:c r="Z2" s="102" t="str"/>
    </x:row>
    <x:row r="3">
      <x:c r="A3" s="102" t="str">
        <x:v>TERM0002</x:v>
      </x:c>
      <x:c r="B3" s="102" t="str">
        <x:v>DP World Brisbane</x:v>
      </x:c>
      <x:c r="C3" s="102" t="str">
        <x:v>PORTG0002</x:v>
      </x:c>
      <x:c r="D3" s="102" t="str">
        <x:v>Brisbane</x:v>
      </x:c>
      <x:c r="E3" s="102" t="str">
        <x:v>Australia</x:v>
      </x:c>
      <x:c r="F3" s="102" t="str">
        <x:v>Fisherman Islands, Brisbane</x:v>
      </x:c>
      <x:c r="G3" s="102" t="str">
        <x:v>Asia Pacific</x:v>
      </x:c>
      <x:c r="H3" s="102" t="str">
        <x:v>Marine container terminal</x:v>
      </x:c>
      <x:c r="I3" s="102" t="str">
        <x:v>Containers</x:v>
      </x:c>
      <x:c r="J3" s="102" t="str">
        <x:v>COMP_DPW</x:v>
      </x:c>
      <x:c r="K3" s="102" t="str">
        <x:v>DP World</x:v>
      </x:c>
      <x:c r="L3" s="102" t="str">
        <x:v>DP World</x:v>
      </x:c>
      <x:c r="M3" s="102" t="str">
        <x:v>Operational</x:v>
      </x:c>
      <x:c r="N3" s="102"/>
      <x:c r="O3" s="102" t="n">
        <x:v>360000</x:v>
      </x:c>
      <x:c r="P3" s="102" t="n">
        <x:v>900</x:v>
      </x:c>
      <x:c r="Q3" s="102" t="n">
        <x:v>14</x:v>
      </x:c>
      <x:c r="R3" s="102" t="n">
        <x:v>3</x:v>
      </x:c>
      <x:c r="S3" s="102" t="str">
        <x:v>Yes</x:v>
      </x:c>
      <x:c r="T3" s="102"/>
      <x:c r="U3" s="102" t="str">
        <x:v>DP World operating/ownership structure; see source notes</x:v>
      </x:c>
      <x:c r="V3" s="102" t="str">
        <x:v>DPW-AUS-BNE</x:v>
      </x:c>
      <x:c r="W3" s="102" t="str">
        <x:v>https://dpw-prod-cd-1.dpworld.com/australia/ports-and-terminals/dp-world-brisbane</x:v>
      </x:c>
      <x:c r="X3" s="102" t="str">
        <x:v>High</x:v>
      </x:c>
      <x:c r="Y3" s="102" t="str">
        <x:v>Automated stacking crane operation; post-Panamax capability.</x:v>
      </x:c>
      <x:c r="Z3" s="102" t="str"/>
    </x:row>
    <x:row r="4">
      <x:c r="A4" s="102" t="str">
        <x:v>TERM0003</x:v>
      </x:c>
      <x:c r="B4" s="102" t="str">
        <x:v>DP World Melbourne</x:v>
      </x:c>
      <x:c r="C4" s="102" t="str">
        <x:v>PORTG0003</x:v>
      </x:c>
      <x:c r="D4" s="102" t="str">
        <x:v>Melbourne</x:v>
      </x:c>
      <x:c r="E4" s="102" t="str">
        <x:v>Australia</x:v>
      </x:c>
      <x:c r="F4" s="102" t="str">
        <x:v>West Swanson Dock, Melbourne</x:v>
      </x:c>
      <x:c r="G4" s="102" t="str">
        <x:v>Asia Pacific</x:v>
      </x:c>
      <x:c r="H4" s="102" t="str">
        <x:v>Marine container terminal</x:v>
      </x:c>
      <x:c r="I4" s="102" t="str">
        <x:v>Containers</x:v>
      </x:c>
      <x:c r="J4" s="102" t="str">
        <x:v>COMP_DPW</x:v>
      </x:c>
      <x:c r="K4" s="102" t="str">
        <x:v>DP World</x:v>
      </x:c>
      <x:c r="L4" s="102" t="str">
        <x:v>DP World</x:v>
      </x:c>
      <x:c r="M4" s="102" t="str">
        <x:v>Operational</x:v>
      </x:c>
      <x:c r="N4" s="102"/>
      <x:c r="O4" s="102" t="n">
        <x:v>375000</x:v>
      </x:c>
      <x:c r="P4" s="102" t="n">
        <x:v>929</x:v>
      </x:c>
      <x:c r="Q4" s="102" t="n">
        <x:v>14</x:v>
      </x:c>
      <x:c r="R4" s="102" t="n">
        <x:v>3</x:v>
      </x:c>
      <x:c r="S4" s="102"/>
      <x:c r="T4" s="102"/>
      <x:c r="U4" s="102" t="str">
        <x:v>DP World operating/ownership structure; see source notes</x:v>
      </x:c>
      <x:c r="V4" s="102" t="str">
        <x:v>DPW-AUS-MEL</x:v>
      </x:c>
      <x:c r="W4" s="102" t="str">
        <x:v>https://dpw-prod-cd-1.dpworld.com/australia/ports-and-terminals/dp-world-melbourne</x:v>
      </x:c>
      <x:c r="X4" s="102" t="str">
        <x:v>High</x:v>
      </x:c>
      <x:c r="Y4" s="102" t="str">
        <x:v>Straddle-carrier terminal.</x:v>
      </x:c>
      <x:c r="Z4" s="102" t="str"/>
    </x:row>
    <x:row r="5">
      <x:c r="A5" s="102" t="str">
        <x:v>TERM0004</x:v>
      </x:c>
      <x:c r="B5" s="102" t="str">
        <x:v>DP World Fremantle</x:v>
      </x:c>
      <x:c r="C5" s="102" t="str">
        <x:v>PORTG0004</x:v>
      </x:c>
      <x:c r="D5" s="102" t="str">
        <x:v>Fremantle</x:v>
      </x:c>
      <x:c r="E5" s="102" t="str">
        <x:v>Australia</x:v>
      </x:c>
      <x:c r="F5" s="102" t="str">
        <x:v>Fremantle</x:v>
      </x:c>
      <x:c r="G5" s="102" t="str">
        <x:v>Asia Pacific</x:v>
      </x:c>
      <x:c r="H5" s="102" t="str">
        <x:v>Marine container terminal</x:v>
      </x:c>
      <x:c r="I5" s="102" t="str">
        <x:v>Containers</x:v>
      </x:c>
      <x:c r="J5" s="102" t="str">
        <x:v>COMP_DPW</x:v>
      </x:c>
      <x:c r="K5" s="102" t="str">
        <x:v>DP World</x:v>
      </x:c>
      <x:c r="L5" s="102" t="str">
        <x:v>DP World</x:v>
      </x:c>
      <x:c r="M5" s="102" t="str">
        <x:v>Operational</x:v>
      </x:c>
      <x:c r="N5" s="102"/>
      <x:c r="O5" s="102" t="n">
        <x:v>179000</x:v>
      </x:c>
      <x:c r="P5" s="102" t="n">
        <x:v>646</x:v>
      </x:c>
      <x:c r="Q5" s="102" t="n">
        <x:v>14.5</x:v>
      </x:c>
      <x:c r="R5" s="102" t="n">
        <x:v>2</x:v>
      </x:c>
      <x:c r="S5" s="102" t="str">
        <x:v>Yes</x:v>
      </x:c>
      <x:c r="T5" s="102"/>
      <x:c r="U5" s="102" t="str">
        <x:v>DP World operating/ownership structure; see source notes</x:v>
      </x:c>
      <x:c r="V5" s="102" t="str">
        <x:v>DPW-AUS-FRE</x:v>
      </x:c>
      <x:c r="W5" s="102" t="str">
        <x:v>https://dpw-prod-cd-1.dpworld.com/australia/ports-and-terminals/dp-world-fremantle</x:v>
      </x:c>
      <x:c r="X5" s="102" t="str">
        <x:v>Medium</x:v>
      </x:c>
      <x:c r="Y5" s="102" t="str">
        <x:v>DP World legacy/current first-party infrastructure page used because newer page appears templated; additional ~210 m shared zone noted.</x:v>
      </x:c>
      <x:c r="Z5" s="102" t="str"/>
    </x:row>
    <x:row r="6">
      <x:c r="A6" s="102" t="str">
        <x:v>TERM0005</x:v>
      </x:c>
      <x:c r="B6" s="102" t="str">
        <x:v>DP World Qingdao</x:v>
      </x:c>
      <x:c r="C6" s="102" t="str">
        <x:v>PORTG0005</x:v>
      </x:c>
      <x:c r="D6" s="102" t="str">
        <x:v>Qingdao</x:v>
      </x:c>
      <x:c r="E6" s="102" t="str">
        <x:v>China</x:v>
      </x:c>
      <x:c r="F6" s="102" t="str">
        <x:v>Qingdao</x:v>
      </x:c>
      <x:c r="G6" s="102" t="str">
        <x:v>Asia Pacific</x:v>
      </x:c>
      <x:c r="H6" s="102" t="str">
        <x:v>Marine container terminal / JV</x:v>
      </x:c>
      <x:c r="I6" s="102" t="str">
        <x:v>Containers</x:v>
      </x:c>
      <x:c r="J6" s="102" t="str">
        <x:v>COMP_DPW</x:v>
      </x:c>
      <x:c r="K6" s="102" t="str">
        <x:v>DP World</x:v>
      </x:c>
      <x:c r="L6" s="102" t="str">
        <x:v>DP World</x:v>
      </x:c>
      <x:c r="M6" s="102" t="str">
        <x:v>Operational</x:v>
      </x:c>
      <x:c r="N6" s="102"/>
      <x:c r="O6" s="102"/>
      <x:c r="P6" s="102"/>
      <x:c r="Q6" s="102"/>
      <x:c r="R6" s="102"/>
      <x:c r="S6" s="102"/>
      <x:c r="T6" s="102"/>
      <x:c r="U6" s="102" t="str">
        <x:v>DP World operating/ownership structure; see source notes</x:v>
      </x:c>
      <x:c r="V6" s="102" t="str">
        <x:v>DPW-CHN-QDG</x:v>
      </x:c>
      <x:c r="W6" s="102" t="str">
        <x:v>https://www.dpworld.com/en/ports-terminals/china/qingdao-port</x:v>
      </x:c>
      <x:c r="X6" s="102" t="str">
        <x:v>High</x:v>
      </x:c>
      <x:c r="Y6" s="102" t="str">
        <x:v>Current DP World public page confirms port operation but does not expose stable berth/equipment counts.</x:v>
      </x:c>
      <x:c r="Z6" s="102" t="str"/>
    </x:row>
    <x:row r="7">
      <x:c r="A7" s="102" t="str">
        <x:v>TERM0006</x:v>
      </x:c>
      <x:c r="B7" s="102" t="str">
        <x:v>DP World Yantai</x:v>
      </x:c>
      <x:c r="C7" s="102" t="str">
        <x:v>PORTG0006</x:v>
      </x:c>
      <x:c r="D7" s="102" t="str">
        <x:v>Yantai</x:v>
      </x:c>
      <x:c r="E7" s="102" t="str">
        <x:v>China</x:v>
      </x:c>
      <x:c r="F7" s="102" t="str">
        <x:v>Yantai</x:v>
      </x:c>
      <x:c r="G7" s="102" t="str">
        <x:v>Asia Pacific</x:v>
      </x:c>
      <x:c r="H7" s="102" t="str">
        <x:v>Marine terminal / JV</x:v>
      </x:c>
      <x:c r="I7" s="102" t="str">
        <x:v>Containers / multipurpose</x:v>
      </x:c>
      <x:c r="J7" s="102" t="str">
        <x:v>COMP_DPW</x:v>
      </x:c>
      <x:c r="K7" s="102" t="str">
        <x:v>DP World</x:v>
      </x:c>
      <x:c r="L7" s="102" t="str">
        <x:v>DP World</x:v>
      </x:c>
      <x:c r="M7" s="102" t="str">
        <x:v>Operational</x:v>
      </x:c>
      <x:c r="N7" s="102"/>
      <x:c r="O7" s="102"/>
      <x:c r="P7" s="102"/>
      <x:c r="Q7" s="102"/>
      <x:c r="R7" s="102"/>
      <x:c r="S7" s="102"/>
      <x:c r="T7" s="102"/>
      <x:c r="U7" s="102" t="str">
        <x:v>DP World operating/ownership structure; see source notes</x:v>
      </x:c>
      <x:c r="V7" s="102" t="str">
        <x:v>DPW-CHN-YNT</x:v>
      </x:c>
      <x:c r="W7" s="102" t="str">
        <x:v>https://www.dpworld.com/en/ports-terminals/china/yantai-port</x:v>
      </x:c>
      <x:c r="X7" s="102" t="str">
        <x:v>High</x:v>
      </x:c>
      <x:c r="Y7" s="102" t="str">
        <x:v>Current public page has limited quantitative infrastructure detail.</x:v>
      </x:c>
      <x:c r="Z7" s="102" t="str"/>
    </x:row>
    <x:row r="8">
      <x:c r="A8" s="102" t="str">
        <x:v>TERM0007</x:v>
      </x:c>
      <x:c r="B8" s="102" t="str">
        <x:v>DP World Hong Kong / Berth 3</x:v>
      </x:c>
      <x:c r="C8" s="102" t="str">
        <x:v>PORTG0007</x:v>
      </x:c>
      <x:c r="D8" s="102" t="str">
        <x:v>Hong Kong</x:v>
      </x:c>
      <x:c r="E8" s="102" t="str">
        <x:v>China</x:v>
      </x:c>
      <x:c r="F8" s="102" t="str">
        <x:v>Kwai Chung, Hong Kong</x:v>
      </x:c>
      <x:c r="G8" s="102" t="str">
        <x:v>Asia Pacific</x:v>
      </x:c>
      <x:c r="H8" s="102" t="str">
        <x:v>Marine container terminal / JV</x:v>
      </x:c>
      <x:c r="I8" s="102" t="str">
        <x:v>Containers</x:v>
      </x:c>
      <x:c r="J8" s="102" t="str">
        <x:v>COMP_DPW</x:v>
      </x:c>
      <x:c r="K8" s="102" t="str">
        <x:v>DP World</x:v>
      </x:c>
      <x:c r="L8" s="102" t="str">
        <x:v>DP World</x:v>
      </x:c>
      <x:c r="M8" s="102" t="str">
        <x:v>Operational</x:v>
      </x:c>
      <x:c r="N8" s="102"/>
      <x:c r="O8" s="102"/>
      <x:c r="P8" s="102"/>
      <x:c r="Q8" s="102"/>
      <x:c r="R8" s="102"/>
      <x:c r="S8" s="102"/>
      <x:c r="T8" s="102"/>
      <x:c r="U8" s="102" t="str">
        <x:v>DP World operating/ownership structure; see source notes</x:v>
      </x:c>
      <x:c r="V8" s="102" t="str">
        <x:v>DPW-CHN-HKG</x:v>
      </x:c>
      <x:c r="W8" s="102" t="str">
        <x:v>https://www.dpworld.com/en/ports-terminals/china/hong-kong-port/contact-us</x:v>
      </x:c>
      <x:c r="X8" s="102" t="str">
        <x:v>Medium</x:v>
      </x:c>
      <x:c r="Y8" s="102" t="str">
        <x:v>DP World contact page identifies Berth 3 at Kwai Chung; quantitative infrastructure left blank pending independent verification.</x:v>
      </x:c>
      <x:c r="Z8" s="102" t="str"/>
    </x:row>
    <x:row r="9">
      <x:c r="A9" s="102" t="str">
        <x:v>TERM0008</x:v>
      </x:c>
      <x:c r="B9" s="102" t="str">
        <x:v>DP World Yiwu Port</x:v>
      </x:c>
      <x:c r="C9" s="102" t="str">
        <x:v>PORTG0008</x:v>
      </x:c>
      <x:c r="D9" s="102" t="str">
        <x:v>Yiwu Port</x:v>
      </x:c>
      <x:c r="E9" s="102" t="str">
        <x:v>China</x:v>
      </x:c>
      <x:c r="F9" s="102" t="str">
        <x:v>Yiwu, Zhejiang</x:v>
      </x:c>
      <x:c r="G9" s="102" t="str">
        <x:v>Asia Pacific</x:v>
      </x:c>
      <x:c r="H9" s="102" t="str">
        <x:v>Inland / dry port</x:v>
      </x:c>
      <x:c r="I9" s="102" t="str">
        <x:v>Containers / inland logistics</x:v>
      </x:c>
      <x:c r="J9" s="102" t="str">
        <x:v>COMP_DPW</x:v>
      </x:c>
      <x:c r="K9" s="102" t="str">
        <x:v>DP World</x:v>
      </x:c>
      <x:c r="L9" s="102" t="str">
        <x:v>DP World</x:v>
      </x:c>
      <x:c r="M9" s="102" t="str">
        <x:v>Operational</x:v>
      </x:c>
      <x:c r="N9" s="102"/>
      <x:c r="O9" s="102"/>
      <x:c r="P9" s="102"/>
      <x:c r="Q9" s="102"/>
      <x:c r="R9" s="102"/>
      <x:c r="S9" s="102"/>
      <x:c r="T9" s="102"/>
      <x:c r="U9" s="102" t="str">
        <x:v>DP World operating/ownership structure; see source notes</x:v>
      </x:c>
      <x:c r="V9" s="102" t="str">
        <x:v>DPW-CHN-YIW</x:v>
      </x:c>
      <x:c r="W9" s="102" t="str">
        <x:v>https://www.dpworld.com/en/ports-terminals/china/yiwu-port</x:v>
      </x:c>
      <x:c r="X9" s="102" t="str">
        <x:v>High</x:v>
      </x:c>
      <x:c r="Y9" s="102" t="str">
        <x:v>DP World labels the facility 'Yiwu Port'; it is an inland/dry-port logistics node, not a marine terminal.</x:v>
      </x:c>
      <x:c r="Z9" s="102" t="str"/>
    </x:row>
    <x:row r="10">
      <x:c r="A10" s="102" t="str">
        <x:v>TERM0009</x:v>
      </x:c>
      <x:c r="B10" s="102" t="str">
        <x:v>DP World Belawan</x:v>
      </x:c>
      <x:c r="C10" s="102" t="str">
        <x:v>PORTG0009</x:v>
      </x:c>
      <x:c r="D10" s="102" t="str">
        <x:v>Belawan</x:v>
      </x:c>
      <x:c r="E10" s="102" t="str">
        <x:v>Indonesia</x:v>
      </x:c>
      <x:c r="F10" s="102" t="str">
        <x:v>Belawan / Medan</x:v>
      </x:c>
      <x:c r="G10" s="102" t="str">
        <x:v>Asia Pacific</x:v>
      </x:c>
      <x:c r="H10" s="102" t="str">
        <x:v>Marine container terminal / JV</x:v>
      </x:c>
      <x:c r="I10" s="102" t="str">
        <x:v>Containers</x:v>
      </x:c>
      <x:c r="J10" s="102" t="str">
        <x:v>COMP_DPW</x:v>
      </x:c>
      <x:c r="K10" s="102" t="str">
        <x:v>DP World</x:v>
      </x:c>
      <x:c r="L10" s="102" t="str">
        <x:v>DP World</x:v>
      </x:c>
      <x:c r="M10" s="102" t="str">
        <x:v>Operational</x:v>
      </x:c>
      <x:c r="N10" s="102"/>
      <x:c r="O10" s="102"/>
      <x:c r="P10" s="102"/>
      <x:c r="Q10" s="102"/>
      <x:c r="R10" s="102"/>
      <x:c r="S10" s="102"/>
      <x:c r="T10" s="102"/>
      <x:c r="U10" s="102" t="str">
        <x:v>DP World operating/ownership structure; see source notes</x:v>
      </x:c>
      <x:c r="V10" s="102" t="str">
        <x:v>DPW-IDN-BEL</x:v>
      </x:c>
      <x:c r="W10" s="102" t="str">
        <x:v>https://www.dpworld.com/en/ports-terminals/indonesia/belawan-port</x:v>
      </x:c>
      <x:c r="X10" s="102" t="str">
        <x:v>High</x:v>
      </x:c>
      <x:c r="Y10" s="102" t="str">
        <x:v>Deep-water container operations; current public page does not provide stable detailed counts.</x:v>
      </x:c>
      <x:c r="Z10" s="102" t="str"/>
    </x:row>
    <x:row r="11">
      <x:c r="A11" s="102" t="str">
        <x:v>TERM0010</x:v>
      </x:c>
      <x:c r="B11" s="102" t="str">
        <x:v>DP World Maspion East Java</x:v>
      </x:c>
      <x:c r="C11" s="102" t="str">
        <x:v>PORTG0010</x:v>
      </x:c>
      <x:c r="D11" s="102" t="str">
        <x:v>East Java / Gresik</x:v>
      </x:c>
      <x:c r="E11" s="102" t="str">
        <x:v>Indonesia</x:v>
      </x:c>
      <x:c r="F11" s="102" t="str">
        <x:v>Gresik, East Java</x:v>
      </x:c>
      <x:c r="G11" s="102" t="str">
        <x:v>Asia Pacific</x:v>
      </x:c>
      <x:c r="H11" s="102" t="str">
        <x:v>Greenfield marine container terminal</x:v>
      </x:c>
      <x:c r="I11" s="102" t="str">
        <x:v>Containers</x:v>
      </x:c>
      <x:c r="J11" s="102" t="str">
        <x:v>COMP_DPW</x:v>
      </x:c>
      <x:c r="K11" s="102" t="str">
        <x:v>DP World</x:v>
      </x:c>
      <x:c r="L11" s="102" t="str">
        <x:v>DP World</x:v>
      </x:c>
      <x:c r="M11" s="102" t="str">
        <x:v>Development</x:v>
      </x:c>
      <x:c r="N11" s="102" t="n">
        <x:v>3000000</x:v>
      </x:c>
      <x:c r="O11" s="102"/>
      <x:c r="P11" s="102"/>
      <x:c r="Q11" s="102"/>
      <x:c r="R11" s="102"/>
      <x:c r="S11" s="102"/>
      <x:c r="T11" s="102"/>
      <x:c r="U11" s="102" t="str">
        <x:v>DP World operating/ownership structure; see source notes</x:v>
      </x:c>
      <x:c r="V11" s="102" t="str">
        <x:v>DPW-IDN-GRE</x:v>
      </x:c>
      <x:c r="W11" s="102" t="str">
        <x:v>https://www.dpworld.com/en/news/dp-world-breaks-ground-on-new-container-terminal-in-east-java</x:v>
      </x:c>
      <x:c r="X11" s="102" t="str">
        <x:v>Medium</x:v>
      </x:c>
      <x:c r="Y11" s="102" t="str">
        <x:v>Design capacity up to 3.0m TEU; adjacent integrated industrial/logistics park initially 110 ha. Groundbreaking announced Oct 2023; current commissioning status requires update.</x:v>
      </x:c>
      <x:c r="Z11" s="102" t="str"/>
    </x:row>
    <x:row r="12">
      <x:c r="A12" s="102" t="str">
        <x:v>TERM0011</x:v>
      </x:c>
      <x:c r="B12" s="102" t="str">
        <x:v>Sapangar Bay Container Port</x:v>
      </x:c>
      <x:c r="C12" s="102" t="str">
        <x:v>PORTG0011</x:v>
      </x:c>
      <x:c r="D12" s="102" t="str">
        <x:v>Sapangar Bay</x:v>
      </x:c>
      <x:c r="E12" s="102" t="str">
        <x:v>Malaysia</x:v>
      </x:c>
      <x:c r="F12" s="102" t="str">
        <x:v>Kota Kinabalu, Sabah</x:v>
      </x:c>
      <x:c r="G12" s="102" t="str">
        <x:v>Asia Pacific</x:v>
      </x:c>
      <x:c r="H12" s="102" t="str">
        <x:v>Marine container terminal / partnership</x:v>
      </x:c>
      <x:c r="I12" s="102" t="str">
        <x:v>Containers</x:v>
      </x:c>
      <x:c r="J12" s="102" t="str">
        <x:v>COMP_DPW</x:v>
      </x:c>
      <x:c r="K12" s="102" t="str">
        <x:v>DP World</x:v>
      </x:c>
      <x:c r="L12" s="102" t="str">
        <x:v>DP World</x:v>
      </x:c>
      <x:c r="M12" s="102" t="str">
        <x:v>Operational / expanding</x:v>
      </x:c>
      <x:c r="N12" s="102" t="n">
        <x:v>1250000</x:v>
      </x:c>
      <x:c r="O12" s="102"/>
      <x:c r="P12" s="102"/>
      <x:c r="Q12" s="102"/>
      <x:c r="R12" s="102"/>
      <x:c r="S12" s="102"/>
      <x:c r="T12" s="102"/>
      <x:c r="U12" s="102" t="str">
        <x:v>DP World operating/ownership structure; see source notes</x:v>
      </x:c>
      <x:c r="V12" s="102" t="str">
        <x:v>DPW-MYS-SAP</x:v>
      </x:c>
      <x:c r="W12" s="102" t="str">
        <x:v>https://www.dpworld.com/en/ports-terminals/malaysia/sapangar-bay-port</x:v>
      </x:c>
      <x:c r="X12" s="102" t="str">
        <x:v>Medium</x:v>
      </x:c>
      <x:c r="Y12" s="102" t="str">
        <x:v>1.25m TEU was the announced post-expansion capacity target; verify commissioning/current certified capacity.</x:v>
      </x:c>
      <x:c r="Z12" s="102" t="str"/>
    </x:row>
    <x:row r="13">
      <x:c r="A13" s="102" t="str">
        <x:v>TERM0012</x:v>
      </x:c>
      <x:c r="B13" s="102" t="str">
        <x:v>Manila South Harbor</x:v>
      </x:c>
      <x:c r="C13" s="102" t="str">
        <x:v>PORTG0012</x:v>
      </x:c>
      <x:c r="D13" s="102" t="str">
        <x:v>Manila</x:v>
      </x:c>
      <x:c r="E13" s="102" t="str">
        <x:v>Philippines</x:v>
      </x:c>
      <x:c r="F13" s="102" t="str">
        <x:v>Manila</x:v>
      </x:c>
      <x:c r="G13" s="102" t="str">
        <x:v>Asia Pacific</x:v>
      </x:c>
      <x:c r="H13" s="102" t="str">
        <x:v>Marine container terminal / strategic partnership</x:v>
      </x:c>
      <x:c r="I13" s="102" t="str">
        <x:v>Containers</x:v>
      </x:c>
      <x:c r="J13" s="102" t="str">
        <x:v>COMP_DPW</x:v>
      </x:c>
      <x:c r="K13" s="102" t="str">
        <x:v>DP World</x:v>
      </x:c>
      <x:c r="L13" s="102" t="str">
        <x:v>DP World</x:v>
      </x:c>
      <x:c r="M13" s="102" t="str">
        <x:v>Operational</x:v>
      </x:c>
      <x:c r="N13" s="102" t="n">
        <x:v>2000000</x:v>
      </x:c>
      <x:c r="O13" s="102"/>
      <x:c r="P13" s="102" t="n">
        <x:v>600</x:v>
      </x:c>
      <x:c r="Q13" s="102" t="n">
        <x:v>13</x:v>
      </x:c>
      <x:c r="R13" s="102"/>
      <x:c r="S13" s="102"/>
      <x:c r="T13" s="102"/>
      <x:c r="U13" s="102" t="str">
        <x:v>DP World operating/ownership structure; see source notes</x:v>
      </x:c>
      <x:c r="V13" s="102" t="str">
        <x:v>DPW-PHL-MSH</x:v>
      </x:c>
      <x:c r="W13" s="102" t="str">
        <x:v>https://www.dpworld.com/en/news/dp-world-and-asian-terminals-inc-invest-us100-million-to-boost-capacity-at-manila-south-harbour</x:v>
      </x:c>
      <x:c r="X13" s="102" t="str">
        <x:v>High</x:v>
      </x:c>
      <x:c r="Y13" s="102" t="str">
        <x:v>Pier 3 berthing space extended to over 600 m; annual capacity described as nearly 2m TEU; static yard capacity &gt;20,000 TEU.</x:v>
      </x:c>
      <x:c r="Z13" s="102" t="str"/>
    </x:row>
    <x:row r="14">
      <x:c r="A14" s="102" t="str">
        <x:v>TERM0013</x:v>
      </x:c>
      <x:c r="B14" s="102" t="str">
        <x:v>Batangas Port</x:v>
      </x:c>
      <x:c r="C14" s="102" t="str">
        <x:v>PORTG0013</x:v>
      </x:c>
      <x:c r="D14" s="102" t="str">
        <x:v>Batangas</x:v>
      </x:c>
      <x:c r="E14" s="102" t="str">
        <x:v>Philippines</x:v>
      </x:c>
      <x:c r="F14" s="102" t="str">
        <x:v>Batangas</x:v>
      </x:c>
      <x:c r="G14" s="102" t="str">
        <x:v>Asia Pacific</x:v>
      </x:c>
      <x:c r="H14" s="102" t="str">
        <x:v>Marine multipurpose / passenger terminal partnership</x:v>
      </x:c>
      <x:c r="I14" s="102" t="str">
        <x:v>RoRo / passengers / containers</x:v>
      </x:c>
      <x:c r="J14" s="102" t="str">
        <x:v>COMP_DPW</x:v>
      </x:c>
      <x:c r="K14" s="102" t="str">
        <x:v>DP World</x:v>
      </x:c>
      <x:c r="L14" s="102" t="str">
        <x:v>DP World</x:v>
      </x:c>
      <x:c r="M14" s="102" t="str">
        <x:v>Operational</x:v>
      </x:c>
      <x:c r="N14" s="102"/>
      <x:c r="O14" s="102"/>
      <x:c r="P14" s="102"/>
      <x:c r="Q14" s="102"/>
      <x:c r="R14" s="102"/>
      <x:c r="S14" s="102"/>
      <x:c r="T14" s="102"/>
      <x:c r="U14" s="102" t="str">
        <x:v>DP World operating/ownership structure; see source notes</x:v>
      </x:c>
      <x:c r="V14" s="102" t="str">
        <x:v>DPW-PHL-BTG</x:v>
      </x:c>
      <x:c r="W14" s="102" t="str">
        <x:v>https://www.dpworld.com/en/ports-terminals/philippines/batangas-port</x:v>
      </x:c>
      <x:c r="X14" s="102" t="str">
        <x:v>High</x:v>
      </x:c>
      <x:c r="Y14" s="102" t="str">
        <x:v>Current DP World page confirms port operation; detailed dimensions not published consistently.</x:v>
      </x:c>
      <x:c r="Z14" s="102" t="str"/>
    </x:row>
    <x:row r="15">
      <x:c r="A15" s="102" t="str">
        <x:v>TERM0014</x:v>
      </x:c>
      <x:c r="B15" s="102" t="str">
        <x:v>Cavite Container Barge Terminal</x:v>
      </x:c>
      <x:c r="C15" s="102" t="str">
        <x:v>PORTG0014</x:v>
      </x:c>
      <x:c r="D15" s="102" t="str">
        <x:v>Cavite / Tanza</x:v>
      </x:c>
      <x:c r="E15" s="102" t="str">
        <x:v>Philippines</x:v>
      </x:c>
      <x:c r="F15" s="102" t="str">
        <x:v>Tanza, Cavite</x:v>
      </x:c>
      <x:c r="G15" s="102" t="str">
        <x:v>Asia Pacific</x:v>
      </x:c>
      <x:c r="H15" s="102" t="str">
        <x:v>Barge / container terminal partnership</x:v>
      </x:c>
      <x:c r="I15" s="102" t="str">
        <x:v>Containers / barges</x:v>
      </x:c>
      <x:c r="J15" s="102" t="str">
        <x:v>COMP_DPW</x:v>
      </x:c>
      <x:c r="K15" s="102" t="str">
        <x:v>DP World</x:v>
      </x:c>
      <x:c r="L15" s="102" t="str">
        <x:v>DP World</x:v>
      </x:c>
      <x:c r="M15" s="102" t="str">
        <x:v>Operational</x:v>
      </x:c>
      <x:c r="N15" s="102" t="n">
        <x:v>240000</x:v>
      </x:c>
      <x:c r="O15" s="102" t="n">
        <x:v>40000</x:v>
      </x:c>
      <x:c r="P15" s="102"/>
      <x:c r="Q15" s="102"/>
      <x:c r="R15" s="102"/>
      <x:c r="S15" s="102"/>
      <x:c r="T15" s="102"/>
      <x:c r="U15" s="102" t="str">
        <x:v>DP World operating/ownership structure; see source notes</x:v>
      </x:c>
      <x:c r="V15" s="102" t="str">
        <x:v>DPW-PHL-CAV</x:v>
      </x:c>
      <x:c r="W15" s="102" t="str">
        <x:v>https://www.dpworld.com/en/ports-terminals/philippines/cavite-port</x:v>
      </x:c>
      <x:c r="X15" s="102" t="str">
        <x:v>High</x:v>
      </x:c>
      <x:c r="Y15" s="102" t="str">
        <x:v>Design capacity 240k TEU; barge berth; 2 fixed harbour cranes, 2 reach stackers, 4 internal transfer vehicles announced at launch.</x:v>
      </x:c>
      <x:c r="Z15" s="102" t="str"/>
    </x:row>
    <x:row r="16">
      <x:c r="A16" s="102" t="str">
        <x:v>TERM0015</x:v>
      </x:c>
      <x:c r="B16" s="102" t="str">
        <x:v>Pusan Newport Company (PNC)</x:v>
      </x:c>
      <x:c r="C16" s="102" t="str">
        <x:v>PORTG0015</x:v>
      </x:c>
      <x:c r="D16" s="102" t="str">
        <x:v>Busan</x:v>
      </x:c>
      <x:c r="E16" s="102" t="str">
        <x:v>South Korea</x:v>
      </x:c>
      <x:c r="F16" s="102" t="str">
        <x:v>Busan New Port</x:v>
      </x:c>
      <x:c r="G16" s="102" t="str">
        <x:v>Asia Pacific</x:v>
      </x:c>
      <x:c r="H16" s="102" t="str">
        <x:v>Marine container terminal / JV</x:v>
      </x:c>
      <x:c r="I16" s="102" t="str">
        <x:v>Containers</x:v>
      </x:c>
      <x:c r="J16" s="102" t="str">
        <x:v>COMP_DPW</x:v>
      </x:c>
      <x:c r="K16" s="102" t="str">
        <x:v>DP World</x:v>
      </x:c>
      <x:c r="L16" s="102" t="str">
        <x:v>DP World</x:v>
      </x:c>
      <x:c r="M16" s="102" t="str">
        <x:v>Operational</x:v>
      </x:c>
      <x:c r="N16" s="102"/>
      <x:c r="O16" s="102" t="n">
        <x:v>1260000</x:v>
      </x:c>
      <x:c r="P16" s="102" t="n">
        <x:v>2000</x:v>
      </x:c>
      <x:c r="Q16" s="102" t="n">
        <x:v>17</x:v>
      </x:c>
      <x:c r="R16" s="102" t="n">
        <x:v>5</x:v>
      </x:c>
      <x:c r="S16" s="102" t="str">
        <x:v>Yes</x:v>
      </x:c>
      <x:c r="T16" s="102"/>
      <x:c r="U16" s="102" t="str">
        <x:v>DP World operating/ownership structure; see source notes</x:v>
      </x:c>
      <x:c r="V16" s="102" t="str">
        <x:v>DPW-KOR-BUS</x:v>
      </x:c>
      <x:c r="W16" s="102" t="str">
        <x:v>https://www.dpworld.com/en/ports-terminals/south-korea/pnc-port</x:v>
      </x:c>
      <x:c r="X16" s="102" t="str">
        <x:v>High</x:v>
      </x:c>
      <x:c r="Y16" s="102" t="str">
        <x:v>Published depth range approx. 16–17 m; automated RMGC yard and post-Panamax quay cranes.</x:v>
      </x:c>
      <x:c r="Z16" s="102" t="str"/>
    </x:row>
    <x:row r="17">
      <x:c r="A17" s="102" t="str">
        <x:v>TERM0016</x:v>
      </x:c>
      <x:c r="B17" s="102" t="str">
        <x:v>Laem Chabang International Terminal (LCIT)</x:v>
      </x:c>
      <x:c r="C17" s="102" t="str">
        <x:v>PORTG0016</x:v>
      </x:c>
      <x:c r="D17" s="102" t="str">
        <x:v>Laem Chabang</x:v>
      </x:c>
      <x:c r="E17" s="102" t="str">
        <x:v>Thailand</x:v>
      </x:c>
      <x:c r="F17" s="102" t="str">
        <x:v>Laem Chabang</x:v>
      </x:c>
      <x:c r="G17" s="102" t="str">
        <x:v>Asia Pacific</x:v>
      </x:c>
      <x:c r="H17" s="102" t="str">
        <x:v>Marine container terminal / JV</x:v>
      </x:c>
      <x:c r="I17" s="102" t="str">
        <x:v>Containers</x:v>
      </x:c>
      <x:c r="J17" s="102" t="str">
        <x:v>COMP_DPW</x:v>
      </x:c>
      <x:c r="K17" s="102" t="str">
        <x:v>DP World</x:v>
      </x:c>
      <x:c r="L17" s="102" t="str">
        <x:v>DP World</x:v>
      </x:c>
      <x:c r="M17" s="102" t="str">
        <x:v>Operational</x:v>
      </x:c>
      <x:c r="N17" s="102"/>
      <x:c r="O17" s="102"/>
      <x:c r="P17" s="102" t="n">
        <x:v>900</x:v>
      </x:c>
      <x:c r="Q17" s="102"/>
      <x:c r="R17" s="102" t="n">
        <x:v>2</x:v>
      </x:c>
      <x:c r="S17" s="102"/>
      <x:c r="T17" s="102"/>
      <x:c r="U17" s="102" t="str">
        <x:v>DP World operating/ownership structure; see source notes</x:v>
      </x:c>
      <x:c r="V17" s="102" t="str">
        <x:v>DPW-THA-LCB</x:v>
      </x:c>
      <x:c r="W17" s="102" t="str">
        <x:v>https://www.dpworld.com/en/news/dp-world-secures-laem-chabang-concession-extension-amid-rising-intra-asia-trade</x:v>
      </x:c>
      <x:c r="X17" s="102" t="str">
        <x:v>High</x:v>
      </x:c>
      <x:c r="Y17" s="102" t="str">
        <x:v>LCIT operates B5 and C3 and can accommodate up to four vessels simultaneously; handled 1.936m TEU in 2025 (throughput, not design capacity).</x:v>
      </x:c>
      <x:c r="Z17" s="102" t="str"/>
    </x:row>
    <x:row r="18">
      <x:c r="A18" s="102" t="str">
        <x:v>TERM0017</x:v>
      </x:c>
      <x:c r="B18" s="102" t="str">
        <x:v>Saigon Premier Container Terminal (SPCT)</x:v>
      </x:c>
      <x:c r="C18" s="102" t="str">
        <x:v>PORTG0017</x:v>
      </x:c>
      <x:c r="D18" s="102" t="str">
        <x:v>Ho Chi Minh City</x:v>
      </x:c>
      <x:c r="E18" s="102" t="str">
        <x:v>Vietnam</x:v>
      </x:c>
      <x:c r="F18" s="102" t="str">
        <x:v>Ho Chi Minh City</x:v>
      </x:c>
      <x:c r="G18" s="102" t="str">
        <x:v>Asia Pacific</x:v>
      </x:c>
      <x:c r="H18" s="102" t="str">
        <x:v>Marine container terminal / JV</x:v>
      </x:c>
      <x:c r="I18" s="102" t="str">
        <x:v>Containers</x:v>
      </x:c>
      <x:c r="J18" s="102" t="str">
        <x:v>COMP_DPW</x:v>
      </x:c>
      <x:c r="K18" s="102" t="str">
        <x:v>DP World</x:v>
      </x:c>
      <x:c r="L18" s="102" t="str">
        <x:v>DP World</x:v>
      </x:c>
      <x:c r="M18" s="102" t="str">
        <x:v>Operational</x:v>
      </x:c>
      <x:c r="N18" s="102"/>
      <x:c r="O18" s="102"/>
      <x:c r="P18" s="102"/>
      <x:c r="Q18" s="102"/>
      <x:c r="R18" s="102"/>
      <x:c r="S18" s="102"/>
      <x:c r="T18" s="102"/>
      <x:c r="U18" s="102" t="str">
        <x:v>DP World operating/ownership structure; see source notes</x:v>
      </x:c>
      <x:c r="V18" s="102" t="str">
        <x:v>DPW-VNM-SPC</x:v>
      </x:c>
      <x:c r="W18" s="102" t="str">
        <x:v>https://www.dpworld.com/en/ports-terminals/vietnam/spct-port</x:v>
      </x:c>
      <x:c r="X18" s="102" t="str">
        <x:v>High</x:v>
      </x:c>
      <x:c r="Y18" s="102" t="str">
        <x:v>Current public page confirms terminal; quantitative infrastructure fields require second-source verification.</x:v>
      </x:c>
      <x:c r="Z18" s="102" t="str"/>
    </x:row>
    <x:row r="19">
      <x:c r="A19" s="102" t="str">
        <x:v>TERM0018</x:v>
      </x:c>
      <x:c r="B19" s="102" t="str">
        <x:v>Antwerp Gateway</x:v>
      </x:c>
      <x:c r="C19" s="102" t="str">
        <x:v>PORTG0018</x:v>
      </x:c>
      <x:c r="D19" s="102" t="str">
        <x:v>Port of Antwerp-Bruges</x:v>
      </x:c>
      <x:c r="E19" s="102" t="str">
        <x:v>Belgium</x:v>
      </x:c>
      <x:c r="F19" s="102" t="str">
        <x:v>Port of Antwerp-Bruges</x:v>
      </x:c>
      <x:c r="G19" s="102" t="str">
        <x:v>Europe</x:v>
      </x:c>
      <x:c r="H19" s="102" t="str">
        <x:v>Marine container terminal / JV</x:v>
      </x:c>
      <x:c r="I19" s="102" t="str">
        <x:v>Containers</x:v>
      </x:c>
      <x:c r="J19" s="102" t="str">
        <x:v>COMP_DPW</x:v>
      </x:c>
      <x:c r="K19" s="102" t="str">
        <x:v>DP World</x:v>
      </x:c>
      <x:c r="L19" s="102" t="str">
        <x:v>DP World; Terminal Link</x:v>
      </x:c>
      <x:c r="M19" s="102" t="str">
        <x:v>Operational</x:v>
      </x:c>
      <x:c r="N19" s="102" t="n">
        <x:v>2800000</x:v>
      </x:c>
      <x:c r="O19" s="102"/>
      <x:c r="P19" s="102" t="n">
        <x:v>1660</x:v>
      </x:c>
      <x:c r="Q19" s="102" t="n">
        <x:v>16</x:v>
      </x:c>
      <x:c r="R19" s="102" t="n">
        <x:v>5</x:v>
      </x:c>
      <x:c r="S19" s="102" t="str">
        <x:v>Yes</x:v>
      </x:c>
      <x:c r="T19" s="102"/>
      <x:c r="U19" s="102" t="str">
        <x:v>DP World operating/ownership structure; see source notes | 51% CMA Terminals Holding / 49% CM Port (portfolio-level structure)</x:v>
      </x:c>
      <x:c r="V19" s="102" t="str">
        <x:v>DPW-BEL-ANT; CMA-TL-ANR</x:v>
      </x:c>
      <x:c r="W19" s="102" t="str">
        <x:v>https://www.dpworld.com/en/ports-terminals/belgium/antwerp; https://www.terminal-link.com/ports/location</x:v>
      </x:c>
      <x:c r="X19" s="102" t="str">
        <x:v>High</x:v>
      </x:c>
      <x:c r="Y19" s="102" t="str">
        <x:v>3 large vessel berths plus 2 feeder/barge berths; 15 STS cranes, 38 ASCs, 65 straddle carriers, 2 RMGs reported. | Official Terminal Link location network. Infrastructure fields intentionally blank until terminal-specific verification.</x:v>
      </x:c>
      <x:c r="Z19" s="102" t="str">
        <x:v>Duplicate source records collapsed</x:v>
      </x:c>
    </x:row>
    <x:row r="20">
      <x:c r="A20" s="102" t="str">
        <x:v>TERM0019</x:v>
      </x:c>
      <x:c r="B20" s="102" t="str">
        <x:v>DP World Limassol</x:v>
      </x:c>
      <x:c r="C20" s="102" t="str">
        <x:v>PORTG0019</x:v>
      </x:c>
      <x:c r="D20" s="102" t="str">
        <x:v>Limassol</x:v>
      </x:c>
      <x:c r="E20" s="102" t="str">
        <x:v>Cyprus</x:v>
      </x:c>
      <x:c r="F20" s="102" t="str">
        <x:v>Limassol</x:v>
      </x:c>
      <x:c r="G20" s="102" t="str">
        <x:v>Europe</x:v>
      </x:c>
      <x:c r="H20" s="102" t="str">
        <x:v>Marine multipurpose / cruise terminal</x:v>
      </x:c>
      <x:c r="I20" s="102" t="str">
        <x:v>General cargo / RoRo / cruise</x:v>
      </x:c>
      <x:c r="J20" s="102" t="str">
        <x:v>COMP_DPW</x:v>
      </x:c>
      <x:c r="K20" s="102" t="str">
        <x:v>DP World</x:v>
      </x:c>
      <x:c r="L20" s="102" t="str">
        <x:v>DP World</x:v>
      </x:c>
      <x:c r="M20" s="102" t="str">
        <x:v>Operational</x:v>
      </x:c>
      <x:c r="N20" s="102"/>
      <x:c r="O20" s="102"/>
      <x:c r="P20" s="102"/>
      <x:c r="Q20" s="102"/>
      <x:c r="R20" s="102"/>
      <x:c r="S20" s="102"/>
      <x:c r="T20" s="102"/>
      <x:c r="U20" s="102" t="str">
        <x:v>DP World operating/ownership structure; see source notes</x:v>
      </x:c>
      <x:c r="V20" s="102" t="str">
        <x:v>DPW-CYP-LIM</x:v>
      </x:c>
      <x:c r="W20" s="102" t="str">
        <x:v>https://www.dpworld.com/en/ports-terminals/cyprus/limassol</x:v>
      </x:c>
      <x:c r="X20" s="102" t="str">
        <x:v>High</x:v>
      </x:c>
      <x:c r="Y20" s="102" t="str">
        <x:v>Passenger terminal ~7,000 sqm; can accommodate vessels up to ~480 m. Depth left blank pending berth-level verification.</x:v>
      </x:c>
      <x:c r="Z20" s="102" t="str"/>
    </x:row>
    <x:row r="21">
      <x:c r="A21" s="102" t="str">
        <x:v>TERM0020</x:v>
      </x:c>
      <x:c r="B21" s="102" t="str">
        <x:v>Rotterdam World Gateway</x:v>
      </x:c>
      <x:c r="C21" s="102" t="str">
        <x:v>PORTG0020</x:v>
      </x:c>
      <x:c r="D21" s="102" t="str">
        <x:v>Rotterdam</x:v>
      </x:c>
      <x:c r="E21" s="102" t="str">
        <x:v>Netherlands</x:v>
      </x:c>
      <x:c r="F21" s="102" t="str">
        <x:v>Maasvlakte, Rotterdam</x:v>
      </x:c>
      <x:c r="G21" s="102" t="str">
        <x:v>Europe</x:v>
      </x:c>
      <x:c r="H21" s="102" t="str">
        <x:v>Marine container terminal / JV</x:v>
      </x:c>
      <x:c r="I21" s="102" t="str">
        <x:v>Containers</x:v>
      </x:c>
      <x:c r="J21" s="102" t="str">
        <x:v>COMP_DPW</x:v>
      </x:c>
      <x:c r="K21" s="102" t="str">
        <x:v>DP World</x:v>
      </x:c>
      <x:c r="L21" s="102" t="str">
        <x:v>DP World</x:v>
      </x:c>
      <x:c r="M21" s="102" t="str">
        <x:v>Operational</x:v>
      </x:c>
      <x:c r="N21" s="102"/>
      <x:c r="O21" s="102"/>
      <x:c r="P21" s="102"/>
      <x:c r="Q21" s="102"/>
      <x:c r="R21" s="102"/>
      <x:c r="S21" s="102" t="str">
        <x:v>Yes</x:v>
      </x:c>
      <x:c r="T21" s="102"/>
      <x:c r="U21" s="102" t="str">
        <x:v>DP World operating/ownership structure; see source notes</x:v>
      </x:c>
      <x:c r="V21" s="102" t="str">
        <x:v>DPW-NLD-RTM</x:v>
      </x:c>
      <x:c r="W21" s="102" t="str">
        <x:v>https://www.dpworld.com/en/ports-terminals/netherlands/rotterdam-world</x:v>
      </x:c>
      <x:c r="X21" s="102" t="str">
        <x:v>High</x:v>
      </x:c>
      <x:c r="Y21" s="102" t="str">
        <x:v>Deep-water, highly automated terminal with road, rail and inland-waterway connectivity; DP World page does not expose a stable current quantitative spec table.</x:v>
      </x:c>
      <x:c r="Z21" s="102" t="str"/>
    </x:row>
    <x:row r="22">
      <x:c r="A22" s="102" t="str">
        <x:v>TERM0021</x:v>
      </x:c>
      <x:c r="B22" s="102" t="str">
        <x:v>DP World Constanța</x:v>
      </x:c>
      <x:c r="C22" s="102" t="str">
        <x:v>PORTG0021</x:v>
      </x:c>
      <x:c r="D22" s="102" t="str">
        <x:v>Constanța</x:v>
      </x:c>
      <x:c r="E22" s="102" t="str">
        <x:v>Romania</x:v>
      </x:c>
      <x:c r="F22" s="102" t="str">
        <x:v>Port of Constanța</x:v>
      </x:c>
      <x:c r="G22" s="102" t="str">
        <x:v>Europe</x:v>
      </x:c>
      <x:c r="H22" s="102" t="str">
        <x:v>Marine container terminal</x:v>
      </x:c>
      <x:c r="I22" s="102" t="str">
        <x:v>Containers / intermodal</x:v>
      </x:c>
      <x:c r="J22" s="102" t="str">
        <x:v>COMP_DPW</x:v>
      </x:c>
      <x:c r="K22" s="102" t="str">
        <x:v>DP World</x:v>
      </x:c>
      <x:c r="L22" s="102" t="str">
        <x:v>DP World</x:v>
      </x:c>
      <x:c r="M22" s="102" t="str">
        <x:v>Operational / expanding</x:v>
      </x:c>
      <x:c r="N22" s="102"/>
      <x:c r="O22" s="102" t="n">
        <x:v>540000</x:v>
      </x:c>
      <x:c r="P22" s="102" t="n">
        <x:v>1020</x:v>
      </x:c>
      <x:c r="Q22" s="102" t="n">
        <x:v>14.5</x:v>
      </x:c>
      <x:c r="R22" s="102"/>
      <x:c r="S22" s="102" t="str">
        <x:v>Yes</x:v>
      </x:c>
      <x:c r="T22" s="102"/>
      <x:c r="U22" s="102" t="str">
        <x:v>DP World operating/ownership structure; see source notes</x:v>
      </x:c>
      <x:c r="V22" s="102" t="str">
        <x:v>DPW-ROU-CTA</x:v>
      </x:c>
      <x:c r="W22" s="102" t="str">
        <x:v>https://www.dpworld.com/en/ports-terminals/romania/constanta</x:v>
      </x:c>
      <x:c r="X22" s="102" t="str">
        <x:v>High</x:v>
      </x:c>
      <x:c r="Y22" s="102" t="str">
        <x:v>Current operating area ~54 ha, ultimate &gt;81 ha. Quay: ~640 m main + 380 m feeder. Three ~600 m rail lines and 2 RMGs reported.</x:v>
      </x:c>
      <x:c r="Z22" s="102" t="str"/>
    </x:row>
    <x:row r="23">
      <x:c r="A23" s="102" t="str">
        <x:v>TERM0022</x:v>
      </x:c>
      <x:c r="B23" s="102" t="str">
        <x:v>DP World Novi Sad</x:v>
      </x:c>
      <x:c r="C23" s="102" t="str">
        <x:v>PORTG0022</x:v>
      </x:c>
      <x:c r="D23" s="102" t="str">
        <x:v>Novi Sad</x:v>
      </x:c>
      <x:c r="E23" s="102" t="str">
        <x:v>Serbia</x:v>
      </x:c>
      <x:c r="F23" s="102" t="str">
        <x:v>Novi Sad, Danube</x:v>
      </x:c>
      <x:c r="G23" s="102" t="str">
        <x:v>Europe</x:v>
      </x:c>
      <x:c r="H23" s="102" t="str">
        <x:v>River port / multipurpose terminal</x:v>
      </x:c>
      <x:c r="I23" s="102" t="str">
        <x:v>Bulk / breakbulk / general cargo</x:v>
      </x:c>
      <x:c r="J23" s="102" t="str">
        <x:v>COMP_DPW</x:v>
      </x:c>
      <x:c r="K23" s="102" t="str">
        <x:v>DP World</x:v>
      </x:c>
      <x:c r="L23" s="102" t="str">
        <x:v>DP World</x:v>
      </x:c>
      <x:c r="M23" s="102" t="str">
        <x:v>Operational</x:v>
      </x:c>
      <x:c r="N23" s="102"/>
      <x:c r="O23" s="102" t="n">
        <x:v>60000</x:v>
      </x:c>
      <x:c r="P23" s="102" t="n">
        <x:v>800</x:v>
      </x:c>
      <x:c r="Q23" s="102" t="n">
        <x:v>10</x:v>
      </x:c>
      <x:c r="R23" s="102" t="n">
        <x:v>5</x:v>
      </x:c>
      <x:c r="S23" s="102" t="str">
        <x:v>Yes</x:v>
      </x:c>
      <x:c r="T23" s="102"/>
      <x:c r="U23" s="102" t="str">
        <x:v>DP World operating/ownership structure; see source notes</x:v>
      </x:c>
      <x:c r="V23" s="102" t="str">
        <x:v>DPW-SRB-NVS</x:v>
      </x:c>
      <x:c r="W23" s="102" t="str">
        <x:v>https://www.dpworld.com/en/ports-terminals/eu-intermodal/novi-sad</x:v>
      </x:c>
      <x:c r="X23" s="102" t="str">
        <x:v>High</x:v>
      </x:c>
      <x:c r="Y23" s="102" t="str">
        <x:v>Published water depth range approx. 4–10 m; ~44,000 sqm closed warehouse and ~100,000 sqm open storage.</x:v>
      </x:c>
      <x:c r="Z23" s="102" t="str"/>
    </x:row>
    <x:row r="24">
      <x:c r="A24" s="102" t="str">
        <x:v>TERM0023</x:v>
      </x:c>
      <x:c r="B24" s="102" t="str">
        <x:v>DP World Yarımca</x:v>
      </x:c>
      <x:c r="C24" s="102" t="str">
        <x:v>PORTG0023</x:v>
      </x:c>
      <x:c r="D24" s="102" t="str">
        <x:v>Yarımca</x:v>
      </x:c>
      <x:c r="E24" s="102" t="str">
        <x:v>Türkiye</x:v>
      </x:c>
      <x:c r="F24" s="102" t="str">
        <x:v>Kocaeli</x:v>
      </x:c>
      <x:c r="G24" s="102" t="str">
        <x:v>Europe</x:v>
      </x:c>
      <x:c r="H24" s="102" t="str">
        <x:v>Marine container terminal</x:v>
      </x:c>
      <x:c r="I24" s="102" t="str">
        <x:v>Containers</x:v>
      </x:c>
      <x:c r="J24" s="102" t="str">
        <x:v>COMP_DPW</x:v>
      </x:c>
      <x:c r="K24" s="102" t="str">
        <x:v>DP World</x:v>
      </x:c>
      <x:c r="L24" s="102" t="str">
        <x:v>DP World</x:v>
      </x:c>
      <x:c r="M24" s="102" t="str">
        <x:v>Operational</x:v>
      </x:c>
      <x:c r="N24" s="102"/>
      <x:c r="O24" s="102"/>
      <x:c r="P24" s="102"/>
      <x:c r="Q24" s="102"/>
      <x:c r="R24" s="102"/>
      <x:c r="S24" s="102" t="str">
        <x:v>Yes</x:v>
      </x:c>
      <x:c r="T24" s="102"/>
      <x:c r="U24" s="102" t="str">
        <x:v>DP World operating/ownership structure; see source notes</x:v>
      </x:c>
      <x:c r="V24" s="102" t="str">
        <x:v>DPW-TUR-YAR</x:v>
      </x:c>
      <x:c r="W24" s="102" t="str">
        <x:v>https://www.dpworld.com/en/ports-terminals/turkiye/yarimca</x:v>
      </x:c>
      <x:c r="X24" s="102" t="str">
        <x:v>High</x:v>
      </x:c>
      <x:c r="Y24" s="102" t="str">
        <x:v>Direct road/rail connectivity and ultra-large vessel capability; quantitative spec table not used until template fields are verified.</x:v>
      </x:c>
      <x:c r="Z24" s="102" t="str"/>
    </x:row>
    <x:row r="25">
      <x:c r="A25" s="102" t="str">
        <x:v>TERM0024</x:v>
      </x:c>
      <x:c r="B25" s="102" t="str">
        <x:v>DP World Evyap Körfez</x:v>
      </x:c>
      <x:c r="C25" s="102" t="str">
        <x:v>PORTG0024</x:v>
      </x:c>
      <x:c r="D25" s="102" t="str">
        <x:v>Körfez</x:v>
      </x:c>
      <x:c r="E25" s="102" t="str">
        <x:v>Türkiye</x:v>
      </x:c>
      <x:c r="F25" s="102" t="str">
        <x:v>Kocaeli</x:v>
      </x:c>
      <x:c r="G25" s="102" t="str">
        <x:v>Europe</x:v>
      </x:c>
      <x:c r="H25" s="102" t="str">
        <x:v>Marine multipurpose / liquid-bulk terminal</x:v>
      </x:c>
      <x:c r="I25" s="102" t="str">
        <x:v>Containers / liquid bulk / general cargo</x:v>
      </x:c>
      <x:c r="J25" s="102" t="str">
        <x:v>COMP_DPW</x:v>
      </x:c>
      <x:c r="K25" s="102" t="str">
        <x:v>DP World</x:v>
      </x:c>
      <x:c r="L25" s="102" t="str">
        <x:v>DP World</x:v>
      </x:c>
      <x:c r="M25" s="102" t="str">
        <x:v>Operational</x:v>
      </x:c>
      <x:c r="N25" s="102"/>
      <x:c r="O25" s="102"/>
      <x:c r="P25" s="102"/>
      <x:c r="Q25" s="102"/>
      <x:c r="R25" s="102"/>
      <x:c r="S25" s="102" t="str">
        <x:v>Yes</x:v>
      </x:c>
      <x:c r="T25" s="102"/>
      <x:c r="U25" s="102" t="str">
        <x:v>DP World operating/ownership structure; see source notes</x:v>
      </x:c>
      <x:c r="V25" s="102" t="str">
        <x:v>DPW-TUR-KOR</x:v>
      </x:c>
      <x:c r="W25" s="102" t="str">
        <x:v>https://www.dpworld.com/en/ports-terminals/turkiye/korfez</x:v>
      </x:c>
      <x:c r="X25" s="102" t="str">
        <x:v>High</x:v>
      </x:c>
      <x:c r="Y25" s="102" t="str">
        <x:v>Multi-cargo terminal; detailed berth dimensions pending second-source verification.</x:v>
      </x:c>
      <x:c r="Z25" s="102" t="str"/>
    </x:row>
    <x:row r="26">
      <x:c r="A26" s="102" t="str">
        <x:v>TERM0025</x:v>
      </x:c>
      <x:c r="B26" s="102" t="str">
        <x:v>DP World TIS Pivdennyi</x:v>
      </x:c>
      <x:c r="C26" s="102" t="str">
        <x:v>PORTG0025</x:v>
      </x:c>
      <x:c r="D26" s="102" t="str">
        <x:v>Pivdennyi</x:v>
      </x:c>
      <x:c r="E26" s="102" t="str">
        <x:v>Ukraine</x:v>
      </x:c>
      <x:c r="F26" s="102" t="str">
        <x:v>Pivdennyi / Yuzhny</x:v>
      </x:c>
      <x:c r="G26" s="102" t="str">
        <x:v>Europe</x:v>
      </x:c>
      <x:c r="H26" s="102" t="str">
        <x:v>Marine container terminal</x:v>
      </x:c>
      <x:c r="I26" s="102" t="str">
        <x:v>Containers</x:v>
      </x:c>
      <x:c r="J26" s="102" t="str">
        <x:v>COMP_DPW</x:v>
      </x:c>
      <x:c r="K26" s="102" t="str">
        <x:v>DP World</x:v>
      </x:c>
      <x:c r="L26" s="102" t="str">
        <x:v>DP World</x:v>
      </x:c>
      <x:c r="M26" s="102" t="str">
        <x:v>Operational / conflict-affected</x:v>
      </x:c>
      <x:c r="N26" s="102" t="n">
        <x:v>600000</x:v>
      </x:c>
      <x:c r="O26" s="102" t="n">
        <x:v>520000</x:v>
      </x:c>
      <x:c r="P26" s="102"/>
      <x:c r="Q26" s="102" t="n">
        <x:v>14.7</x:v>
      </x:c>
      <x:c r="R26" s="102"/>
      <x:c r="S26" s="102" t="str">
        <x:v>Yes</x:v>
      </x:c>
      <x:c r="T26" s="102" t="n">
        <x:v>712</x:v>
      </x:c>
      <x:c r="U26" s="102" t="str">
        <x:v>DP World operating/ownership structure; see source notes</x:v>
      </x:c>
      <x:c r="V26" s="102" t="str">
        <x:v>DPW-UKR-PIV</x:v>
      </x:c>
      <x:c r="W26" s="102" t="str">
        <x:v>https://www.dpworld.com/en/ports-terminals/ukraine/pivdennyi</x:v>
      </x:c>
      <x:c r="X26" s="102" t="str">
        <x:v>High</x:v>
      </x:c>
      <x:c r="Y26" s="102" t="str">
        <x:v>Yard capacity ~10,400 TEU; &gt;80 km rail infrastructure reported. Operational environment affected by Black Sea war risk.</x:v>
      </x:c>
      <x:c r="Z26" s="102" t="str"/>
    </x:row>
    <x:row r="27">
      <x:c r="A27" s="102" t="str">
        <x:v>TERM0026</x:v>
      </x:c>
      <x:c r="B27" s="102" t="str">
        <x:v>DP World London Gateway</x:v>
      </x:c>
      <x:c r="C27" s="102" t="str">
        <x:v>UKP053</x:v>
      </x:c>
      <x:c r="D27" s="102" t="str">
        <x:v>London Gateway</x:v>
      </x:c>
      <x:c r="E27" s="102" t="str">
        <x:v>United Kingdom</x:v>
      </x:c>
      <x:c r="F27" s="102" t="str">
        <x:v>Thurrock, Thames Estuary</x:v>
      </x:c>
      <x:c r="G27" s="102" t="str">
        <x:v>Europe</x:v>
      </x:c>
      <x:c r="H27" s="102" t="str">
        <x:v>Marine container terminal</x:v>
      </x:c>
      <x:c r="I27" s="102" t="str">
        <x:v>Containers</x:v>
      </x:c>
      <x:c r="J27" s="102" t="str">
        <x:v>COMP_DPW</x:v>
      </x:c>
      <x:c r="K27" s="102" t="str">
        <x:v>DP World</x:v>
      </x:c>
      <x:c r="L27" s="102" t="str">
        <x:v>DP World</x:v>
      </x:c>
      <x:c r="M27" s="102" t="str">
        <x:v>Operational / expanding</x:v>
      </x:c>
      <x:c r="N27" s="102" t="n">
        <x:v>3400000</x:v>
      </x:c>
      <x:c r="O27" s="102" t="n">
        <x:v>1862000</x:v>
      </x:c>
      <x:c r="P27" s="102" t="n">
        <x:v>1690</x:v>
      </x:c>
      <x:c r="Q27" s="102" t="n">
        <x:v>16.5</x:v>
      </x:c>
      <x:c r="R27" s="102" t="n">
        <x:v>4</x:v>
      </x:c>
      <x:c r="S27" s="102" t="str">
        <x:v>Yes</x:v>
      </x:c>
      <x:c r="T27" s="102" t="n">
        <x:v>3000</x:v>
      </x:c>
      <x:c r="U27" s="102" t="str">
        <x:v>DP World operating/ownership structure; see source notes</x:v>
      </x:c>
      <x:c r="V27" s="102" t="str">
        <x:v>DPW-GBR-LGW</x:v>
      </x:c>
      <x:c r="W27" s="102" t="str">
        <x:v>https://www.dpworld.com/en/ports-terminals/united-kingdom/london-gateway/infrastructure-facts</x:v>
      </x:c>
      <x:c r="X27" s="102" t="str">
        <x:v>High</x:v>
      </x:c>
      <x:c r="Y27" s="102" t="str">
        <x:v>Current: 4 berths, increasing to 5 then 6. 16 quay cranes, 78 ASCs, 60 straddle carriers, 5 RMGs, 4 reach stackers. Terminal area converted from 460 acres.</x:v>
      </x:c>
      <x:c r="Z27" s="102" t="str"/>
    </x:row>
    <x:row r="28">
      <x:c r="A28" s="102" t="str">
        <x:v>TERM0027</x:v>
      </x:c>
      <x:c r="B28" s="102" t="str">
        <x:v>DP World Southampton</x:v>
      </x:c>
      <x:c r="C28" s="102" t="str">
        <x:v>UKP054</x:v>
      </x:c>
      <x:c r="D28" s="102" t="str">
        <x:v>Southampton</x:v>
      </x:c>
      <x:c r="E28" s="102" t="str">
        <x:v>United Kingdom</x:v>
      </x:c>
      <x:c r="F28" s="102" t="str">
        <x:v>Southampton</x:v>
      </x:c>
      <x:c r="G28" s="102" t="str">
        <x:v>Europe</x:v>
      </x:c>
      <x:c r="H28" s="102" t="str">
        <x:v>Marine container terminal</x:v>
      </x:c>
      <x:c r="I28" s="102" t="str">
        <x:v>Containers</x:v>
      </x:c>
      <x:c r="J28" s="102" t="str">
        <x:v>COMP_DPW</x:v>
      </x:c>
      <x:c r="K28" s="102" t="str">
        <x:v>DP World</x:v>
      </x:c>
      <x:c r="L28" s="102" t="str">
        <x:v>DP World</x:v>
      </x:c>
      <x:c r="M28" s="102" t="str">
        <x:v>Operational</x:v>
      </x:c>
      <x:c r="N28" s="102"/>
      <x:c r="O28" s="102" t="n">
        <x:v>405000</x:v>
      </x:c>
      <x:c r="P28" s="102" t="n">
        <x:v>1920</x:v>
      </x:c>
      <x:c r="Q28" s="102" t="n">
        <x:v>16</x:v>
      </x:c>
      <x:c r="R28" s="102" t="n">
        <x:v>5</x:v>
      </x:c>
      <x:c r="S28" s="102" t="str">
        <x:v>Yes</x:v>
      </x:c>
      <x:c r="T28" s="102"/>
      <x:c r="U28" s="102" t="str">
        <x:v>DP World operating/ownership structure; see source notes</x:v>
      </x:c>
      <x:c r="V28" s="102" t="str">
        <x:v>DPW-GBR-SOU</x:v>
      </x:c>
      <x:c r="W28" s="102" t="str">
        <x:v>https://www.dpworld.com/en/ports-terminals/united-kingdom/southampton/infrastructure-facts</x:v>
      </x:c>
      <x:c r="X28" s="102" t="str">
        <x:v>High</x:v>
      </x:c>
      <x:c r="Y28" s="102" t="str">
        <x:v>Approx. 100 acres; 14 quay cranes reported on infrastructure page; 22 daily rail services.</x:v>
      </x:c>
      <x:c r="Z28" s="102" t="str"/>
    </x:row>
    <x:row r="29">
      <x:c r="A29" s="102" t="str">
        <x:v>TERM0028</x:v>
      </x:c>
      <x:c r="B29" s="102" t="str">
        <x:v>DP World Luanda</x:v>
      </x:c>
      <x:c r="C29" s="102" t="str">
        <x:v>PORTG0026</x:v>
      </x:c>
      <x:c r="D29" s="102" t="str">
        <x:v>Luanda</x:v>
      </x:c>
      <x:c r="E29" s="102" t="str">
        <x:v>Angola</x:v>
      </x:c>
      <x:c r="F29" s="102" t="str">
        <x:v>Luanda</x:v>
      </x:c>
      <x:c r="G29" s="102" t="str">
        <x:v>India, Middle East &amp; Africa</x:v>
      </x:c>
      <x:c r="H29" s="102" t="str">
        <x:v>Marine multipurpose terminal</x:v>
      </x:c>
      <x:c r="I29" s="102" t="str">
        <x:v>Containers / general cargo</x:v>
      </x:c>
      <x:c r="J29" s="102" t="str">
        <x:v>COMP_DPW</x:v>
      </x:c>
      <x:c r="K29" s="102" t="str">
        <x:v>DP World</x:v>
      </x:c>
      <x:c r="L29" s="102" t="str">
        <x:v>DP World</x:v>
      </x:c>
      <x:c r="M29" s="102" t="str">
        <x:v>Operational</x:v>
      </x:c>
      <x:c r="N29" s="102"/>
      <x:c r="O29" s="102"/>
      <x:c r="P29" s="102" t="n">
        <x:v>610</x:v>
      </x:c>
      <x:c r="Q29" s="102" t="n">
        <x:v>12.5</x:v>
      </x:c>
      <x:c r="R29" s="102"/>
      <x:c r="S29" s="102"/>
      <x:c r="T29" s="102"/>
      <x:c r="U29" s="102" t="str">
        <x:v>DP World operating/ownership structure; see source notes</x:v>
      </x:c>
      <x:c r="V29" s="102" t="str">
        <x:v>DPW-AGO-LUA</x:v>
      </x:c>
      <x:c r="W29" s="102" t="str">
        <x:v>https://www.dpworld.com/en/ports-terminals/angola/luanda</x:v>
      </x:c>
      <x:c r="X29" s="102" t="str">
        <x:v>High</x:v>
      </x:c>
      <x:c r="Y29" s="102" t="str">
        <x:v>Public page lists 4 forklifts, 4 empty handlers and 30 dedicated vehicles.</x:v>
      </x:c>
      <x:c r="Z29" s="102" t="str"/>
    </x:row>
    <x:row r="30">
      <x:c r="A30" s="102" t="str">
        <x:v>TERM0029</x:v>
      </x:c>
      <x:c r="B30" s="102" t="str">
        <x:v>DP World Djazair</x:v>
      </x:c>
      <x:c r="C30" s="102" t="str">
        <x:v>PORTG0027</x:v>
      </x:c>
      <x:c r="D30" s="102" t="str">
        <x:v>Algiers</x:v>
      </x:c>
      <x:c r="E30" s="102" t="str">
        <x:v>Algeria</x:v>
      </x:c>
      <x:c r="F30" s="102" t="str">
        <x:v>Algiers</x:v>
      </x:c>
      <x:c r="G30" s="102" t="str">
        <x:v>India, Middle East &amp; Africa</x:v>
      </x:c>
      <x:c r="H30" s="102" t="str">
        <x:v>Marine container terminal</x:v>
      </x:c>
      <x:c r="I30" s="102" t="str">
        <x:v>Containers</x:v>
      </x:c>
      <x:c r="J30" s="102" t="str">
        <x:v>COMP_DPW</x:v>
      </x:c>
      <x:c r="K30" s="102" t="str">
        <x:v>DP World</x:v>
      </x:c>
      <x:c r="L30" s="102" t="str">
        <x:v>DP World</x:v>
      </x:c>
      <x:c r="M30" s="102" t="str">
        <x:v>Operational</x:v>
      </x:c>
      <x:c r="N30" s="102"/>
      <x:c r="O30" s="102"/>
      <x:c r="P30" s="102" t="n">
        <x:v>600</x:v>
      </x:c>
      <x:c r="Q30" s="102" t="n">
        <x:v>11</x:v>
      </x:c>
      <x:c r="R30" s="102" t="n">
        <x:v>2</x:v>
      </x:c>
      <x:c r="S30" s="102"/>
      <x:c r="T30" s="102"/>
      <x:c r="U30" s="102" t="str">
        <x:v>DP World operating/ownership structure; see source notes</x:v>
      </x:c>
      <x:c r="V30" s="102" t="str">
        <x:v>DPW-DZA-DZA</x:v>
      </x:c>
      <x:c r="W30" s="102" t="str">
        <x:v>https://www.dpworld.com/en/ports-terminals/algeria/djazair</x:v>
      </x:c>
      <x:c r="X30" s="102" t="str">
        <x:v>High</x:v>
      </x:c>
      <x:c r="Y30" s="102" t="str">
        <x:v>Two ~300 m berths; modern STS cranes.</x:v>
      </x:c>
      <x:c r="Z30" s="102" t="str"/>
    </x:row>
    <x:row r="31">
      <x:c r="A31" s="102" t="str">
        <x:v>TERM0030</x:v>
      </x:c>
      <x:c r="B31" s="102" t="str">
        <x:v>DP World Djen Djen</x:v>
      </x:c>
      <x:c r="C31" s="102" t="str">
        <x:v>PORTG0028</x:v>
      </x:c>
      <x:c r="D31" s="102" t="str">
        <x:v>Djen Djen</x:v>
      </x:c>
      <x:c r="E31" s="102" t="str">
        <x:v>Algeria</x:v>
      </x:c>
      <x:c r="F31" s="102" t="str">
        <x:v>Jijel</x:v>
      </x:c>
      <x:c r="G31" s="102" t="str">
        <x:v>India, Middle East &amp; Africa</x:v>
      </x:c>
      <x:c r="H31" s="102" t="str">
        <x:v>Marine container / multipurpose terminal</x:v>
      </x:c>
      <x:c r="I31" s="102" t="str">
        <x:v>Containers / multipurpose</x:v>
      </x:c>
      <x:c r="J31" s="102" t="str">
        <x:v>COMP_DPW</x:v>
      </x:c>
      <x:c r="K31" s="102" t="str">
        <x:v>DP World</x:v>
      </x:c>
      <x:c r="L31" s="102" t="str">
        <x:v>DP World</x:v>
      </x:c>
      <x:c r="M31" s="102" t="str">
        <x:v>Operational</x:v>
      </x:c>
      <x:c r="N31" s="102" t="n">
        <x:v>2000000</x:v>
      </x:c>
      <x:c r="O31" s="102" t="n">
        <x:v>760000</x:v>
      </x:c>
      <x:c r="P31" s="102" t="n">
        <x:v>1840</x:v>
      </x:c>
      <x:c r="Q31" s="102" t="n">
        <x:v>17</x:v>
      </x:c>
      <x:c r="R31" s="102"/>
      <x:c r="S31" s="102"/>
      <x:c r="T31" s="102" t="n">
        <x:v>36</x:v>
      </x:c>
      <x:c r="U31" s="102" t="str">
        <x:v>DP World operating/ownership structure; see source notes</x:v>
      </x:c>
      <x:c r="V31" s="102" t="str">
        <x:v>DPW-DZA-DJD</x:v>
      </x:c>
      <x:c r="W31" s="102" t="str">
        <x:v>https://www.dpworld.com/en/ports-terminals/algeria/djendjen</x:v>
      </x:c>
      <x:c r="X31" s="102" t="str">
        <x:v>High</x:v>
      </x:c>
      <x:c r="Y31" s="102" t="str">
        <x:v>Main quay ~1,590 m at 17 m plus ~250 m at 11 m. Equipment reported: 12 super-post-Panamax STS, 2 feeder STS, 35 RTGs, 1 MHC, 6 ITVs, 4 reach stackers, 2 empty handlers.</x:v>
      </x:c>
      <x:c r="Z31" s="102" t="str"/>
    </x:row>
    <x:row r="32">
      <x:c r="A32" s="102" t="str">
        <x:v>TERM0031</x:v>
      </x:c>
      <x:c r="B32" s="102" t="str">
        <x:v>DP World Sokhna</x:v>
      </x:c>
      <x:c r="C32" s="102" t="str">
        <x:v>PORTG0029</x:v>
      </x:c>
      <x:c r="D32" s="102" t="str">
        <x:v>Sokhna</x:v>
      </x:c>
      <x:c r="E32" s="102" t="str">
        <x:v>Egypt</x:v>
      </x:c>
      <x:c r="F32" s="102" t="str">
        <x:v>Ain Sokhna</x:v>
      </x:c>
      <x:c r="G32" s="102" t="str">
        <x:v>India, Middle East &amp; Africa</x:v>
      </x:c>
      <x:c r="H32" s="102" t="str">
        <x:v>Marine container / multipurpose terminal</x:v>
      </x:c>
      <x:c r="I32" s="102" t="str">
        <x:v>Containers / general cargo</x:v>
      </x:c>
      <x:c r="J32" s="102" t="str">
        <x:v>COMP_DPW</x:v>
      </x:c>
      <x:c r="K32" s="102" t="str">
        <x:v>DP World</x:v>
      </x:c>
      <x:c r="L32" s="102" t="str">
        <x:v>DP World</x:v>
      </x:c>
      <x:c r="M32" s="102" t="str">
        <x:v>Operational</x:v>
      </x:c>
      <x:c r="N32" s="102"/>
      <x:c r="O32" s="102"/>
      <x:c r="P32" s="102" t="n">
        <x:v>2100</x:v>
      </x:c>
      <x:c r="Q32" s="102" t="n">
        <x:v>17</x:v>
      </x:c>
      <x:c r="R32" s="102" t="n">
        <x:v>2</x:v>
      </x:c>
      <x:c r="S32" s="102" t="str">
        <x:v>Yes</x:v>
      </x:c>
      <x:c r="T32" s="102" t="n">
        <x:v>904</x:v>
      </x:c>
      <x:c r="U32" s="102" t="str">
        <x:v>DP World operating/ownership structure; see source notes</x:v>
      </x:c>
      <x:c r="V32" s="102" t="str">
        <x:v>DPW-EGY-SOK</x:v>
      </x:c>
      <x:c r="W32" s="102" t="str">
        <x:v>https://www.dpworld.com/en/ports-terminals/egypt/sokhna/infrastructure-facts</x:v>
      </x:c>
      <x:c r="X32" s="102" t="str">
        <x:v>High</x:v>
      </x:c>
      <x:c r="Y32" s="102" t="str">
        <x:v>Berth 1 ~750 m; Berth 2 ~1,350 m. Six mobile harbour cranes reported. Some current page equipment fields appear templated and are excluded.</x:v>
      </x:c>
      <x:c r="Z32" s="102" t="str"/>
    </x:row>
    <x:row r="33">
      <x:c r="A33" s="102" t="str">
        <x:v>TERM0032</x:v>
      </x:c>
      <x:c r="B33" s="102" t="str">
        <x:v>Nhava Sheva International Container Terminal (NSICT)</x:v>
      </x:c>
      <x:c r="C33" s="102" t="str">
        <x:v>PORTG0030</x:v>
      </x:c>
      <x:c r="D33" s="102" t="str">
        <x:v>Nhava Sheva</x:v>
      </x:c>
      <x:c r="E33" s="102" t="str">
        <x:v>India</x:v>
      </x:c>
      <x:c r="F33" s="102" t="str">
        <x:v>JNPA / Mumbai</x:v>
      </x:c>
      <x:c r="G33" s="102" t="str">
        <x:v>India, Middle East &amp; Africa</x:v>
      </x:c>
      <x:c r="H33" s="102" t="str">
        <x:v>Marine container terminal</x:v>
      </x:c>
      <x:c r="I33" s="102" t="str">
        <x:v>Containers</x:v>
      </x:c>
      <x:c r="J33" s="102" t="str">
        <x:v>COMP_DPW</x:v>
      </x:c>
      <x:c r="K33" s="102" t="str">
        <x:v>DP World</x:v>
      </x:c>
      <x:c r="L33" s="102" t="str">
        <x:v>DP World</x:v>
      </x:c>
      <x:c r="M33" s="102" t="str">
        <x:v>Operational</x:v>
      </x:c>
      <x:c r="N33" s="102" t="n">
        <x:v>1200000</x:v>
      </x:c>
      <x:c r="O33" s="102" t="n">
        <x:v>310000</x:v>
      </x:c>
      <x:c r="P33" s="102" t="n">
        <x:v>600</x:v>
      </x:c>
      <x:c r="Q33" s="102" t="n">
        <x:v>16.2</x:v>
      </x:c>
      <x:c r="R33" s="102"/>
      <x:c r="S33" s="102" t="str">
        <x:v>Yes</x:v>
      </x:c>
      <x:c r="T33" s="102" t="n">
        <x:v>774</x:v>
      </x:c>
      <x:c r="U33" s="102" t="str">
        <x:v>DP World operating/ownership structure; see source notes</x:v>
      </x:c>
      <x:c r="V33" s="102" t="str">
        <x:v>DPW-IND-NSI</x:v>
      </x:c>
      <x:c r="W33" s="102" t="str">
        <x:v>https://www.dpworld.com/en/ports-terminals/india/nsict/infrastructure</x:v>
      </x:c>
      <x:c r="X33" s="102" t="str">
        <x:v>High</x:v>
      </x:c>
      <x:c r="Y33" s="102" t="str">
        <x:v>8 quay cranes, 26 RTGs, 2 reach stackers, 2 empty handlers, 2 forklifts; two rail siding sets.</x:v>
      </x:c>
      <x:c r="Z33" s="102" t="str"/>
    </x:row>
    <x:row r="34">
      <x:c r="A34" s="102" t="str">
        <x:v>TERM0033</x:v>
      </x:c>
      <x:c r="B34" s="102" t="str">
        <x:v>Nhava Sheva India Gateway Terminal (NSIGT)</x:v>
      </x:c>
      <x:c r="C34" s="102" t="str">
        <x:v>PORTG0030</x:v>
      </x:c>
      <x:c r="D34" s="102" t="str">
        <x:v>Nhava Sheva</x:v>
      </x:c>
      <x:c r="E34" s="102" t="str">
        <x:v>India</x:v>
      </x:c>
      <x:c r="F34" s="102" t="str">
        <x:v>JNPA / Mumbai</x:v>
      </x:c>
      <x:c r="G34" s="102" t="str">
        <x:v>India, Middle East &amp; Africa</x:v>
      </x:c>
      <x:c r="H34" s="102" t="str">
        <x:v>Marine container terminal</x:v>
      </x:c>
      <x:c r="I34" s="102" t="str">
        <x:v>Containers</x:v>
      </x:c>
      <x:c r="J34" s="102" t="str">
        <x:v>COMP_DPW</x:v>
      </x:c>
      <x:c r="K34" s="102" t="str">
        <x:v>DP World</x:v>
      </x:c>
      <x:c r="L34" s="102" t="str">
        <x:v>DP World</x:v>
      </x:c>
      <x:c r="M34" s="102" t="str">
        <x:v>Operational</x:v>
      </x:c>
      <x:c r="N34" s="102" t="n">
        <x:v>900000</x:v>
      </x:c>
      <x:c r="O34" s="102" t="n">
        <x:v>270000</x:v>
      </x:c>
      <x:c r="P34" s="102" t="n">
        <x:v>600</x:v>
      </x:c>
      <x:c r="Q34" s="102" t="n">
        <x:v>16.2</x:v>
      </x:c>
      <x:c r="R34" s="102"/>
      <x:c r="S34" s="102" t="str">
        <x:v>Yes</x:v>
      </x:c>
      <x:c r="T34" s="102" t="n">
        <x:v>336</x:v>
      </x:c>
      <x:c r="U34" s="102" t="str">
        <x:v>DP World operating/ownership structure; see source notes</x:v>
      </x:c>
      <x:c r="V34" s="102" t="str">
        <x:v>DPW-IND-NSG</x:v>
      </x:c>
      <x:c r="W34" s="102" t="str">
        <x:v>https://www.dpworld.com/en/ports-terminals/india/nsigt/infrastructure</x:v>
      </x:c>
      <x:c r="X34" s="102" t="str">
        <x:v>Medium</x:v>
      </x:c>
      <x:c r="Y34" s="102" t="str">
        <x:v>Current infrastructure page lists 8 quay cranes and 26 RTGs; equipment figures appear similar to NSICT and should be periodically re-verified.</x:v>
      </x:c>
      <x:c r="Z34" s="102" t="str"/>
    </x:row>
    <x:row r="35">
      <x:c r="A35" s="102" t="str">
        <x:v>TERM0034</x:v>
      </x:c>
      <x:c r="B35" s="102" t="str">
        <x:v>Mundra International Container Terminal (MICT)</x:v>
      </x:c>
      <x:c r="C35" s="102" t="str">
        <x:v>PORTG0031</x:v>
      </x:c>
      <x:c r="D35" s="102" t="str">
        <x:v>Mundra</x:v>
      </x:c>
      <x:c r="E35" s="102" t="str">
        <x:v>India</x:v>
      </x:c>
      <x:c r="F35" s="102" t="str">
        <x:v>Mundra, Gujarat</x:v>
      </x:c>
      <x:c r="G35" s="102" t="str">
        <x:v>India, Middle East &amp; Africa</x:v>
      </x:c>
      <x:c r="H35" s="102" t="str">
        <x:v>Marine container terminal</x:v>
      </x:c>
      <x:c r="I35" s="102" t="str">
        <x:v>Containers</x:v>
      </x:c>
      <x:c r="J35" s="102" t="str">
        <x:v>COMP_DPW</x:v>
      </x:c>
      <x:c r="K35" s="102" t="str">
        <x:v>DP World</x:v>
      </x:c>
      <x:c r="L35" s="102" t="str">
        <x:v>DP World</x:v>
      </x:c>
      <x:c r="M35" s="102" t="str">
        <x:v>Operational / expanding</x:v>
      </x:c>
      <x:c r="N35" s="102" t="n">
        <x:v>1535000</x:v>
      </x:c>
      <x:c r="O35" s="102" t="n">
        <x:v>370000</x:v>
      </x:c>
      <x:c r="P35" s="102" t="n">
        <x:v>632</x:v>
      </x:c>
      <x:c r="Q35" s="102" t="n">
        <x:v>15.5</x:v>
      </x:c>
      <x:c r="R35" s="102"/>
      <x:c r="S35" s="102" t="str">
        <x:v>Yes</x:v>
      </x:c>
      <x:c r="T35" s="102" t="n">
        <x:v>324</x:v>
      </x:c>
      <x:c r="U35" s="102" t="str">
        <x:v>DP World operating/ownership structure; see source notes</x:v>
      </x:c>
      <x:c r="V35" s="102" t="str">
        <x:v>DPW-IND-MUN</x:v>
      </x:c>
      <x:c r="W35" s="102" t="str">
        <x:v>https://www.dpworld.com/en/ports-terminals/india/mict/infrastructure</x:v>
      </x:c>
      <x:c r="X35" s="102" t="str">
        <x:v>Medium</x:v>
      </x:c>
      <x:c r="Y35" s="102" t="str">
        <x:v>8 quay cranes. Public DP World pages conflict on RTG count (27 vs 29); equipment child table records the conflict. Capacity is being raised to ~1.56m TEU by 2027.</x:v>
      </x:c>
      <x:c r="Z35" s="102" t="str"/>
    </x:row>
    <x:row r="36">
      <x:c r="A36" s="102" t="str">
        <x:v>TERM0035</x:v>
      </x:c>
      <x:c r="B36" s="102" t="str">
        <x:v>Chennai Container Terminal (CCT)</x:v>
      </x:c>
      <x:c r="C36" s="102" t="str">
        <x:v>PORTG0032</x:v>
      </x:c>
      <x:c r="D36" s="102" t="str">
        <x:v>Chennai</x:v>
      </x:c>
      <x:c r="E36" s="102" t="str">
        <x:v>India</x:v>
      </x:c>
      <x:c r="F36" s="102" t="str">
        <x:v>Chennai</x:v>
      </x:c>
      <x:c r="G36" s="102" t="str">
        <x:v>India, Middle East &amp; Africa</x:v>
      </x:c>
      <x:c r="H36" s="102" t="str">
        <x:v>Marine container terminal</x:v>
      </x:c>
      <x:c r="I36" s="102" t="str">
        <x:v>Containers</x:v>
      </x:c>
      <x:c r="J36" s="102" t="str">
        <x:v>COMP_DPW</x:v>
      </x:c>
      <x:c r="K36" s="102" t="str">
        <x:v>DP World</x:v>
      </x:c>
      <x:c r="L36" s="102" t="str">
        <x:v>DP World</x:v>
      </x:c>
      <x:c r="M36" s="102" t="str">
        <x:v>Operational</x:v>
      </x:c>
      <x:c r="N36" s="102"/>
      <x:c r="O36" s="102" t="n">
        <x:v>250600</x:v>
      </x:c>
      <x:c r="P36" s="102"/>
      <x:c r="Q36" s="102" t="n">
        <x:v>15</x:v>
      </x:c>
      <x:c r="R36" s="102" t="n">
        <x:v>4</x:v>
      </x:c>
      <x:c r="S36" s="102" t="str">
        <x:v>Yes</x:v>
      </x:c>
      <x:c r="T36" s="102"/>
      <x:c r="U36" s="102" t="str">
        <x:v>DP World operating/ownership structure; see source notes</x:v>
      </x:c>
      <x:c r="V36" s="102" t="str">
        <x:v>DPW-IND-CCT</x:v>
      </x:c>
      <x:c r="W36" s="102" t="str">
        <x:v>https://www.dpworld.com/en/ports-terminals/india/cct/infrastructure</x:v>
      </x:c>
      <x:c r="X36" s="102" t="str">
        <x:v>High</x:v>
      </x:c>
      <x:c r="Y36" s="102" t="str">
        <x:v>CB1–CB3 published around 13 m depth; CB4 around 15 m. 7 gantry cranes on infrastructure page; other current pages list 15 RTGs and 3 reach stackers.</x:v>
      </x:c>
      <x:c r="Z36" s="102" t="str"/>
    </x:row>
    <x:row r="37">
      <x:c r="A37" s="102" t="str">
        <x:v>TERM0036</x:v>
      </x:c>
      <x:c r="B37" s="102" t="str">
        <x:v>International Container Transshipment Terminal (ICTT)</x:v>
      </x:c>
      <x:c r="C37" s="102" t="str">
        <x:v>PORTG0033</x:v>
      </x:c>
      <x:c r="D37" s="102" t="str">
        <x:v>Cochin</x:v>
      </x:c>
      <x:c r="E37" s="102" t="str">
        <x:v>India</x:v>
      </x:c>
      <x:c r="F37" s="102" t="str">
        <x:v>Vallarpadam, Kochi</x:v>
      </x:c>
      <x:c r="G37" s="102" t="str">
        <x:v>India, Middle East &amp; Africa</x:v>
      </x:c>
      <x:c r="H37" s="102" t="str">
        <x:v>Marine container terminal</x:v>
      </x:c>
      <x:c r="I37" s="102" t="str">
        <x:v>Containers / transshipment</x:v>
      </x:c>
      <x:c r="J37" s="102" t="str">
        <x:v>COMP_DPW</x:v>
      </x:c>
      <x:c r="K37" s="102" t="str">
        <x:v>DP World</x:v>
      </x:c>
      <x:c r="L37" s="102" t="str">
        <x:v>DP World</x:v>
      </x:c>
      <x:c r="M37" s="102" t="str">
        <x:v>Operational</x:v>
      </x:c>
      <x:c r="N37" s="102" t="n">
        <x:v>1400000</x:v>
      </x:c>
      <x:c r="O37" s="102" t="n">
        <x:v>1070000</x:v>
      </x:c>
      <x:c r="P37" s="102" t="n">
        <x:v>950</x:v>
      </x:c>
      <x:c r="Q37" s="102" t="n">
        <x:v>17.6</x:v>
      </x:c>
      <x:c r="R37" s="102"/>
      <x:c r="S37" s="102" t="str">
        <x:v>Yes</x:v>
      </x:c>
      <x:c r="T37" s="102" t="n">
        <x:v>486</x:v>
      </x:c>
      <x:c r="U37" s="102" t="str">
        <x:v>DP World operating/ownership structure; see source notes</x:v>
      </x:c>
      <x:c r="V37" s="102" t="str">
        <x:v>DPW-IND-COK</x:v>
      </x:c>
      <x:c r="W37" s="102" t="str">
        <x:v>https://www.dpworld.com/en/ports-terminals/india/ictt/infrastructure</x:v>
      </x:c>
      <x:c r="X37" s="102" t="str">
        <x:v>Medium</x:v>
      </x:c>
      <x:c r="Y37" s="102" t="str">
        <x:v>Current infrastructure page lists 7 quay cranes and 21 RTGs. A later DP World portfolio update reports total capacity ~1.4m TEU after upgrades; older page may show higher ultimate/design potential.</x:v>
      </x:c>
      <x:c r="Z37" s="102" t="str"/>
    </x:row>
    <x:row r="38">
      <x:c r="A38" s="102" t="str">
        <x:v>TERM0037</x:v>
      </x:c>
      <x:c r="B38" s="102" t="str">
        <x:v>Tuna-Tekra Mega Container Terminal</x:v>
      </x:c>
      <x:c r="C38" s="102" t="str">
        <x:v>PORTG0034</x:v>
      </x:c>
      <x:c r="D38" s="102" t="str">
        <x:v>Tuna Tekra</x:v>
      </x:c>
      <x:c r="E38" s="102" t="str">
        <x:v>India</x:v>
      </x:c>
      <x:c r="F38" s="102" t="str">
        <x:v>Kandla / Deendayal Port, Gujarat</x:v>
      </x:c>
      <x:c r="G38" s="102" t="str">
        <x:v>India, Middle East &amp; Africa</x:v>
      </x:c>
      <x:c r="H38" s="102" t="str">
        <x:v>Greenfield marine container terminal</x:v>
      </x:c>
      <x:c r="I38" s="102" t="str">
        <x:v>Containers</x:v>
      </x:c>
      <x:c r="J38" s="102" t="str">
        <x:v>COMP_DPW</x:v>
      </x:c>
      <x:c r="K38" s="102" t="str">
        <x:v>DP World</x:v>
      </x:c>
      <x:c r="L38" s="102" t="str">
        <x:v>DP World</x:v>
      </x:c>
      <x:c r="M38" s="102" t="str">
        <x:v>Development</x:v>
      </x:c>
      <x:c r="N38" s="102" t="n">
        <x:v>2190000</x:v>
      </x:c>
      <x:c r="O38" s="102" t="n">
        <x:v>630000</x:v>
      </x:c>
      <x:c r="P38" s="102" t="n">
        <x:v>1100</x:v>
      </x:c>
      <x:c r="Q38" s="102"/>
      <x:c r="R38" s="102"/>
      <x:c r="S38" s="102" t="str">
        <x:v>Yes</x:v>
      </x:c>
      <x:c r="T38" s="102"/>
      <x:c r="U38" s="102" t="str">
        <x:v>DP World operating/ownership structure; see source notes</x:v>
      </x:c>
      <x:c r="V38" s="102" t="str">
        <x:v>DPW-IND-TUN</x:v>
      </x:c>
      <x:c r="W38" s="102" t="str">
        <x:v>https://www.dpworld.com/en/news/india/dp-world-signs-concession-to-develop-tuna-tekra-mega-container-terminal-in-india</x:v>
      </x:c>
      <x:c r="X38" s="102" t="str">
        <x:v>High</x:v>
      </x:c>
      <x:c r="Y38" s="102" t="str">
        <x:v>Scheduled for completion/commissioning in 2027; berth extendable to 1,375 m; designed for &gt;18,000 TEU vessels.</x:v>
      </x:c>
      <x:c r="Z38" s="102" t="str"/>
    </x:row>
    <x:row r="39">
      <x:c r="A39" s="102" t="str">
        <x:v>TERM0038</x:v>
      </x:c>
      <x:c r="B39" s="102" t="str">
        <x:v>DP World Maputo</x:v>
      </x:c>
      <x:c r="C39" s="102" t="str">
        <x:v>PORTG0035</x:v>
      </x:c>
      <x:c r="D39" s="102" t="str">
        <x:v>Maputo</x:v>
      </x:c>
      <x:c r="E39" s="102" t="str">
        <x:v>Mozambique</x:v>
      </x:c>
      <x:c r="F39" s="102" t="str">
        <x:v>Maputo</x:v>
      </x:c>
      <x:c r="G39" s="102" t="str">
        <x:v>India, Middle East &amp; Africa</x:v>
      </x:c>
      <x:c r="H39" s="102" t="str">
        <x:v>Marine container terminal</x:v>
      </x:c>
      <x:c r="I39" s="102" t="str">
        <x:v>Containers</x:v>
      </x:c>
      <x:c r="J39" s="102" t="str">
        <x:v>COMP_DPW</x:v>
      </x:c>
      <x:c r="K39" s="102" t="str">
        <x:v>DP World</x:v>
      </x:c>
      <x:c r="L39" s="102" t="str">
        <x:v>DP World</x:v>
      </x:c>
      <x:c r="M39" s="102" t="str">
        <x:v>Operational</x:v>
      </x:c>
      <x:c r="N39" s="102"/>
      <x:c r="O39" s="102" t="n">
        <x:v>150000</x:v>
      </x:c>
      <x:c r="P39" s="102" t="n">
        <x:v>330</x:v>
      </x:c>
      <x:c r="Q39" s="102" t="n">
        <x:v>12</x:v>
      </x:c>
      <x:c r="R39" s="102"/>
      <x:c r="S39" s="102" t="str">
        <x:v>Yes</x:v>
      </x:c>
      <x:c r="T39" s="102" t="n">
        <x:v>450</x:v>
      </x:c>
      <x:c r="U39" s="102" t="str">
        <x:v>DP World operating/ownership structure; see source notes</x:v>
      </x:c>
      <x:c r="V39" s="102" t="str">
        <x:v>DPW-MOZ-MAP</x:v>
      </x:c>
      <x:c r="W39" s="102" t="str">
        <x:v>https://www.dpworld.com/en/ports-terminals/mozambique/maputo</x:v>
      </x:c>
      <x:c r="X39" s="102" t="str">
        <x:v>High</x:v>
      </x:c>
      <x:c r="Y39" s="102" t="str">
        <x:v>3 mobile harbour cranes, 6 RTGs and four ~375 m rail sidings reported. Public container-yard capacity field appears corrupted and is excluded.</x:v>
      </x:c>
      <x:c r="Z39" s="102" t="str"/>
    </x:row>
    <x:row r="40">
      <x:c r="A40" s="102" t="str">
        <x:v>TERM0039</x:v>
      </x:c>
      <x:c r="B40" s="102" t="str">
        <x:v>Qasim International Container Terminal (QICT)</x:v>
      </x:c>
      <x:c r="C40" s="102" t="str">
        <x:v>PORTG0036</x:v>
      </x:c>
      <x:c r="D40" s="102" t="str">
        <x:v>Port Qasim</x:v>
      </x:c>
      <x:c r="E40" s="102" t="str">
        <x:v>Pakistan</x:v>
      </x:c>
      <x:c r="F40" s="102" t="str">
        <x:v>Port Qasim, Karachi</x:v>
      </x:c>
      <x:c r="G40" s="102" t="str">
        <x:v>India, Middle East &amp; Africa</x:v>
      </x:c>
      <x:c r="H40" s="102" t="str">
        <x:v>Marine container terminal</x:v>
      </x:c>
      <x:c r="I40" s="102" t="str">
        <x:v>Containers</x:v>
      </x:c>
      <x:c r="J40" s="102" t="str">
        <x:v>COMP_DPW</x:v>
      </x:c>
      <x:c r="K40" s="102" t="str">
        <x:v>DP World</x:v>
      </x:c>
      <x:c r="L40" s="102" t="str">
        <x:v>DP World</x:v>
      </x:c>
      <x:c r="M40" s="102" t="str">
        <x:v>Operational</x:v>
      </x:c>
      <x:c r="N40" s="102" t="n">
        <x:v>1400000</x:v>
      </x:c>
      <x:c r="O40" s="102" t="n">
        <x:v>490000</x:v>
      </x:c>
      <x:c r="P40" s="102" t="n">
        <x:v>1327</x:v>
      </x:c>
      <x:c r="Q40" s="102" t="n">
        <x:v>13</x:v>
      </x:c>
      <x:c r="R40" s="102"/>
      <x:c r="S40" s="102" t="str">
        <x:v>Yes</x:v>
      </x:c>
      <x:c r="T40" s="102" t="n">
        <x:v>636</x:v>
      </x:c>
      <x:c r="U40" s="102" t="str">
        <x:v>DP World operating/ownership structure; see source notes</x:v>
      </x:c>
      <x:c r="V40" s="102" t="str">
        <x:v>DPW-PAK-QAS</x:v>
      </x:c>
      <x:c r="W40" s="102" t="str">
        <x:v>https://www.dpworld.com/en/ports-terminals/pakistan/qasim</x:v>
      </x:c>
      <x:c r="X40" s="102" t="str">
        <x:v>High</x:v>
      </x:c>
      <x:c r="Y40" s="102" t="str">
        <x:v>Two terminal components; published equipment includes 45 RTGs, 7 reach stackers, 3 empty handlers and 82 ITVs. Reefer capacity can be temporarily expanded toward ~1,000.</x:v>
      </x:c>
      <x:c r="Z40" s="102" t="str"/>
    </x:row>
    <x:row r="41">
      <x:c r="A41" s="102" t="str">
        <x:v>TERM0040</x:v>
      </x:c>
      <x:c r="B41" s="102" t="str">
        <x:v>South Container Terminal – Jeddah</x:v>
      </x:c>
      <x:c r="C41" s="102" t="str">
        <x:v>PORTG0037</x:v>
      </x:c>
      <x:c r="D41" s="102" t="str">
        <x:v>Jeddah Islamic Port</x:v>
      </x:c>
      <x:c r="E41" s="102" t="str">
        <x:v>Saudi Arabia</x:v>
      </x:c>
      <x:c r="F41" s="102" t="str">
        <x:v>Jeddah</x:v>
      </x:c>
      <x:c r="G41" s="102" t="str">
        <x:v>Red Sea</x:v>
      </x:c>
      <x:c r="H41" s="102" t="str">
        <x:v>Container terminal</x:v>
      </x:c>
      <x:c r="I41" s="102" t="str">
        <x:v>Containers / terminal cargo</x:v>
      </x:c>
      <x:c r="J41" s="102" t="str">
        <x:v>COMP_APMT</x:v>
      </x:c>
      <x:c r="K41" s="102" t="str">
        <x:v>DP World</x:v>
      </x:c>
      <x:c r="L41" s="102" t="str">
        <x:v>APM Terminals; DP World</x:v>
      </x:c>
      <x:c r="M41" s="102" t="str">
        <x:v>Agreement announced / transaction completion to verify</x:v>
      </x:c>
      <x:c r="N41" s="102" t="n">
        <x:v>4000000</x:v>
      </x:c>
      <x:c r="O41" s="102" t="n">
        <x:v>947555</x:v>
      </x:c>
      <x:c r="P41" s="102" t="n">
        <x:v>2550</x:v>
      </x:c>
      <x:c r="Q41" s="102" t="n">
        <x:v>18</x:v>
      </x:c>
      <x:c r="R41" s="102" t="n">
        <x:v>5</x:v>
      </x:c>
      <x:c r="S41" s="102" t="str">
        <x:v>Yes</x:v>
      </x:c>
      <x:c r="T41" s="102" t="n">
        <x:v>1260</x:v>
      </x:c>
      <x:c r="U41" s="102" t="str">
        <x:v>DP World operating/ownership structure; see source notes | APM Terminals to acquire 37.5%; DP World retains 62.5% and operations</x:v>
      </x:c>
      <x:c r="V41" s="102" t="str">
        <x:v>DPW-SAU-JED; APM-SA-JEDDAH-SCT</x:v>
      </x:c>
      <x:c r="W41" s="102" t="str">
        <x:v>https://www.dpworld.com/en/ports-terminals/saudi-arabia/jeddah; https://www2.apmterminals.com/en/news/news-releases/2026/260218-APM-Terminals-DPWorld-strategic-partnership-Jeddah-Islamic-Port</x:v>
      </x:c>
      <x:c r="X41" s="102" t="str">
        <x:v>High</x:v>
      </x:c>
      <x:c r="Y41" s="102" t="str">
        <x:v>Modernized terminal capacity &gt;doubled to 4m TEU. Infrastructure page reports 61 RTGs and 191 ITVs; crane narrative/counts conflict (14 vs 17), so equipment table flags it. | Physical terminal already belongs in DP World canonical layer; APM relationship should be represented as ownership/investment, not duplicate terminal.</x:v>
      </x:c>
      <x:c r="Z41" s="102" t="str">
        <x:v>Duplicate source records collapsed</x:v>
      </x:c>
    </x:row>
    <x:row r="42">
      <x:c r="A42" s="102" t="str">
        <x:v>TERM0041</x:v>
      </x:c>
      <x:c r="B42" s="102" t="str">
        <x:v>DP World Dakar</x:v>
      </x:c>
      <x:c r="C42" s="102" t="str">
        <x:v>PORTG0038</x:v>
      </x:c>
      <x:c r="D42" s="102" t="str">
        <x:v>Dakar</x:v>
      </x:c>
      <x:c r="E42" s="102" t="str">
        <x:v>Senegal</x:v>
      </x:c>
      <x:c r="F42" s="102" t="str">
        <x:v>Dakar</x:v>
      </x:c>
      <x:c r="G42" s="102" t="str">
        <x:v>India, Middle East &amp; Africa</x:v>
      </x:c>
      <x:c r="H42" s="102" t="str">
        <x:v>Marine container terminal</x:v>
      </x:c>
      <x:c r="I42" s="102" t="str">
        <x:v>Containers</x:v>
      </x:c>
      <x:c r="J42" s="102" t="str">
        <x:v>COMP_DPW</x:v>
      </x:c>
      <x:c r="K42" s="102" t="str">
        <x:v>DP World</x:v>
      </x:c>
      <x:c r="L42" s="102" t="str">
        <x:v>DP World</x:v>
      </x:c>
      <x:c r="M42" s="102" t="str">
        <x:v>Operational</x:v>
      </x:c>
      <x:c r="N42" s="102" t="n">
        <x:v>900000</x:v>
      </x:c>
      <x:c r="O42" s="102" t="n">
        <x:v>150000</x:v>
      </x:c>
      <x:c r="P42" s="102" t="n">
        <x:v>720</x:v>
      </x:c>
      <x:c r="Q42" s="102" t="n">
        <x:v>13</x:v>
      </x:c>
      <x:c r="R42" s="102" t="n">
        <x:v>3</x:v>
      </x:c>
      <x:c r="S42" s="102"/>
      <x:c r="T42" s="102" t="n">
        <x:v>560</x:v>
      </x:c>
      <x:c r="U42" s="102" t="str">
        <x:v>DP World operating/ownership structure; see source notes</x:v>
      </x:c>
      <x:c r="V42" s="102" t="str">
        <x:v>DPW-SEN-DKR</x:v>
      </x:c>
      <x:c r="W42" s="102" t="str">
        <x:v>https://dpw-prod-cd-1.dpworld.com/senegal/ports-and-terminals</x:v>
      </x:c>
      <x:c r="X42" s="102" t="str">
        <x:v>Medium</x:v>
      </x:c>
      <x:c r="Y42" s="102" t="str">
        <x:v>6 post-Panamax STS cranes and 20 RTGs; source pages vary between 700 m and 720 m quay, so 720 m is retained from the detailed port comparison page.</x:v>
      </x:c>
      <x:c r="Z42" s="102" t="str"/>
    </x:row>
    <x:row r="43">
      <x:c r="A43" s="102" t="str">
        <x:v>TERM0042</x:v>
      </x:c>
      <x:c r="B43" s="102" t="str">
        <x:v>Port of Ndayane</x:v>
      </x:c>
      <x:c r="C43" s="102" t="str">
        <x:v>PORTG0039</x:v>
      </x:c>
      <x:c r="D43" s="102" t="str">
        <x:v>Ndayane</x:v>
      </x:c>
      <x:c r="E43" s="102" t="str">
        <x:v>Senegal</x:v>
      </x:c>
      <x:c r="F43" s="102" t="str">
        <x:v>Ndayane</x:v>
      </x:c>
      <x:c r="G43" s="102" t="str">
        <x:v>India, Middle East &amp; Africa</x:v>
      </x:c>
      <x:c r="H43" s="102" t="str">
        <x:v>Greenfield deep-water port / container terminal</x:v>
      </x:c>
      <x:c r="I43" s="102" t="str">
        <x:v>Containers</x:v>
      </x:c>
      <x:c r="J43" s="102" t="str">
        <x:v>COMP_DPW</x:v>
      </x:c>
      <x:c r="K43" s="102" t="str">
        <x:v>DP World</x:v>
      </x:c>
      <x:c r="L43" s="102" t="str">
        <x:v>DP World</x:v>
      </x:c>
      <x:c r="M43" s="102" t="str">
        <x:v>Development</x:v>
      </x:c>
      <x:c r="N43" s="102" t="n">
        <x:v>1200000</x:v>
      </x:c>
      <x:c r="O43" s="102"/>
      <x:c r="P43" s="102" t="n">
        <x:v>840</x:v>
      </x:c>
      <x:c r="Q43" s="102" t="n">
        <x:v>18</x:v>
      </x:c>
      <x:c r="R43" s="102" t="n">
        <x:v>2</x:v>
      </x:c>
      <x:c r="S43" s="102"/>
      <x:c r="T43" s="102" t="n">
        <x:v>1404</x:v>
      </x:c>
      <x:c r="U43" s="102" t="str">
        <x:v>DP World operating/ownership structure; see source notes</x:v>
      </x:c>
      <x:c r="V43" s="102" t="str">
        <x:v>DPW-SEN-NDY</x:v>
      </x:c>
      <x:c r="W43" s="102" t="str">
        <x:v>https://www.dpworld.com/en/ports-terminals/senegal</x:v>
      </x:c>
      <x:c r="X43" s="102" t="str">
        <x:v>High</x:v>
      </x:c>
      <x:c r="Y43" s="102" t="str">
        <x:v>Phase 1: 840 m quay, 5 km access channel, 16–18 m draft, 1.2m TEU capacity, 6 STS and 20 RTGs planned; phase 2 adds 410 m quay.</x:v>
      </x:c>
      <x:c r="Z43" s="102" t="str"/>
    </x:row>
    <x:row r="44">
      <x:c r="A44" s="102" t="str">
        <x:v>TERM0043</x:v>
      </x:c>
      <x:c r="B44" s="102" t="str">
        <x:v>DP World Berbera</x:v>
      </x:c>
      <x:c r="C44" s="102" t="str">
        <x:v>PORTG0040</x:v>
      </x:c>
      <x:c r="D44" s="102" t="str">
        <x:v>Berbera</x:v>
      </x:c>
      <x:c r="E44" s="102" t="str">
        <x:v>Somaliland</x:v>
      </x:c>
      <x:c r="F44" s="102" t="str">
        <x:v>Berbera</x:v>
      </x:c>
      <x:c r="G44" s="102" t="str">
        <x:v>India, Middle East &amp; Africa</x:v>
      </x:c>
      <x:c r="H44" s="102" t="str">
        <x:v>Marine container / multipurpose terminal</x:v>
      </x:c>
      <x:c r="I44" s="102" t="str">
        <x:v>Containers / general cargo</x:v>
      </x:c>
      <x:c r="J44" s="102" t="str">
        <x:v>COMP_DPW</x:v>
      </x:c>
      <x:c r="K44" s="102" t="str">
        <x:v>DP World</x:v>
      </x:c>
      <x:c r="L44" s="102" t="str">
        <x:v>DP World</x:v>
      </x:c>
      <x:c r="M44" s="102" t="str">
        <x:v>Operational / expanding</x:v>
      </x:c>
      <x:c r="N44" s="102"/>
      <x:c r="O44" s="102"/>
      <x:c r="P44" s="102" t="n">
        <x:v>400</x:v>
      </x:c>
      <x:c r="Q44" s="102" t="n">
        <x:v>17</x:v>
      </x:c>
      <x:c r="R44" s="102"/>
      <x:c r="S44" s="102"/>
      <x:c r="T44" s="102" t="n">
        <x:v>336</x:v>
      </x:c>
      <x:c r="U44" s="102" t="str">
        <x:v>DP World operating/ownership structure; see source notes</x:v>
      </x:c>
      <x:c r="V44" s="102" t="str">
        <x:v>DPW-SML-BER</x:v>
      </x:c>
      <x:c r="W44" s="102" t="str">
        <x:v>https://www.dpworld.com/en/ports-terminals/somaliland/berbera</x:v>
      </x:c>
      <x:c r="X44" s="102" t="str">
        <x:v>High</x:v>
      </x:c>
      <x:c r="Y44" s="102" t="str">
        <x:v>Phase expansion published with ~400 m additional quay; 3 STS, 8 RTGs, 8 forklifts and 6 empty handlers reported.</x:v>
      </x:c>
      <x:c r="Z44" s="102" t="str"/>
    </x:row>
    <x:row r="45">
      <x:c r="A45" s="102" t="str">
        <x:v>TERM0044</x:v>
      </x:c>
      <x:c r="B45" s="102" t="str">
        <x:v>DP World Dar es Salaam - Terminal 1</x:v>
      </x:c>
      <x:c r="C45" s="102" t="str">
        <x:v>PORTG0041</x:v>
      </x:c>
      <x:c r="D45" s="102" t="str">
        <x:v>Dar es Salaam</x:v>
      </x:c>
      <x:c r="E45" s="102" t="str">
        <x:v>Tanzania</x:v>
      </x:c>
      <x:c r="F45" s="102" t="str">
        <x:v>Dar es Salaam</x:v>
      </x:c>
      <x:c r="G45" s="102" t="str">
        <x:v>India, Middle East &amp; Africa</x:v>
      </x:c>
      <x:c r="H45" s="102" t="str">
        <x:v>Marine multipurpose terminal</x:v>
      </x:c>
      <x:c r="I45" s="102" t="str">
        <x:v>Containers / RoRo / general cargo / bulk</x:v>
      </x:c>
      <x:c r="J45" s="102" t="str">
        <x:v>COMP_DPW</x:v>
      </x:c>
      <x:c r="K45" s="102" t="str">
        <x:v>DP World</x:v>
      </x:c>
      <x:c r="L45" s="102" t="str">
        <x:v>DP World</x:v>
      </x:c>
      <x:c r="M45" s="102" t="str">
        <x:v>Operational</x:v>
      </x:c>
      <x:c r="N45" s="102"/>
      <x:c r="O45" s="102"/>
      <x:c r="P45" s="102"/>
      <x:c r="Q45" s="102" t="n">
        <x:v>14.5</x:v>
      </x:c>
      <x:c r="R45" s="102" t="n">
        <x:v>8</x:v>
      </x:c>
      <x:c r="S45" s="102" t="str">
        <x:v>Yes</x:v>
      </x:c>
      <x:c r="T45" s="102" t="n">
        <x:v>135</x:v>
      </x:c>
      <x:c r="U45" s="102" t="str">
        <x:v>DP World operating/ownership structure; see source notes</x:v>
      </x:c>
      <x:c r="V45" s="102" t="str">
        <x:v>DPW-TZA-DAR</x:v>
      </x:c>
      <x:c r="W45" s="102" t="str">
        <x:v>https://www.dpworld.com/en/ports-terminals/dar-es-salaam/infrastructure</x:v>
      </x:c>
      <x:c r="X45" s="102" t="str">
        <x:v>High</x:v>
      </x:c>
      <x:c r="Y45" s="102" t="str">
        <x:v>DP World operates berths 0–7. Berth 0 ~12.9 m draft; berths 1–7 up to ~14.5 m. Container yard &gt;8,000 TEU; general-cargo and grain facilities also present.</x:v>
      </x:c>
      <x:c r="Z45" s="102" t="str"/>
    </x:row>
    <x:row r="46">
      <x:c r="A46" s="102" t="str">
        <x:v>TERM0045</x:v>
      </x:c>
      <x:c r="B46" s="102" t="str">
        <x:v>Jebel Ali Port</x:v>
      </x:c>
      <x:c r="C46" s="102" t="str">
        <x:v>PORTG0042</x:v>
      </x:c>
      <x:c r="D46" s="102" t="str">
        <x:v>Jebel Ali</x:v>
      </x:c>
      <x:c r="E46" s="102" t="str">
        <x:v>United Arab Emirates</x:v>
      </x:c>
      <x:c r="F46" s="102" t="str">
        <x:v>Dubai</x:v>
      </x:c>
      <x:c r="G46" s="102" t="str">
        <x:v>India, Middle East &amp; Africa</x:v>
      </x:c>
      <x:c r="H46" s="102" t="str">
        <x:v>Deep-water marine port / multi-terminal complex</x:v>
      </x:c>
      <x:c r="I46" s="102" t="str">
        <x:v>Containers / RoRo / breakbulk / bulk / project cargo</x:v>
      </x:c>
      <x:c r="J46" s="102" t="str">
        <x:v>COMP_DPW</x:v>
      </x:c>
      <x:c r="K46" s="102" t="str">
        <x:v>DP World</x:v>
      </x:c>
      <x:c r="L46" s="102" t="str">
        <x:v>DP World</x:v>
      </x:c>
      <x:c r="M46" s="102" t="str">
        <x:v>Operational / expanding</x:v>
      </x:c>
      <x:c r="N46" s="102"/>
      <x:c r="O46" s="102" t="n">
        <x:v>1400000</x:v>
      </x:c>
      <x:c r="P46" s="102" t="n">
        <x:v>5000</x:v>
      </x:c>
      <x:c r="Q46" s="102"/>
      <x:c r="R46" s="102" t="n">
        <x:v>27</x:v>
      </x:c>
      <x:c r="S46" s="102" t="str">
        <x:v>Yes</x:v>
      </x:c>
      <x:c r="T46" s="102"/>
      <x:c r="U46" s="102" t="str">
        <x:v>DP World operating/ownership structure; see source notes</x:v>
      </x:c>
      <x:c r="V46" s="102" t="str">
        <x:v>DPW-UAE-JEA</x:v>
      </x:c>
      <x:c r="W46" s="102" t="str">
        <x:v>https://www.dpworld.com/en/ports-terminals/uae/jebel-ali-port</x:v>
      </x:c>
      <x:c r="X46" s="102" t="str">
        <x:v>High</x:v>
      </x:c>
      <x:c r="Y46" s="102" t="str">
        <x:v>DP World public page reports ~5,000 m quay, ~1.4m sqm terminal area and 27 berths for the referenced infrastructure set; port is a multi-terminal complex so figures are not exhaustive for every basin.</x:v>
      </x:c>
      <x:c r="Z46" s="102" t="str"/>
    </x:row>
    <x:row r="47">
      <x:c r="A47" s="102" t="str">
        <x:v>TERM0046</x:v>
      </x:c>
      <x:c r="B47" s="102" t="str">
        <x:v>Mina Al Hamriya</x:v>
      </x:c>
      <x:c r="C47" s="102" t="str">
        <x:v>PORTG0043</x:v>
      </x:c>
      <x:c r="D47" s="102" t="str">
        <x:v>Mina Al Hamriya</x:v>
      </x:c>
      <x:c r="E47" s="102" t="str">
        <x:v>United Arab Emirates</x:v>
      </x:c>
      <x:c r="F47" s="102" t="str">
        <x:v>Dubai</x:v>
      </x:c>
      <x:c r="G47" s="102" t="str">
        <x:v>India, Middle East &amp; Africa</x:v>
      </x:c>
      <x:c r="H47" s="102" t="str">
        <x:v>Marine multipurpose / coastal port</x:v>
      </x:c>
      <x:c r="I47" s="102" t="str">
        <x:v>General cargo / RoRo / coastal trade</x:v>
      </x:c>
      <x:c r="J47" s="102" t="str">
        <x:v>COMP_DPW</x:v>
      </x:c>
      <x:c r="K47" s="102" t="str">
        <x:v>DP World</x:v>
      </x:c>
      <x:c r="L47" s="102" t="str">
        <x:v>DP World</x:v>
      </x:c>
      <x:c r="M47" s="102" t="str">
        <x:v>Operational</x:v>
      </x:c>
      <x:c r="N47" s="102"/>
      <x:c r="O47" s="102" t="n">
        <x:v>318000</x:v>
      </x:c>
      <x:c r="P47" s="102" t="n">
        <x:v>1800</x:v>
      </x:c>
      <x:c r="Q47" s="102" t="n">
        <x:v>7</x:v>
      </x:c>
      <x:c r="R47" s="102" t="n">
        <x:v>9</x:v>
      </x:c>
      <x:c r="S47" s="102"/>
      <x:c r="T47" s="102"/>
      <x:c r="U47" s="102" t="str">
        <x:v>DP World operating/ownership structure; see source notes</x:v>
      </x:c>
      <x:c r="V47" s="102" t="str">
        <x:v>DPW-UAE-HAM</x:v>
      </x:c>
      <x:c r="W47" s="102" t="str">
        <x:v>https://www.dpworld.com/en/ports-terminals/uae/mina-al-hamriya</x:v>
      </x:c>
      <x:c r="X47" s="102" t="str">
        <x:v>High</x:v>
      </x:c>
      <x:c r="Y47" s="102" t="str"/>
      <x:c r="Z47" s="102" t="str"/>
    </x:row>
    <x:row r="48">
      <x:c r="A48" s="102" t="str">
        <x:v>TERM0047</x:v>
      </x:c>
      <x:c r="B48" s="102" t="str">
        <x:v>Dubai Creek &amp; Deira Wharfage</x:v>
      </x:c>
      <x:c r="C48" s="102" t="str">
        <x:v>PORTG0044</x:v>
      </x:c>
      <x:c r="D48" s="102" t="str">
        <x:v>Dubai Creek / Deira</x:v>
      </x:c>
      <x:c r="E48" s="102" t="str">
        <x:v>United Arab Emirates</x:v>
      </x:c>
      <x:c r="F48" s="102" t="str">
        <x:v>Dubai</x:v>
      </x:c>
      <x:c r="G48" s="102" t="str">
        <x:v>India, Middle East &amp; Africa</x:v>
      </x:c>
      <x:c r="H48" s="102" t="str">
        <x:v>Marine coastal / dhow / general cargo port</x:v>
      </x:c>
      <x:c r="I48" s="102" t="str">
        <x:v>General cargo / dhow / coastal trade</x:v>
      </x:c>
      <x:c r="J48" s="102" t="str">
        <x:v>COMP_DPW</x:v>
      </x:c>
      <x:c r="K48" s="102" t="str">
        <x:v>DP World</x:v>
      </x:c>
      <x:c r="L48" s="102" t="str">
        <x:v>DP World</x:v>
      </x:c>
      <x:c r="M48" s="102" t="str">
        <x:v>Operational</x:v>
      </x:c>
      <x:c r="N48" s="102"/>
      <x:c r="O48" s="102" t="n">
        <x:v>1600000</x:v>
      </x:c>
      <x:c r="P48" s="102" t="n">
        <x:v>5000</x:v>
      </x:c>
      <x:c r="Q48" s="102" t="n">
        <x:v>8</x:v>
      </x:c>
      <x:c r="R48" s="102" t="n">
        <x:v>43</x:v>
      </x:c>
      <x:c r="S48" s="102"/>
      <x:c r="T48" s="102"/>
      <x:c r="U48" s="102" t="str">
        <x:v>DP World operating/ownership structure; see source notes</x:v>
      </x:c>
      <x:c r="V48" s="102" t="str">
        <x:v>DPW-UAE-DEI</x:v>
      </x:c>
      <x:c r="W48" s="102" t="str">
        <x:v>https://www.dpworld.com/en/ports-terminals/uae/dubai-creek-and-deira-wharfage</x:v>
      </x:c>
      <x:c r="X48" s="102" t="str">
        <x:v>High</x:v>
      </x:c>
      <x:c r="Y48" s="102" t="str"/>
      <x:c r="Z48" s="102" t="str"/>
    </x:row>
    <x:row r="49">
      <x:c r="A49" s="102" t="str">
        <x:v>TERM0048</x:v>
      </x:c>
      <x:c r="B49" s="102" t="str">
        <x:v>Mina Rashid</x:v>
      </x:c>
      <x:c r="C49" s="102" t="str">
        <x:v>PORTG0045</x:v>
      </x:c>
      <x:c r="D49" s="102" t="str">
        <x:v>Mina Rashid</x:v>
      </x:c>
      <x:c r="E49" s="102" t="str">
        <x:v>United Arab Emirates</x:v>
      </x:c>
      <x:c r="F49" s="102" t="str">
        <x:v>Dubai</x:v>
      </x:c>
      <x:c r="G49" s="102" t="str">
        <x:v>India, Middle East &amp; Africa</x:v>
      </x:c>
      <x:c r="H49" s="102" t="str">
        <x:v>Cruise / marina / coastal port</x:v>
      </x:c>
      <x:c r="I49" s="102" t="str">
        <x:v>Cruise / marina / passenger</x:v>
      </x:c>
      <x:c r="J49" s="102" t="str">
        <x:v>COMP_DPW</x:v>
      </x:c>
      <x:c r="K49" s="102" t="str">
        <x:v>DP World</x:v>
      </x:c>
      <x:c r="L49" s="102" t="str">
        <x:v>DP World</x:v>
      </x:c>
      <x:c r="M49" s="102" t="str">
        <x:v>Operational</x:v>
      </x:c>
      <x:c r="N49" s="102"/>
      <x:c r="O49" s="102"/>
      <x:c r="P49" s="102"/>
      <x:c r="Q49" s="102"/>
      <x:c r="R49" s="102"/>
      <x:c r="S49" s="102"/>
      <x:c r="T49" s="102"/>
      <x:c r="U49" s="102" t="str">
        <x:v>DP World operating/ownership structure; see source notes</x:v>
      </x:c>
      <x:c r="V49" s="102" t="str">
        <x:v>DPW-UAE-MRS</x:v>
      </x:c>
      <x:c r="W49" s="102" t="str">
        <x:v>https://education.dpworld.com/educator/vr-port-tours/</x:v>
      </x:c>
      <x:c r="X49" s="102" t="str">
        <x:v>Medium</x:v>
      </x:c>
      <x:c r="Y49" s="102" t="str">
        <x:v>DP World-associated cruise and marina gateway; marine berth/depth table left blank until an up-to-date terminal infrastructure page is verified.</x:v>
      </x:c>
      <x:c r="Z49" s="102" t="str"/>
    </x:row>
    <x:row r="50">
      <x:c r="A50" s="102" t="str">
        <x:v>TERM0049</x:v>
      </x:c>
      <x:c r="B50" s="102" t="str">
        <x:v>Al Rugaylat Container &amp; Multi-Purpose Terminal</x:v>
      </x:c>
      <x:c r="C50" s="102" t="str">
        <x:v>PORTG0046</x:v>
      </x:c>
      <x:c r="D50" s="102" t="str">
        <x:v>Fujairah</x:v>
      </x:c>
      <x:c r="E50" s="102" t="str">
        <x:v>United Arab Emirates</x:v>
      </x:c>
      <x:c r="F50" s="102" t="str">
        <x:v>Fujairah</x:v>
      </x:c>
      <x:c r="G50" s="102" t="str">
        <x:v>India, Middle East &amp; Africa</x:v>
      </x:c>
      <x:c r="H50" s="102" t="str">
        <x:v>Greenfield / redevelopment marine terminal</x:v>
      </x:c>
      <x:c r="I50" s="102" t="str">
        <x:v>Containers / general cargo / vehicles</x:v>
      </x:c>
      <x:c r="J50" s="102" t="str">
        <x:v>COMP_DPW</x:v>
      </x:c>
      <x:c r="K50" s="102" t="str">
        <x:v>DP World</x:v>
      </x:c>
      <x:c r="L50" s="102" t="str">
        <x:v>DP World</x:v>
      </x:c>
      <x:c r="M50" s="102" t="str">
        <x:v>Agreement in principle / development</x:v>
      </x:c>
      <x:c r="N50" s="102" t="n">
        <x:v>2500000</x:v>
      </x:c>
      <x:c r="O50" s="102"/>
      <x:c r="P50" s="102"/>
      <x:c r="Q50" s="102"/>
      <x:c r="R50" s="102"/>
      <x:c r="S50" s="102"/>
      <x:c r="T50" s="102"/>
      <x:c r="U50" s="102" t="str">
        <x:v>DP World operating/ownership structure; see source notes</x:v>
      </x:c>
      <x:c r="V50" s="102" t="str">
        <x:v>DPW-UAE-RUG</x:v>
      </x:c>
      <x:c r="W50" s="102" t="str">
        <x:v>https://www.dpworld.com/en/news/dp-world-to-expand-uae-gateway-network-with-new-fujairah-terminals</x:v>
      </x:c>
      <x:c r="X50" s="102" t="str">
        <x:v>High</x:v>
      </x:c>
      <x:c r="Y50" s="102" t="str">
        <x:v>50-year concession agreement in principle announced July 2026; designed as deep-water ULCV-capable gateway.</x:v>
      </x:c>
      <x:c r="Z50" s="102" t="str"/>
    </x:row>
    <x:row r="51">
      <x:c r="A51" s="102" t="str">
        <x:v>TERM0050</x:v>
      </x:c>
      <x:c r="B51" s="102" t="str">
        <x:v>Dibba General Cargo Terminal</x:v>
      </x:c>
      <x:c r="C51" s="102" t="str">
        <x:v>PORTG0046</x:v>
      </x:c>
      <x:c r="D51" s="102" t="str">
        <x:v>Fujairah</x:v>
      </x:c>
      <x:c r="E51" s="102" t="str">
        <x:v>United Arab Emirates</x:v>
      </x:c>
      <x:c r="F51" s="102" t="str">
        <x:v>Dibba, Fujairah</x:v>
      </x:c>
      <x:c r="G51" s="102" t="str">
        <x:v>India, Middle East &amp; Africa</x:v>
      </x:c>
      <x:c r="H51" s="102" t="str">
        <x:v>Marine general cargo terminal</x:v>
      </x:c>
      <x:c r="I51" s="102" t="str">
        <x:v>General cargo</x:v>
      </x:c>
      <x:c r="J51" s="102" t="str">
        <x:v>COMP_DPW</x:v>
      </x:c>
      <x:c r="K51" s="102" t="str">
        <x:v>DP World</x:v>
      </x:c>
      <x:c r="L51" s="102" t="str">
        <x:v>DP World</x:v>
      </x:c>
      <x:c r="M51" s="102" t="str">
        <x:v>Agreement in principle / development</x:v>
      </x:c>
      <x:c r="N51" s="102"/>
      <x:c r="O51" s="102"/>
      <x:c r="P51" s="102"/>
      <x:c r="Q51" s="102"/>
      <x:c r="R51" s="102"/>
      <x:c r="S51" s="102"/>
      <x:c r="T51" s="102"/>
      <x:c r="U51" s="102" t="str">
        <x:v>DP World operating/ownership structure; see source notes</x:v>
      </x:c>
      <x:c r="V51" s="102" t="str">
        <x:v>DPW-UAE-DIB</x:v>
      </x:c>
      <x:c r="W51" s="102" t="str">
        <x:v>https://www.dpworld.com/en/news/dp-world-to-expand-uae-gateway-network-with-new-fujairah-terminals</x:v>
      </x:c>
      <x:c r="X51" s="102" t="str">
        <x:v>High</x:v>
      </x:c>
      <x:c r="Y51" s="102" t="str"/>
      <x:c r="Z51" s="102" t="str"/>
    </x:row>
    <x:row r="52">
      <x:c r="A52" s="102" t="str">
        <x:v>TERM0051</x:v>
      </x:c>
      <x:c r="B52" s="102" t="str">
        <x:v>Banana Deep-Sea Port</x:v>
      </x:c>
      <x:c r="C52" s="102" t="str">
        <x:v>PORTG0047</x:v>
      </x:c>
      <x:c r="D52" s="102" t="str">
        <x:v>Banana</x:v>
      </x:c>
      <x:c r="E52" s="102" t="str">
        <x:v>Democratic Republic of the Congo</x:v>
      </x:c>
      <x:c r="F52" s="102" t="str">
        <x:v>Banana, Kongo Central</x:v>
      </x:c>
      <x:c r="G52" s="102" t="str">
        <x:v>India, Middle East &amp; Africa</x:v>
      </x:c>
      <x:c r="H52" s="102" t="str">
        <x:v>Greenfield deep-water port</x:v>
      </x:c>
      <x:c r="I52" s="102" t="str">
        <x:v>Containers</x:v>
      </x:c>
      <x:c r="J52" s="102" t="str">
        <x:v>COMP_DPW</x:v>
      </x:c>
      <x:c r="K52" s="102" t="str">
        <x:v>DP World</x:v>
      </x:c>
      <x:c r="L52" s="102" t="str">
        <x:v>DP World</x:v>
      </x:c>
      <x:c r="M52" s="102" t="str">
        <x:v>Development</x:v>
      </x:c>
      <x:c r="N52" s="102" t="n">
        <x:v>450000</x:v>
      </x:c>
      <x:c r="O52" s="102" t="n">
        <x:v>300000</x:v>
      </x:c>
      <x:c r="P52" s="102" t="n">
        <x:v>600</x:v>
      </x:c>
      <x:c r="Q52" s="102" t="n">
        <x:v>18</x:v>
      </x:c>
      <x:c r="R52" s="102"/>
      <x:c r="S52" s="102"/>
      <x:c r="T52" s="102"/>
      <x:c r="U52" s="102" t="str">
        <x:v>DP World operating/ownership structure; see source notes</x:v>
      </x:c>
      <x:c r="V52" s="102" t="str">
        <x:v>DPW-COD-BAN</x:v>
      </x:c>
      <x:c r="W52" s="102" t="str">
        <x:v>https://www.dpworld.com/en/news/dp-world-and-democratic-republic-of-the-congo-sign-final-agreement-to-develop-banana-port</x:v>
      </x:c>
      <x:c r="X52" s="102" t="str">
        <x:v>Medium</x:v>
      </x:c>
      <x:c r="Y52" s="102" t="str">
        <x:v>Initial phase: ~600 m quay, 18 m draft and ~450k TEU/year capacity. Project remains a major DP World development priority; current construction status should be continuously monitored.</x:v>
      </x:c>
      <x:c r="Z52" s="102" t="str"/>
    </x:row>
    <x:row r="53">
      <x:c r="A53" s="102" t="str">
        <x:v>TERM0052</x:v>
      </x:c>
      <x:c r="B53" s="102" t="str">
        <x:v>Terminales Río de la Plata (TRP)</x:v>
      </x:c>
      <x:c r="C53" s="102" t="str">
        <x:v>PORTG0048</x:v>
      </x:c>
      <x:c r="D53" s="102" t="str">
        <x:v>Buenos Aires</x:v>
      </x:c>
      <x:c r="E53" s="102" t="str">
        <x:v>Argentina</x:v>
      </x:c>
      <x:c r="F53" s="102" t="str">
        <x:v>Buenos Aires</x:v>
      </x:c>
      <x:c r="G53" s="102" t="str">
        <x:v>Latin America</x:v>
      </x:c>
      <x:c r="H53" s="102" t="str">
        <x:v>Marine container / multipurpose terminal</x:v>
      </x:c>
      <x:c r="I53" s="102" t="str">
        <x:v>Containers / multipurpose</x:v>
      </x:c>
      <x:c r="J53" s="102" t="str">
        <x:v>COMP_DPW</x:v>
      </x:c>
      <x:c r="K53" s="102" t="str">
        <x:v>DP World</x:v>
      </x:c>
      <x:c r="L53" s="102" t="str">
        <x:v>DP World</x:v>
      </x:c>
      <x:c r="M53" s="102" t="str">
        <x:v>Operational</x:v>
      </x:c>
      <x:c r="N53" s="102"/>
      <x:c r="O53" s="102" t="n">
        <x:v>430000</x:v>
      </x:c>
      <x:c r="P53" s="102"/>
      <x:c r="Q53" s="102"/>
      <x:c r="R53" s="102"/>
      <x:c r="S53" s="102"/>
      <x:c r="T53" s="102"/>
      <x:c r="U53" s="102" t="str">
        <x:v>DP World operating/ownership structure; see source notes</x:v>
      </x:c>
      <x:c r="V53" s="102" t="str">
        <x:v>DPW-ARG-TRP</x:v>
      </x:c>
      <x:c r="W53" s="102" t="str">
        <x:v>https://www.dpworld.com/en/ports-terminals/argentina/trp</x:v>
      </x:c>
      <x:c r="X53" s="102" t="str">
        <x:v>High</x:v>
      </x:c>
      <x:c r="Y53" s="102" t="str">
        <x:v>Approx. 430,000 sqm operating area; detailed current berth/equipment metrics left for second-source verification.</x:v>
      </x:c>
      <x:c r="Z53" s="102" t="str"/>
    </x:row>
    <x:row r="54">
      <x:c r="A54" s="102" t="str">
        <x:v>TERM0053</x:v>
      </x:c>
      <x:c r="B54" s="102" t="str">
        <x:v>DP World Santos</x:v>
      </x:c>
      <x:c r="C54" s="102" t="str">
        <x:v>PORTG0049</x:v>
      </x:c>
      <x:c r="D54" s="102" t="str">
        <x:v>Santos</x:v>
      </x:c>
      <x:c r="E54" s="102" t="str">
        <x:v>Brazil</x:v>
      </x:c>
      <x:c r="F54" s="102" t="str">
        <x:v>Santos</x:v>
      </x:c>
      <x:c r="G54" s="102" t="str">
        <x:v>Latin America</x:v>
      </x:c>
      <x:c r="H54" s="102" t="str">
        <x:v>Marine container / multipurpose terminal</x:v>
      </x:c>
      <x:c r="I54" s="102" t="str">
        <x:v>Containers / pulp / project cargo</x:v>
      </x:c>
      <x:c r="J54" s="102" t="str">
        <x:v>COMP_DPW</x:v>
      </x:c>
      <x:c r="K54" s="102" t="str">
        <x:v>DP World</x:v>
      </x:c>
      <x:c r="L54" s="102" t="str">
        <x:v>DP World</x:v>
      </x:c>
      <x:c r="M54" s="102" t="str">
        <x:v>Operational</x:v>
      </x:c>
      <x:c r="N54" s="102"/>
      <x:c r="O54" s="102"/>
      <x:c r="P54" s="102" t="n">
        <x:v>1100</x:v>
      </x:c>
      <x:c r="Q54" s="102" t="n">
        <x:v>14.2</x:v>
      </x:c>
      <x:c r="R54" s="102"/>
      <x:c r="S54" s="102" t="str">
        <x:v>Yes</x:v>
      </x:c>
      <x:c r="T54" s="102" t="n">
        <x:v>1000</x:v>
      </x:c>
      <x:c r="U54" s="102" t="str">
        <x:v>DP World operating/ownership structure; see source notes</x:v>
      </x:c>
      <x:c r="V54" s="102" t="str">
        <x:v>DPW-BRA-STS</x:v>
      </x:c>
      <x:c r="W54" s="102" t="str">
        <x:v>https://www.dpworld.com/en/ports-terminals/brazil/santos</x:v>
      </x:c>
      <x:c r="X54" s="102" t="str">
        <x:v>High</x:v>
      </x:c>
      <x:c r="Y54" s="102" t="str">
        <x:v>Published draft ~14.2 m (up to ~14.5 m at high tide); infrastructure dimensioned for ~16 m. Vessels up to ~350 m / 120k DWT noted.</x:v>
      </x:c>
      <x:c r="Z54" s="102" t="str"/>
    </x:row>
    <x:row r="55">
      <x:c r="A55" s="102" t="str">
        <x:v>TERM0054</x:v>
      </x:c>
      <x:c r="B55" s="102" t="str">
        <x:v>DP World San Antonio</x:v>
      </x:c>
      <x:c r="C55" s="102" t="str">
        <x:v>PORTG0050</x:v>
      </x:c>
      <x:c r="D55" s="102" t="str">
        <x:v>San Antonio</x:v>
      </x:c>
      <x:c r="E55" s="102" t="str">
        <x:v>Chile</x:v>
      </x:c>
      <x:c r="F55" s="102" t="str">
        <x:v>San Antonio</x:v>
      </x:c>
      <x:c r="G55" s="102" t="str">
        <x:v>Latin America</x:v>
      </x:c>
      <x:c r="H55" s="102" t="str">
        <x:v>Marine container / multipurpose terminal</x:v>
      </x:c>
      <x:c r="I55" s="102" t="str">
        <x:v>Containers / multipurpose</x:v>
      </x:c>
      <x:c r="J55" s="102" t="str">
        <x:v>COMP_DPW</x:v>
      </x:c>
      <x:c r="K55" s="102" t="str">
        <x:v>DP World</x:v>
      </x:c>
      <x:c r="L55" s="102" t="str">
        <x:v>DP World</x:v>
      </x:c>
      <x:c r="M55" s="102" t="str">
        <x:v>Operational</x:v>
      </x:c>
      <x:c r="N55" s="102" t="n">
        <x:v>1200000</x:v>
      </x:c>
      <x:c r="O55" s="102"/>
      <x:c r="P55" s="102" t="n">
        <x:v>700</x:v>
      </x:c>
      <x:c r="Q55" s="102"/>
      <x:c r="R55" s="102"/>
      <x:c r="S55" s="102"/>
      <x:c r="T55" s="102"/>
      <x:c r="U55" s="102" t="str">
        <x:v>DP World operating/ownership structure; see source notes</x:v>
      </x:c>
      <x:c r="V55" s="102" t="str">
        <x:v>DPW-CHL-SAI</x:v>
      </x:c>
      <x:c r="W55" s="102" t="str">
        <x:v>https://www.dpworld.com/en/ports-terminals/chile/san-antonio</x:v>
      </x:c>
      <x:c r="X55" s="102" t="str">
        <x:v>Medium</x:v>
      </x:c>
      <x:c r="Y55" s="102" t="str">
        <x:v>Current narrative describes ~700 m berthing and ~1.2m TEU capacity; newer 'infrastructure facts' page contains obvious template contamination and is excluded.</x:v>
      </x:c>
      <x:c r="Z55" s="102" t="str"/>
    </x:row>
    <x:row r="56">
      <x:c r="A56" s="102" t="str">
        <x:v>TERM0055</x:v>
      </x:c>
      <x:c r="B56" s="102" t="str">
        <x:v>DP World Lirquén</x:v>
      </x:c>
      <x:c r="C56" s="102" t="str">
        <x:v>PORTG0051</x:v>
      </x:c>
      <x:c r="D56" s="102" t="str">
        <x:v>Lirquén</x:v>
      </x:c>
      <x:c r="E56" s="102" t="str">
        <x:v>Chile</x:v>
      </x:c>
      <x:c r="F56" s="102" t="str">
        <x:v>Lirquén</x:v>
      </x:c>
      <x:c r="G56" s="102" t="str">
        <x:v>Latin America</x:v>
      </x:c>
      <x:c r="H56" s="102" t="str">
        <x:v>Marine multipurpose / container terminal</x:v>
      </x:c>
      <x:c r="I56" s="102" t="str">
        <x:v>Containers / forest products / breakbulk</x:v>
      </x:c>
      <x:c r="J56" s="102" t="str">
        <x:v>COMP_DPW</x:v>
      </x:c>
      <x:c r="K56" s="102" t="str">
        <x:v>DP World</x:v>
      </x:c>
      <x:c r="L56" s="102" t="str">
        <x:v>DP World</x:v>
      </x:c>
      <x:c r="M56" s="102" t="str">
        <x:v>Operational</x:v>
      </x:c>
      <x:c r="N56" s="102"/>
      <x:c r="O56" s="102" t="n">
        <x:v>480000</x:v>
      </x:c>
      <x:c r="P56" s="102"/>
      <x:c r="Q56" s="102" t="n">
        <x:v>15.7</x:v>
      </x:c>
      <x:c r="R56" s="102" t="n">
        <x:v>6</x:v>
      </x:c>
      <x:c r="S56" s="102" t="str">
        <x:v>Yes</x:v>
      </x:c>
      <x:c r="T56" s="102"/>
      <x:c r="U56" s="102" t="str">
        <x:v>DP World operating/ownership structure; see source notes</x:v>
      </x:c>
      <x:c r="V56" s="102" t="str">
        <x:v>DPW-CHL-LIR</x:v>
      </x:c>
      <x:c r="W56" s="102" t="str">
        <x:v>https://www.dpworld.com/en/ports-terminals/chile/lirquen-port</x:v>
      </x:c>
      <x:c r="X56" s="102" t="str">
        <x:v>High</x:v>
      </x:c>
      <x:c r="Y56" s="102" t="str">
        <x:v>Six berths and deep-water multipurpose handling; detailed individual berth lengths/depths are captured on Berths sheet.</x:v>
      </x:c>
      <x:c r="Z56" s="102" t="str"/>
    </x:row>
    <x:row r="57">
      <x:c r="A57" s="102" t="str">
        <x:v>TERM0056</x:v>
      </x:c>
      <x:c r="B57" s="102" t="str">
        <x:v>DP World Caucedo</x:v>
      </x:c>
      <x:c r="C57" s="102" t="str">
        <x:v>PORTG0052</x:v>
      </x:c>
      <x:c r="D57" s="102" t="str">
        <x:v>Caucedo</x:v>
      </x:c>
      <x:c r="E57" s="102" t="str">
        <x:v>Dominican Republic</x:v>
      </x:c>
      <x:c r="F57" s="102" t="str">
        <x:v>Caucedo / Santo Domingo</x:v>
      </x:c>
      <x:c r="G57" s="102" t="str">
        <x:v>Latin America</x:v>
      </x:c>
      <x:c r="H57" s="102" t="str">
        <x:v>Marine container / logistics hub</x:v>
      </x:c>
      <x:c r="I57" s="102" t="str">
        <x:v>Containers / transshipment</x:v>
      </x:c>
      <x:c r="J57" s="102" t="str">
        <x:v>COMP_DPW</x:v>
      </x:c>
      <x:c r="K57" s="102" t="str">
        <x:v>DP World</x:v>
      </x:c>
      <x:c r="L57" s="102" t="str">
        <x:v>DP World</x:v>
      </x:c>
      <x:c r="M57" s="102" t="str">
        <x:v>Operational / expanding</x:v>
      </x:c>
      <x:c r="N57" s="102" t="n">
        <x:v>2500000</x:v>
      </x:c>
      <x:c r="O57" s="102" t="n">
        <x:v>800000</x:v>
      </x:c>
      <x:c r="P57" s="102"/>
      <x:c r="Q57" s="102" t="n">
        <x:v>15.5</x:v>
      </x:c>
      <x:c r="R57" s="102"/>
      <x:c r="S57" s="102"/>
      <x:c r="T57" s="102" t="n">
        <x:v>654</x:v>
      </x:c>
      <x:c r="U57" s="102" t="str">
        <x:v>DP World operating/ownership structure; see source notes</x:v>
      </x:c>
      <x:c r="V57" s="102" t="str">
        <x:v>DPW-DOM-CAU</x:v>
      </x:c>
      <x:c r="W57" s="102" t="str">
        <x:v>https://www.dpworld.com/en/ports-terminals/dominican-republic/caucedo-port</x:v>
      </x:c>
      <x:c r="X57" s="102" t="str">
        <x:v>High</x:v>
      </x:c>
      <x:c r="Y57" s="102" t="str">
        <x:v>Capacity increased from ~1.2m to ~2.5m TEU after expansion. Equipment historically published: 10 STS, 3 MHC, 32 RTGs; current electrification program is ongoing.</x:v>
      </x:c>
      <x:c r="Z57" s="102" t="str"/>
    </x:row>
    <x:row r="58">
      <x:c r="A58" s="102" t="str">
        <x:v>TERM0057</x:v>
      </x:c>
      <x:c r="B58" s="102" t="str">
        <x:v>DP World Posorja</x:v>
      </x:c>
      <x:c r="C58" s="102" t="str">
        <x:v>PORTG0053</x:v>
      </x:c>
      <x:c r="D58" s="102" t="str">
        <x:v>Posorja</x:v>
      </x:c>
      <x:c r="E58" s="102" t="str">
        <x:v>Ecuador</x:v>
      </x:c>
      <x:c r="F58" s="102" t="str">
        <x:v>Posorja / Guayaquil</x:v>
      </x:c>
      <x:c r="G58" s="102" t="str">
        <x:v>Latin America</x:v>
      </x:c>
      <x:c r="H58" s="102" t="str">
        <x:v>Deep-water marine container terminal</x:v>
      </x:c>
      <x:c r="I58" s="102" t="str">
        <x:v>Containers / reefer exports</x:v>
      </x:c>
      <x:c r="J58" s="102" t="str">
        <x:v>COMP_DPW</x:v>
      </x:c>
      <x:c r="K58" s="102" t="str">
        <x:v>DP World</x:v>
      </x:c>
      <x:c r="L58" s="102" t="str">
        <x:v>DP World</x:v>
      </x:c>
      <x:c r="M58" s="102" t="str">
        <x:v>Operational / expanding</x:v>
      </x:c>
      <x:c r="N58" s="102" t="n">
        <x:v>1400000</x:v>
      </x:c>
      <x:c r="O58" s="102"/>
      <x:c r="P58" s="102" t="n">
        <x:v>700</x:v>
      </x:c>
      <x:c r="Q58" s="102"/>
      <x:c r="R58" s="102"/>
      <x:c r="S58" s="102"/>
      <x:c r="T58" s="102"/>
      <x:c r="U58" s="102" t="str">
        <x:v>DP World operating/ownership structure; see source notes</x:v>
      </x:c>
      <x:c r="V58" s="102" t="str">
        <x:v>DPW-ECU-POS</x:v>
      </x:c>
      <x:c r="W58" s="102" t="str">
        <x:v>https://www.dpworld.com/en/news/dp-world-inaugurates-posorja-terminal-expansion-boosting-ecuadors-global-trade-capacity</x:v>
      </x:c>
      <x:c r="X58" s="102" t="str">
        <x:v>High</x:v>
      </x:c>
      <x:c r="Y58" s="102" t="str">
        <x:v>Quay reached 700 m in Apr 2026 and is scheduled to reach 800 m by end-2026; two new electric Super Post-Panamax quay cranes operational.</x:v>
      </x:c>
      <x:c r="Z58" s="102" t="str"/>
    </x:row>
    <x:row r="59">
      <x:c r="A59" s="102" t="str">
        <x:v>TERM0058</x:v>
      </x:c>
      <x:c r="B59" s="102" t="str">
        <x:v>DP World Callao - South Terminal</x:v>
      </x:c>
      <x:c r="C59" s="102" t="str">
        <x:v>PORTG0054</x:v>
      </x:c>
      <x:c r="D59" s="102" t="str">
        <x:v>Callao</x:v>
      </x:c>
      <x:c r="E59" s="102" t="str">
        <x:v>Peru</x:v>
      </x:c>
      <x:c r="F59" s="102" t="str">
        <x:v>Callao</x:v>
      </x:c>
      <x:c r="G59" s="102" t="str">
        <x:v>Latin America</x:v>
      </x:c>
      <x:c r="H59" s="102" t="str">
        <x:v>Marine container terminal</x:v>
      </x:c>
      <x:c r="I59" s="102" t="str">
        <x:v>Containers</x:v>
      </x:c>
      <x:c r="J59" s="102" t="str">
        <x:v>COMP_DPW</x:v>
      </x:c>
      <x:c r="K59" s="102" t="str">
        <x:v>DP World</x:v>
      </x:c>
      <x:c r="L59" s="102" t="str">
        <x:v>DP World</x:v>
      </x:c>
      <x:c r="M59" s="102" t="str">
        <x:v>Operational</x:v>
      </x:c>
      <x:c r="N59" s="102" t="n">
        <x:v>2700000</x:v>
      </x:c>
      <x:c r="O59" s="102" t="n">
        <x:v>400000</x:v>
      </x:c>
      <x:c r="P59" s="102" t="n">
        <x:v>1050</x:v>
      </x:c>
      <x:c r="Q59" s="102"/>
      <x:c r="R59" s="102"/>
      <x:c r="S59" s="102"/>
      <x:c r="T59" s="102" t="n">
        <x:v>1694</x:v>
      </x:c>
      <x:c r="U59" s="102" t="str">
        <x:v>DP World operating/ownership structure; see source notes</x:v>
      </x:c>
      <x:c r="V59" s="102" t="str">
        <x:v>DPW-PER-CAL</x:v>
      </x:c>
      <x:c r="W59" s="102" t="str">
        <x:v>https://www.dpworld.com/en/ports-terminals/peru/callao</x:v>
      </x:c>
      <x:c r="X59" s="102" t="str">
        <x:v>High</x:v>
      </x:c>
      <x:c r="Y59" s="102" t="str">
        <x:v>2024/25 expansion boosted annual capacity to ~2.7m TEU. Current infrastructure page reports 10 quay gantry cranes and 7 yard cranes.</x:v>
      </x:c>
      <x:c r="Z59" s="102" t="str"/>
    </x:row>
    <x:row r="60">
      <x:c r="A60" s="102" t="str">
        <x:v>TERM0059</x:v>
      </x:c>
      <x:c r="B60" s="102" t="str">
        <x:v>Terminal Portuario de Paita (TPE)</x:v>
      </x:c>
      <x:c r="C60" s="102" t="str">
        <x:v>PORTG0055</x:v>
      </x:c>
      <x:c r="D60" s="102" t="str">
        <x:v>Paita</x:v>
      </x:c>
      <x:c r="E60" s="102" t="str">
        <x:v>Peru</x:v>
      </x:c>
      <x:c r="F60" s="102" t="str">
        <x:v>Paita</x:v>
      </x:c>
      <x:c r="G60" s="102" t="str">
        <x:v>Latin America</x:v>
      </x:c>
      <x:c r="H60" s="102" t="str">
        <x:v>Marine container / multipurpose terminal / JV</x:v>
      </x:c>
      <x:c r="I60" s="102" t="str">
        <x:v>Containers / multipurpose</x:v>
      </x:c>
      <x:c r="J60" s="102" t="str">
        <x:v>COMP_DPW</x:v>
      </x:c>
      <x:c r="K60" s="102" t="str">
        <x:v>DP World</x:v>
      </x:c>
      <x:c r="L60" s="102" t="str">
        <x:v>DP World</x:v>
      </x:c>
      <x:c r="M60" s="102" t="str">
        <x:v>Operational</x:v>
      </x:c>
      <x:c r="N60" s="102"/>
      <x:c r="O60" s="102"/>
      <x:c r="P60" s="102"/>
      <x:c r="Q60" s="102"/>
      <x:c r="R60" s="102"/>
      <x:c r="S60" s="102"/>
      <x:c r="T60" s="102"/>
      <x:c r="U60" s="102" t="str">
        <x:v>DP World operating/ownership structure; see source notes</x:v>
      </x:c>
      <x:c r="V60" s="102" t="str">
        <x:v>DPW-PER-PAI</x:v>
      </x:c>
      <x:c r="W60" s="102" t="str">
        <x:v>https://www.dpworld.com/en/ports-terminals/peru</x:v>
      </x:c>
      <x:c r="X60" s="102" t="str">
        <x:v>Medium</x:v>
      </x:c>
      <x:c r="Y60" s="102" t="str">
        <x:v>DP World Peru network includes TPE/Paita; quantitative specs left blank because detailed source is primarily in PDF/third-party material requiring separate verification.</x:v>
      </x:c>
      <x:c r="Z60" s="102" t="str"/>
    </x:row>
    <x:row r="61">
      <x:c r="A61" s="102" t="str">
        <x:v>TERM0060</x:v>
      </x:c>
      <x:c r="B61" s="102" t="str">
        <x:v>DP World Paramaribo</x:v>
      </x:c>
      <x:c r="C61" s="102" t="str">
        <x:v>PORTG0056</x:v>
      </x:c>
      <x:c r="D61" s="102" t="str">
        <x:v>Paramaribo</x:v>
      </x:c>
      <x:c r="E61" s="102" t="str">
        <x:v>Suriname</x:v>
      </x:c>
      <x:c r="F61" s="102" t="str">
        <x:v>Paramaribo</x:v>
      </x:c>
      <x:c r="G61" s="102" t="str">
        <x:v>Latin America</x:v>
      </x:c>
      <x:c r="H61" s="102" t="str">
        <x:v>Marine container / multipurpose terminal</x:v>
      </x:c>
      <x:c r="I61" s="102" t="str">
        <x:v>Containers / multipurpose</x:v>
      </x:c>
      <x:c r="J61" s="102" t="str">
        <x:v>COMP_DPW</x:v>
      </x:c>
      <x:c r="K61" s="102" t="str">
        <x:v>DP World</x:v>
      </x:c>
      <x:c r="L61" s="102" t="str">
        <x:v>DP World</x:v>
      </x:c>
      <x:c r="M61" s="102" t="str">
        <x:v>Operational</x:v>
      </x:c>
      <x:c r="N61" s="102" t="n">
        <x:v>130000</x:v>
      </x:c>
      <x:c r="O61" s="102"/>
      <x:c r="P61" s="102"/>
      <x:c r="Q61" s="102"/>
      <x:c r="R61" s="102"/>
      <x:c r="S61" s="102"/>
      <x:c r="T61" s="102" t="n">
        <x:v>119</x:v>
      </x:c>
      <x:c r="U61" s="102" t="str">
        <x:v>DP World operating/ownership structure; see source notes</x:v>
      </x:c>
      <x:c r="V61" s="102" t="str">
        <x:v>DPW-SUR-PAR</x:v>
      </x:c>
      <x:c r="W61" s="102" t="str">
        <x:v>https://www.dpworld.com/en/ports-terminals/suriname/paramaribo</x:v>
      </x:c>
      <x:c r="X61" s="102" t="str">
        <x:v>High</x:v>
      </x:c>
      <x:c r="Y61" s="102" t="str"/>
      <x:c r="Z61" s="102" t="str"/>
    </x:row>
    <x:row r="62">
      <x:c r="A62" s="102" t="str">
        <x:v>TERM0061</x:v>
      </x:c>
      <x:c r="B62" s="102" t="str">
        <x:v>DP World La Vigilantia</x:v>
      </x:c>
      <x:c r="C62" s="102" t="str">
        <x:v>PORTG0057</x:v>
      </x:c>
      <x:c r="D62" s="102" t="str">
        <x:v>La Vigilantia</x:v>
      </x:c>
      <x:c r="E62" s="102" t="str">
        <x:v>Suriname</x:v>
      </x:c>
      <x:c r="F62" s="102" t="str">
        <x:v>La Vigilantia</x:v>
      </x:c>
      <x:c r="G62" s="102" t="str">
        <x:v>Latin America</x:v>
      </x:c>
      <x:c r="H62" s="102" t="str">
        <x:v>River / marine multipurpose terminal</x:v>
      </x:c>
      <x:c r="I62" s="102" t="str">
        <x:v>General cargo / project cargo / breakbulk</x:v>
      </x:c>
      <x:c r="J62" s="102" t="str">
        <x:v>COMP_DPW</x:v>
      </x:c>
      <x:c r="K62" s="102" t="str">
        <x:v>DP World</x:v>
      </x:c>
      <x:c r="L62" s="102" t="str">
        <x:v>DP World</x:v>
      </x:c>
      <x:c r="M62" s="102" t="str">
        <x:v>Operational</x:v>
      </x:c>
      <x:c r="N62" s="102"/>
      <x:c r="O62" s="102" t="n">
        <x:v>21000</x:v>
      </x:c>
      <x:c r="P62" s="102" t="n">
        <x:v>73</x:v>
      </x:c>
      <x:c r="Q62" s="102"/>
      <x:c r="R62" s="102"/>
      <x:c r="S62" s="102"/>
      <x:c r="T62" s="102"/>
      <x:c r="U62" s="102" t="str">
        <x:v>DP World operating/ownership structure; see source notes</x:v>
      </x:c>
      <x:c r="V62" s="102" t="str">
        <x:v>DPW-SUR-VIG</x:v>
      </x:c>
      <x:c r="W62" s="102" t="str">
        <x:v>https://www.dpworld.com/en/ports-terminals/suriname/la-vigilantia</x:v>
      </x:c>
      <x:c r="X62" s="102" t="str">
        <x:v>High</x:v>
      </x:c>
      <x:c r="Y62" s="102" t="str">
        <x:v>Published capacity to receive vessels up to ~200 m; 13.2 m figure on page refers to turning basin and is not treated as berth depth.</x:v>
      </x:c>
      <x:c r="Z62" s="102" t="str"/>
    </x:row>
    <x:row r="63">
      <x:c r="A63" s="102" t="str">
        <x:v>TERM0062</x:v>
      </x:c>
      <x:c r="B63" s="102" t="str">
        <x:v>DP World Vancouver</x:v>
      </x:c>
      <x:c r="C63" s="102" t="str">
        <x:v>PORTG0058</x:v>
      </x:c>
      <x:c r="D63" s="102" t="str">
        <x:v>Vancouver</x:v>
      </x:c>
      <x:c r="E63" s="102" t="str">
        <x:v>Canada</x:v>
      </x:c>
      <x:c r="F63" s="102" t="str">
        <x:v>Centerm, Vancouver</x:v>
      </x:c>
      <x:c r="G63" s="102" t="str">
        <x:v>North America</x:v>
      </x:c>
      <x:c r="H63" s="102" t="str">
        <x:v>Marine container terminal</x:v>
      </x:c>
      <x:c r="I63" s="102" t="str">
        <x:v>Containers</x:v>
      </x:c>
      <x:c r="J63" s="102" t="str">
        <x:v>COMP_DPW</x:v>
      </x:c>
      <x:c r="K63" s="102" t="str">
        <x:v>DP World</x:v>
      </x:c>
      <x:c r="L63" s="102" t="str">
        <x:v>DP World</x:v>
      </x:c>
      <x:c r="M63" s="102" t="str">
        <x:v>Operational</x:v>
      </x:c>
      <x:c r="N63" s="102" t="n">
        <x:v>1500000</x:v>
      </x:c>
      <x:c r="O63" s="102" t="n">
        <x:v>336000</x:v>
      </x:c>
      <x:c r="P63" s="102" t="n">
        <x:v>724</x:v>
      </x:c>
      <x:c r="Q63" s="102" t="n">
        <x:v>15.5</x:v>
      </x:c>
      <x:c r="R63" s="102" t="n">
        <x:v>2</x:v>
      </x:c>
      <x:c r="S63" s="102" t="str">
        <x:v>Yes</x:v>
      </x:c>
      <x:c r="T63" s="102" t="n">
        <x:v>420</x:v>
      </x:c>
      <x:c r="U63" s="102" t="str">
        <x:v>DP World operating/ownership structure; see source notes</x:v>
      </x:c>
      <x:c r="V63" s="102" t="str">
        <x:v>DPW-CAN-VAN</x:v>
      </x:c>
      <x:c r="W63" s="102" t="str">
        <x:v>https://www.dpworld.com/en/ports-terminals/canada/vancouver</x:v>
      </x:c>
      <x:c r="X63" s="102" t="str">
        <x:v>High</x:v>
      </x:c>
      <x:c r="Y63" s="102" t="str">
        <x:v>19 RTGs, 5 RMGs and multiple super-post-Panamax quay cranes reported; handled record 975,727 TEU in 2025.</x:v>
      </x:c>
      <x:c r="Z63" s="102" t="str"/>
    </x:row>
    <x:row r="64">
      <x:c r="A64" s="102" t="str">
        <x:v>TERM0063</x:v>
      </x:c>
      <x:c r="B64" s="102" t="str">
        <x:v>DP World Fraser Surrey</x:v>
      </x:c>
      <x:c r="C64" s="102" t="str">
        <x:v>PORTG0059</x:v>
      </x:c>
      <x:c r="D64" s="102" t="str">
        <x:v>Fraser Surrey</x:v>
      </x:c>
      <x:c r="E64" s="102" t="str">
        <x:v>Canada</x:v>
      </x:c>
      <x:c r="F64" s="102" t="str">
        <x:v>Surrey, British Columbia</x:v>
      </x:c>
      <x:c r="G64" s="102" t="str">
        <x:v>North America</x:v>
      </x:c>
      <x:c r="H64" s="102" t="str">
        <x:v>Marine multipurpose terminal</x:v>
      </x:c>
      <x:c r="I64" s="102" t="str">
        <x:v>Breakbulk / bulk / containers / project cargo</x:v>
      </x:c>
      <x:c r="J64" s="102" t="str">
        <x:v>COMP_DPW</x:v>
      </x:c>
      <x:c r="K64" s="102" t="str">
        <x:v>DP World</x:v>
      </x:c>
      <x:c r="L64" s="102" t="str">
        <x:v>DP World</x:v>
      </x:c>
      <x:c r="M64" s="102" t="str">
        <x:v>Operational</x:v>
      </x:c>
      <x:c r="N64" s="102"/>
      <x:c r="O64" s="102" t="n">
        <x:v>769000</x:v>
      </x:c>
      <x:c r="P64" s="102" t="n">
        <x:v>1575</x:v>
      </x:c>
      <x:c r="Q64" s="102"/>
      <x:c r="R64" s="102" t="n">
        <x:v>6</x:v>
      </x:c>
      <x:c r="S64" s="102" t="str">
        <x:v>Yes</x:v>
      </x:c>
      <x:c r="T64" s="102"/>
      <x:c r="U64" s="102" t="str">
        <x:v>DP World operating/ownership structure; see source notes</x:v>
      </x:c>
      <x:c r="V64" s="102" t="str">
        <x:v>DPW-CAN-FSD</x:v>
      </x:c>
      <x:c r="W64" s="102" t="str">
        <x:v>https://www.dpworld.com/en/ports-terminals/canada/fraser-surrey-docks</x:v>
      </x:c>
      <x:c r="X64" s="102" t="str">
        <x:v>High</x:v>
      </x:c>
      <x:c r="Y64" s="102" t="str">
        <x:v>Approx. 190+ acre terminal incl. ~154 acres yard; 3 quay cranes reported. Multipurpose rather than pure container terminal.</x:v>
      </x:c>
      <x:c r="Z64" s="102" t="str"/>
    </x:row>
    <x:row r="65">
      <x:c r="A65" s="102" t="str">
        <x:v>TERM0064</x:v>
      </x:c>
      <x:c r="B65" s="102" t="str">
        <x:v>DP World Nanaimo / Duke Point</x:v>
      </x:c>
      <x:c r="C65" s="102" t="str">
        <x:v>PORTG0060</x:v>
      </x:c>
      <x:c r="D65" s="102" t="str">
        <x:v>Nanaimo</x:v>
      </x:c>
      <x:c r="E65" s="102" t="str">
        <x:v>Canada</x:v>
      </x:c>
      <x:c r="F65" s="102" t="str">
        <x:v>Duke Point, Nanaimo</x:v>
      </x:c>
      <x:c r="G65" s="102" t="str">
        <x:v>North America</x:v>
      </x:c>
      <x:c r="H65" s="102" t="str">
        <x:v>Marine container / short-sea terminal</x:v>
      </x:c>
      <x:c r="I65" s="102" t="str">
        <x:v>Containers / short sea</x:v>
      </x:c>
      <x:c r="J65" s="102" t="str">
        <x:v>COMP_DPW</x:v>
      </x:c>
      <x:c r="K65" s="102" t="str">
        <x:v>DP World</x:v>
      </x:c>
      <x:c r="L65" s="102" t="str">
        <x:v>DP World</x:v>
      </x:c>
      <x:c r="M65" s="102" t="str">
        <x:v>Operational / expanding</x:v>
      </x:c>
      <x:c r="N65" s="102" t="n">
        <x:v>280000</x:v>
      </x:c>
      <x:c r="O65" s="102" t="n">
        <x:v>80000</x:v>
      </x:c>
      <x:c r="P65" s="102" t="n">
        <x:v>252</x:v>
      </x:c>
      <x:c r="Q65" s="102" t="n">
        <x:v>13.5</x:v>
      </x:c>
      <x:c r="R65" s="102" t="n">
        <x:v>2</x:v>
      </x:c>
      <x:c r="S65" s="102"/>
      <x:c r="T65" s="102"/>
      <x:c r="U65" s="102" t="str">
        <x:v>DP World operating/ownership structure; see source notes</x:v>
      </x:c>
      <x:c r="V65" s="102" t="str">
        <x:v>DPW-CAN-NAN</x:v>
      </x:c>
      <x:c r="W65" s="102" t="str">
        <x:v>https://www.dpworld.com/en/ports-terminals/canada/nanaimo</x:v>
      </x:c>
      <x:c r="X65" s="102" t="str">
        <x:v>High</x:v>
      </x:c>
      <x:c r="Y65" s="102" t="str">
        <x:v>Current footprint: ~6 ha paved +2 ha unpaved; deep-sea berth ~170 m/13.5 m plus ~82 m barge berth. Expansion will extend main berth to ~320 m and add two electric cranes by 2027.</x:v>
      </x:c>
      <x:c r="Z65" s="102" t="str"/>
    </x:row>
    <x:row r="66">
      <x:c r="A66" s="102" t="str">
        <x:v>TERM0065</x:v>
      </x:c>
      <x:c r="B66" s="102" t="str">
        <x:v>DP World Prince Rupert</x:v>
      </x:c>
      <x:c r="C66" s="102" t="str">
        <x:v>PORTG0061</x:v>
      </x:c>
      <x:c r="D66" s="102" t="str">
        <x:v>Prince Rupert</x:v>
      </x:c>
      <x:c r="E66" s="102" t="str">
        <x:v>Canada</x:v>
      </x:c>
      <x:c r="F66" s="102" t="str">
        <x:v>Fairview Container Terminal, Prince Rupert</x:v>
      </x:c>
      <x:c r="G66" s="102" t="str">
        <x:v>North America</x:v>
      </x:c>
      <x:c r="H66" s="102" t="str">
        <x:v>Marine container terminal</x:v>
      </x:c>
      <x:c r="I66" s="102" t="str">
        <x:v>Containers</x:v>
      </x:c>
      <x:c r="J66" s="102" t="str">
        <x:v>COMP_DPW</x:v>
      </x:c>
      <x:c r="K66" s="102" t="str">
        <x:v>DP World</x:v>
      </x:c>
      <x:c r="L66" s="102" t="str">
        <x:v>DP World</x:v>
      </x:c>
      <x:c r="M66" s="102" t="str">
        <x:v>Operational</x:v>
      </x:c>
      <x:c r="N66" s="102"/>
      <x:c r="O66" s="102" t="n">
        <x:v>320000</x:v>
      </x:c>
      <x:c r="P66" s="102" t="n">
        <x:v>800</x:v>
      </x:c>
      <x:c r="Q66" s="102" t="n">
        <x:v>17</x:v>
      </x:c>
      <x:c r="R66" s="102" t="n">
        <x:v>2</x:v>
      </x:c>
      <x:c r="S66" s="102" t="str">
        <x:v>Yes</x:v>
      </x:c>
      <x:c r="T66" s="102" t="n">
        <x:v>200</x:v>
      </x:c>
      <x:c r="U66" s="102" t="str">
        <x:v>DP World operating/ownership structure; see source notes</x:v>
      </x:c>
      <x:c r="V66" s="102" t="str">
        <x:v>DPW-CAN-PRR</x:v>
      </x:c>
      <x:c r="W66" s="102" t="str">
        <x:v>https://www.dpworld.com/en/ports-terminals/canada/prince-rupert</x:v>
      </x:c>
      <x:c r="X66" s="102" t="str">
        <x:v>High</x:v>
      </x:c>
      <x:c r="Y66" s="102" t="str">
        <x:v>8 super-post-Panamax quay cranes and 6 RTGs reported; ~18,000 ft rail track.</x:v>
      </x:c>
      <x:c r="Z66" s="102" t="str"/>
    </x:row>
    <x:row r="67">
      <x:c r="A67" s="102" t="str">
        <x:v>TERM0066</x:v>
      </x:c>
      <x:c r="B67" s="102" t="str">
        <x:v>DP World Saint John</x:v>
      </x:c>
      <x:c r="C67" s="102" t="str">
        <x:v>PORTG0062</x:v>
      </x:c>
      <x:c r="D67" s="102" t="str">
        <x:v>Saint John</x:v>
      </x:c>
      <x:c r="E67" s="102" t="str">
        <x:v>Canada</x:v>
      </x:c>
      <x:c r="F67" s="102" t="str">
        <x:v>Port Saint John, New Brunswick</x:v>
      </x:c>
      <x:c r="G67" s="102" t="str">
        <x:v>North America</x:v>
      </x:c>
      <x:c r="H67" s="102" t="str">
        <x:v>Marine container terminal</x:v>
      </x:c>
      <x:c r="I67" s="102" t="str">
        <x:v>Containers</x:v>
      </x:c>
      <x:c r="J67" s="102" t="str">
        <x:v>COMP_DPW</x:v>
      </x:c>
      <x:c r="K67" s="102" t="str">
        <x:v>DP World</x:v>
      </x:c>
      <x:c r="L67" s="102" t="str">
        <x:v>DP World</x:v>
      </x:c>
      <x:c r="M67" s="102" t="str">
        <x:v>Operational / expanding</x:v>
      </x:c>
      <x:c r="N67" s="102"/>
      <x:c r="O67" s="102" t="n">
        <x:v>332000</x:v>
      </x:c>
      <x:c r="P67" s="102"/>
      <x:c r="Q67" s="102" t="n">
        <x:v>17.1</x:v>
      </x:c>
      <x:c r="R67" s="102" t="n">
        <x:v>2</x:v>
      </x:c>
      <x:c r="S67" s="102" t="str">
        <x:v>Yes</x:v>
      </x:c>
      <x:c r="T67" s="102"/>
      <x:c r="U67" s="102" t="str">
        <x:v>DP World operating/ownership structure; see source notes</x:v>
      </x:c>
      <x:c r="V67" s="102" t="str">
        <x:v>DPW-CAN-SJB</x:v>
      </x:c>
      <x:c r="W67" s="102" t="str">
        <x:v>https://www.dpworld.com/en/ports-terminals/canada/saint-john</x:v>
      </x:c>
      <x:c r="X67" s="102" t="str">
        <x:v>Medium</x:v>
      </x:c>
      <x:c r="Y67" s="102" t="str">
        <x:v>West Side Modernization supports deeper/larger vessel capability. Current DP World page contains a likely typo in one berth-length field, so total quay length is intentionally blank.</x:v>
      </x:c>
      <x:c r="Z67" s="102" t="str"/>
    </x:row>
    <x:row r="68">
      <x:c r="A68" s="102" t="str">
        <x:v>TERM0067</x:v>
      </x:c>
      <x:c r="B68" s="102" t="str">
        <x:v>Contrecœur Container Terminal</x:v>
      </x:c>
      <x:c r="C68" s="102" t="str">
        <x:v>PORTG0063</x:v>
      </x:c>
      <x:c r="D68" s="102" t="str">
        <x:v>Montréal / Contrecœur</x:v>
      </x:c>
      <x:c r="E68" s="102" t="str">
        <x:v>Canada</x:v>
      </x:c>
      <x:c r="F68" s="102" t="str">
        <x:v>Contrecœur, Quebec</x:v>
      </x:c>
      <x:c r="G68" s="102" t="str">
        <x:v>North America</x:v>
      </x:c>
      <x:c r="H68" s="102" t="str">
        <x:v>Greenfield container terminal</x:v>
      </x:c>
      <x:c r="I68" s="102" t="str">
        <x:v>Containers</x:v>
      </x:c>
      <x:c r="J68" s="102" t="str">
        <x:v>COMP_DPW</x:v>
      </x:c>
      <x:c r="K68" s="102" t="str">
        <x:v>DP World</x:v>
      </x:c>
      <x:c r="L68" s="102" t="str">
        <x:v>DP World</x:v>
      </x:c>
      <x:c r="M68" s="102" t="str">
        <x:v>Development</x:v>
      </x:c>
      <x:c r="N68" s="102" t="n">
        <x:v>1150000</x:v>
      </x:c>
      <x:c r="O68" s="102"/>
      <x:c r="P68" s="102"/>
      <x:c r="Q68" s="102"/>
      <x:c r="R68" s="102"/>
      <x:c r="S68" s="102" t="str">
        <x:v>Yes</x:v>
      </x:c>
      <x:c r="T68" s="102"/>
      <x:c r="U68" s="102" t="str">
        <x:v>DP World operating/ownership structure; see source notes</x:v>
      </x:c>
      <x:c r="V68" s="102" t="str">
        <x:v>DPW-CAN-CON</x:v>
      </x:c>
      <x:c r="W68" s="102" t="str">
        <x:v>https://www.dpworld.com/en/news/canada/new-milestone-in-canada-with-contrecoeur-expansion-groundbreaking</x:v>
      </x:c>
      <x:c r="X68" s="102" t="str">
        <x:v>High</x:v>
      </x:c>
      <x:c r="Y68" s="102" t="str">
        <x:v>Construction underway; commissioning expected 2030. DP World responsible for land-based infrastructure, operations and maintenance; in-water works led by MPA.</x:v>
      </x:c>
      <x:c r="Z68" s="102" t="str"/>
    </x:row>
    <x:row r="69">
      <x:c r="A69" s="102" t="str">
        <x:v>TERM0068</x:v>
      </x:c>
      <x:c r="B69" s="102" t="str">
        <x:v>Proposed DP World Container Terminal</x:v>
      </x:c>
      <x:c r="C69" s="102" t="str">
        <x:v>PORTG0064</x:v>
      </x:c>
      <x:c r="D69" s="102" t="str">
        <x:v>Corpus Christi</x:v>
      </x:c>
      <x:c r="E69" s="102" t="str">
        <x:v>United States</x:v>
      </x:c>
      <x:c r="F69" s="102" t="str">
        <x:v>Corpus Christi, Texas</x:v>
      </x:c>
      <x:c r="G69" s="102" t="str">
        <x:v>North America</x:v>
      </x:c>
      <x:c r="H69" s="102" t="str">
        <x:v>Proposed marine container terminal</x:v>
      </x:c>
      <x:c r="I69" s="102" t="str">
        <x:v>Containers</x:v>
      </x:c>
      <x:c r="J69" s="102" t="str">
        <x:v>COMP_DPW</x:v>
      </x:c>
      <x:c r="K69" s="102" t="str">
        <x:v>DP World</x:v>
      </x:c>
      <x:c r="L69" s="102" t="str">
        <x:v>DP World</x:v>
      </x:c>
      <x:c r="M69" s="102" t="str">
        <x:v>Exclusive negotiations / proposed</x:v>
      </x:c>
      <x:c r="N69" s="102"/>
      <x:c r="O69" s="102"/>
      <x:c r="P69" s="102"/>
      <x:c r="Q69" s="102"/>
      <x:c r="R69" s="102"/>
      <x:c r="S69" s="102"/>
      <x:c r="T69" s="102"/>
      <x:c r="U69" s="102" t="str">
        <x:v>DP World operating/ownership structure; see source notes</x:v>
      </x:c>
      <x:c r="V69" s="102" t="str">
        <x:v>DPW-USA-CRP</x:v>
      </x:c>
      <x:c r="W69" s="102" t="str">
        <x:v>https://www.dpworld.com/en/news/usa/container-terminal-at-port-of-corpus-christi-texas</x:v>
      </x:c>
      <x:c r="X69" s="102" t="str">
        <x:v>High</x:v>
      </x:c>
      <x:c r="Y69" s="102" t="str">
        <x:v>Exclusive negotiation agreement announced 16 Jun 2026 for a long-term lease to develop and operate a container terminal. Not yet counted as an operating DP World terminal.</x:v>
      </x:c>
      <x:c r="Z69" s="102" t="str"/>
    </x:row>
    <x:row r="70">
      <x:c r="A70" s="102" t="str">
        <x:v>TERM0069</x:v>
      </x:c>
      <x:c r="B70" s="102" t="str">
        <x:v>Khalifa Port</x:v>
      </x:c>
      <x:c r="C70" s="102" t="str">
        <x:v>PORTG0065</x:v>
      </x:c>
      <x:c r="D70" s="102" t="str">
        <x:v>Khalifa Port</x:v>
      </x:c>
      <x:c r="E70" s="102" t="str">
        <x:v>United Arab Emirates</x:v>
      </x:c>
      <x:c r="F70" s="102" t="str">
        <x:v>Abu Dhabi</x:v>
      </x:c>
      <x:c r="G70" s="102" t="str">
        <x:v>Arabian Gulf</x:v>
      </x:c>
      <x:c r="H70" s="102" t="str">
        <x:v>Seaport</x:v>
      </x:c>
      <x:c r="I70" s="102" t="str">
        <x:v>Container; Ro-Ro; general cargo; bulk; liquid bulk</x:v>
      </x:c>
      <x:c r="J70" s="102" t="str">
        <x:v>COMP_ADPORTS</x:v>
      </x:c>
      <x:c r="K70" s="102" t="str">
        <x:v>AD Ports Group</x:v>
      </x:c>
      <x:c r="L70" s="102" t="str">
        <x:v>Abu Dhabi Ports</x:v>
      </x:c>
      <x:c r="M70" s="102" t="str">
        <x:v>Operating</x:v>
      </x:c>
      <x:c r="N70" s="102" t="n">
        <x:v>10500000</x:v>
      </x:c>
      <x:c r="O70" s="102"/>
      <x:c r="P70" s="102" t="n">
        <x:v>11700</x:v>
      </x:c>
      <x:c r="Q70" s="102"/>
      <x:c r="R70" s="102"/>
      <x:c r="S70" s="102" t="str">
        <x:v>Yes</x:v>
      </x:c>
      <x:c r="T70" s="102"/>
      <x:c r="U70" s="102" t="str">
        <x:v>Owned/operated by AD Ports Group</x:v>
      </x:c>
      <x:c r="V70" s="102" t="str">
        <x:v>ADP-UAE-KHALIFA</x:v>
      </x:c>
      <x:c r="W70" s="102" t="str">
        <x:v>https://www.adportsgroup.com/en/news-and-media/2025/11/18/ad-ports-group-signs-agreement-with-cma-cgm-group-to-expand-terminal-at-khalifa-port</x:v>
      </x:c>
      <x:c r="X70" s="102" t="str">
        <x:v>High</x:v>
      </x:c>
      <x:c r="Y70" s="102" t="str">
        <x:v>Flagship port; total container capacity after CMA terminal expansion plan reaches 10.5m TEU (planned 2028); 2024 physical footprint 6.3 sq km, 41 quay cranes, 159 yard cranes.</x:v>
      </x:c>
      <x:c r="Z70" s="102" t="str"/>
    </x:row>
    <x:row r="71">
      <x:c r="A71" s="102" t="str">
        <x:v>TERM0070</x:v>
      </x:c>
      <x:c r="B71" s="102" t="str">
        <x:v>Zayed Port</x:v>
      </x:c>
      <x:c r="C71" s="102" t="str">
        <x:v>PORTG0066</x:v>
      </x:c>
      <x:c r="D71" s="102" t="str">
        <x:v>Zayed Port</x:v>
      </x:c>
      <x:c r="E71" s="102" t="str">
        <x:v>United Arab Emirates</x:v>
      </x:c>
      <x:c r="F71" s="102" t="str">
        <x:v>Abu Dhabi</x:v>
      </x:c>
      <x:c r="G71" s="102" t="str">
        <x:v>Arabian Gulf</x:v>
      </x:c>
      <x:c r="H71" s="102" t="str">
        <x:v>Seaport</x:v>
      </x:c>
      <x:c r="I71" s="102" t="str">
        <x:v>General cargo; cruise; Ro-Ro</x:v>
      </x:c>
      <x:c r="J71" s="102" t="str">
        <x:v>COMP_ADPORTS</x:v>
      </x:c>
      <x:c r="K71" s="102" t="str">
        <x:v>AD Ports Group</x:v>
      </x:c>
      <x:c r="L71" s="102" t="str">
        <x:v>Abu Dhabi Ports</x:v>
      </x:c>
      <x:c r="M71" s="102" t="str">
        <x:v>Operating</x:v>
      </x:c>
      <x:c r="N71" s="102"/>
      <x:c r="O71" s="102"/>
      <x:c r="P71" s="102"/>
      <x:c r="Q71" s="102"/>
      <x:c r="R71" s="102"/>
      <x:c r="S71" s="102"/>
      <x:c r="T71" s="102"/>
      <x:c r="U71" s="102" t="str">
        <x:v>Owned/operated by AD Ports Group</x:v>
      </x:c>
      <x:c r="V71" s="102" t="str">
        <x:v>ADP-UAE-ZAYED</x:v>
      </x:c>
      <x:c r="W71" s="102" t="str">
        <x:v>https://www.adportsgroup.com/en/integrated-clusters/ports/abu-dhabi-ports</x:v>
      </x:c>
      <x:c r="X71" s="102" t="str">
        <x:v>High</x:v>
      </x:c>
      <x:c r="Y71" s="102" t="str">
        <x:v>Commercial port and home of Abu Dhabi Cruise Terminal.</x:v>
      </x:c>
      <x:c r="Z71" s="102" t="str"/>
    </x:row>
    <x:row r="72">
      <x:c r="A72" s="102" t="str">
        <x:v>TERM0071</x:v>
      </x:c>
      <x:c r="B72" s="102" t="str">
        <x:v>Free Port (Old &amp; New)</x:v>
      </x:c>
      <x:c r="C72" s="102" t="str">
        <x:v>PORTG0067</x:v>
      </x:c>
      <x:c r="D72" s="102" t="str">
        <x:v>Free Port (Old &amp; New)</x:v>
      </x:c>
      <x:c r="E72" s="102" t="str">
        <x:v>United Arab Emirates</x:v>
      </x:c>
      <x:c r="F72" s="102" t="str">
        <x:v>Abu Dhabi</x:v>
      </x:c>
      <x:c r="G72" s="102" t="str">
        <x:v>Arabian Gulf</x:v>
      </x:c>
      <x:c r="H72" s="102" t="str">
        <x:v>Seaport</x:v>
      </x:c>
      <x:c r="I72" s="102" t="str">
        <x:v>General cargo; marine services</x:v>
      </x:c>
      <x:c r="J72" s="102" t="str">
        <x:v>COMP_ADPORTS</x:v>
      </x:c>
      <x:c r="K72" s="102" t="str">
        <x:v>AD Ports Group</x:v>
      </x:c>
      <x:c r="L72" s="102" t="str">
        <x:v>Abu Dhabi Ports</x:v>
      </x:c>
      <x:c r="M72" s="102" t="str">
        <x:v>Operating</x:v>
      </x:c>
      <x:c r="N72" s="102"/>
      <x:c r="O72" s="102"/>
      <x:c r="P72" s="102"/>
      <x:c r="Q72" s="102"/>
      <x:c r="R72" s="102"/>
      <x:c r="S72" s="102"/>
      <x:c r="T72" s="102"/>
      <x:c r="U72" s="102" t="str">
        <x:v>Owned/operated by AD Ports Group</x:v>
      </x:c>
      <x:c r="V72" s="102" t="str">
        <x:v>ADP-UAE-FREE</x:v>
      </x:c>
      <x:c r="W72" s="102" t="str">
        <x:v>https://www.adportsgroup.com/en/integrated-clusters/ports/abu-dhabi-ports</x:v>
      </x:c>
      <x:c r="X72" s="102" t="str">
        <x:v>High</x:v>
      </x:c>
      <x:c r="Y72" s="102" t="str">
        <x:v>Listed by Abu Dhabi Ports as a commercial port.</x:v>
      </x:c>
      <x:c r="Z72" s="102" t="str"/>
    </x:row>
    <x:row r="73">
      <x:c r="A73" s="102" t="str">
        <x:v>TERM0072</x:v>
      </x:c>
      <x:c r="B73" s="102" t="str">
        <x:v>Musaffah Port</x:v>
      </x:c>
      <x:c r="C73" s="102" t="str">
        <x:v>PORTG0068</x:v>
      </x:c>
      <x:c r="D73" s="102" t="str">
        <x:v>Musaffah Port</x:v>
      </x:c>
      <x:c r="E73" s="102" t="str">
        <x:v>United Arab Emirates</x:v>
      </x:c>
      <x:c r="F73" s="102" t="str">
        <x:v>Abu Dhabi</x:v>
      </x:c>
      <x:c r="G73" s="102" t="str">
        <x:v>Arabian Gulf</x:v>
      </x:c>
      <x:c r="H73" s="102" t="str">
        <x:v>Seaport</x:v>
      </x:c>
      <x:c r="I73" s="102" t="str">
        <x:v>Breakbulk; Ro-Ro; industrial cargo</x:v>
      </x:c>
      <x:c r="J73" s="102" t="str">
        <x:v>COMP_ADPORTS</x:v>
      </x:c>
      <x:c r="K73" s="102" t="str">
        <x:v>AD Ports Group</x:v>
      </x:c>
      <x:c r="L73" s="102" t="str">
        <x:v>Abu Dhabi Ports</x:v>
      </x:c>
      <x:c r="M73" s="102" t="str">
        <x:v>Operating</x:v>
      </x:c>
      <x:c r="N73" s="102"/>
      <x:c r="O73" s="102"/>
      <x:c r="P73" s="102"/>
      <x:c r="Q73" s="102" t="n">
        <x:v>9</x:v>
      </x:c>
      <x:c r="R73" s="102"/>
      <x:c r="S73" s="102"/>
      <x:c r="T73" s="102"/>
      <x:c r="U73" s="102" t="str">
        <x:v>Owned/operated by AD Ports Group</x:v>
      </x:c>
      <x:c r="V73" s="102" t="str">
        <x:v>ADP-UAE-MUSAFFAH</x:v>
      </x:c>
      <x:c r="W73" s="102" t="str">
        <x:v>https://www.adportsgroup.com/-/media/sites/adports/investors/prospectus-euro-medium-term-note-programme-may-2021-new.pdf</x:v>
      </x:c>
      <x:c r="X73" s="102" t="str">
        <x:v>Medium</x:v>
      </x:c>
      <x:c r="Y73" s="102" t="str">
        <x:v>Serves Musaffah Industrial Area; 53 km channel; max channel depth 9 m.</x:v>
      </x:c>
      <x:c r="Z73" s="102" t="str"/>
    </x:row>
    <x:row r="74">
      <x:c r="A74" s="102" t="str">
        <x:v>TERM0073</x:v>
      </x:c>
      <x:c r="B74" s="102" t="str">
        <x:v>Mugharraq Port</x:v>
      </x:c>
      <x:c r="C74" s="102" t="str">
        <x:v>PORTG0069</x:v>
      </x:c>
      <x:c r="D74" s="102" t="str">
        <x:v>Mugharraq Port</x:v>
      </x:c>
      <x:c r="E74" s="102" t="str">
        <x:v>United Arab Emirates</x:v>
      </x:c>
      <x:c r="F74" s="102" t="str">
        <x:v>Al Dhafra</x:v>
      </x:c>
      <x:c r="G74" s="102" t="str">
        <x:v>Arabian Gulf</x:v>
      </x:c>
      <x:c r="H74" s="102" t="str">
        <x:v>Seaport</x:v>
      </x:c>
      <x:c r="I74" s="102" t="str">
        <x:v>Offshore; oil &amp; gas; general cargo; bulk; breakbulk; Ro-Ro</x:v>
      </x:c>
      <x:c r="J74" s="102" t="str">
        <x:v>COMP_ADPORTS</x:v>
      </x:c>
      <x:c r="K74" s="102" t="str">
        <x:v>AD Ports Group</x:v>
      </x:c>
      <x:c r="L74" s="102" t="str">
        <x:v>Abu Dhabi Ports</x:v>
      </x:c>
      <x:c r="M74" s="102" t="str">
        <x:v>Operating</x:v>
      </x:c>
      <x:c r="N74" s="102"/>
      <x:c r="O74" s="102" t="n">
        <x:v>85000</x:v>
      </x:c>
      <x:c r="P74" s="102" t="n">
        <x:v>480</x:v>
      </x:c>
      <x:c r="Q74" s="102" t="n">
        <x:v>8</x:v>
      </x:c>
      <x:c r="R74" s="102"/>
      <x:c r="S74" s="102"/>
      <x:c r="T74" s="102"/>
      <x:c r="U74" s="102" t="str">
        <x:v>Owned/operated by AD Ports Group</x:v>
      </x:c>
      <x:c r="V74" s="102" t="str">
        <x:v>ADP-UAE-MUGHARRAQ</x:v>
      </x:c>
      <x:c r="W74" s="102" t="str">
        <x:v>https://www.adportsgroup.com/en/news-and-media/2022/01/23/ad-ports-group-creates-oil--gas-logistics-base-at-mugharraq-port-for-eni-abu-dhabi</x:v>
      </x:c>
      <x:c r="X74" s="102" t="str">
        <x:v>High</x:v>
      </x:c>
      <x:c r="Y74" s="102" t="str">
        <x:v>Heavy-lift port; six Ro-Ro ramps; load bearing up to 15 t/sqm; international ISPS facility.</x:v>
      </x:c>
      <x:c r="Z74" s="102" t="str"/>
    </x:row>
    <x:row r="75">
      <x:c r="A75" s="102" t="str">
        <x:v>TERM0074</x:v>
      </x:c>
      <x:c r="B75" s="102" t="str">
        <x:v>Al Sila Port</x:v>
      </x:c>
      <x:c r="C75" s="102" t="str">
        <x:v>PORTG0070</x:v>
      </x:c>
      <x:c r="D75" s="102" t="str">
        <x:v>Al Sila Port</x:v>
      </x:c>
      <x:c r="E75" s="102" t="str">
        <x:v>United Arab Emirates</x:v>
      </x:c>
      <x:c r="F75" s="102" t="str">
        <x:v>Al Dhafra</x:v>
      </x:c>
      <x:c r="G75" s="102" t="str">
        <x:v>Arabian Gulf</x:v>
      </x:c>
      <x:c r="H75" s="102" t="str">
        <x:v>Seaport</x:v>
      </x:c>
      <x:c r="I75" s="102" t="str">
        <x:v>Commercial/community cargo</x:v>
      </x:c>
      <x:c r="J75" s="102" t="str">
        <x:v>COMP_ADPORTS</x:v>
      </x:c>
      <x:c r="K75" s="102" t="str">
        <x:v>AD Ports Group</x:v>
      </x:c>
      <x:c r="L75" s="102" t="str">
        <x:v>Abu Dhabi Ports</x:v>
      </x:c>
      <x:c r="M75" s="102" t="str">
        <x:v>Operating</x:v>
      </x:c>
      <x:c r="N75" s="102"/>
      <x:c r="O75" s="102"/>
      <x:c r="P75" s="102"/>
      <x:c r="Q75" s="102"/>
      <x:c r="R75" s="102"/>
      <x:c r="S75" s="102"/>
      <x:c r="T75" s="102"/>
      <x:c r="U75" s="102" t="str">
        <x:v>Owned/operated by AD Ports Group</x:v>
      </x:c>
      <x:c r="V75" s="102" t="str">
        <x:v>ADP-UAE-ALSILA</x:v>
      </x:c>
      <x:c r="W75" s="102" t="str">
        <x:v>https://www.adportsgroup.com/en/integrated-clusters/ports/abu-dhabi-ports</x:v>
      </x:c>
      <x:c r="X75" s="102" t="str">
        <x:v>High</x:v>
      </x:c>
      <x:c r="Y75" s="102" t="str">
        <x:v>Listed as a commercial port.</x:v>
      </x:c>
      <x:c r="Z75" s="102" t="str"/>
    </x:row>
    <x:row r="76">
      <x:c r="A76" s="102" t="str">
        <x:v>TERM0075</x:v>
      </x:c>
      <x:c r="B76" s="102" t="str">
        <x:v>Fujairah Port / Fujairah Terminals</x:v>
      </x:c>
      <x:c r="C76" s="102" t="str">
        <x:v>PORTG0071</x:v>
      </x:c>
      <x:c r="D76" s="102" t="str">
        <x:v>Fujairah Port / Fujairah Terminals</x:v>
      </x:c>
      <x:c r="E76" s="102" t="str">
        <x:v>United Arab Emirates</x:v>
      </x:c>
      <x:c r="F76" s="102" t="str">
        <x:v>Fujairah</x:v>
      </x:c>
      <x:c r="G76" s="102" t="str">
        <x:v>Gulf of Oman</x:v>
      </x:c>
      <x:c r="H76" s="102" t="str">
        <x:v>Seaport / terminal</x:v>
      </x:c>
      <x:c r="I76" s="102" t="str">
        <x:v>Container; general cargo; Ro-Ro; bulk</x:v>
      </x:c>
      <x:c r="J76" s="102" t="str">
        <x:v>COMP_ADPORTS</x:v>
      </x:c>
      <x:c r="K76" s="102" t="str">
        <x:v>AD Ports Group / Fujairah Port partnership</x:v>
      </x:c>
      <x:c r="L76" s="102" t="str">
        <x:v>Abu Dhabi Ports</x:v>
      </x:c>
      <x:c r="M76" s="102" t="str">
        <x:v>Operating</x:v>
      </x:c>
      <x:c r="N76" s="102"/>
      <x:c r="O76" s="102"/>
      <x:c r="P76" s="102"/>
      <x:c r="Q76" s="102"/>
      <x:c r="R76" s="102"/>
      <x:c r="S76" s="102" t="str">
        <x:v>Planned/linked inland rail network</x:v>
      </x:c>
      <x:c r="T76" s="102"/>
      <x:c r="U76" s="102" t="str">
        <x:v>Long-term operating/development rights</x:v>
      </x:c>
      <x:c r="V76" s="102" t="str">
        <x:v>ADP-UAE-FUJAIRAH</x:v>
      </x:c>
      <x:c r="W76" s="102" t="str">
        <x:v>https://www.adportsgroup.com/en/news-and-media/2026/05/22/ad-ports-group-establishes-consolidated-multimodal-inland-logistics-network</x:v>
      </x:c>
      <x:c r="X76" s="102" t="str">
        <x:v>High</x:v>
      </x:c>
      <x:c r="Y76" s="102" t="str">
        <x:v>Strategic east-coast gateway outside Strait of Hormuz; part of consolidated inland logistics network.</x:v>
      </x:c>
      <x:c r="Z76" s="102" t="str"/>
    </x:row>
    <x:row r="77">
      <x:c r="A77" s="102" t="str">
        <x:v>TERM0076</x:v>
      </x:c>
      <x:c r="B77" s="102" t="str">
        <x:v>Delma Port</x:v>
      </x:c>
      <x:c r="C77" s="102" t="str">
        <x:v>PORTG0072</x:v>
      </x:c>
      <x:c r="D77" s="102" t="str">
        <x:v>Delma Port</x:v>
      </x:c>
      <x:c r="E77" s="102" t="str">
        <x:v>United Arab Emirates</x:v>
      </x:c>
      <x:c r="F77" s="102" t="str">
        <x:v>Al Dhafra</x:v>
      </x:c>
      <x:c r="G77" s="102" t="str">
        <x:v>Arabian Gulf</x:v>
      </x:c>
      <x:c r="H77" s="102" t="str">
        <x:v>Community port</x:v>
      </x:c>
      <x:c r="I77" s="102" t="str">
        <x:v>Passenger/community</x:v>
      </x:c>
      <x:c r="J77" s="102" t="str">
        <x:v>COMP_ADPORTS</x:v>
      </x:c>
      <x:c r="K77" s="102" t="str">
        <x:v>AD Ports Group</x:v>
      </x:c>
      <x:c r="L77" s="102" t="str">
        <x:v>Abu Dhabi Ports</x:v>
      </x:c>
      <x:c r="M77" s="102" t="str">
        <x:v>Operating</x:v>
      </x:c>
      <x:c r="N77" s="102"/>
      <x:c r="O77" s="102"/>
      <x:c r="P77" s="102"/>
      <x:c r="Q77" s="102"/>
      <x:c r="R77" s="102"/>
      <x:c r="S77" s="102"/>
      <x:c r="T77" s="102"/>
      <x:c r="U77" s="102" t="str">
        <x:v>Owned/operated by AD Ports Group</x:v>
      </x:c>
      <x:c r="V77" s="102" t="str">
        <x:v>ADP-UAE-DELMA</x:v>
      </x:c>
      <x:c r="W77" s="102" t="str">
        <x:v>https://www.adportsgroup.com/en/integrated-clusters/ports/abu-dhabi-ports</x:v>
      </x:c>
      <x:c r="X77" s="102" t="str">
        <x:v>High</x:v>
      </x:c>
      <x:c r="Y77" s="102" t="str">
        <x:v>Community port.</x:v>
      </x:c>
      <x:c r="Z77" s="102" t="str"/>
    </x:row>
    <x:row r="78">
      <x:c r="A78" s="102" t="str">
        <x:v>TERM0077</x:v>
      </x:c>
      <x:c r="B78" s="102" t="str">
        <x:v>Mirfa Port</x:v>
      </x:c>
      <x:c r="C78" s="102" t="str">
        <x:v>PORTG0073</x:v>
      </x:c>
      <x:c r="D78" s="102" t="str">
        <x:v>Mirfa Port</x:v>
      </x:c>
      <x:c r="E78" s="102" t="str">
        <x:v>United Arab Emirates</x:v>
      </x:c>
      <x:c r="F78" s="102" t="str">
        <x:v>Al Dhafra</x:v>
      </x:c>
      <x:c r="G78" s="102" t="str">
        <x:v>Arabian Gulf</x:v>
      </x:c>
      <x:c r="H78" s="102" t="str">
        <x:v>Community port</x:v>
      </x:c>
      <x:c r="I78" s="102" t="str">
        <x:v>Passenger/community</x:v>
      </x:c>
      <x:c r="J78" s="102" t="str">
        <x:v>COMP_ADPORTS</x:v>
      </x:c>
      <x:c r="K78" s="102" t="str">
        <x:v>AD Ports Group</x:v>
      </x:c>
      <x:c r="L78" s="102" t="str">
        <x:v>Abu Dhabi Ports</x:v>
      </x:c>
      <x:c r="M78" s="102" t="str">
        <x:v>Operating</x:v>
      </x:c>
      <x:c r="N78" s="102"/>
      <x:c r="O78" s="102"/>
      <x:c r="P78" s="102"/>
      <x:c r="Q78" s="102"/>
      <x:c r="R78" s="102"/>
      <x:c r="S78" s="102"/>
      <x:c r="T78" s="102"/>
      <x:c r="U78" s="102" t="str">
        <x:v>Owned/operated by AD Ports Group</x:v>
      </x:c>
      <x:c r="V78" s="102" t="str">
        <x:v>ADP-UAE-MIRFA</x:v>
      </x:c>
      <x:c r="W78" s="102" t="str">
        <x:v>https://www.adportsgroup.com/en/integrated-clusters/ports/abu-dhabi-ports</x:v>
      </x:c>
      <x:c r="X78" s="102" t="str">
        <x:v>High</x:v>
      </x:c>
      <x:c r="Y78" s="102" t="str">
        <x:v>Community port.</x:v>
      </x:c>
      <x:c r="Z78" s="102" t="str"/>
    </x:row>
    <x:row r="79">
      <x:c r="A79" s="102" t="str">
        <x:v>TERM0078</x:v>
      </x:c>
      <x:c r="B79" s="102" t="str">
        <x:v>Shahama Port</x:v>
      </x:c>
      <x:c r="C79" s="102" t="str">
        <x:v>PORTG0074</x:v>
      </x:c>
      <x:c r="D79" s="102" t="str">
        <x:v>Shahama Port</x:v>
      </x:c>
      <x:c r="E79" s="102" t="str">
        <x:v>United Arab Emirates</x:v>
      </x:c>
      <x:c r="F79" s="102" t="str">
        <x:v>Abu Dhabi</x:v>
      </x:c>
      <x:c r="G79" s="102" t="str">
        <x:v>Arabian Gulf</x:v>
      </x:c>
      <x:c r="H79" s="102" t="str">
        <x:v>Community port</x:v>
      </x:c>
      <x:c r="I79" s="102" t="str">
        <x:v>Passenger/community</x:v>
      </x:c>
      <x:c r="J79" s="102" t="str">
        <x:v>COMP_ADPORTS</x:v>
      </x:c>
      <x:c r="K79" s="102" t="str">
        <x:v>AD Ports Group</x:v>
      </x:c>
      <x:c r="L79" s="102" t="str">
        <x:v>Abu Dhabi Ports</x:v>
      </x:c>
      <x:c r="M79" s="102" t="str">
        <x:v>Operating</x:v>
      </x:c>
      <x:c r="N79" s="102"/>
      <x:c r="O79" s="102"/>
      <x:c r="P79" s="102"/>
      <x:c r="Q79" s="102"/>
      <x:c r="R79" s="102"/>
      <x:c r="S79" s="102"/>
      <x:c r="T79" s="102"/>
      <x:c r="U79" s="102" t="str">
        <x:v>Owned/operated by AD Ports Group</x:v>
      </x:c>
      <x:c r="V79" s="102" t="str">
        <x:v>ADP-UAE-SHAHAMA</x:v>
      </x:c>
      <x:c r="W79" s="102" t="str">
        <x:v>https://www.adportsgroup.com/en/integrated-clusters/ports/abu-dhabi-ports</x:v>
      </x:c>
      <x:c r="X79" s="102" t="str">
        <x:v>High</x:v>
      </x:c>
      <x:c r="Y79" s="102" t="str">
        <x:v>Community port.</x:v>
      </x:c>
      <x:c r="Z79" s="102" t="str"/>
    </x:row>
    <x:row r="80">
      <x:c r="A80" s="102" t="str">
        <x:v>TERM0079</x:v>
      </x:c>
      <x:c r="B80" s="102" t="str">
        <x:v>Al Faya Dry Port</x:v>
      </x:c>
      <x:c r="C80" s="102" t="str">
        <x:v>PORTG0065</x:v>
      </x:c>
      <x:c r="D80" s="102" t="str">
        <x:v>Khalifa Port</x:v>
      </x:c>
      <x:c r="E80" s="102" t="str">
        <x:v>United Arab Emirates</x:v>
      </x:c>
      <x:c r="F80" s="102" t="str">
        <x:v>Abu Dhabi/Dubai border</x:v>
      </x:c>
      <x:c r="G80" s="102" t="str">
        <x:v>UAE inland</x:v>
      </x:c>
      <x:c r="H80" s="102" t="str">
        <x:v>Dry port / ICD</x:v>
      </x:c>
      <x:c r="I80" s="102" t="str">
        <x:v>Containers</x:v>
      </x:c>
      <x:c r="J80" s="102" t="str">
        <x:v>COMP_ADPORTS</x:v>
      </x:c>
      <x:c r="K80" s="102" t="str">
        <x:v>AD Ports Group</x:v>
      </x:c>
      <x:c r="L80" s="102" t="str">
        <x:v>Abu Dhabi Ports</x:v>
      </x:c>
      <x:c r="M80" s="102" t="str">
        <x:v>Operating</x:v>
      </x:c>
      <x:c r="N80" s="102" t="n">
        <x:v>900</x:v>
      </x:c>
      <x:c r="O80" s="102"/>
      <x:c r="P80" s="102"/>
      <x:c r="Q80" s="102"/>
      <x:c r="R80" s="102"/>
      <x:c r="S80" s="102" t="str">
        <x:v>No; overland linked; part of rail-linked inland strategy</x:v>
      </x:c>
      <x:c r="T80" s="102"/>
      <x:c r="U80" s="102" t="str">
        <x:v>Owned/operated by AD Ports Group</x:v>
      </x:c>
      <x:c r="V80" s="102" t="str">
        <x:v>ADP-UAE-ALFAYA</x:v>
      </x:c>
      <x:c r="W80" s="102" t="str">
        <x:v>https://www.adportsgroup.com/en/news-and-media/2026/06/18/ad-ports-group-enhances-al-faya-dry-ports-integration-with-the-global-trade-and-logistics-ecosystem</x:v>
      </x:c>
      <x:c r="X80" s="102" t="str">
        <x:v>High</x:v>
      </x:c>
      <x:c r="Y80" s="102" t="str">
        <x:v>UN/LOCODE AEALF; initial 900 TEU static capacity; anchored by CMA CGM and scalable.</x:v>
      </x:c>
      <x:c r="Z80" s="102" t="str"/>
    </x:row>
    <x:row r="81">
      <x:c r="A81" s="102" t="str">
        <x:v>TERM0080</x:v>
      </x:c>
      <x:c r="B81" s="102" t="str">
        <x:v>Abu Dhabi Terminals</x:v>
      </x:c>
      <x:c r="C81" s="102" t="str">
        <x:v>PORTG0065</x:v>
      </x:c>
      <x:c r="D81" s="102" t="str">
        <x:v>Khalifa Port</x:v>
      </x:c>
      <x:c r="E81" s="102" t="str">
        <x:v>United Arab Emirates</x:v>
      </x:c>
      <x:c r="F81" s="102" t="str">
        <x:v>Abu Dhabi</x:v>
      </x:c>
      <x:c r="G81" s="102" t="str">
        <x:v>Arabian Gulf</x:v>
      </x:c>
      <x:c r="H81" s="102" t="str">
        <x:v>Container terminal</x:v>
      </x:c>
      <x:c r="I81" s="102" t="str">
        <x:v>Containers</x:v>
      </x:c>
      <x:c r="J81" s="102" t="str">
        <x:v>COMP_ADPORTS</x:v>
      </x:c>
      <x:c r="K81" s="102" t="str">
        <x:v>Abu Dhabi Terminals</x:v>
      </x:c>
      <x:c r="L81" s="102" t="str">
        <x:v>Abu Dhabi Ports</x:v>
      </x:c>
      <x:c r="M81" s="102" t="str">
        <x:v>Operating</x:v>
      </x:c>
      <x:c r="N81" s="102"/>
      <x:c r="O81" s="102"/>
      <x:c r="P81" s="102"/>
      <x:c r="Q81" s="102"/>
      <x:c r="R81" s="102"/>
      <x:c r="S81" s="102" t="str">
        <x:v>Yes</x:v>
      </x:c>
      <x:c r="T81" s="102"/>
      <x:c r="U81" s="102" t="str">
        <x:v>AD Ports Group with MSC relationship</x:v>
      </x:c>
      <x:c r="V81" s="102" t="str">
        <x:v>ADP-UAE-ADT</x:v>
      </x:c>
      <x:c r="W81" s="102" t="str">
        <x:v>https://www.adportsgroup.com/en/integrated-clusters/ports/abu-dhabi-ports</x:v>
      </x:c>
      <x:c r="X81" s="102" t="str">
        <x:v>High</x:v>
      </x:c>
      <x:c r="Y81" s="102" t="str">
        <x:v>One of three major container terminals at Khalifa Port.</x:v>
      </x:c>
      <x:c r="Z81" s="102" t="str"/>
    </x:row>
    <x:row r="82">
      <x:c r="A82" s="102" t="str">
        <x:v>TERM0081</x:v>
      </x:c>
      <x:c r="B82" s="102" t="str">
        <x:v>CSP Abu Dhabi Terminal</x:v>
      </x:c>
      <x:c r="C82" s="102" t="str">
        <x:v>PORTG0065</x:v>
      </x:c>
      <x:c r="D82" s="102" t="str">
        <x:v>Khalifa Port</x:v>
      </x:c>
      <x:c r="E82" s="102" t="str">
        <x:v>United Arab Emirates</x:v>
      </x:c>
      <x:c r="F82" s="102" t="str">
        <x:v>Abu Dhabi</x:v>
      </x:c>
      <x:c r="G82" s="102" t="str">
        <x:v>Arabian Gulf</x:v>
      </x:c>
      <x:c r="H82" s="102" t="str">
        <x:v>Container terminal</x:v>
      </x:c>
      <x:c r="I82" s="102" t="str">
        <x:v>Containers</x:v>
      </x:c>
      <x:c r="J82" s="102" t="str">
        <x:v>COMP_ADPORTS</x:v>
      </x:c>
      <x:c r="K82" s="102" t="str">
        <x:v>CSP / COSCO Shipping Ports</x:v>
      </x:c>
      <x:c r="L82" s="102" t="str">
        <x:v>Abu Dhabi Ports</x:v>
      </x:c>
      <x:c r="M82" s="102" t="str">
        <x:v>Operating</x:v>
      </x:c>
      <x:c r="N82" s="102"/>
      <x:c r="O82" s="102"/>
      <x:c r="P82" s="102"/>
      <x:c r="Q82" s="102"/>
      <x:c r="R82" s="102"/>
      <x:c r="S82" s="102" t="str">
        <x:v>Yes</x:v>
      </x:c>
      <x:c r="T82" s="102"/>
      <x:c r="U82" s="102" t="str">
        <x:v>Joint operation/partnership with COSCO Shipping</x:v>
      </x:c>
      <x:c r="V82" s="102" t="str">
        <x:v>ADP-UAE-CSP</x:v>
      </x:c>
      <x:c r="W82" s="102" t="str">
        <x:v>https://www.adportsgroup.com/en/integrated-clusters/ports/abu-dhabi-ports</x:v>
      </x:c>
      <x:c r="X82" s="102" t="str">
        <x:v>High</x:v>
      </x:c>
      <x:c r="Y82" s="102" t="str">
        <x:v>Container terminal operated with COSCO Shipping.</x:v>
      </x:c>
      <x:c r="Z82" s="102" t="str"/>
    </x:row>
    <x:row r="83">
      <x:c r="A83" s="102" t="str">
        <x:v>TERM0082</x:v>
      </x:c>
      <x:c r="B83" s="102" t="str">
        <x:v>CMA Terminals Khalifa Port</x:v>
      </x:c>
      <x:c r="C83" s="102" t="str">
        <x:v>PORTG0065</x:v>
      </x:c>
      <x:c r="D83" s="102" t="str">
        <x:v>Khalifa Port</x:v>
      </x:c>
      <x:c r="E83" s="102" t="str">
        <x:v>United Arab Emirates</x:v>
      </x:c>
      <x:c r="F83" s="102" t="str">
        <x:v>Abu Dhabi</x:v>
      </x:c>
      <x:c r="G83" s="102" t="str">
        <x:v>Arabian Gulf</x:v>
      </x:c>
      <x:c r="H83" s="102" t="str">
        <x:v>Container terminal</x:v>
      </x:c>
      <x:c r="I83" s="102" t="str">
        <x:v>Containers</x:v>
      </x:c>
      <x:c r="J83" s="102" t="str">
        <x:v>COMP_ADPORTS</x:v>
      </x:c>
      <x:c r="K83" s="102" t="str">
        <x:v>CMA Terminals Khalifa Port</x:v>
      </x:c>
      <x:c r="L83" s="102" t="str">
        <x:v>Abu Dhabi Ports; CMA Terminals</x:v>
      </x:c>
      <x:c r="M83" s="102" t="str">
        <x:v>Operating; expansion planned</x:v>
      </x:c>
      <x:c r="N83" s="102" t="n">
        <x:v>2700000</x:v>
      </x:c>
      <x:c r="O83" s="102" t="n">
        <x:v>900000</x:v>
      </x:c>
      <x:c r="P83" s="102" t="n">
        <x:v>1200</x:v>
      </x:c>
      <x:c r="Q83" s="102" t="n">
        <x:v>18.5</x:v>
      </x:c>
      <x:c r="R83" s="102" t="n">
        <x:v>2</x:v>
      </x:c>
      <x:c r="S83" s="102" t="str">
        <x:v>Yes</x:v>
      </x:c>
      <x:c r="T83" s="102"/>
      <x:c r="U83" s="102" t="str">
        <x:v>70% CMA CGM / 30% AD Ports Group | 70% CMA Terminals / 30% AD Ports Group</x:v>
      </x:c>
      <x:c r="V83" s="102" t="str">
        <x:v>ADP-UAE-CMA; CMA-AE-KHAL</x:v>
      </x:c>
      <x:c r="W83" s="102" t="str">
        <x:v>https://www.adportsgroup.com/en/news-and-media/2025/11/18/ad-ports-group-signs-agreement-with-cma-cgm-group-to-expand-terminal-at-khalifa-port</x:v>
      </x:c>
      <x:c r="X83" s="102" t="str">
        <x:v>High</x:v>
      </x:c>
      <x:c r="Y83" s="102" t="str">
        <x:v>Phase 1: 1.8m TEU; expansion to 2.7m TEU scheduled early 2028. | Phase 1 1.8m TEU, 800m quay, 46ha; early-2028 expansion targets 2.7m TEU, 1,200m quay, 67ha.</x:v>
      </x:c>
      <x:c r="Z83" s="102" t="str">
        <x:v>Duplicate source records collapsed</x:v>
      </x:c>
    </x:row>
    <x:row r="84">
      <x:c r="A84" s="102" t="str">
        <x:v>TERM0083</x:v>
      </x:c>
      <x:c r="B84" s="102" t="str">
        <x:v>Autoterminal Khalifa Port</x:v>
      </x:c>
      <x:c r="C84" s="102" t="str">
        <x:v>PORTG0065</x:v>
      </x:c>
      <x:c r="D84" s="102" t="str">
        <x:v>Khalifa Port</x:v>
      </x:c>
      <x:c r="E84" s="102" t="str">
        <x:v>United Arab Emirates</x:v>
      </x:c>
      <x:c r="F84" s="102" t="str">
        <x:v>Abu Dhabi</x:v>
      </x:c>
      <x:c r="G84" s="102" t="str">
        <x:v>Arabian Gulf</x:v>
      </x:c>
      <x:c r="H84" s="102" t="str">
        <x:v>Automotive / Ro-Ro terminal</x:v>
      </x:c>
      <x:c r="I84" s="102" t="str">
        <x:v>Vehicles; Ro-Ro; H&amp;H</x:v>
      </x:c>
      <x:c r="J84" s="102" t="str">
        <x:v>COMP_NOATUM</x:v>
      </x:c>
      <x:c r="K84" s="102" t="str">
        <x:v>Autoterminal Khalifa Port</x:v>
      </x:c>
      <x:c r="L84" s="102" t="str">
        <x:v>Noatum Automotive / Abu Dhabi Ports</x:v>
      </x:c>
      <x:c r="M84" s="102" t="str">
        <x:v>Operating</x:v>
      </x:c>
      <x:c r="N84" s="102"/>
      <x:c r="O84" s="102"/>
      <x:c r="P84" s="102"/>
      <x:c r="Q84" s="102"/>
      <x:c r="R84" s="102"/>
      <x:c r="S84" s="102" t="str">
        <x:v>Yes</x:v>
      </x:c>
      <x:c r="T84" s="102"/>
      <x:c r="U84" s="102" t="str">
        <x:v>AD Ports Group / Noatum automotive asset</x:v>
      </x:c>
      <x:c r="V84" s="102" t="str">
        <x:v>ADP-UAE-ATK</x:v>
      </x:c>
      <x:c r="W84" s="102" t="str">
        <x:v>https://www.noatum.com/en/noatum-automotive/</x:v>
      </x:c>
      <x:c r="X84" s="102" t="str">
        <x:v>High</x:v>
      </x:c>
      <x:c r="Y84" s="102" t="str">
        <x:v>One of Noatum Automotive's eight core automotive terminals.</x:v>
      </x:c>
      <x:c r="Z84" s="102" t="str"/>
    </x:row>
    <x:row r="85">
      <x:c r="A85" s="102" t="str">
        <x:v>TERM0084</x:v>
      </x:c>
      <x:c r="B85" s="102" t="str">
        <x:v>South Quay</x:v>
      </x:c>
      <x:c r="C85" s="102" t="str">
        <x:v>PORTG0065</x:v>
      </x:c>
      <x:c r="D85" s="102" t="str">
        <x:v>Khalifa Port</x:v>
      </x:c>
      <x:c r="E85" s="102" t="str">
        <x:v>United Arab Emirates</x:v>
      </x:c>
      <x:c r="F85" s="102" t="str">
        <x:v>Abu Dhabi</x:v>
      </x:c>
      <x:c r="G85" s="102" t="str">
        <x:v>Arabian Gulf</x:v>
      </x:c>
      <x:c r="H85" s="102" t="str">
        <x:v>Multipurpose terminal</x:v>
      </x:c>
      <x:c r="I85" s="102" t="str">
        <x:v>General cargo; breakbulk; project cargo</x:v>
      </x:c>
      <x:c r="J85" s="102" t="str">
        <x:v>COMP_ADPORTS</x:v>
      </x:c>
      <x:c r="K85" s="102" t="str">
        <x:v>AD Ports Group</x:v>
      </x:c>
      <x:c r="L85" s="102" t="str">
        <x:v>Abu Dhabi Ports</x:v>
      </x:c>
      <x:c r="M85" s="102" t="str">
        <x:v>Operating</x:v>
      </x:c>
      <x:c r="N85" s="102"/>
      <x:c r="O85" s="102"/>
      <x:c r="P85" s="102"/>
      <x:c r="Q85" s="102"/>
      <x:c r="R85" s="102"/>
      <x:c r="S85" s="102" t="str">
        <x:v>Yes</x:v>
      </x:c>
      <x:c r="T85" s="102"/>
      <x:c r="U85" s="102" t="str">
        <x:v>Owned/operated by AD Ports Group</x:v>
      </x:c>
      <x:c r="V85" s="102" t="str">
        <x:v>ADP-UAE-SOUTHQUAY</x:v>
      </x:c>
      <x:c r="W85" s="102" t="str">
        <x:v>https://www.adportsgroup.com/en/integrated-clusters/ports/abu-dhabi-ports</x:v>
      </x:c>
      <x:c r="X85" s="102" t="str">
        <x:v>High</x:v>
      </x:c>
      <x:c r="Y85" s="102" t="str">
        <x:v>Commercial terminal within Khalifa Port.</x:v>
      </x:c>
      <x:c r="Z85" s="102" t="str"/>
    </x:row>
    <x:row r="86">
      <x:c r="A86" s="102" t="str">
        <x:v>TERM0085</x:v>
      </x:c>
      <x:c r="B86" s="102" t="str">
        <x:v>Khalifa Port Logistics</x:v>
      </x:c>
      <x:c r="C86" s="102" t="str">
        <x:v>PORTG0065</x:v>
      </x:c>
      <x:c r="D86" s="102" t="str">
        <x:v>Khalifa Port</x:v>
      </x:c>
      <x:c r="E86" s="102" t="str">
        <x:v>United Arab Emirates</x:v>
      </x:c>
      <x:c r="F86" s="102" t="str">
        <x:v>Abu Dhabi</x:v>
      </x:c>
      <x:c r="G86" s="102" t="str">
        <x:v>Arabian Gulf</x:v>
      </x:c>
      <x:c r="H86" s="102" t="str">
        <x:v>Logistics terminal</x:v>
      </x:c>
      <x:c r="I86" s="102" t="str">
        <x:v>General cargo; logistics</x:v>
      </x:c>
      <x:c r="J86" s="102" t="str">
        <x:v>COMP_ADPORTS</x:v>
      </x:c>
      <x:c r="K86" s="102" t="str">
        <x:v>AD Ports Group</x:v>
      </x:c>
      <x:c r="L86" s="102" t="str">
        <x:v>Abu Dhabi Ports</x:v>
      </x:c>
      <x:c r="M86" s="102" t="str">
        <x:v>Operating</x:v>
      </x:c>
      <x:c r="N86" s="102"/>
      <x:c r="O86" s="102"/>
      <x:c r="P86" s="102"/>
      <x:c r="Q86" s="102"/>
      <x:c r="R86" s="102"/>
      <x:c r="S86" s="102" t="str">
        <x:v>Yes</x:v>
      </x:c>
      <x:c r="T86" s="102"/>
      <x:c r="U86" s="102" t="str">
        <x:v>Owned/operated by AD Ports Group</x:v>
      </x:c>
      <x:c r="V86" s="102" t="str">
        <x:v>ADP-UAE-KPL</x:v>
      </x:c>
      <x:c r="W86" s="102" t="str">
        <x:v>https://www.adportsgroup.com/en/integrated-clusters/ports/abu-dhabi-ports</x:v>
      </x:c>
      <x:c r="X86" s="102" t="str">
        <x:v>High</x:v>
      </x:c>
      <x:c r="Y86" s="102" t="str">
        <x:v>Commercial terminal within Khalifa Port.</x:v>
      </x:c>
      <x:c r="Z86" s="102" t="str"/>
    </x:row>
    <x:row r="87">
      <x:c r="A87" s="102" t="str">
        <x:v>TERM0086</x:v>
      </x:c>
      <x:c r="B87" s="102" t="str">
        <x:v>Abu Dhabi Cruise Terminal</x:v>
      </x:c>
      <x:c r="C87" s="102" t="str">
        <x:v>PORTG0066</x:v>
      </x:c>
      <x:c r="D87" s="102" t="str">
        <x:v>Zayed Port</x:v>
      </x:c>
      <x:c r="E87" s="102" t="str">
        <x:v>United Arab Emirates</x:v>
      </x:c>
      <x:c r="F87" s="102" t="str">
        <x:v>Abu Dhabi</x:v>
      </x:c>
      <x:c r="G87" s="102" t="str">
        <x:v>Arabian Gulf</x:v>
      </x:c>
      <x:c r="H87" s="102" t="str">
        <x:v>Cruise terminal</x:v>
      </x:c>
      <x:c r="I87" s="102" t="str">
        <x:v>Passengers</x:v>
      </x:c>
      <x:c r="J87" s="102" t="str">
        <x:v>COMP_ADPORTS</x:v>
      </x:c>
      <x:c r="K87" s="102" t="str">
        <x:v>AD Ports Group</x:v>
      </x:c>
      <x:c r="L87" s="102" t="str">
        <x:v>AD Ports Group Cruise</x:v>
      </x:c>
      <x:c r="M87" s="102" t="str">
        <x:v>Operating</x:v>
      </x:c>
      <x:c r="N87" s="102"/>
      <x:c r="O87" s="102"/>
      <x:c r="P87" s="102"/>
      <x:c r="Q87" s="102"/>
      <x:c r="R87" s="102"/>
      <x:c r="S87" s="102"/>
      <x:c r="T87" s="102"/>
      <x:c r="U87" s="102" t="str">
        <x:v>Owned/operated</x:v>
      </x:c>
      <x:c r="V87" s="102" t="str">
        <x:v>ADP-CRUISE-ABU</x:v>
      </x:c>
      <x:c r="W87" s="102" t="str">
        <x:v>https://www.adportsgroup.com/en/integrated-clusters/ports/abu-dhabi-ports</x:v>
      </x:c>
      <x:c r="X87" s="102" t="str">
        <x:v>High</x:v>
      </x:c>
      <x:c r="Y87" s="102" t="str">
        <x:v>Includes Zayed Port cruise operations; Sir Bani Yas Cruise Beach is a related passenger asset.</x:v>
      </x:c>
      <x:c r="Z87" s="102" t="str"/>
    </x:row>
    <x:row r="88">
      <x:c r="A88" s="102" t="str">
        <x:v>TERM0087</x:v>
      </x:c>
      <x:c r="B88" s="102" t="str">
        <x:v>Sir Bani Yas Cruise Beach</x:v>
      </x:c>
      <x:c r="C88" s="102" t="str">
        <x:v>PORTG0075</x:v>
      </x:c>
      <x:c r="D88" s="102" t="str">
        <x:v>Sir Bani Yas Cruise Beach</x:v>
      </x:c>
      <x:c r="E88" s="102" t="str">
        <x:v>United Arab Emirates</x:v>
      </x:c>
      <x:c r="F88" s="102" t="str">
        <x:v>Sir Bani Yas Island</x:v>
      </x:c>
      <x:c r="G88" s="102" t="str">
        <x:v>Arabian Gulf</x:v>
      </x:c>
      <x:c r="H88" s="102" t="str">
        <x:v>Cruise beach / passenger terminal</x:v>
      </x:c>
      <x:c r="I88" s="102" t="str">
        <x:v>Passengers</x:v>
      </x:c>
      <x:c r="J88" s="102" t="str">
        <x:v>COMP_ADPORTS</x:v>
      </x:c>
      <x:c r="K88" s="102" t="str">
        <x:v>AD Ports Group</x:v>
      </x:c>
      <x:c r="L88" s="102" t="str">
        <x:v>AD Ports Group Cruise</x:v>
      </x:c>
      <x:c r="M88" s="102" t="str">
        <x:v>Operating</x:v>
      </x:c>
      <x:c r="N88" s="102"/>
      <x:c r="O88" s="102"/>
      <x:c r="P88" s="102"/>
      <x:c r="Q88" s="102"/>
      <x:c r="R88" s="102"/>
      <x:c r="S88" s="102"/>
      <x:c r="T88" s="102"/>
      <x:c r="U88" s="102" t="str">
        <x:v>Operated</x:v>
      </x:c>
      <x:c r="V88" s="102" t="str">
        <x:v>ADP-CRUISE-SBY</x:v>
      </x:c>
      <x:c r="W88" s="102" t="str">
        <x:v>https://www.adportsgroup.com/en/integrated-clusters/ports/abu-dhabi-ports</x:v>
      </x:c>
      <x:c r="X88" s="102" t="str">
        <x:v>High</x:v>
      </x:c>
      <x:c r="Y88" s="102" t="str">
        <x:v>Cruise destination/passenger asset.</x:v>
      </x:c>
      <x:c r="Z88" s="102" t="str"/>
    </x:row>
    <x:row r="89">
      <x:c r="A89" s="102" t="str">
        <x:v>TERM0088</x:v>
      </x:c>
      <x:c r="B89" s="102" t="str">
        <x:v>Aqaba Cruise Terminal</x:v>
      </x:c>
      <x:c r="C89" s="102" t="str">
        <x:v>PORTG0076</x:v>
      </x:c>
      <x:c r="D89" s="102" t="str">
        <x:v>Port of Aqaba</x:v>
      </x:c>
      <x:c r="E89" s="102" t="str">
        <x:v>Jordan</x:v>
      </x:c>
      <x:c r="F89" s="102" t="str">
        <x:v>Aqaba</x:v>
      </x:c>
      <x:c r="G89" s="102" t="str">
        <x:v>Red Sea</x:v>
      </x:c>
      <x:c r="H89" s="102" t="str">
        <x:v>Cruise terminal</x:v>
      </x:c>
      <x:c r="I89" s="102" t="str">
        <x:v>Passengers</x:v>
      </x:c>
      <x:c r="J89" s="102" t="str">
        <x:v>COMP_NOATUM</x:v>
      </x:c>
      <x:c r="K89" s="102" t="str">
        <x:v>AD Ports Group / Aqaba Development Corporation</x:v>
      </x:c>
      <x:c r="L89" s="102" t="str">
        <x:v>AD Ports Group Cruise / Noatum Ports ecosystem</x:v>
      </x:c>
      <x:c r="M89" s="102" t="str">
        <x:v>Operating</x:v>
      </x:c>
      <x:c r="N89" s="102"/>
      <x:c r="O89" s="102"/>
      <x:c r="P89" s="102"/>
      <x:c r="Q89" s="102"/>
      <x:c r="R89" s="102"/>
      <x:c r="S89" s="102"/>
      <x:c r="T89" s="102"/>
      <x:c r="U89" s="102" t="str">
        <x:v>Partnership</x:v>
      </x:c>
      <x:c r="V89" s="102" t="str">
        <x:v>ADP-JOR-AQABA-CRUISE</x:v>
      </x:c>
      <x:c r="W89" s="102" t="str">
        <x:v>https://www.adportsgroup.com/en/news-and-media/2026/06/18/ad-ports-group-launches-maqta-ayla-digital-solutions-in-jordan</x:v>
      </x:c>
      <x:c r="X89" s="102" t="str">
        <x:v>High</x:v>
      </x:c>
      <x:c r="Y89" s="102" t="str">
        <x:v>Inaugurated 2023; sits alongside expanding AD Ports Group Aqaba portfolio.</x:v>
      </x:c>
      <x:c r="Z89" s="102" t="str"/>
    </x:row>
    <x:row r="90">
      <x:c r="A90" s="102" t="str">
        <x:v>TERM0089</x:v>
      </x:c>
      <x:c r="B90" s="102" t="str">
        <x:v>Sharm El Sheikh Cruise Terminal</x:v>
      </x:c>
      <x:c r="C90" s="102" t="str">
        <x:v>PORTG0077</x:v>
      </x:c>
      <x:c r="D90" s="102" t="str">
        <x:v>Port of Sharm El Sheikh</x:v>
      </x:c>
      <x:c r="E90" s="102" t="str">
        <x:v>Egypt</x:v>
      </x:c>
      <x:c r="F90" s="102" t="str">
        <x:v>Sharm El Sheikh</x:v>
      </x:c>
      <x:c r="G90" s="102" t="str">
        <x:v>Red Sea</x:v>
      </x:c>
      <x:c r="H90" s="102" t="str">
        <x:v>Cruise terminal</x:v>
      </x:c>
      <x:c r="I90" s="102" t="str">
        <x:v>Passengers</x:v>
      </x:c>
      <x:c r="J90" s="102" t="str">
        <x:v>COMP_ADPORTS</x:v>
      </x:c>
      <x:c r="K90" s="102" t="str">
        <x:v>AD Ports Group / Egyptian authorities</x:v>
      </x:c>
      <x:c r="L90" s="102" t="str">
        <x:v>AD Ports Group Cruise</x:v>
      </x:c>
      <x:c r="M90" s="102" t="str">
        <x:v>Operating</x:v>
      </x:c>
      <x:c r="N90" s="102"/>
      <x:c r="O90" s="102"/>
      <x:c r="P90" s="102"/>
      <x:c r="Q90" s="102"/>
      <x:c r="R90" s="102"/>
      <x:c r="S90" s="102"/>
      <x:c r="T90" s="102"/>
      <x:c r="U90" s="102" t="str">
        <x:v>Concession/management arrangement</x:v>
      </x:c>
      <x:c r="V90" s="102" t="str">
        <x:v>ADP-EGY-SHARM-CRUISE</x:v>
      </x:c>
      <x:c r="W90" s="102" t="str">
        <x:v>https://www.adportsgroup.com/en/news-and-media/2026/05/19/ad-ports-group-launches-cruise-and-ferry-terminal-services-in-egypt</x:v>
      </x:c>
      <x:c r="X90" s="102" t="str">
        <x:v>High</x:v>
      </x:c>
      <x:c r="Y90" s="102" t="str">
        <x:v>Cruise services launched in 2026.</x:v>
      </x:c>
      <x:c r="Z90" s="102" t="str"/>
    </x:row>
    <x:row r="91">
      <x:c r="A91" s="102" t="str">
        <x:v>TERM0090</x:v>
      </x:c>
      <x:c r="B91" s="102" t="str">
        <x:v>Hurghada Cruise Terminal</x:v>
      </x:c>
      <x:c r="C91" s="102" t="str">
        <x:v>PORTG0078</x:v>
      </x:c>
      <x:c r="D91" s="102" t="str">
        <x:v>Port of Hurghada</x:v>
      </x:c>
      <x:c r="E91" s="102" t="str">
        <x:v>Egypt</x:v>
      </x:c>
      <x:c r="F91" s="102" t="str">
        <x:v>Hurghada</x:v>
      </x:c>
      <x:c r="G91" s="102" t="str">
        <x:v>Red Sea</x:v>
      </x:c>
      <x:c r="H91" s="102" t="str">
        <x:v>Cruise terminal</x:v>
      </x:c>
      <x:c r="I91" s="102" t="str">
        <x:v>Passengers</x:v>
      </x:c>
      <x:c r="J91" s="102" t="str">
        <x:v>COMP_ADPORTS</x:v>
      </x:c>
      <x:c r="K91" s="102" t="str">
        <x:v>AD Ports Group / Egyptian authorities</x:v>
      </x:c>
      <x:c r="L91" s="102" t="str">
        <x:v>AD Ports Group Cruise</x:v>
      </x:c>
      <x:c r="M91" s="102" t="str">
        <x:v>Operating</x:v>
      </x:c>
      <x:c r="N91" s="102"/>
      <x:c r="O91" s="102"/>
      <x:c r="P91" s="102"/>
      <x:c r="Q91" s="102"/>
      <x:c r="R91" s="102"/>
      <x:c r="S91" s="102"/>
      <x:c r="T91" s="102"/>
      <x:c r="U91" s="102" t="str">
        <x:v>Concession/management arrangement</x:v>
      </x:c>
      <x:c r="V91" s="102" t="str">
        <x:v>ADP-EGY-HURGHADA-CRUISE</x:v>
      </x:c>
      <x:c r="W91" s="102" t="str">
        <x:v>https://www.adportsgroup.com/en/news-and-media/2026/05/19/ad-ports-group-launches-cruise-and-ferry-terminal-services-in-egypt</x:v>
      </x:c>
      <x:c r="X91" s="102" t="str">
        <x:v>High</x:v>
      </x:c>
      <x:c r="Y91" s="102" t="str">
        <x:v>Cruise services launched in 2026.</x:v>
      </x:c>
      <x:c r="Z91" s="102" t="str"/>
    </x:row>
    <x:row r="92">
      <x:c r="A92" s="102" t="str">
        <x:v>TERM0091</x:v>
      </x:c>
      <x:c r="B92" s="102" t="str">
        <x:v>Safaga Cruise &amp; Ferry Terminal</x:v>
      </x:c>
      <x:c r="C92" s="102" t="str">
        <x:v>PORTG0079</x:v>
      </x:c>
      <x:c r="D92" s="102" t="str">
        <x:v>Port Safaga</x:v>
      </x:c>
      <x:c r="E92" s="102" t="str">
        <x:v>Egypt</x:v>
      </x:c>
      <x:c r="F92" s="102" t="str">
        <x:v>Safaga</x:v>
      </x:c>
      <x:c r="G92" s="102" t="str">
        <x:v>Red Sea</x:v>
      </x:c>
      <x:c r="H92" s="102" t="str">
        <x:v>Cruise/ferry terminal</x:v>
      </x:c>
      <x:c r="I92" s="102" t="str">
        <x:v>Passengers; ferries</x:v>
      </x:c>
      <x:c r="J92" s="102" t="str">
        <x:v>COMP_ADPORTS</x:v>
      </x:c>
      <x:c r="K92" s="102" t="str">
        <x:v>AD Ports Group / Egyptian authorities</x:v>
      </x:c>
      <x:c r="L92" s="102" t="str">
        <x:v>AD Ports Group Cruise</x:v>
      </x:c>
      <x:c r="M92" s="102" t="str">
        <x:v>Operating</x:v>
      </x:c>
      <x:c r="N92" s="102"/>
      <x:c r="O92" s="102"/>
      <x:c r="P92" s="102"/>
      <x:c r="Q92" s="102"/>
      <x:c r="R92" s="102"/>
      <x:c r="S92" s="102"/>
      <x:c r="T92" s="102"/>
      <x:c r="U92" s="102" t="str">
        <x:v>Concession/management arrangement</x:v>
      </x:c>
      <x:c r="V92" s="102" t="str">
        <x:v>ADP-EGY-SAFAGA-CRUISE</x:v>
      </x:c>
      <x:c r="W92" s="102" t="str">
        <x:v>https://www.adportsgroup.com/en/news-and-media/2026/05/19/ad-ports-group-launches-cruise-and-ferry-terminal-services-in-egypt</x:v>
      </x:c>
      <x:c r="X92" s="102" t="str">
        <x:v>High</x:v>
      </x:c>
      <x:c r="Y92" s="102" t="str">
        <x:v>Passenger services launched 2026; ferry link to NEOM used for Hajj workforce transport.</x:v>
      </x:c>
      <x:c r="Z92" s="102" t="str"/>
    </x:row>
    <x:row r="93">
      <x:c r="A93" s="102" t="str">
        <x:v>TERM0092</x:v>
      </x:c>
      <x:c r="B93" s="102" t="str">
        <x:v>Noatum Ports Safaga Terminal</x:v>
      </x:c>
      <x:c r="C93" s="102" t="str">
        <x:v>PORTG0079</x:v>
      </x:c>
      <x:c r="D93" s="102" t="str">
        <x:v>Port Safaga</x:v>
      </x:c>
      <x:c r="E93" s="102" t="str">
        <x:v>Egypt</x:v>
      </x:c>
      <x:c r="F93" s="102" t="str">
        <x:v>Safaga</x:v>
      </x:c>
      <x:c r="G93" s="102" t="str">
        <x:v>Red Sea</x:v>
      </x:c>
      <x:c r="H93" s="102" t="str">
        <x:v>Multipurpose terminal</x:v>
      </x:c>
      <x:c r="I93" s="102" t="str">
        <x:v>Container; dry bulk; general cargo; liquid bulk; Ro-Ro</x:v>
      </x:c>
      <x:c r="J93" s="102" t="str">
        <x:v>COMP_NOATUM</x:v>
      </x:c>
      <x:c r="K93" s="102" t="str">
        <x:v>Noatum Ports</x:v>
      </x:c>
      <x:c r="L93" s="102" t="str">
        <x:v>Noatum Ports</x:v>
      </x:c>
      <x:c r="M93" s="102" t="str">
        <x:v>Trial operations; commercial opening 2026</x:v>
      </x:c>
      <x:c r="N93" s="102" t="n">
        <x:v>450000</x:v>
      </x:c>
      <x:c r="O93" s="102" t="n">
        <x:v>810000</x:v>
      </x:c>
      <x:c r="P93" s="102" t="n">
        <x:v>1000</x:v>
      </x:c>
      <x:c r="Q93" s="102"/>
      <x:c r="R93" s="102"/>
      <x:c r="S93" s="102"/>
      <x:c r="T93" s="102"/>
      <x:c r="U93" s="102" t="str">
        <x:v>100% AD Ports Group concession vehicle</x:v>
      </x:c>
      <x:c r="V93" s="102" t="str">
        <x:v>ADP-EGY-SAFAGA</x:v>
      </x:c>
      <x:c r="W93" s="102" t="str">
        <x:v>https://www.adportsgroup.com/en/news-and-media/2025/03/04/ad-ports-group-prepares-to-receive-state-of-the-art-panamax-class-cranes-in-safaga</x:v>
      </x:c>
      <x:c r="X93" s="102" t="str">
        <x:v>High</x:v>
      </x:c>
      <x:c r="Y93" s="102" t="str">
        <x:v>Capacity: 450k TEU; 5m t dry bulk/general; 1m t liquid bulk; 50k CEU.</x:v>
      </x:c>
      <x:c r="Z93" s="102" t="str"/>
    </x:row>
    <x:row r="94">
      <x:c r="A94" s="102" t="str">
        <x:v>TERM0093</x:v>
      </x:c>
      <x:c r="B94" s="102" t="str">
        <x:v>TCI / Al Adabiya Terminal</x:v>
      </x:c>
      <x:c r="C94" s="102" t="str">
        <x:v>PORTG0080</x:v>
      </x:c>
      <x:c r="D94" s="102" t="str">
        <x:v>Port of Adabiya</x:v>
      </x:c>
      <x:c r="E94" s="102" t="str">
        <x:v>Egypt</x:v>
      </x:c>
      <x:c r="F94" s="102" t="str">
        <x:v>Suez</x:v>
      </x:c>
      <x:c r="G94" s="102" t="str">
        <x:v>Red Sea / Gulf of Suez</x:v>
      </x:c>
      <x:c r="H94" s="102" t="str">
        <x:v>Multipurpose / stevedoring terminal</x:v>
      </x:c>
      <x:c r="I94" s="102" t="str">
        <x:v>Containers; dry bulk; general cargo</x:v>
      </x:c>
      <x:c r="J94" s="102" t="str">
        <x:v>COMP_NOATUM</x:v>
      </x:c>
      <x:c r="K94" s="102" t="str">
        <x:v>TCI</x:v>
      </x:c>
      <x:c r="L94" s="102" t="str">
        <x:v>Noatum Ports / TCI</x:v>
      </x:c>
      <x:c r="M94" s="102" t="str">
        <x:v>Operating</x:v>
      </x:c>
      <x:c r="N94" s="102" t="n">
        <x:v>150000</x:v>
      </x:c>
      <x:c r="O94" s="102"/>
      <x:c r="P94" s="102"/>
      <x:c r="Q94" s="102"/>
      <x:c r="R94" s="102"/>
      <x:c r="S94" s="102"/>
      <x:c r="T94" s="102"/>
      <x:c r="U94" s="102" t="str">
        <x:v>AD Ports Group controlled through TCI</x:v>
      </x:c>
      <x:c r="V94" s="102" t="str">
        <x:v>ADP-EGY-ADABIYA</x:v>
      </x:c>
      <x:c r="W94" s="102" t="str">
        <x:v>https://www.adportsgroup.com/en/news-and-media/2025/01/03/ad-ports-group-closes-2024-with-strong-growth</x:v>
      </x:c>
      <x:c r="X94" s="102" t="str">
        <x:v>Medium</x:v>
      </x:c>
      <x:c r="Y94" s="102" t="str">
        <x:v>Transmar/TCI operations support Group's Egypt logistics integration.</x:v>
      </x:c>
      <x:c r="Z94" s="102" t="str"/>
    </x:row>
    <x:row r="95">
      <x:c r="A95" s="102" t="str">
        <x:v>TERM0094</x:v>
      </x:c>
      <x:c r="B95" s="102" t="str">
        <x:v>Karachi Gateway Terminal Limited (KGTL)</x:v>
      </x:c>
      <x:c r="C95" s="102" t="str">
        <x:v>PORTG0081</x:v>
      </x:c>
      <x:c r="D95" s="102" t="str">
        <x:v>Karachi Port East Wharf</x:v>
      </x:c>
      <x:c r="E95" s="102" t="str">
        <x:v>Pakistan</x:v>
      </x:c>
      <x:c r="F95" s="102" t="str">
        <x:v>Karachi</x:v>
      </x:c>
      <x:c r="G95" s="102" t="str">
        <x:v>Arabian Sea</x:v>
      </x:c>
      <x:c r="H95" s="102" t="str">
        <x:v>Container terminal</x:v>
      </x:c>
      <x:c r="I95" s="102" t="str">
        <x:v>Containers</x:v>
      </x:c>
      <x:c r="J95" s="102" t="str">
        <x:v>COMP_NOATUM</x:v>
      </x:c>
      <x:c r="K95" s="102" t="str">
        <x:v>KGTL</x:v>
      </x:c>
      <x:c r="L95" s="102" t="str">
        <x:v>Noatum Ports</x:v>
      </x:c>
      <x:c r="M95" s="102" t="str">
        <x:v>Operating; dredging/expansion</x:v>
      </x:c>
      <x:c r="N95" s="102" t="n">
        <x:v>750000</x:v>
      </x:c>
      <x:c r="O95" s="102"/>
      <x:c r="P95" s="102"/>
      <x:c r="Q95" s="102" t="n">
        <x:v>13</x:v>
      </x:c>
      <x:c r="R95" s="102" t="n">
        <x:v>5</x:v>
      </x:c>
      <x:c r="S95" s="102"/>
      <x:c r="T95" s="102"/>
      <x:c r="U95" s="102" t="str">
        <x:v>AD Ports Group-led JV</x:v>
      </x:c>
      <x:c r="V95" s="102" t="str">
        <x:v>ADP-PAK-KGTL</x:v>
      </x:c>
      <x:c r="W95" s="102" t="str">
        <x:v>https://www.adportsgroup.com/en/news-and-media/2025/09/02/ad-ports-groups-karachi-terminals-in-pakistan-sign-major-dredging-agreement</x:v>
      </x:c>
      <x:c r="X95" s="102" t="str">
        <x:v>High</x:v>
      </x:c>
      <x:c r="Y95" s="102" t="str">
        <x:v>Dredging to 15.5 m and capacity to 1.0m TEU; designed for vessels up to 350 m after works.</x:v>
      </x:c>
      <x:c r="Z95" s="102" t="str"/>
    </x:row>
    <x:row r="96">
      <x:c r="A96" s="102" t="str">
        <x:v>TERM0095</x:v>
      </x:c>
      <x:c r="B96" s="102" t="str">
        <x:v>Karachi Gateway Terminal Multipurpose Limited (KGTML)</x:v>
      </x:c>
      <x:c r="C96" s="102" t="str">
        <x:v>PORTG0081</x:v>
      </x:c>
      <x:c r="D96" s="102" t="str">
        <x:v>Karachi Port East Wharf</x:v>
      </x:c>
      <x:c r="E96" s="102" t="str">
        <x:v>Pakistan</x:v>
      </x:c>
      <x:c r="F96" s="102" t="str">
        <x:v>Karachi</x:v>
      </x:c>
      <x:c r="G96" s="102" t="str">
        <x:v>Arabian Sea</x:v>
      </x:c>
      <x:c r="H96" s="102" t="str">
        <x:v>Bulk &amp; general cargo terminal</x:v>
      </x:c>
      <x:c r="I96" s="102" t="str">
        <x:v>Dry bulk; general cargo; agriculture</x:v>
      </x:c>
      <x:c r="J96" s="102" t="str">
        <x:v>COMP_NOATUM</x:v>
      </x:c>
      <x:c r="K96" s="102" t="str">
        <x:v>KGTML</x:v>
      </x:c>
      <x:c r="L96" s="102" t="str">
        <x:v>Noatum Ports</x:v>
      </x:c>
      <x:c r="M96" s="102" t="str">
        <x:v>Operating; expansion</x:v>
      </x:c>
      <x:c r="N96" s="102"/>
      <x:c r="O96" s="102"/>
      <x:c r="P96" s="102"/>
      <x:c r="Q96" s="102"/>
      <x:c r="R96" s="102" t="n">
        <x:v>7</x:v>
      </x:c>
      <x:c r="S96" s="102"/>
      <x:c r="T96" s="102"/>
      <x:c r="U96" s="102" t="str">
        <x:v>AD Ports Group majority / Kaheel Terminals JV</x:v>
      </x:c>
      <x:c r="V96" s="102" t="str">
        <x:v>ADP-PAK-KGTML</x:v>
      </x:c>
      <x:c r="W96" s="102" t="str">
        <x:v>https://www.adportsgroup.com/en/news-and-media/2024/02/03/ad-ports-group-and-karachi-port-trust-extend-cooperation-through-25-year-concession-agreement</x:v>
      </x:c>
      <x:c r="X96" s="102" t="str">
        <x:v>High</x:v>
      </x:c>
      <x:c r="Y96" s="102" t="str">
        <x:v>Bulk/general cargo concession; long-term LDC clean bulk handling and storage project.</x:v>
      </x:c>
      <x:c r="Z96" s="102" t="str"/>
    </x:row>
    <x:row r="97">
      <x:c r="A97" s="102" t="str">
        <x:v>TERM0096</x:v>
      </x:c>
      <x:c r="B97" s="102" t="str">
        <x:v>Noatum Ports Luanda Terminal</x:v>
      </x:c>
      <x:c r="C97" s="102" t="str">
        <x:v>PORTG0026</x:v>
      </x:c>
      <x:c r="D97" s="102" t="str">
        <x:v>Port of Luanda</x:v>
      </x:c>
      <x:c r="E97" s="102" t="str">
        <x:v>Angola</x:v>
      </x:c>
      <x:c r="F97" s="102" t="str">
        <x:v>Luanda</x:v>
      </x:c>
      <x:c r="G97" s="102" t="str">
        <x:v>South Atlantic</x:v>
      </x:c>
      <x:c r="H97" s="102" t="str">
        <x:v>Multipurpose terminal</x:v>
      </x:c>
      <x:c r="I97" s="102" t="str">
        <x:v>Containers; general cargo; Ro-Ro</x:v>
      </x:c>
      <x:c r="J97" s="102" t="str">
        <x:v>COMP_NOATUM</x:v>
      </x:c>
      <x:c r="K97" s="102" t="str">
        <x:v>Noatum Ports Luanda Terminal</x:v>
      </x:c>
      <x:c r="L97" s="102" t="str">
        <x:v>Noatum Ports</x:v>
      </x:c>
      <x:c r="M97" s="102" t="str">
        <x:v>Operating; major modernisation</x:v>
      </x:c>
      <x:c r="N97" s="102" t="n">
        <x:v>25000</x:v>
      </x:c>
      <x:c r="O97" s="102" t="n">
        <x:v>192000</x:v>
      </x:c>
      <x:c r="P97" s="102"/>
      <x:c r="Q97" s="102" t="n">
        <x:v>16</x:v>
      </x:c>
      <x:c r="R97" s="102"/>
      <x:c r="S97" s="102"/>
      <x:c r="T97" s="102"/>
      <x:c r="U97" s="102" t="str">
        <x:v>81% AD Ports Group / local partners</x:v>
      </x:c>
      <x:c r="V97" s="102" t="str">
        <x:v>ADP-AGO-LUANDA</x:v>
      </x:c>
      <x:c r="W97" s="102" t="str">
        <x:v>https://www.adportsgroup.com/en/news-and-media/2025/09/19/ad-ports-group-breaks-ground-on-noatum-ports-luanda-terminal</x:v>
      </x:c>
      <x:c r="X97" s="102" t="str">
        <x:v>High</x:v>
      </x:c>
      <x:c r="Y97" s="102" t="str">
        <x:v>Current container capacity 25k TEU; planned 350k TEU + &gt;40k vehicles by Q1 2027.</x:v>
      </x:c>
      <x:c r="Z97" s="102" t="str"/>
    </x:row>
    <x:row r="98">
      <x:c r="A98" s="102" t="str">
        <x:v>TERM0097</x:v>
      </x:c>
      <x:c r="B98" s="102" t="str">
        <x:v>Noatum Ports Pointe-Noire Terminal</x:v>
      </x:c>
      <x:c r="C98" s="102" t="str">
        <x:v>PORTG0082</x:v>
      </x:c>
      <x:c r="D98" s="102" t="str">
        <x:v>Port of Pointe-Noire</x:v>
      </x:c>
      <x:c r="E98" s="102" t="str">
        <x:v>Republic of the Congo</x:v>
      </x:c>
      <x:c r="F98" s="102" t="str">
        <x:v>Pointe-Noire</x:v>
      </x:c>
      <x:c r="G98" s="102" t="str">
        <x:v>South Atlantic</x:v>
      </x:c>
      <x:c r="H98" s="102" t="str">
        <x:v>Container / multipurpose terminal</x:v>
      </x:c>
      <x:c r="I98" s="102" t="str">
        <x:v>Containers; future multipurpose</x:v>
      </x:c>
      <x:c r="J98" s="102" t="str">
        <x:v>COMP_NOATUM</x:v>
      </x:c>
      <x:c r="K98" s="102" t="str">
        <x:v>AD Ports Group / CMA Terminals JV</x:v>
      </x:c>
      <x:c r="L98" s="102" t="str">
        <x:v>CMA Terminals / AD Ports JV; Noatum Ports</x:v>
      </x:c>
      <x:c r="M98" s="102" t="str">
        <x:v>Under development</x:v>
      </x:c>
      <x:c r="N98" s="102" t="n">
        <x:v>400000</x:v>
      </x:c>
      <x:c r="O98" s="102" t="n">
        <x:v>100000</x:v>
      </x:c>
      <x:c r="P98" s="102" t="n">
        <x:v>420</x:v>
      </x:c>
      <x:c r="Q98" s="102" t="n">
        <x:v>16</x:v>
      </x:c>
      <x:c r="R98" s="102"/>
      <x:c r="S98" s="102"/>
      <x:c r="T98" s="102"/>
      <x:c r="U98" s="102" t="str">
        <x:v>51% AD Ports Group / 49% CMA CGM in terminal JV | 51% AD Ports Group / 49% CMA Terminals</x:v>
      </x:c>
      <x:c r="V98" s="102" t="str">
        <x:v>ADP-COG-POINTE; CMA-CG-PNR</x:v>
      </x:c>
      <x:c r="W98" s="102" t="str">
        <x:v>https://www.adportsgroup.com/en/news-and-media/2026/05/18/ad-ports-group-awards-three-contracts-for-noatum-ports-pointe-noire-terminal</x:v>
      </x:c>
      <x:c r="X98" s="102" t="str">
        <x:v>High</x:v>
      </x:c>
      <x:c r="Y98" s="102" t="str">
        <x:v>Initial phase includes 420 m quay, 16 m depth; 3 STS + 9 RTG ordered. | Three STS + nine RTGs contracted; terminal can later add multipurpose capability.</x:v>
      </x:c>
      <x:c r="Z98" s="102" t="str">
        <x:v>Duplicate source records collapsed</x:v>
      </x:c>
    </x:row>
    <x:row r="99">
      <x:c r="A99" s="102" t="str">
        <x:v>TERM0098</x:v>
      </x:c>
      <x:c r="B99" s="102" t="str">
        <x:v>Dar es Salaam Container Terminal 2 (TICTS / berths 8-11)</x:v>
      </x:c>
      <x:c r="C99" s="102" t="str">
        <x:v>PORTG0041</x:v>
      </x:c>
      <x:c r="D99" s="102" t="str">
        <x:v>Port of Dar es Salaam</x:v>
      </x:c>
      <x:c r="E99" s="102" t="str">
        <x:v>Tanzania</x:v>
      </x:c>
      <x:c r="F99" s="102" t="str">
        <x:v>Dar es Salaam</x:v>
      </x:c>
      <x:c r="G99" s="102" t="str">
        <x:v>Indian Ocean</x:v>
      </x:c>
      <x:c r="H99" s="102" t="str">
        <x:v>Container terminal</x:v>
      </x:c>
      <x:c r="I99" s="102" t="str">
        <x:v>Containers</x:v>
      </x:c>
      <x:c r="J99" s="102" t="str">
        <x:v>COMP_NOATUM</x:v>
      </x:c>
      <x:c r="K99" s="102" t="str">
        <x:v>TICTS / East Africa Gateway</x:v>
      </x:c>
      <x:c r="L99" s="102" t="str">
        <x:v>Noatum Ports investment</x:v>
      </x:c>
      <x:c r="M99" s="102" t="str">
        <x:v>Operating</x:v>
      </x:c>
      <x:c r="N99" s="102" t="n">
        <x:v>900000</x:v>
      </x:c>
      <x:c r="O99" s="102"/>
      <x:c r="P99" s="102"/>
      <x:c r="Q99" s="102"/>
      <x:c r="R99" s="102" t="n">
        <x:v>4</x:v>
      </x:c>
      <x:c r="S99" s="102"/>
      <x:c r="T99" s="102"/>
      <x:c r="U99" s="102" t="str">
        <x:v>AD Ports Group 30% stake alongside Adani and East Harbour interests</x:v>
      </x:c>
      <x:c r="V99" s="102" t="str">
        <x:v>ADP-TZA-DAR</x:v>
      </x:c>
      <x:c r="W99" s="102" t="str">
        <x:v>https://www.adportsgroup.com/en/news-and-media/2025/01/03/ad-ports-group-closes-2024-with-strong-growth</x:v>
      </x:c>
      <x:c r="X99" s="102" t="str">
        <x:v>High</x:v>
      </x:c>
      <x:c r="Y99" s="102" t="str">
        <x:v>Strategic East/Central Africa gateway; 2025 annual volumes about 900k TEU.</x:v>
      </x:c>
      <x:c r="Z99" s="102" t="str"/>
    </x:row>
    <x:row r="100">
      <x:c r="A100" s="102" t="str">
        <x:v>TERM0099</x:v>
      </x:c>
      <x:c r="B100" s="102" t="str">
        <x:v>Tbilisi Intermodal Hub / Tbilisi Dry Port</x:v>
      </x:c>
      <x:c r="C100" s="102" t="str">
        <x:v>PORTG0083</x:v>
      </x:c>
      <x:c r="D100" s="102" t="str">
        <x:v>Tbilisi Intermodal Hub / Tbilisi Dry Port</x:v>
      </x:c>
      <x:c r="E100" s="102" t="str">
        <x:v>Georgia</x:v>
      </x:c>
      <x:c r="F100" s="102" t="str">
        <x:v>Tbilisi</x:v>
      </x:c>
      <x:c r="G100" s="102" t="str">
        <x:v>Middle Corridor</x:v>
      </x:c>
      <x:c r="H100" s="102" t="str">
        <x:v>Dry port / intermodal terminal</x:v>
      </x:c>
      <x:c r="I100" s="102" t="str">
        <x:v>Containers; vehicles; warehousing</x:v>
      </x:c>
      <x:c r="J100" s="102" t="str">
        <x:v>COMP_NOATUM</x:v>
      </x:c>
      <x:c r="K100" s="102" t="str">
        <x:v>Tbilisi Intermodal Hub</x:v>
      </x:c>
      <x:c r="L100" s="102" t="str">
        <x:v>Noatum Ports / AD Ports Group international</x:v>
      </x:c>
      <x:c r="M100" s="102" t="str">
        <x:v>Operating; phase expansion</x:v>
      </x:c>
      <x:c r="N100" s="102" t="n">
        <x:v>96000</x:v>
      </x:c>
      <x:c r="O100" s="102" t="n">
        <x:v>50000</x:v>
      </x:c>
      <x:c r="P100" s="102"/>
      <x:c r="Q100" s="102"/>
      <x:c r="R100" s="102"/>
      <x:c r="S100" s="102" t="str">
        <x:v>Yes – 3 x 600 m spurs; 4th planned</x:v>
      </x:c>
      <x:c r="T100" s="102"/>
      <x:c r="U100" s="102" t="str">
        <x:v>60% AD Ports Group / Inveco / Wilhelmsen</x:v>
      </x:c>
      <x:c r="V100" s="102" t="str">
        <x:v>ADP-GEO-TBILISI</x:v>
      </x:c>
      <x:c r="W100" s="102" t="str">
        <x:v>https://www.adportsgroup.com/en/news-and-media/2025/06/03/ad-ports-group-inaugurates-tbilisi-intermodal-hub-in-georgia</x:v>
      </x:c>
      <x:c r="X100" s="102" t="str">
        <x:v>High</x:v>
      </x:c>
      <x:c r="Y100" s="102" t="str">
        <x:v>Phase 1 capacity 96k TEU; planned 200k TEU after phase 2; 2,500 sqm Class B warehouse + 9,800 sqm Class A planned.</x:v>
      </x:c>
      <x:c r="Z100" s="102" t="str"/>
    </x:row>
    <x:row r="101">
      <x:c r="A101" s="102" t="str">
        <x:v>TERM0100</x:v>
      </x:c>
      <x:c r="B101" s="102" t="str">
        <x:v>Sarzha Grain Terminal</x:v>
      </x:c>
      <x:c r="C101" s="102" t="str">
        <x:v>PORTG0084</x:v>
      </x:c>
      <x:c r="D101" s="102" t="str">
        <x:v>Kuryk Port</x:v>
      </x:c>
      <x:c r="E101" s="102" t="str">
        <x:v>Kazakhstan</x:v>
      </x:c>
      <x:c r="F101" s="102" t="str">
        <x:v>Kuryk</x:v>
      </x:c>
      <x:c r="G101" s="102" t="str">
        <x:v>Caspian Sea</x:v>
      </x:c>
      <x:c r="H101" s="102" t="str">
        <x:v>Grain terminal</x:v>
      </x:c>
      <x:c r="I101" s="102" t="str">
        <x:v>Grain / dry bulk</x:v>
      </x:c>
      <x:c r="J101" s="102" t="str">
        <x:v>COMP_ADPORTS</x:v>
      </x:c>
      <x:c r="K101" s="102" t="str">
        <x:v>Sarzha Grain Terminal JV</x:v>
      </x:c>
      <x:c r="L101" s="102" t="str">
        <x:v>AD Ports Group international</x:v>
      </x:c>
      <x:c r="M101" s="102" t="str">
        <x:v>Under development</x:v>
      </x:c>
      <x:c r="N101" s="102"/>
      <x:c r="O101" s="102"/>
      <x:c r="P101" s="102"/>
      <x:c r="Q101" s="102"/>
      <x:c r="R101" s="102"/>
      <x:c r="S101" s="102"/>
      <x:c r="T101" s="102"/>
      <x:c r="U101" s="102" t="str">
        <x:v>51% AD Ports Group / 49% Semurg</x:v>
      </x:c>
      <x:c r="V101" s="102" t="str">
        <x:v>ADP-KAZ-SARZHA</x:v>
      </x:c>
      <x:c r="W101" s="102" t="str">
        <x:v>https://www.adportsgroup.com/en/news-and-media/2025/01/14/ad-ports-group-to-invest-in-greenfield-sarzha-grain-terminal-in-kuryk-port-kazakhstan</x:v>
      </x:c>
      <x:c r="X101" s="102" t="str">
        <x:v>High</x:v>
      </x:c>
      <x:c r="Y101" s="102" t="str">
        <x:v>Phase 1: 570,000 t/y grain; Phase 2: 1.5m t/y.</x:v>
      </x:c>
      <x:c r="Z101" s="102" t="str"/>
    </x:row>
    <x:row r="102">
      <x:c r="A102" s="102" t="str">
        <x:v>TERM0101</x:v>
      </x:c>
      <x:c r="B102" s="102" t="str">
        <x:v>New Dry Bulk Terminal – Douala Port</x:v>
      </x:c>
      <x:c r="C102" s="102" t="str">
        <x:v>PORTG0085</x:v>
      </x:c>
      <x:c r="D102" s="102" t="str">
        <x:v>Port of Douala</x:v>
      </x:c>
      <x:c r="E102" s="102" t="str">
        <x:v>Cameroon</x:v>
      </x:c>
      <x:c r="F102" s="102" t="str">
        <x:v>Douala</x:v>
      </x:c>
      <x:c r="G102" s="102" t="str">
        <x:v>Gulf of Guinea</x:v>
      </x:c>
      <x:c r="H102" s="102" t="str">
        <x:v>Dry bulk terminal</x:v>
      </x:c>
      <x:c r="I102" s="102" t="str">
        <x:v>Dry bulk</x:v>
      </x:c>
      <x:c r="J102" s="102" t="str">
        <x:v>COMP_NOATUM</x:v>
      </x:c>
      <x:c r="K102" s="102" t="str">
        <x:v>Operating company with Africa Ports Development</x:v>
      </x:c>
      <x:c r="L102" s="102" t="str">
        <x:v>Noatum Ports / AD Ports Group international</x:v>
      </x:c>
      <x:c r="M102" s="102" t="str">
        <x:v>Under development</x:v>
      </x:c>
      <x:c r="N102" s="102"/>
      <x:c r="O102" s="102"/>
      <x:c r="P102" s="102"/>
      <x:c r="Q102" s="102"/>
      <x:c r="R102" s="102"/>
      <x:c r="S102" s="102"/>
      <x:c r="T102" s="102"/>
      <x:c r="U102" s="102" t="str">
        <x:v>Effective economic interest 51% for AD Ports Group</x:v>
      </x:c>
      <x:c r="V102" s="102" t="str">
        <x:v>ADP-CMR-DOUALA</x:v>
      </x:c>
      <x:c r="W102" s="102" t="str">
        <x:v>https://www.adportsgroup.com/en/news-and-media/2026/02/12/ad-ports-group-enters-into-30-year-concession-agreement-with-africa-ports-development</x:v>
      </x:c>
      <x:c r="X102" s="102" t="str">
        <x:v>High</x:v>
      </x:c>
      <x:c r="Y102" s="102" t="str">
        <x:v>AD Ports Group joined APD concession in Feb 2026.</x:v>
      </x:c>
      <x:c r="Z102" s="102" t="str"/>
    </x:row>
    <x:row r="103">
      <x:c r="A103" s="102" t="str">
        <x:v>TERM0102</x:v>
      </x:c>
      <x:c r="B103" s="102" t="str">
        <x:v>Aqaba Multipurpose Port</x:v>
      </x:c>
      <x:c r="C103" s="102" t="str">
        <x:v>PORTG0076</x:v>
      </x:c>
      <x:c r="D103" s="102" t="str">
        <x:v>Port of Aqaba</x:v>
      </x:c>
      <x:c r="E103" s="102" t="str">
        <x:v>Jordan</x:v>
      </x:c>
      <x:c r="F103" s="102" t="str">
        <x:v>Aqaba</x:v>
      </x:c>
      <x:c r="G103" s="102" t="str">
        <x:v>Red Sea</x:v>
      </x:c>
      <x:c r="H103" s="102" t="str">
        <x:v>Multipurpose port</x:v>
      </x:c>
      <x:c r="I103" s="102" t="str">
        <x:v>General cargo; multipurpose</x:v>
      </x:c>
      <x:c r="J103" s="102" t="str">
        <x:v>COMP_NOATUM</x:v>
      </x:c>
      <x:c r="K103" s="102" t="str">
        <x:v>JV with Aqaba Development Corporation</x:v>
      </x:c>
      <x:c r="L103" s="102" t="str">
        <x:v>Noatum Ports</x:v>
      </x:c>
      <x:c r="M103" s="102" t="str">
        <x:v>Operating under new concession from Aug 2026</x:v>
      </x:c>
      <x:c r="N103" s="102"/>
      <x:c r="O103" s="102"/>
      <x:c r="P103" s="102"/>
      <x:c r="Q103" s="102"/>
      <x:c r="R103" s="102"/>
      <x:c r="S103" s="102"/>
      <x:c r="T103" s="102"/>
      <x:c r="U103" s="102" t="str">
        <x:v>70% AD Ports Group / 30% ADC</x:v>
      </x:c>
      <x:c r="V103" s="102" t="str">
        <x:v>ADP-JOR-AQABA-MP</x:v>
      </x:c>
      <x:c r="W103" s="102" t="str">
        <x:v>https://wpvip.adportsgroup.com/adportsgroup/news-and-media/2026/02/05/ad-ports-group-signs-30-year-agreement-with-aqaba-development-corporation/</x:v>
      </x:c>
      <x:c r="X103" s="102" t="str">
        <x:v>High</x:v>
      </x:c>
      <x:c r="Y103" s="102" t="str">
        <x:v>Jordan's exclusive general cargo/multipurpose seaport; concession signed Feb 2026.</x:v>
      </x:c>
      <x:c r="Z103" s="102" t="str"/>
    </x:row>
    <x:row r="104">
      <x:c r="A104" s="102" t="str">
        <x:v>TERM0103</x:v>
      </x:c>
      <x:c r="B104" s="102" t="str">
        <x:v>Noatum Ports Tarragona Terminal</x:v>
      </x:c>
      <x:c r="C104" s="102" t="str">
        <x:v>PORTG0086</x:v>
      </x:c>
      <x:c r="D104" s="102" t="str">
        <x:v>Port of Tarragona</x:v>
      </x:c>
      <x:c r="E104" s="102" t="str">
        <x:v>Spain</x:v>
      </x:c>
      <x:c r="F104" s="102" t="str">
        <x:v>Tarragona</x:v>
      </x:c>
      <x:c r="G104" s="102" t="str">
        <x:v>Western Mediterranean</x:v>
      </x:c>
      <x:c r="H104" s="102" t="str">
        <x:v>Multipurpose / bulk / Ro-Ro terminal</x:v>
      </x:c>
      <x:c r="I104" s="102" t="str">
        <x:v>General cargo; agro-bulk; Ro-Ro; automotive</x:v>
      </x:c>
      <x:c r="J104" s="102" t="str">
        <x:v>COMP_NOATUM</x:v>
      </x:c>
      <x:c r="K104" s="102" t="str">
        <x:v>Noatum Ports</x:v>
      </x:c>
      <x:c r="L104" s="102" t="str">
        <x:v>Noatum Ports</x:v>
      </x:c>
      <x:c r="M104" s="102" t="str">
        <x:v>Operating</x:v>
      </x:c>
      <x:c r="N104" s="102"/>
      <x:c r="O104" s="102" t="n">
        <x:v>72000</x:v>
      </x:c>
      <x:c r="P104" s="102" t="n">
        <x:v>5000</x:v>
      </x:c>
      <x:c r="Q104" s="102"/>
      <x:c r="R104" s="102"/>
      <x:c r="S104" s="102" t="str">
        <x:v>Yes</x:v>
      </x:c>
      <x:c r="T104" s="102"/>
      <x:c r="U104" s="102" t="str">
        <x:v>AD Ports Group / Noatum Ports</x:v>
      </x:c>
      <x:c r="V104" s="102" t="str">
        <x:v>ADP-ESP-TARR</x:v>
      </x:c>
      <x:c r="W104" s="102" t="str">
        <x:v>https://www.noatum.com/en/terminals-port-operations/noatum-ports-tarragona-terminal/</x:v>
      </x:c>
      <x:c r="X104" s="102" t="str">
        <x:v>High</x:v>
      </x:c>
      <x:c r="Y104" s="102" t="str">
        <x:v>Storage 55,916 sqm; 2 Ro-Ro ramps; automotive operations use 4-track rail terminal.</x:v>
      </x:c>
      <x:c r="Z104" s="102" t="str"/>
    </x:row>
    <x:row r="105">
      <x:c r="A105" s="102" t="str">
        <x:v>TERM0104</x:v>
      </x:c>
      <x:c r="B105" s="102" t="str">
        <x:v>Noatum Ports Castellón Terminal</x:v>
      </x:c>
      <x:c r="C105" s="102" t="str">
        <x:v>PORTG0087</x:v>
      </x:c>
      <x:c r="D105" s="102" t="str">
        <x:v>Port of Castellón</x:v>
      </x:c>
      <x:c r="E105" s="102" t="str">
        <x:v>Spain</x:v>
      </x:c>
      <x:c r="F105" s="102" t="str">
        <x:v>Castellón</x:v>
      </x:c>
      <x:c r="G105" s="102" t="str">
        <x:v>Western Mediterranean</x:v>
      </x:c>
      <x:c r="H105" s="102" t="str">
        <x:v>Multipurpose / container / bulk terminal</x:v>
      </x:c>
      <x:c r="I105" s="102" t="str">
        <x:v>Containers; dry bulk; general cargo</x:v>
      </x:c>
      <x:c r="J105" s="102" t="str">
        <x:v>COMP_NOATUM</x:v>
      </x:c>
      <x:c r="K105" s="102" t="str">
        <x:v>Noatum Ports</x:v>
      </x:c>
      <x:c r="L105" s="102" t="str">
        <x:v>Noatum Ports</x:v>
      </x:c>
      <x:c r="M105" s="102" t="str">
        <x:v>Operating</x:v>
      </x:c>
      <x:c r="N105" s="102"/>
      <x:c r="O105" s="102" t="n">
        <x:v>214235</x:v>
      </x:c>
      <x:c r="P105" s="102" t="n">
        <x:v>990</x:v>
      </x:c>
      <x:c r="Q105" s="102"/>
      <x:c r="R105" s="102"/>
      <x:c r="S105" s="102"/>
      <x:c r="T105" s="102" t="n">
        <x:v>144</x:v>
      </x:c>
      <x:c r="U105" s="102" t="str">
        <x:v>AD Ports Group / Noatum Ports</x:v>
      </x:c>
      <x:c r="V105" s="102" t="str">
        <x:v>ADP-ESP-CAST</x:v>
      </x:c>
      <x:c r="W105" s="102" t="str">
        <x:v>https://www.noatum.com/en/terminals-port-operations/noatum-ports-castellon-terminal/</x:v>
      </x:c>
      <x:c r="X105" s="102" t="str">
        <x:v>High</x:v>
      </x:c>
      <x:c r="Y105" s="102" t="str">
        <x:v>Storage 15,000 sqm.</x:v>
      </x:c>
      <x:c r="Z105" s="102" t="str"/>
    </x:row>
    <x:row r="106">
      <x:c r="A106" s="102" t="str">
        <x:v>TERM0105</x:v>
      </x:c>
      <x:c r="B106" s="102" t="str">
        <x:v>Noatum Ports Sagunto Terminal</x:v>
      </x:c>
      <x:c r="C106" s="102" t="str">
        <x:v>PORTG0088</x:v>
      </x:c>
      <x:c r="D106" s="102" t="str">
        <x:v>Port of Sagunto</x:v>
      </x:c>
      <x:c r="E106" s="102" t="str">
        <x:v>Spain</x:v>
      </x:c>
      <x:c r="F106" s="102" t="str">
        <x:v>Sagunto</x:v>
      </x:c>
      <x:c r="G106" s="102" t="str">
        <x:v>Western Mediterranean</x:v>
      </x:c>
      <x:c r="H106" s="102" t="str">
        <x:v>Multipurpose / Ro-Ro terminal</x:v>
      </x:c>
      <x:c r="I106" s="102" t="str">
        <x:v>Ro-Ro; vehicles; general cargo; bulk</x:v>
      </x:c>
      <x:c r="J106" s="102" t="str">
        <x:v>COMP_NOATUM</x:v>
      </x:c>
      <x:c r="K106" s="102" t="str">
        <x:v>Noatum Ports</x:v>
      </x:c>
      <x:c r="L106" s="102" t="str">
        <x:v>Noatum Ports / Noatum Automotive</x:v>
      </x:c>
      <x:c r="M106" s="102" t="str">
        <x:v>Operating</x:v>
      </x:c>
      <x:c r="N106" s="102"/>
      <x:c r="O106" s="102" t="n">
        <x:v>187000</x:v>
      </x:c>
      <x:c r="P106" s="102" t="n">
        <x:v>1530</x:v>
      </x:c>
      <x:c r="Q106" s="102"/>
      <x:c r="R106" s="102"/>
      <x:c r="S106" s="102" t="str">
        <x:v>Rail terminal under construction</x:v>
      </x:c>
      <x:c r="T106" s="102"/>
      <x:c r="U106" s="102" t="str">
        <x:v>AD Ports Group / Noatum Ports</x:v>
      </x:c>
      <x:c r="V106" s="102" t="str">
        <x:v>ADP-ESP-SAG</x:v>
      </x:c>
      <x:c r="W106" s="102" t="str">
        <x:v>https://www.noatum.com/en/terminals-port-operations/noatum-ports-sagunto-terminal/</x:v>
      </x:c>
      <x:c r="X106" s="102" t="str">
        <x:v>High</x:v>
      </x:c>
      <x:c r="Y106" s="102" t="str">
        <x:v>55,986 sqm storage; 100,000 sqm vehicle area; 1 Ro-Ro ramp.</x:v>
      </x:c>
      <x:c r="Z106" s="102" t="str"/>
    </x:row>
    <x:row r="107">
      <x:c r="A107" s="102" t="str">
        <x:v>TERM0106</x:v>
      </x:c>
      <x:c r="B107" s="102" t="str">
        <x:v>Noatum Ports Cartagena Terminal</x:v>
      </x:c>
      <x:c r="C107" s="102" t="str">
        <x:v>PORTG0089</x:v>
      </x:c>
      <x:c r="D107" s="102" t="str">
        <x:v>Port of Cartagena</x:v>
      </x:c>
      <x:c r="E107" s="102" t="str">
        <x:v>Spain</x:v>
      </x:c>
      <x:c r="F107" s="102" t="str">
        <x:v>Cartagena</x:v>
      </x:c>
      <x:c r="G107" s="102" t="str">
        <x:v>Western Mediterranean</x:v>
      </x:c>
      <x:c r="H107" s="102" t="str">
        <x:v>Multipurpose / container / bulk terminal</x:v>
      </x:c>
      <x:c r="I107" s="102" t="str">
        <x:v>Containers; bulk; general cargo</x:v>
      </x:c>
      <x:c r="J107" s="102" t="str">
        <x:v>COMP_NOATUM</x:v>
      </x:c>
      <x:c r="K107" s="102" t="str">
        <x:v>Noatum Ports</x:v>
      </x:c>
      <x:c r="L107" s="102" t="str">
        <x:v>Noatum Ports</x:v>
      </x:c>
      <x:c r="M107" s="102" t="str">
        <x:v>Operating</x:v>
      </x:c>
      <x:c r="N107" s="102"/>
      <x:c r="O107" s="102"/>
      <x:c r="P107" s="102"/>
      <x:c r="Q107" s="102"/>
      <x:c r="R107" s="102"/>
      <x:c r="S107" s="102"/>
      <x:c r="T107" s="102"/>
      <x:c r="U107" s="102" t="str">
        <x:v>AD Ports Group / Noatum Ports</x:v>
      </x:c>
      <x:c r="V107" s="102" t="str">
        <x:v>ADP-ESP-CART</x:v>
      </x:c>
      <x:c r="W107" s="102" t="str">
        <x:v>https://www.noatum.com/en/terminals-port-operations/</x:v>
      </x:c>
      <x:c r="X107" s="102" t="str">
        <x:v>High</x:v>
      </x:c>
      <x:c r="Y107" s="102" t="str">
        <x:v>Official Noatum Spain terminal network.</x:v>
      </x:c>
      <x:c r="Z107" s="102" t="str"/>
    </x:row>
    <x:row r="108">
      <x:c r="A108" s="102" t="str">
        <x:v>TERM0107</x:v>
      </x:c>
      <x:c r="B108" s="102" t="str">
        <x:v>Noatum Ports Málaga Terminal</x:v>
      </x:c>
      <x:c r="C108" s="102" t="str">
        <x:v>PORTG0090</x:v>
      </x:c>
      <x:c r="D108" s="102" t="str">
        <x:v>Port of Málaga</x:v>
      </x:c>
      <x:c r="E108" s="102" t="str">
        <x:v>Spain</x:v>
      </x:c>
      <x:c r="F108" s="102" t="str">
        <x:v>Málaga</x:v>
      </x:c>
      <x:c r="G108" s="102" t="str">
        <x:v>Western Mediterranean</x:v>
      </x:c>
      <x:c r="H108" s="102" t="str">
        <x:v>Multipurpose / container / bulk / Ro-Ro terminal</x:v>
      </x:c>
      <x:c r="I108" s="102" t="str">
        <x:v>Containers; bulk; general cargo; Ro-Ro; automotive</x:v>
      </x:c>
      <x:c r="J108" s="102" t="str">
        <x:v>COMP_NOATUM</x:v>
      </x:c>
      <x:c r="K108" s="102" t="str">
        <x:v>Noatum Ports</x:v>
      </x:c>
      <x:c r="L108" s="102" t="str">
        <x:v>Noatum Ports / Noatum Automotive</x:v>
      </x:c>
      <x:c r="M108" s="102" t="str">
        <x:v>Operating</x:v>
      </x:c>
      <x:c r="N108" s="102"/>
      <x:c r="O108" s="102" t="n">
        <x:v>365914</x:v>
      </x:c>
      <x:c r="P108" s="102" t="n">
        <x:v>723</x:v>
      </x:c>
      <x:c r="Q108" s="102" t="n">
        <x:v>16</x:v>
      </x:c>
      <x:c r="R108" s="102"/>
      <x:c r="S108" s="102" t="str">
        <x:v>2 rail terminals</x:v>
      </x:c>
      <x:c r="T108" s="102" t="n">
        <x:v>516</x:v>
      </x:c>
      <x:c r="U108" s="102" t="str">
        <x:v>AD Ports Group / Noatum Ports</x:v>
      </x:c>
      <x:c r="V108" s="102" t="str">
        <x:v>ADP-ESP-MAL</x:v>
      </x:c>
      <x:c r="W108" s="102" t="str">
        <x:v>https://www.noatum.com/en/terminals-port-operations/noatum-ports-malaga-terminal/</x:v>
      </x:c>
      <x:c r="X108" s="102" t="str">
        <x:v>High</x:v>
      </x:c>
      <x:c r="Y108" s="102" t="str">
        <x:v>42,000 sqm storage; 100,000 sqm vehicle/covered space.</x:v>
      </x:c>
      <x:c r="Z108" s="102" t="str"/>
    </x:row>
    <x:row r="109">
      <x:c r="A109" s="102" t="str">
        <x:v>TERM0108</x:v>
      </x:c>
      <x:c r="B109" s="102" t="str">
        <x:v>Noatum Ports A Coruña Terminal</x:v>
      </x:c>
      <x:c r="C109" s="102" t="str">
        <x:v>PORTG0091</x:v>
      </x:c>
      <x:c r="D109" s="102" t="str">
        <x:v>Port of A Coruña</x:v>
      </x:c>
      <x:c r="E109" s="102" t="str">
        <x:v>Spain</x:v>
      </x:c>
      <x:c r="F109" s="102" t="str">
        <x:v>A Coruña</x:v>
      </x:c>
      <x:c r="G109" s="102" t="str">
        <x:v>Atlantic Europe</x:v>
      </x:c>
      <x:c r="H109" s="102" t="str">
        <x:v>Multipurpose / container / bulk terminal</x:v>
      </x:c>
      <x:c r="I109" s="102" t="str">
        <x:v>Containers; bulk; general cargo</x:v>
      </x:c>
      <x:c r="J109" s="102" t="str">
        <x:v>COMP_NOATUM</x:v>
      </x:c>
      <x:c r="K109" s="102" t="str">
        <x:v>Noatum Ports</x:v>
      </x:c>
      <x:c r="L109" s="102" t="str">
        <x:v>Noatum Ports</x:v>
      </x:c>
      <x:c r="M109" s="102" t="str">
        <x:v>Operating</x:v>
      </x:c>
      <x:c r="N109" s="102"/>
      <x:c r="O109" s="102"/>
      <x:c r="P109" s="102"/>
      <x:c r="Q109" s="102"/>
      <x:c r="R109" s="102"/>
      <x:c r="S109" s="102"/>
      <x:c r="T109" s="102"/>
      <x:c r="U109" s="102" t="str">
        <x:v>AD Ports Group / Noatum Ports</x:v>
      </x:c>
      <x:c r="V109" s="102" t="str">
        <x:v>ADP-ESP-COR</x:v>
      </x:c>
      <x:c r="W109" s="102" t="str">
        <x:v>https://www.noatum.com/en/terminals-port-operations/</x:v>
      </x:c>
      <x:c r="X109" s="102" t="str">
        <x:v>High</x:v>
      </x:c>
      <x:c r="Y109" s="102" t="str">
        <x:v>Official Noatum Spain terminal network.</x:v>
      </x:c>
      <x:c r="Z109" s="102" t="str"/>
    </x:row>
    <x:row r="110">
      <x:c r="A110" s="102" t="str">
        <x:v>TERM0109</x:v>
      </x:c>
      <x:c r="B110" s="102" t="str">
        <x:v>Noatum Ports Ferrol Terminal</x:v>
      </x:c>
      <x:c r="C110" s="102" t="str">
        <x:v>PORTG0092</x:v>
      </x:c>
      <x:c r="D110" s="102" t="str">
        <x:v>Port of Ferrol</x:v>
      </x:c>
      <x:c r="E110" s="102" t="str">
        <x:v>Spain</x:v>
      </x:c>
      <x:c r="F110" s="102" t="str">
        <x:v>Ferrol</x:v>
      </x:c>
      <x:c r="G110" s="102" t="str">
        <x:v>Atlantic Europe</x:v>
      </x:c>
      <x:c r="H110" s="102" t="str">
        <x:v>Multipurpose terminal</x:v>
      </x:c>
      <x:c r="I110" s="102" t="str">
        <x:v>General cargo; bulk</x:v>
      </x:c>
      <x:c r="J110" s="102" t="str">
        <x:v>COMP_NOATUM</x:v>
      </x:c>
      <x:c r="K110" s="102" t="str">
        <x:v>Noatum Ports</x:v>
      </x:c>
      <x:c r="L110" s="102" t="str">
        <x:v>Noatum Ports</x:v>
      </x:c>
      <x:c r="M110" s="102" t="str">
        <x:v>Operating</x:v>
      </x:c>
      <x:c r="N110" s="102"/>
      <x:c r="O110" s="102"/>
      <x:c r="P110" s="102"/>
      <x:c r="Q110" s="102"/>
      <x:c r="R110" s="102"/>
      <x:c r="S110" s="102"/>
      <x:c r="T110" s="102"/>
      <x:c r="U110" s="102" t="str">
        <x:v>AD Ports Group / Noatum Ports</x:v>
      </x:c>
      <x:c r="V110" s="102" t="str">
        <x:v>ADP-ESP-FER</x:v>
      </x:c>
      <x:c r="W110" s="102" t="str">
        <x:v>https://www.noatum.com/en/terminals-port-operations/</x:v>
      </x:c>
      <x:c r="X110" s="102" t="str">
        <x:v>High</x:v>
      </x:c>
      <x:c r="Y110" s="102" t="str">
        <x:v>Official Noatum Spain terminal network.</x:v>
      </x:c>
      <x:c r="Z110" s="102" t="str"/>
    </x:row>
    <x:row r="111">
      <x:c r="A111" s="102" t="str">
        <x:v>TERM0110</x:v>
      </x:c>
      <x:c r="B111" s="102" t="str">
        <x:v>Noatum Ports Santander Terminal</x:v>
      </x:c>
      <x:c r="C111" s="102" t="str">
        <x:v>PORTG0093</x:v>
      </x:c>
      <x:c r="D111" s="102" t="str">
        <x:v>Port of Santander</x:v>
      </x:c>
      <x:c r="E111" s="102" t="str">
        <x:v>Spain</x:v>
      </x:c>
      <x:c r="F111" s="102" t="str">
        <x:v>Santander</x:v>
      </x:c>
      <x:c r="G111" s="102" t="str">
        <x:v>Bay of Biscay</x:v>
      </x:c>
      <x:c r="H111" s="102" t="str">
        <x:v>Multipurpose / bulk / Ro-Ro terminal</x:v>
      </x:c>
      <x:c r="I111" s="102" t="str">
        <x:v>Bulk; general cargo; Ro-Ro; automotive</x:v>
      </x:c>
      <x:c r="J111" s="102" t="str">
        <x:v>COMP_NOATUM</x:v>
      </x:c>
      <x:c r="K111" s="102" t="str">
        <x:v>Noatum Ports</x:v>
      </x:c>
      <x:c r="L111" s="102" t="str">
        <x:v>Noatum Ports / Noatum Automotive</x:v>
      </x:c>
      <x:c r="M111" s="102" t="str">
        <x:v>Operating</x:v>
      </x:c>
      <x:c r="N111" s="102"/>
      <x:c r="O111" s="102" t="n">
        <x:v>63000</x:v>
      </x:c>
      <x:c r="P111" s="102" t="n">
        <x:v>3100</x:v>
      </x:c>
      <x:c r="Q111" s="102" t="n">
        <x:v>13</x:v>
      </x:c>
      <x:c r="R111" s="102"/>
      <x:c r="S111" s="102" t="str">
        <x:v>4 tracks</x:v>
      </x:c>
      <x:c r="T111" s="102"/>
      <x:c r="U111" s="102" t="str">
        <x:v>AD Ports Group / Noatum Ports</x:v>
      </x:c>
      <x:c r="V111" s="102" t="str">
        <x:v>ADP-ESP-SANT</x:v>
      </x:c>
      <x:c r="W111" s="102" t="str">
        <x:v>https://www.noatum.com/en/terminals-port-operations/noatum-ports-santander-terminal/</x:v>
      </x:c>
      <x:c r="X111" s="102" t="str">
        <x:v>High</x:v>
      </x:c>
      <x:c r="Y111" s="102" t="str">
        <x:v>46,000 sqm storage; 3 Ro-Ro ramps; 280,000 sqm public vehicle area.</x:v>
      </x:c>
      <x:c r="Z111" s="102" t="str"/>
    </x:row>
    <x:row r="112">
      <x:c r="A112" s="102" t="str">
        <x:v>TERM0111</x:v>
      </x:c>
      <x:c r="B112" s="102" t="str">
        <x:v>Noatum Ports Bilbao Terminal</x:v>
      </x:c>
      <x:c r="C112" s="102" t="str">
        <x:v>PORTG0094</x:v>
      </x:c>
      <x:c r="D112" s="102" t="str">
        <x:v>Port of Bilbao</x:v>
      </x:c>
      <x:c r="E112" s="102" t="str">
        <x:v>Spain</x:v>
      </x:c>
      <x:c r="F112" s="102" t="str">
        <x:v>Bilbao</x:v>
      </x:c>
      <x:c r="G112" s="102" t="str">
        <x:v>Bay of Biscay</x:v>
      </x:c>
      <x:c r="H112" s="102" t="str">
        <x:v>Multipurpose / bulk terminal</x:v>
      </x:c>
      <x:c r="I112" s="102" t="str">
        <x:v>Bulk; general cargo</x:v>
      </x:c>
      <x:c r="J112" s="102" t="str">
        <x:v>COMP_NOATUM</x:v>
      </x:c>
      <x:c r="K112" s="102" t="str">
        <x:v>Noatum Ports</x:v>
      </x:c>
      <x:c r="L112" s="102" t="str">
        <x:v>Noatum Ports</x:v>
      </x:c>
      <x:c r="M112" s="102" t="str">
        <x:v>Operating</x:v>
      </x:c>
      <x:c r="N112" s="102"/>
      <x:c r="O112" s="102"/>
      <x:c r="P112" s="102"/>
      <x:c r="Q112" s="102"/>
      <x:c r="R112" s="102"/>
      <x:c r="S112" s="102"/>
      <x:c r="T112" s="102"/>
      <x:c r="U112" s="102" t="str">
        <x:v>AD Ports Group / Noatum Ports</x:v>
      </x:c>
      <x:c r="V112" s="102" t="str">
        <x:v>ADP-ESP-BIL</x:v>
      </x:c>
      <x:c r="W112" s="102" t="str">
        <x:v>https://www.noatum.com/en/terminals-port-operations/</x:v>
      </x:c>
      <x:c r="X112" s="102" t="str">
        <x:v>High</x:v>
      </x:c>
      <x:c r="Y112" s="102" t="str">
        <x:v>Official Noatum Spain terminal network; associated depot operation also listed.</x:v>
      </x:c>
      <x:c r="Z112" s="102" t="str"/>
    </x:row>
    <x:row r="113">
      <x:c r="A113" s="102" t="str">
        <x:v>TERM0112</x:v>
      </x:c>
      <x:c r="B113" s="102" t="str">
        <x:v>Noatum Ports Vigo Terminal</x:v>
      </x:c>
      <x:c r="C113" s="102" t="str">
        <x:v>PORTG0095</x:v>
      </x:c>
      <x:c r="D113" s="102" t="str">
        <x:v>Port of Vigo</x:v>
      </x:c>
      <x:c r="E113" s="102" t="str">
        <x:v>Spain</x:v>
      </x:c>
      <x:c r="F113" s="102" t="str">
        <x:v>Vigo</x:v>
      </x:c>
      <x:c r="G113" s="102" t="str">
        <x:v>Atlantic Europe</x:v>
      </x:c>
      <x:c r="H113" s="102" t="str">
        <x:v>Reefer / Ro-Ro automotive terminal</x:v>
      </x:c>
      <x:c r="I113" s="102" t="str">
        <x:v>Reefer; vehicles; Ro-Ro</x:v>
      </x:c>
      <x:c r="J113" s="102" t="str">
        <x:v>COMP_NOATUM</x:v>
      </x:c>
      <x:c r="K113" s="102" t="str">
        <x:v>Noatum Ports</x:v>
      </x:c>
      <x:c r="L113" s="102" t="str">
        <x:v>Noatum Ports / Noatum Automotive</x:v>
      </x:c>
      <x:c r="M113" s="102" t="str">
        <x:v>Operating</x:v>
      </x:c>
      <x:c r="N113" s="102"/>
      <x:c r="O113" s="102"/>
      <x:c r="P113" s="102"/>
      <x:c r="Q113" s="102"/>
      <x:c r="R113" s="102"/>
      <x:c r="S113" s="102"/>
      <x:c r="T113" s="102"/>
      <x:c r="U113" s="102" t="str">
        <x:v>AD Ports Group / Noatum Ports</x:v>
      </x:c>
      <x:c r="V113" s="102" t="str">
        <x:v>ADP-ESP-VIG</x:v>
      </x:c>
      <x:c r="W113" s="102" t="str">
        <x:v>https://www.noatum.com/en/noatum-automotive/</x:v>
      </x:c>
      <x:c r="X113" s="102" t="str">
        <x:v>High</x:v>
      </x:c>
      <x:c r="Y113" s="102" t="str">
        <x:v>Automotive and reefer terminal; one of eight Noatum Automotive port terminals.</x:v>
      </x:c>
      <x:c r="Z113" s="102" t="str"/>
    </x:row>
    <x:row r="114">
      <x:c r="A114" s="102" t="str">
        <x:v>TERM0113</x:v>
      </x:c>
      <x:c r="B114" s="102" t="str">
        <x:v>Autoterminal Barcelona</x:v>
      </x:c>
      <x:c r="C114" s="102" t="str">
        <x:v>PORTG0096</x:v>
      </x:c>
      <x:c r="D114" s="102" t="str">
        <x:v>Port of Barcelona</x:v>
      </x:c>
      <x:c r="E114" s="102" t="str">
        <x:v>Spain</x:v>
      </x:c>
      <x:c r="F114" s="102" t="str">
        <x:v>Barcelona</x:v>
      </x:c>
      <x:c r="G114" s="102" t="str">
        <x:v>Western Mediterranean</x:v>
      </x:c>
      <x:c r="H114" s="102" t="str">
        <x:v>Automotive / Ro-Ro terminal</x:v>
      </x:c>
      <x:c r="I114" s="102" t="str">
        <x:v>Vehicles; Ro-Ro; H&amp;H</x:v>
      </x:c>
      <x:c r="J114" s="102" t="str">
        <x:v>COMP_NOATUM</x:v>
      </x:c>
      <x:c r="K114" s="102" t="str">
        <x:v>Autoterminal Barcelona</x:v>
      </x:c>
      <x:c r="L114" s="102" t="str">
        <x:v>Noatum Automotive</x:v>
      </x:c>
      <x:c r="M114" s="102" t="str">
        <x:v>Operating</x:v>
      </x:c>
      <x:c r="N114" s="102"/>
      <x:c r="O114" s="102"/>
      <x:c r="P114" s="102"/>
      <x:c r="Q114" s="102"/>
      <x:c r="R114" s="102"/>
      <x:c r="S114" s="102" t="str">
        <x:v>Rail / multimodal</x:v>
      </x:c>
      <x:c r="T114" s="102"/>
      <x:c r="U114" s="102" t="str">
        <x:v>AD Ports Group / Noatum</x:v>
      </x:c>
      <x:c r="V114" s="102" t="str">
        <x:v>ADP-ESP-BCN</x:v>
      </x:c>
      <x:c r="W114" s="102" t="str">
        <x:v>https://www.noatum.com/en/noatum-automotive/automotive-ports/</x:v>
      </x:c>
      <x:c r="X114" s="102" t="str">
        <x:v>High</x:v>
      </x:c>
      <x:c r="Y114" s="102" t="str">
        <x:v>Noatum Automotive hub port; listed volume 418,000 vehicles and 6,000 H/H units on company page.</x:v>
      </x:c>
      <x:c r="Z114" s="102" t="str"/>
    </x:row>
    <x:row r="115">
      <x:c r="A115" s="102" t="str">
        <x:v>TERM0114</x:v>
      </x:c>
      <x:c r="B115" s="102" t="str">
        <x:v>Noatum Ports Pasajes Terminal</x:v>
      </x:c>
      <x:c r="C115" s="102" t="str">
        <x:v>PORTG0097</x:v>
      </x:c>
      <x:c r="D115" s="102" t="str">
        <x:v>Port of Pasaia / Pasajes</x:v>
      </x:c>
      <x:c r="E115" s="102" t="str">
        <x:v>Spain</x:v>
      </x:c>
      <x:c r="F115" s="102" t="str">
        <x:v>Pasaia</x:v>
      </x:c>
      <x:c r="G115" s="102" t="str">
        <x:v>Bay of Biscay</x:v>
      </x:c>
      <x:c r="H115" s="102" t="str">
        <x:v>Automotive / Ro-Ro terminal</x:v>
      </x:c>
      <x:c r="I115" s="102" t="str">
        <x:v>Vehicles; Ro-Ro; H&amp;H</x:v>
      </x:c>
      <x:c r="J115" s="102" t="str">
        <x:v>COMP_NOATUM</x:v>
      </x:c>
      <x:c r="K115" s="102" t="str">
        <x:v>Noatum Ports</x:v>
      </x:c>
      <x:c r="L115" s="102" t="str">
        <x:v>Noatum Automotive</x:v>
      </x:c>
      <x:c r="M115" s="102" t="str">
        <x:v>Operating</x:v>
      </x:c>
      <x:c r="N115" s="102"/>
      <x:c r="O115" s="102"/>
      <x:c r="P115" s="102"/>
      <x:c r="Q115" s="102"/>
      <x:c r="R115" s="102"/>
      <x:c r="S115" s="102" t="str">
        <x:v>Multimodal</x:v>
      </x:c>
      <x:c r="T115" s="102"/>
      <x:c r="U115" s="102" t="str">
        <x:v>AD Ports Group / Noatum</x:v>
      </x:c>
      <x:c r="V115" s="102" t="str">
        <x:v>ADP-ESP-PAS</x:v>
      </x:c>
      <x:c r="W115" s="102" t="str">
        <x:v>https://www.noatum.com/en/noatum-automotive/automotive-ports/</x:v>
      </x:c>
      <x:c r="X115" s="102" t="str">
        <x:v>High</x:v>
      </x:c>
      <x:c r="Y115" s="102" t="str">
        <x:v>Automotive terminal; company page lists 248,000 vehicles and 3,000 H/H units.</x:v>
      </x:c>
      <x:c r="Z115" s="102" t="str"/>
    </x:row>
    <x:row r="116">
      <x:c r="A116" s="102" t="str">
        <x:v>TERM0115</x:v>
      </x:c>
      <x:c r="B116" s="102" t="str">
        <x:v>Fenix Marine Services</x:v>
      </x:c>
      <x:c r="C116" s="102" t="str">
        <x:v>PORTG0098</x:v>
      </x:c>
      <x:c r="D116" s="102" t="str">
        <x:v>Port of Los Angeles</x:v>
      </x:c>
      <x:c r="E116" s="102" t="str">
        <x:v>United States</x:v>
      </x:c>
      <x:c r="F116" s="102" t="str">
        <x:v>Los Angeles</x:v>
      </x:c>
      <x:c r="G116" s="102" t="str">
        <x:v>US West Coast</x:v>
      </x:c>
      <x:c r="H116" s="102" t="str">
        <x:v>Container terminal</x:v>
      </x:c>
      <x:c r="I116" s="102" t="str">
        <x:v>Containers / terminal cargo</x:v>
      </x:c>
      <x:c r="J116" s="102" t="str">
        <x:v>COMP_CMA_TERMINALS</x:v>
      </x:c>
      <x:c r="K116" s="102" t="str">
        <x:v>Fenix Marine Services</x:v>
      </x:c>
      <x:c r="L116" s="102" t="str">
        <x:v>CMA Terminals / United Ports</x:v>
      </x:c>
      <x:c r="M116" s="102" t="str">
        <x:v>Operating</x:v>
      </x:c>
      <x:c r="N116" s="102" t="n">
        <x:v>2500000</x:v>
      </x:c>
      <x:c r="O116" s="102" t="n">
        <x:v>1182000</x:v>
      </x:c>
      <x:c r="P116" s="102"/>
      <x:c r="Q116" s="102" t="n">
        <x:v>15.24</x:v>
      </x:c>
      <x:c r="R116" s="102" t="n">
        <x:v>4</x:v>
      </x:c>
      <x:c r="S116" s="102" t="str">
        <x:v>Yes</x:v>
      </x:c>
      <x:c r="T116" s="102" t="n">
        <x:v>700</x:v>
      </x:c>
      <x:c r="U116" s="102" t="str">
        <x:v>CMA CGM-operated; United Ports portfolio</x:v>
      </x:c>
      <x:c r="V116" s="102" t="str">
        <x:v>CMA-US-FENIX</x:v>
      </x:c>
      <x:c r="W116" s="102" t="str">
        <x:v>https://www.cma-cgm.com/news/4028/cma-cgm-completes-the-acquisition-of-fenix-marine-services-one-of-the-largest-container-terminals-in-the-port-of-los-angeles</x:v>
      </x:c>
      <x:c r="X116" s="102" t="str">
        <x:v>High</x:v>
      </x:c>
      <x:c r="Y116" s="102" t="str">
        <x:v>Approx. 292-acre yard; four berths &gt;1,000 ft each; 16 quay cranes; eight rail tracks.</x:v>
      </x:c>
      <x:c r="Z116" s="102" t="str"/>
    </x:row>
    <x:row r="117">
      <x:c r="A117" s="102" t="str">
        <x:v>TERM0116</x:v>
      </x:c>
      <x:c r="B117" s="102" t="str">
        <x:v>Port Liberty New York</x:v>
      </x:c>
      <x:c r="C117" s="102" t="str">
        <x:v>PORTG0099</x:v>
      </x:c>
      <x:c r="D117" s="102" t="str">
        <x:v>Port of New York &amp; New Jersey</x:v>
      </x:c>
      <x:c r="E117" s="102" t="str">
        <x:v>United States</x:v>
      </x:c>
      <x:c r="F117" s="102" t="str">
        <x:v>Staten Island, New York</x:v>
      </x:c>
      <x:c r="G117" s="102" t="str">
        <x:v>US East Coast</x:v>
      </x:c>
      <x:c r="H117" s="102" t="str">
        <x:v>Container terminal</x:v>
      </x:c>
      <x:c r="I117" s="102" t="str">
        <x:v>Containers / terminal cargo</x:v>
      </x:c>
      <x:c r="J117" s="102" t="str">
        <x:v>COMP_CMA_TERMINALS</x:v>
      </x:c>
      <x:c r="K117" s="102" t="str">
        <x:v>Port Liberty</x:v>
      </x:c>
      <x:c r="L117" s="102" t="str">
        <x:v>CMA Terminals / United Ports</x:v>
      </x:c>
      <x:c r="M117" s="102" t="str">
        <x:v>Operating</x:v>
      </x:c>
      <x:c r="N117" s="102"/>
      <x:c r="O117" s="102"/>
      <x:c r="P117" s="102"/>
      <x:c r="Q117" s="102"/>
      <x:c r="R117" s="102"/>
      <x:c r="S117" s="102" t="str">
        <x:v>Yes</x:v>
      </x:c>
      <x:c r="T117" s="102"/>
      <x:c r="U117" s="102" t="str">
        <x:v>CMA CGM-operated; United Ports portfolio</x:v>
      </x:c>
      <x:c r="V117" s="102" t="str">
        <x:v>CMA-US-PLNY</x:v>
      </x:c>
      <x:c r="W117" s="102" t="str">
        <x:v>https://www.cmacgm-group.com/en/news-media/cma-cgm-and-stonepeak-complete-formation-united-ports-llc</x:v>
      </x:c>
      <x:c r="X117" s="102" t="str">
        <x:v>High</x:v>
      </x:c>
      <x:c r="Y117" s="102" t="str">
        <x:v>One of the two Port Liberty assets transferred to United Ports.</x:v>
      </x:c>
      <x:c r="Z117" s="102" t="str"/>
    </x:row>
    <x:row r="118">
      <x:c r="A118" s="102" t="str">
        <x:v>TERM0117</x:v>
      </x:c>
      <x:c r="B118" s="102" t="str">
        <x:v>Port Liberty Bayonne</x:v>
      </x:c>
      <x:c r="C118" s="102" t="str">
        <x:v>PORTG0099</x:v>
      </x:c>
      <x:c r="D118" s="102" t="str">
        <x:v>Port of New York &amp; New Jersey</x:v>
      </x:c>
      <x:c r="E118" s="102" t="str">
        <x:v>United States</x:v>
      </x:c>
      <x:c r="F118" s="102" t="str">
        <x:v>Bayonne, New Jersey</x:v>
      </x:c>
      <x:c r="G118" s="102" t="str">
        <x:v>US East Coast</x:v>
      </x:c>
      <x:c r="H118" s="102" t="str">
        <x:v>Container terminal</x:v>
      </x:c>
      <x:c r="I118" s="102" t="str">
        <x:v>Containers / terminal cargo</x:v>
      </x:c>
      <x:c r="J118" s="102" t="str">
        <x:v>COMP_CMA_TERMINALS</x:v>
      </x:c>
      <x:c r="K118" s="102" t="str">
        <x:v>Port Liberty</x:v>
      </x:c>
      <x:c r="L118" s="102" t="str">
        <x:v>CMA Terminals / United Ports</x:v>
      </x:c>
      <x:c r="M118" s="102" t="str">
        <x:v>Operating</x:v>
      </x:c>
      <x:c r="N118" s="102"/>
      <x:c r="O118" s="102"/>
      <x:c r="P118" s="102"/>
      <x:c r="Q118" s="102"/>
      <x:c r="R118" s="102"/>
      <x:c r="S118" s="102" t="str">
        <x:v>Yes</x:v>
      </x:c>
      <x:c r="T118" s="102"/>
      <x:c r="U118" s="102" t="str">
        <x:v>CMA CGM-operated; United Ports portfolio</x:v>
      </x:c>
      <x:c r="V118" s="102" t="str">
        <x:v>CMA-US-PLBY</x:v>
      </x:c>
      <x:c r="W118" s="102" t="str">
        <x:v>https://www.cmacgm-group.com/en/news-media/cma-cgm-and-stonepeak-complete-formation-united-ports-llc</x:v>
      </x:c>
      <x:c r="X118" s="102" t="str">
        <x:v>High</x:v>
      </x:c>
      <x:c r="Y118" s="102" t="str">
        <x:v>CMA CGM identifies Bayonne among terminals deploying fully electric terminal tractors.</x:v>
      </x:c>
      <x:c r="Z118" s="102" t="str"/>
    </x:row>
    <x:row r="119">
      <x:c r="A119" s="102" t="str">
        <x:v>TERM0118</x:v>
      </x:c>
      <x:c r="B119" s="102" t="str">
        <x:v>Tecon Santos / Santos Brasil</x:v>
      </x:c>
      <x:c r="C119" s="102" t="str">
        <x:v>PORTG0049</x:v>
      </x:c>
      <x:c r="D119" s="102" t="str">
        <x:v>Port of Santos</x:v>
      </x:c>
      <x:c r="E119" s="102" t="str">
        <x:v>Brazil</x:v>
      </x:c>
      <x:c r="F119" s="102" t="str">
        <x:v>Guarujá</x:v>
      </x:c>
      <x:c r="G119" s="102" t="str">
        <x:v>South America Atlantic</x:v>
      </x:c>
      <x:c r="H119" s="102" t="str">
        <x:v>Container terminal</x:v>
      </x:c>
      <x:c r="I119" s="102" t="str">
        <x:v>Containers / terminal cargo</x:v>
      </x:c>
      <x:c r="J119" s="102" t="str">
        <x:v>COMP_CMA_TERMINALS</x:v>
      </x:c>
      <x:c r="K119" s="102" t="str">
        <x:v>Santos Brasil</x:v>
      </x:c>
      <x:c r="L119" s="102" t="str">
        <x:v>CMA Terminals / United Ports</x:v>
      </x:c>
      <x:c r="M119" s="102" t="str">
        <x:v>Operating</x:v>
      </x:c>
      <x:c r="N119" s="102"/>
      <x:c r="O119" s="102"/>
      <x:c r="P119" s="102"/>
      <x:c r="Q119" s="102"/>
      <x:c r="R119" s="102"/>
      <x:c r="S119" s="102" t="str">
        <x:v>Yes</x:v>
      </x:c>
      <x:c r="T119" s="102"/>
      <x:c r="U119" s="102" t="str">
        <x:v>100% Santos Brasil under CMA CGM; United Ports portfolio</x:v>
      </x:c>
      <x:c r="V119" s="102" t="str">
        <x:v>CMA-BR-SANTOS</x:v>
      </x:c>
      <x:c r="W119" s="102" t="str">
        <x:v>https://www.santosbrasil.com.br/v2021/en/containers</x:v>
      </x:c>
      <x:c r="X119" s="102" t="str">
        <x:v>High</x:v>
      </x:c>
      <x:c r="Y119" s="102" t="str">
        <x:v>Largest Santos Brasil container asset; infrastructure details should be enriched directly from Santos Brasil terminal page.</x:v>
      </x:c>
      <x:c r="Z119" s="102" t="str"/>
    </x:row>
    <x:row r="120">
      <x:c r="A120" s="102" t="str">
        <x:v>TERM0119</x:v>
      </x:c>
      <x:c r="B120" s="102" t="str">
        <x:v>Tecon Vila do Conde</x:v>
      </x:c>
      <x:c r="C120" s="102" t="str">
        <x:v>PORTG0100</x:v>
      </x:c>
      <x:c r="D120" s="102" t="str">
        <x:v>Port of Vila do Conde</x:v>
      </x:c>
      <x:c r="E120" s="102" t="str">
        <x:v>Brazil</x:v>
      </x:c>
      <x:c r="F120" s="102" t="str">
        <x:v>Barcarena</x:v>
      </x:c>
      <x:c r="G120" s="102" t="str">
        <x:v>Amazon / North Brazil</x:v>
      </x:c>
      <x:c r="H120" s="102" t="str">
        <x:v>Container / project cargo terminal</x:v>
      </x:c>
      <x:c r="I120" s="102" t="str">
        <x:v>Containers / terminal cargo</x:v>
      </x:c>
      <x:c r="J120" s="102" t="str">
        <x:v>COMP_CMA_TERMINALS</x:v>
      </x:c>
      <x:c r="K120" s="102" t="str">
        <x:v>Santos Brasil</x:v>
      </x:c>
      <x:c r="L120" s="102" t="str">
        <x:v>CMA Terminals / Santos Brasil</x:v>
      </x:c>
      <x:c r="M120" s="102" t="str">
        <x:v>Operating</x:v>
      </x:c>
      <x:c r="N120" s="102" t="n">
        <x:v>233000</x:v>
      </x:c>
      <x:c r="O120" s="102" t="n">
        <x:v>107967</x:v>
      </x:c>
      <x:c r="P120" s="102"/>
      <x:c r="Q120" s="102"/>
      <x:c r="R120" s="102"/>
      <x:c r="S120" s="102"/>
      <x:c r="T120" s="102" t="n">
        <x:v>570</x:v>
      </x:c>
      <x:c r="U120" s="102" t="str">
        <x:v>100% Santos Brasil under CMA CGM</x:v>
      </x:c>
      <x:c r="V120" s="102" t="str">
        <x:v>CMA-BR-VDC</x:v>
      </x:c>
      <x:c r="W120" s="102" t="str">
        <x:v>https://www.santosbrasil.com.br/v2021/conteineres</x:v>
      </x:c>
      <x:c r="X120" s="102" t="str">
        <x:v>High</x:v>
      </x:c>
      <x:c r="Y120" s="102" t="str">
        <x:v>Three mobile harbour cranes (125 t), nine reach stackers, four empty handlers.</x:v>
      </x:c>
      <x:c r="Z120" s="102" t="str"/>
    </x:row>
    <x:row r="121">
      <x:c r="A121" s="102" t="str">
        <x:v>TERM0120</x:v>
      </x:c>
      <x:c r="B121" s="102" t="str">
        <x:v>Tecon Imbituba</x:v>
      </x:c>
      <x:c r="C121" s="102" t="str">
        <x:v>PORTG0101</x:v>
      </x:c>
      <x:c r="D121" s="102" t="str">
        <x:v>Port of Imbituba</x:v>
      </x:c>
      <x:c r="E121" s="102" t="str">
        <x:v>Brazil</x:v>
      </x:c>
      <x:c r="F121" s="102" t="str">
        <x:v>Imbituba</x:v>
      </x:c>
      <x:c r="G121" s="102" t="str">
        <x:v>South America Atlantic</x:v>
      </x:c>
      <x:c r="H121" s="102" t="str">
        <x:v>Container terminal</x:v>
      </x:c>
      <x:c r="I121" s="102" t="str">
        <x:v>Containers / terminal cargo</x:v>
      </x:c>
      <x:c r="J121" s="102" t="str">
        <x:v>COMP_CMA_TERMINALS</x:v>
      </x:c>
      <x:c r="K121" s="102" t="str">
        <x:v>Santos Brasil</x:v>
      </x:c>
      <x:c r="L121" s="102" t="str">
        <x:v>CMA Terminals / Santos Brasil</x:v>
      </x:c>
      <x:c r="M121" s="102" t="str">
        <x:v>Operating</x:v>
      </x:c>
      <x:c r="N121" s="102" t="n">
        <x:v>351000</x:v>
      </x:c>
      <x:c r="O121" s="102" t="n">
        <x:v>76170</x:v>
      </x:c>
      <x:c r="P121" s="102" t="n">
        <x:v>410</x:v>
      </x:c>
      <x:c r="Q121" s="102" t="n">
        <x:v>14.5</x:v>
      </x:c>
      <x:c r="R121" s="102"/>
      <x:c r="S121" s="102" t="str">
        <x:v>Yes</x:v>
      </x:c>
      <x:c r="T121" s="102" t="n">
        <x:v>288</x:v>
      </x:c>
      <x:c r="U121" s="102" t="str">
        <x:v>100% Santos Brasil under CMA CGM</x:v>
      </x:c>
      <x:c r="V121" s="102" t="str">
        <x:v>CMA-BR-IMB</x:v>
      </x:c>
      <x:c r="W121" s="102" t="str">
        <x:v>https://www.santosbrasil.com.br/v2021/conteineres</x:v>
      </x:c>
      <x:c r="X121" s="102" t="str">
        <x:v>High</x:v>
      </x:c>
      <x:c r="Y121" s="102" t="str">
        <x:v>Two portainers, one MHC, 13 reach stackers.</x:v>
      </x:c>
      <x:c r="Z121" s="102" t="str"/>
    </x:row>
    <x:row r="122">
      <x:c r="A122" s="102" t="str">
        <x:v>TERM0121</x:v>
      </x:c>
      <x:c r="B122" s="102" t="str">
        <x:v>CSP Valencia Terminal</x:v>
      </x:c>
      <x:c r="C122" s="102" t="str">
        <x:v>PORTG0102</x:v>
      </x:c>
      <x:c r="D122" s="102" t="str">
        <x:v>Port of Valencia</x:v>
      </x:c>
      <x:c r="E122" s="102" t="str">
        <x:v>Spain</x:v>
      </x:c>
      <x:c r="F122" s="102" t="str">
        <x:v>Valencia</x:v>
      </x:c>
      <x:c r="G122" s="102" t="str">
        <x:v>Western Mediterranean</x:v>
      </x:c>
      <x:c r="H122" s="102" t="str">
        <x:v>Container terminal</x:v>
      </x:c>
      <x:c r="I122" s="102" t="str">
        <x:v>Containers / terminal cargo</x:v>
      </x:c>
      <x:c r="J122" s="102" t="str">
        <x:v>COMP_CMA_TERMINALS</x:v>
      </x:c>
      <x:c r="K122" s="102" t="str">
        <x:v>CSP Valencia</x:v>
      </x:c>
      <x:c r="L122" s="102" t="str">
        <x:v>CMA Terminals / United Ports</x:v>
      </x:c>
      <x:c r="M122" s="102" t="str">
        <x:v>Operating</x:v>
      </x:c>
      <x:c r="N122" s="102"/>
      <x:c r="O122" s="102"/>
      <x:c r="P122" s="102"/>
      <x:c r="Q122" s="102"/>
      <x:c r="R122" s="102"/>
      <x:c r="S122" s="102" t="str">
        <x:v>Yes</x:v>
      </x:c>
      <x:c r="T122" s="102"/>
      <x:c r="U122" s="102" t="str">
        <x:v>CMA CGM-operated interest; United Ports portfolio</x:v>
      </x:c>
      <x:c r="V122" s="102" t="str">
        <x:v>CMA-ES-VAL</x:v>
      </x:c>
      <x:c r="W122" s="102" t="str">
        <x:v>https://www.cmacgm-group.com/en/news-media/cma-cgm-and-stonepeak-complete-formation-united-ports-llc</x:v>
      </x:c>
      <x:c r="X122" s="102" t="str">
        <x:v>High</x:v>
      </x:c>
      <x:c r="Y122" s="102" t="str">
        <x:v>Transferred into completed United Ports portfolio.</x:v>
      </x:c>
      <x:c r="Z122" s="102" t="str"/>
    </x:row>
    <x:row r="123">
      <x:c r="A123" s="102" t="str">
        <x:v>TERM0122</x:v>
      </x:c>
      <x:c r="B123" s="102" t="str">
        <x:v>CSP Bilbao Terminal</x:v>
      </x:c>
      <x:c r="C123" s="102" t="str">
        <x:v>PORTG0094</x:v>
      </x:c>
      <x:c r="D123" s="102" t="str">
        <x:v>Port of Bilbao</x:v>
      </x:c>
      <x:c r="E123" s="102" t="str">
        <x:v>Spain</x:v>
      </x:c>
      <x:c r="F123" s="102" t="str">
        <x:v>Bilbao</x:v>
      </x:c>
      <x:c r="G123" s="102" t="str">
        <x:v>Bay of Biscay</x:v>
      </x:c>
      <x:c r="H123" s="102" t="str">
        <x:v>Container terminal</x:v>
      </x:c>
      <x:c r="I123" s="102" t="str">
        <x:v>Containers / terminal cargo</x:v>
      </x:c>
      <x:c r="J123" s="102" t="str">
        <x:v>COMP_CMA_TERMINALS</x:v>
      </x:c>
      <x:c r="K123" s="102" t="str">
        <x:v>CSP Bilbao</x:v>
      </x:c>
      <x:c r="L123" s="102" t="str">
        <x:v>CMA Terminals / United Ports</x:v>
      </x:c>
      <x:c r="M123" s="102" t="str">
        <x:v>Operating</x:v>
      </x:c>
      <x:c r="N123" s="102"/>
      <x:c r="O123" s="102"/>
      <x:c r="P123" s="102"/>
      <x:c r="Q123" s="102"/>
      <x:c r="R123" s="102"/>
      <x:c r="S123" s="102" t="str">
        <x:v>Yes</x:v>
      </x:c>
      <x:c r="T123" s="102"/>
      <x:c r="U123" s="102" t="str">
        <x:v>CMA CGM-operated interest; United Ports portfolio</x:v>
      </x:c>
      <x:c r="V123" s="102" t="str">
        <x:v>CMA-ES-BIL</x:v>
      </x:c>
      <x:c r="W123" s="102" t="str">
        <x:v>https://www.cmacgm-group.com/en/news-media/cma-cgm-and-stonepeak-complete-formation-united-ports-llc</x:v>
      </x:c>
      <x:c r="X123" s="102" t="str">
        <x:v>High</x:v>
      </x:c>
      <x:c r="Y123" s="102" t="str">
        <x:v>Transferred into completed United Ports portfolio.</x:v>
      </x:c>
      <x:c r="Z123" s="102" t="str"/>
    </x:row>
    <x:row r="124">
      <x:c r="A124" s="102" t="str">
        <x:v>TERM0123</x:v>
      </x:c>
      <x:c r="B124" s="102" t="str">
        <x:v>TTI Algeciras</x:v>
      </x:c>
      <x:c r="C124" s="102" t="str">
        <x:v>PORTG0103</x:v>
      </x:c>
      <x:c r="D124" s="102" t="str">
        <x:v>Port of Algeciras</x:v>
      </x:c>
      <x:c r="E124" s="102" t="str">
        <x:v>Spain</x:v>
      </x:c>
      <x:c r="F124" s="102" t="str">
        <x:v>Algeciras</x:v>
      </x:c>
      <x:c r="G124" s="102" t="str">
        <x:v>Strait of Gibraltar</x:v>
      </x:c>
      <x:c r="H124" s="102" t="str">
        <x:v>Container / transshipment terminal</x:v>
      </x:c>
      <x:c r="I124" s="102" t="str">
        <x:v>Containers / terminal cargo</x:v>
      </x:c>
      <x:c r="J124" s="102" t="str">
        <x:v>COMP_CMA_TERMINALS</x:v>
      </x:c>
      <x:c r="K124" s="102" t="str">
        <x:v>TTI Algeciras</x:v>
      </x:c>
      <x:c r="L124" s="102" t="str">
        <x:v>CMA Terminals / United Ports</x:v>
      </x:c>
      <x:c r="M124" s="102" t="str">
        <x:v>Operating</x:v>
      </x:c>
      <x:c r="N124" s="102"/>
      <x:c r="O124" s="102"/>
      <x:c r="P124" s="102"/>
      <x:c r="Q124" s="102"/>
      <x:c r="R124" s="102"/>
      <x:c r="S124" s="102" t="str">
        <x:v>Yes</x:v>
      </x:c>
      <x:c r="T124" s="102"/>
      <x:c r="U124" s="102" t="str">
        <x:v>CMA CGM-operated interest; United Ports portfolio</x:v>
      </x:c>
      <x:c r="V124" s="102" t="str">
        <x:v>CMA-ES-ALG</x:v>
      </x:c>
      <x:c r="W124" s="102" t="str">
        <x:v>https://www.cmacgm-group.com/en/news-media/cma-cgm-and-stonepeak-complete-formation-united-ports-llc</x:v>
      </x:c>
      <x:c r="X124" s="102" t="str">
        <x:v>High</x:v>
      </x:c>
      <x:c r="Y124" s="102" t="str">
        <x:v>One of CMATH's seven major transshipment hubs.</x:v>
      </x:c>
      <x:c r="Z124" s="102" t="str"/>
    </x:row>
    <x:row r="125">
      <x:c r="A125" s="102" t="str">
        <x:v>TERM0124</x:v>
      </x:c>
      <x:c r="B125" s="102" t="str">
        <x:v>CMA CGM Kaohsiung Terminal</x:v>
      </x:c>
      <x:c r="C125" s="102" t="str">
        <x:v>PORTG0104</x:v>
      </x:c>
      <x:c r="D125" s="102" t="str">
        <x:v>Port of Kaohsiung</x:v>
      </x:c>
      <x:c r="E125" s="102" t="str">
        <x:v>Taiwan</x:v>
      </x:c>
      <x:c r="F125" s="102" t="str">
        <x:v>Kaohsiung</x:v>
      </x:c>
      <x:c r="G125" s="102" t="str">
        <x:v>East Asia</x:v>
      </x:c>
      <x:c r="H125" s="102" t="str">
        <x:v>Container terminal</x:v>
      </x:c>
      <x:c r="I125" s="102" t="str">
        <x:v>Containers / terminal cargo</x:v>
      </x:c>
      <x:c r="J125" s="102" t="str">
        <x:v>COMP_CMA_TERMINALS</x:v>
      </x:c>
      <x:c r="K125" s="102" t="str">
        <x:v>CMA CGM Kaohsiung Terminal</x:v>
      </x:c>
      <x:c r="L125" s="102" t="str">
        <x:v>CMA Terminals / United Ports</x:v>
      </x:c>
      <x:c r="M125" s="102" t="str">
        <x:v>Operating</x:v>
      </x:c>
      <x:c r="N125" s="102"/>
      <x:c r="O125" s="102"/>
      <x:c r="P125" s="102"/>
      <x:c r="Q125" s="102"/>
      <x:c r="R125" s="102"/>
      <x:c r="S125" s="102" t="str">
        <x:v>Yes</x:v>
      </x:c>
      <x:c r="T125" s="102"/>
      <x:c r="U125" s="102" t="str">
        <x:v>CMA CGM-operated; United Ports portfolio</x:v>
      </x:c>
      <x:c r="V125" s="102" t="str">
        <x:v>CMA-TW-KHH</x:v>
      </x:c>
      <x:c r="W125" s="102" t="str">
        <x:v>https://www.cmacgm-group.com/en/news-media/cma-cgm-and-stonepeak-complete-formation-united-ports-llc</x:v>
      </x:c>
      <x:c r="X125" s="102" t="str">
        <x:v>High</x:v>
      </x:c>
      <x:c r="Y125" s="102" t="str">
        <x:v>Transferred into completed United Ports portfolio.</x:v>
      </x:c>
      <x:c r="Z125" s="102" t="str"/>
    </x:row>
    <x:row r="126">
      <x:c r="A126" s="102" t="str">
        <x:v>TERM0125</x:v>
      </x:c>
      <x:c r="B126" s="102" t="str">
        <x:v>Gemalink Container Terminal</x:v>
      </x:c>
      <x:c r="C126" s="102" t="str">
        <x:v>PORTG0105</x:v>
      </x:c>
      <x:c r="D126" s="102" t="str">
        <x:v>Cai Mep-Thi Vai</x:v>
      </x:c>
      <x:c r="E126" s="102" t="str">
        <x:v>Vietnam</x:v>
      </x:c>
      <x:c r="F126" s="102" t="str">
        <x:v>Ba Ria-Vung Tau</x:v>
      </x:c>
      <x:c r="G126" s="102" t="str">
        <x:v>Southeast Asia</x:v>
      </x:c>
      <x:c r="H126" s="102" t="str">
        <x:v>Container / transshipment terminal</x:v>
      </x:c>
      <x:c r="I126" s="102" t="str">
        <x:v>Containers / terminal cargo</x:v>
      </x:c>
      <x:c r="J126" s="102" t="str">
        <x:v>COMP_CMA_TERMINALS</x:v>
      </x:c>
      <x:c r="K126" s="102" t="str">
        <x:v>Gemalink</x:v>
      </x:c>
      <x:c r="L126" s="102" t="str">
        <x:v>CMA Terminals / United Ports</x:v>
      </x:c>
      <x:c r="M126" s="102" t="str">
        <x:v>Operating; Phase 2 expansion</x:v>
      </x:c>
      <x:c r="N126" s="102" t="n">
        <x:v>3000000</x:v>
      </x:c>
      <x:c r="O126" s="102" t="n">
        <x:v>440000</x:v>
      </x:c>
      <x:c r="P126" s="102"/>
      <x:c r="Q126" s="102"/>
      <x:c r="R126" s="102"/>
      <x:c r="S126" s="102"/>
      <x:c r="T126" s="102"/>
      <x:c r="U126" s="102" t="str">
        <x:v>CMA CGM 25% / Gemadept partnership; United Ports portfolio</x:v>
      </x:c>
      <x:c r="V126" s="102" t="str">
        <x:v>CMA-VN-GEMA</x:v>
      </x:c>
      <x:c r="W126" s="102" t="str">
        <x:v>https://www.cmacgm-group.com/en/news-media/cma-cgm-launches-phase-2-expansion-works-gemalink-container-terminal</x:v>
      </x:c>
      <x:c r="X126" s="102" t="str">
        <x:v>High</x:v>
      </x:c>
      <x:c r="Y126" s="102" t="str">
        <x:v>Current capacity about 1.7m TEU; Phase 2 targets ~3m by Q4 2027; yard 32→44 ha; STS 8→13; quay +450m.</x:v>
      </x:c>
      <x:c r="Z126" s="102" t="str"/>
    </x:row>
    <x:row r="127">
      <x:c r="A127" s="102" t="str">
        <x:v>TERM0126</x:v>
      </x:c>
      <x:c r="B127" s="102" t="str">
        <x:v>Nhava Sheva Freeport Terminal</x:v>
      </x:c>
      <x:c r="C127" s="102" t="str">
        <x:v>PORTG0106</x:v>
      </x:c>
      <x:c r="D127" s="102" t="str">
        <x:v>Jawaharlal Nehru Port</x:v>
      </x:c>
      <x:c r="E127" s="102" t="str">
        <x:v>India</x:v>
      </x:c>
      <x:c r="F127" s="102" t="str">
        <x:v>Navi Mumbai</x:v>
      </x:c>
      <x:c r="G127" s="102" t="str">
        <x:v>Indian Subcontinent</x:v>
      </x:c>
      <x:c r="H127" s="102" t="str">
        <x:v>Container terminal</x:v>
      </x:c>
      <x:c r="I127" s="102" t="str">
        <x:v>Containers / terminal cargo</x:v>
      </x:c>
      <x:c r="J127" s="102" t="str">
        <x:v>COMP_CMA_TERMINALS</x:v>
      </x:c>
      <x:c r="K127" s="102" t="str">
        <x:v>Nhava Sheva Freeport Terminal</x:v>
      </x:c>
      <x:c r="L127" s="102" t="str">
        <x:v>CMA Terminals / proposed United Ports addition</x:v>
      </x:c>
      <x:c r="M127" s="102" t="str">
        <x:v>Operating; ownership transfer pending</x:v>
      </x:c>
      <x:c r="N127" s="102"/>
      <x:c r="O127" s="102"/>
      <x:c r="P127" s="102"/>
      <x:c r="Q127" s="102"/>
      <x:c r="R127" s="102"/>
      <x:c r="S127" s="102" t="str">
        <x:v>Yes</x:v>
      </x:c>
      <x:c r="T127" s="102"/>
      <x:c r="U127" s="102" t="str">
        <x:v>CMA CGM interest; addition to United Ports subject to approvals</x:v>
      </x:c>
      <x:c r="V127" s="102" t="str">
        <x:v>CMA-IN-NSFT</x:v>
      </x:c>
      <x:c r="W127" s="102" t="str">
        <x:v>https://www.cmacgm-group.com/en/news-media/cma-cgm-and-stonepeak-complete-formation-united-ports-llc</x:v>
      </x:c>
      <x:c r="X127" s="102" t="str">
        <x:v>High</x:v>
      </x:c>
      <x:c r="Y127" s="102" t="str">
        <x:v>Not included in United Ports at closing; expected later subject to regulatory approvals.</x:v>
      </x:c>
      <x:c r="Z127" s="102" t="str"/>
    </x:row>
    <x:row r="128">
      <x:c r="A128" s="102" t="str">
        <x:v>TERM0127</x:v>
      </x:c>
      <x:c r="B128" s="102" t="str">
        <x:v>Lekki Freeport Terminal</x:v>
      </x:c>
      <x:c r="C128" s="102" t="str">
        <x:v>PORTG0107</x:v>
      </x:c>
      <x:c r="D128" s="102" t="str">
        <x:v>Lekki Deep Sea Port</x:v>
      </x:c>
      <x:c r="E128" s="102" t="str">
        <x:v>Nigeria</x:v>
      </x:c>
      <x:c r="F128" s="102" t="str">
        <x:v>Lagos</x:v>
      </x:c>
      <x:c r="G128" s="102" t="str">
        <x:v>Gulf of Guinea</x:v>
      </x:c>
      <x:c r="H128" s="102" t="str">
        <x:v>Container terminal</x:v>
      </x:c>
      <x:c r="I128" s="102" t="str">
        <x:v>Containers / terminal cargo</x:v>
      </x:c>
      <x:c r="J128" s="102" t="str">
        <x:v>COMP_CMA_TERMINALS</x:v>
      </x:c>
      <x:c r="K128" s="102" t="str">
        <x:v>Lekki Freeport Terminal</x:v>
      </x:c>
      <x:c r="L128" s="102" t="str">
        <x:v>CMA Terminals</x:v>
      </x:c>
      <x:c r="M128" s="102" t="str">
        <x:v>Operating</x:v>
      </x:c>
      <x:c r="N128" s="102"/>
      <x:c r="O128" s="102"/>
      <x:c r="P128" s="102" t="n">
        <x:v>680</x:v>
      </x:c>
      <x:c r="Q128" s="102" t="n">
        <x:v>16.5</x:v>
      </x:c>
      <x:c r="R128" s="102" t="n">
        <x:v>2</x:v>
      </x:c>
      <x:c r="S128" s="102"/>
      <x:c r="T128" s="102" t="n">
        <x:v>580</x:v>
      </x:c>
      <x:c r="U128" s="102" t="str">
        <x:v>CMA Terminals investment/operation</x:v>
      </x:c>
      <x:c r="V128" s="102" t="str">
        <x:v>CMA-NG-LEKKI</x:v>
      </x:c>
      <x:c r="W128" s="102" t="str">
        <x:v>https://www.cma-cgm.com/assets/public/pdf/LEKKI%20FREEPORT%20TERMINAL%20Q3%202022.pdf</x:v>
      </x:c>
      <x:c r="X128" s="102" t="str">
        <x:v>Medium</x:v>
      </x:c>
      <x:c r="Y128" s="102" t="str">
        <x:v>Official CMA advisory states 680m quay, two berths, 16.5m depth, five STS cranes and 580 reefer plugs. Older infrastructure source; current capacity to be refreshed.</x:v>
      </x:c>
      <x:c r="Z128" s="102" t="str"/>
    </x:row>
    <x:row r="129">
      <x:c r="A129" s="102" t="str">
        <x:v>TERM0128</x:v>
      </x:c>
      <x:c r="B129" s="102" t="str">
        <x:v>Trans Misr Terminal Alexandria</x:v>
      </x:c>
      <x:c r="C129" s="102" t="str">
        <x:v>PORTG0108</x:v>
      </x:c>
      <x:c r="D129" s="102" t="str">
        <x:v>Port of Alexandria</x:v>
      </x:c>
      <x:c r="E129" s="102" t="str">
        <x:v>Egypt</x:v>
      </x:c>
      <x:c r="F129" s="102" t="str">
        <x:v>Alexandria</x:v>
      </x:c>
      <x:c r="G129" s="102" t="str">
        <x:v>Eastern Mediterranean</x:v>
      </x:c>
      <x:c r="H129" s="102" t="str">
        <x:v>Container terminal</x:v>
      </x:c>
      <x:c r="I129" s="102" t="str">
        <x:v>Containers / terminal cargo</x:v>
      </x:c>
      <x:c r="J129" s="102" t="str">
        <x:v>COMP_CMA_TERMINALS</x:v>
      </x:c>
      <x:c r="K129" s="102" t="str">
        <x:v>Trans Misr Terminal</x:v>
      </x:c>
      <x:c r="L129" s="102" t="str">
        <x:v>CMA Terminals</x:v>
      </x:c>
      <x:c r="M129" s="102" t="str">
        <x:v>Operating</x:v>
      </x:c>
      <x:c r="N129" s="102" t="n">
        <x:v>1500000</x:v>
      </x:c>
      <x:c r="O129" s="102" t="n">
        <x:v>560000</x:v>
      </x:c>
      <x:c r="P129" s="102" t="n">
        <x:v>2000</x:v>
      </x:c>
      <x:c r="Q129" s="102"/>
      <x:c r="R129" s="102"/>
      <x:c r="S129" s="102"/>
      <x:c r="T129" s="102"/>
      <x:c r="U129" s="102" t="str">
        <x:v>CMA Terminals investment/operation</x:v>
      </x:c>
      <x:c r="V129" s="102" t="str">
        <x:v>CMA-EG-ALEX</x:v>
      </x:c>
      <x:c r="W129" s="102" t="str">
        <x:v>https://www.cma-cgm.com/ebusiness/schedules/terminal/detail/EGALY-MPT</x:v>
      </x:c>
      <x:c r="X129" s="102" t="str">
        <x:v>High</x:v>
      </x:c>
      <x:c r="Y129" s="102" t="str">
        <x:v>Current CMA terminal system confirms Trans Misr Terminal at Pier 55; ~1.5m TEU / &gt;2km quay figures originate from project specifications and should be refreshed.</x:v>
      </x:c>
      <x:c r="Z129" s="102" t="str"/>
    </x:row>
    <x:row r="130">
      <x:c r="A130" s="102" t="str">
        <x:v>TERM0129</x:v>
      </x:c>
      <x:c r="B130" s="102" t="str">
        <x:v>West Container Terminal – Nador West Med</x:v>
      </x:c>
      <x:c r="C130" s="102" t="str">
        <x:v>PORTG0109</x:v>
      </x:c>
      <x:c r="D130" s="102" t="str">
        <x:v>Nador West Med</x:v>
      </x:c>
      <x:c r="E130" s="102" t="str">
        <x:v>Morocco</x:v>
      </x:c>
      <x:c r="F130" s="102" t="str">
        <x:v>Nador</x:v>
      </x:c>
      <x:c r="G130" s="102" t="str">
        <x:v>Western Mediterranean</x:v>
      </x:c>
      <x:c r="H130" s="102" t="str">
        <x:v>Container / transshipment terminal</x:v>
      </x:c>
      <x:c r="I130" s="102" t="str">
        <x:v>Containers / terminal cargo</x:v>
      </x:c>
      <x:c r="J130" s="102" t="str">
        <x:v>COMP_CMA_TERMINALS</x:v>
      </x:c>
      <x:c r="K130" s="102" t="str">
        <x:v>JV with Marsa Maroc</x:v>
      </x:c>
      <x:c r="L130" s="102" t="str">
        <x:v>CMA Terminals</x:v>
      </x:c>
      <x:c r="M130" s="102" t="str">
        <x:v>Under development</x:v>
      </x:c>
      <x:c r="N130" s="102" t="n">
        <x:v>1800000</x:v>
      </x:c>
      <x:c r="O130" s="102" t="n">
        <x:v>375000</x:v>
      </x:c>
      <x:c r="P130" s="102" t="n">
        <x:v>900</x:v>
      </x:c>
      <x:c r="Q130" s="102" t="n">
        <x:v>18</x:v>
      </x:c>
      <x:c r="R130" s="102"/>
      <x:c r="S130" s="102"/>
      <x:c r="T130" s="102"/>
      <x:c r="U130" s="102" t="str">
        <x:v>51% Marsa Maroc / 49% CMA Terminals</x:v>
      </x:c>
      <x:c r="V130" s="102" t="str">
        <x:v>CMA-MA-NADOR</x:v>
      </x:c>
      <x:c r="W130" s="102" t="str">
        <x:v>https://www.cma-cgm.com/news/5223/marsa-maroc-and-cma-cgm-finalize-the-agreement-for-the-operation-of-a-container-terminal-at-the-port-of-nador-west-med</x:v>
      </x:c>
      <x:c r="X130" s="102" t="str">
        <x:v>High</x:v>
      </x:c>
      <x:c r="Y130" s="102" t="str">
        <x:v>Latest agreement targets 1.8m TEU and 2027 opening; earlier project detail specified 18m draft, 8 STS and 24 electric RTGs.</x:v>
      </x:c>
      <x:c r="Z130" s="102" t="str"/>
    </x:row>
    <x:row r="131">
      <x:c r="A131" s="102" t="str">
        <x:v>TERM0130</x:v>
      </x:c>
      <x:c r="B131" s="102" t="str">
        <x:v>Jeddah Islamic Port Terminal 4</x:v>
      </x:c>
      <x:c r="C131" s="102" t="str">
        <x:v>PORTG0037</x:v>
      </x:c>
      <x:c r="D131" s="102" t="str">
        <x:v>Jeddah Islamic Port</x:v>
      </x:c>
      <x:c r="E131" s="102" t="str">
        <x:v>Saudi Arabia</x:v>
      </x:c>
      <x:c r="F131" s="102" t="str">
        <x:v>Jeddah</x:v>
      </x:c>
      <x:c r="G131" s="102" t="str">
        <x:v>Red Sea</x:v>
      </x:c>
      <x:c r="H131" s="102" t="str">
        <x:v>Container terminal</x:v>
      </x:c>
      <x:c r="I131" s="102" t="str">
        <x:v>Containers / terminal cargo</x:v>
      </x:c>
      <x:c r="J131" s="102" t="str">
        <x:v>COMP_CMA_TERMINALS</x:v>
      </x:c>
      <x:c r="K131" s="102" t="str">
        <x:v>RSGT-CMA CGM JV</x:v>
      </x:c>
      <x:c r="L131" s="102" t="str">
        <x:v>CMA Terminals / RSGT JV</x:v>
      </x:c>
      <x:c r="M131" s="102" t="str">
        <x:v>Under development</x:v>
      </x:c>
      <x:c r="N131" s="102" t="n">
        <x:v>2600000</x:v>
      </x:c>
      <x:c r="O131" s="102"/>
      <x:c r="P131" s="102"/>
      <x:c r="Q131" s="102"/>
      <x:c r="R131" s="102"/>
      <x:c r="S131" s="102"/>
      <x:c r="T131" s="102"/>
      <x:c r="U131" s="102" t="str">
        <x:v>Definitive JV agreements with RSGT</x:v>
      </x:c>
      <x:c r="V131" s="102" t="str">
        <x:v>CMA-SA-JED4</x:v>
      </x:c>
      <x:c r="W131" s="102" t="str">
        <x:v>https://rsgt.com.sa/news/rsgt-and-cma-cgm-announce-usd-434-million-initial-investment-sar-1-6-billion-to-develop-terminal-4-and-add-up-to-2-6-million-teus-of-capacity-at-jeddah-islamic-port/</x:v>
      </x:c>
      <x:c r="X131" s="102" t="str">
        <x:v>High</x:v>
      </x:c>
      <x:c r="Y131" s="102" t="str">
        <x:v>US$434m initial investment; up to 2.6m TEU; 10 new STS cranes announced.</x:v>
      </x:c>
      <x:c r="Z131" s="102" t="str"/>
    </x:row>
    <x:row r="132">
      <x:c r="A132" s="102" t="str">
        <x:v>TERM0131</x:v>
      </x:c>
      <x:c r="B132" s="102" t="str">
        <x:v>Lach Huyen Terminals 7 &amp; 8</x:v>
      </x:c>
      <x:c r="C132" s="102" t="str">
        <x:v>PORTG0110</x:v>
      </x:c>
      <x:c r="D132" s="102" t="str">
        <x:v>Port of Haiphong / Lach Huyen</x:v>
      </x:c>
      <x:c r="E132" s="102" t="str">
        <x:v>Vietnam</x:v>
      </x:c>
      <x:c r="F132" s="102" t="str">
        <x:v>Haiphong</x:v>
      </x:c>
      <x:c r="G132" s="102" t="str">
        <x:v>Southeast Asia</x:v>
      </x:c>
      <x:c r="H132" s="102" t="str">
        <x:v>Container terminal</x:v>
      </x:c>
      <x:c r="I132" s="102" t="str">
        <x:v>Containers / terminal cargo</x:v>
      </x:c>
      <x:c r="J132" s="102" t="str">
        <x:v>COMP_CMA_TERMINALS</x:v>
      </x:c>
      <x:c r="K132" s="102" t="str">
        <x:v>Project JV</x:v>
      </x:c>
      <x:c r="L132" s="102" t="str">
        <x:v>CMA Terminals / Saigon Newport partnership</x:v>
      </x:c>
      <x:c r="M132" s="102" t="str">
        <x:v>Under development</x:v>
      </x:c>
      <x:c r="N132" s="102" t="n">
        <x:v>1900000</x:v>
      </x:c>
      <x:c r="O132" s="102"/>
      <x:c r="P132" s="102"/>
      <x:c r="Q132" s="102"/>
      <x:c r="R132" s="102"/>
      <x:c r="S132" s="102"/>
      <x:c r="T132" s="102"/>
      <x:c r="U132" s="102" t="str">
        <x:v>CMA CGM partnership with Saigon Newport</x:v>
      </x:c>
      <x:c r="V132" s="102" t="str">
        <x:v>CMA-VN-HP78</x:v>
      </x:c>
      <x:c r="W132" s="102" t="str">
        <x:v>https://www.cmacgm-group.com/en/news-media/cma-cgm-and-saigon-newport-corporation-sign-strategic-partnership-to-develop-deep-water-terminal-in-vietnam</x:v>
      </x:c>
      <x:c r="X132" s="102" t="str">
        <x:v>Medium</x:v>
      </x:c>
      <x:c r="Y132" s="102" t="str">
        <x:v>Approx. US$600m project; expected operations during 2028.</x:v>
      </x:c>
      <x:c r="Z132" s="102" t="str"/>
    </x:row>
    <x:row r="133">
      <x:c r="A133" s="102" t="str">
        <x:v>TERM0132</x:v>
      </x:c>
      <x:c r="B133" s="102" t="str">
        <x:v>EUROGATE Container Terminal Hamburg – proposed CMA stake</x:v>
      </x:c>
      <x:c r="C133" s="102" t="str">
        <x:v>PORTG0111</x:v>
      </x:c>
      <x:c r="D133" s="102" t="str">
        <x:v>Port of Hamburg</x:v>
      </x:c>
      <x:c r="E133" s="102" t="str">
        <x:v>Germany</x:v>
      </x:c>
      <x:c r="F133" s="102" t="str">
        <x:v>Hamburg</x:v>
      </x:c>
      <x:c r="G133" s="102" t="str">
        <x:v>Northern Europe</x:v>
      </x:c>
      <x:c r="H133" s="102" t="str">
        <x:v>Container terminal</x:v>
      </x:c>
      <x:c r="I133" s="102" t="str">
        <x:v>Containers / terminal cargo</x:v>
      </x:c>
      <x:c r="J133" s="102" t="str">
        <x:v>COMP_CMA_TERMINALS</x:v>
      </x:c>
      <x:c r="K133" s="102" t="str">
        <x:v>EUROGATE Container Terminal Hamburg</x:v>
      </x:c>
      <x:c r="L133" s="102" t="str">
        <x:v>CMA Terminals</x:v>
      </x:c>
      <x:c r="M133" s="102" t="str">
        <x:v>Negotiations ongoing</x:v>
      </x:c>
      <x:c r="N133" s="102" t="n">
        <x:v>6000000</x:v>
      </x:c>
      <x:c r="O133" s="102" t="n">
        <x:v>380000</x:v>
      </x:c>
      <x:c r="P133" s="102" t="n">
        <x:v>1050</x:v>
      </x:c>
      <x:c r="Q133" s="102"/>
      <x:c r="R133" s="102"/>
      <x:c r="S133" s="102" t="str">
        <x:v>Yes</x:v>
      </x:c>
      <x:c r="T133" s="102"/>
      <x:c r="U133" s="102" t="str">
        <x:v>Proposed 20% CMA Terminals minority stake</x:v>
      </x:c>
      <x:c r="V133" s="102" t="str">
        <x:v>CMA-DE-HAM</x:v>
      </x:c>
      <x:c r="W133" s="102" t="str">
        <x:v>https://www.eqs-news.com/news/ad-hoc/eurokai-gmbh-co-kgaa-gesprache-uber-mogliche-verauserung-einer-minderheitsbeteiligung-an-eurogate-container-terminal-hamburg-gmbh/7493bbee-38a3-4d68-81f2-564f67cadc7c_de</x:v>
      </x:c>
      <x:c r="X133" s="102" t="str">
        <x:v>High</x:v>
      </x:c>
      <x:c r="Y133" s="102" t="str">
        <x:v>Do not treat as completed ownership. Existing capacity ~4m TEU; western expansion targets ~6m with +38ha and +1,050m quay.</x:v>
      </x:c>
      <x:c r="Z133" s="102" t="str"/>
    </x:row>
    <x:row r="134">
      <x:c r="A134" s="102" t="str">
        <x:v>TERM0133</x:v>
      </x:c>
      <x:c r="B134" s="102" t="str">
        <x:v>Mombasa terminal development framework</x:v>
      </x:c>
      <x:c r="C134" s="102" t="str">
        <x:v>PORTG0112</x:v>
      </x:c>
      <x:c r="D134" s="102" t="str">
        <x:v>Port of Mombasa</x:v>
      </x:c>
      <x:c r="E134" s="102" t="str">
        <x:v>Kenya</x:v>
      </x:c>
      <x:c r="F134" s="102" t="str">
        <x:v>Mombasa</x:v>
      </x:c>
      <x:c r="G134" s="102" t="str">
        <x:v>East Africa / Indian Ocean</x:v>
      </x:c>
      <x:c r="H134" s="102" t="str">
        <x:v>Container terminal development</x:v>
      </x:c>
      <x:c r="I134" s="102" t="str">
        <x:v>Containers / terminal cargo</x:v>
      </x:c>
      <x:c r="J134" s="102" t="str">
        <x:v>COMP_CMA_TERMINALS</x:v>
      </x:c>
      <x:c r="K134" s="102" t="str">
        <x:v>TBD JV with Kenyan authorities</x:v>
      </x:c>
      <x:c r="L134" s="102" t="str">
        <x:v>CMA CGM / CMA Terminals</x:v>
      </x:c>
      <x:c r="M134" s="102" t="str">
        <x:v>Development framework</x:v>
      </x:c>
      <x:c r="N134" s="102" t="n">
        <x:v>1200000</x:v>
      </x:c>
      <x:c r="O134" s="102"/>
      <x:c r="P134" s="102"/>
      <x:c r="Q134" s="102"/>
      <x:c r="R134" s="102"/>
      <x:c r="S134" s="102" t="str">
        <x:v>Yes</x:v>
      </x:c>
      <x:c r="T134" s="102"/>
      <x:c r="U134" s="102" t="str">
        <x:v>Strategic partnership framework; exact terminal JV structure pending</x:v>
      </x:c>
      <x:c r="V134" s="102" t="str">
        <x:v>CMA-KE-MBA</x:v>
      </x:c>
      <x:c r="W134" s="102" t="str">
        <x:v>https://cmacgm-group.com/en/news-media/africa-forward-summit-rodolphe-saade-signs-government-republic-of-kenya-strategic-partnership-agreement</x:v>
      </x:c>
      <x:c r="X134" s="102" t="str">
        <x:v>High</x:v>
      </x:c>
      <x:c r="Y134" s="102" t="str">
        <x:v>€700m strategic framework announced; subsequent reporting describes a deep-water terminal adding about 1.2m TEU. Details not yet final.</x:v>
      </x:c>
      <x:c r="Z134" s="102" t="str"/>
    </x:row>
    <x:row r="135">
      <x:c r="A135" s="102" t="str">
        <x:v>TERM0134</x:v>
      </x:c>
      <x:c r="B135" s="102" t="str">
        <x:v>October Dry Port</x:v>
      </x:c>
      <x:c r="C135" s="102" t="str">
        <x:v>PORTG0113</x:v>
      </x:c>
      <x:c r="D135" s="102" t="str">
        <x:v>6th of October City</x:v>
      </x:c>
      <x:c r="E135" s="102" t="str">
        <x:v>Egypt</x:v>
      </x:c>
      <x:c r="F135" s="102" t="str">
        <x:v>Giza Governorate</x:v>
      </x:c>
      <x:c r="G135" s="102" t="str">
        <x:v>Egypt inland</x:v>
      </x:c>
      <x:c r="H135" s="102" t="str">
        <x:v>Dry port / rail logistics terminal</x:v>
      </x:c>
      <x:c r="I135" s="102" t="str">
        <x:v>Containers / terminal cargo</x:v>
      </x:c>
      <x:c r="J135" s="102" t="str">
        <x:v>COMP_CMA_TERMINALS</x:v>
      </x:c>
      <x:c r="K135" s="102" t="str">
        <x:v>October Dry Port S.A.E.</x:v>
      </x:c>
      <x:c r="L135" s="102" t="str">
        <x:v>CMA CGM Inland Services / CMA Terminals ecosystem</x:v>
      </x:c>
      <x:c r="M135" s="102" t="str">
        <x:v>Operating / expanding</x:v>
      </x:c>
      <x:c r="N135" s="102"/>
      <x:c r="O135" s="102"/>
      <x:c r="P135" s="102"/>
      <x:c r="Q135" s="102"/>
      <x:c r="R135" s="102"/>
      <x:c r="S135" s="102" t="str">
        <x:v>Yes</x:v>
      </x:c>
      <x:c r="T135" s="102"/>
      <x:c r="U135" s="102" t="str">
        <x:v>35% CMA CGM stake</x:v>
      </x:c>
      <x:c r="V135" s="102" t="str">
        <x:v>CMA-EG-ODP</x:v>
      </x:c>
      <x:c r="W135" s="102" t="str">
        <x:v>https://www.cmacgm-group.com/en/news-media/annual-financial-results-2025</x:v>
      </x:c>
      <x:c r="X135" s="102" t="str">
        <x:v>High</x:v>
      </x:c>
      <x:c r="Y135" s="102" t="str">
        <x:v>Strategic rail and logistics platform; tracked separately from seaport assets.</x:v>
      </x:c>
      <x:c r="Z135" s="102" t="str"/>
    </x:row>
    <x:row r="136">
      <x:c r="A136" s="102" t="str">
        <x:v>TERM0135</x:v>
      </x:c>
      <x:c r="B136" s="102" t="str">
        <x:v>Lyon Rhône Terminal</x:v>
      </x:c>
      <x:c r="C136" s="102" t="str">
        <x:v>PORTG0114</x:v>
      </x:c>
      <x:c r="D136" s="102" t="str">
        <x:v>Port Édouard Herriot</x:v>
      </x:c>
      <x:c r="E136" s="102" t="str">
        <x:v>France</x:v>
      </x:c>
      <x:c r="F136" s="102" t="str">
        <x:v>Lyon</x:v>
      </x:c>
      <x:c r="G136" s="102" t="str">
        <x:v>Rhône corridor</x:v>
      </x:c>
      <x:c r="H136" s="102" t="str">
        <x:v>Inland container terminal</x:v>
      </x:c>
      <x:c r="I136" s="102" t="str">
        <x:v>Containers / terminal cargo</x:v>
      </x:c>
      <x:c r="J136" s="102" t="str">
        <x:v>COMP_CMA_TERMINALS</x:v>
      </x:c>
      <x:c r="K136" s="102" t="str">
        <x:v>Lyon Rhône Terminal</x:v>
      </x:c>
      <x:c r="L136" s="102" t="str">
        <x:v>CMA CGM-led consortium</x:v>
      </x:c>
      <x:c r="M136" s="102" t="str">
        <x:v>Operating</x:v>
      </x:c>
      <x:c r="N136" s="102"/>
      <x:c r="O136" s="102"/>
      <x:c r="P136" s="102"/>
      <x:c r="Q136" s="102"/>
      <x:c r="R136" s="102"/>
      <x:c r="S136" s="102" t="str">
        <x:v>Yes</x:v>
      </x:c>
      <x:c r="T136" s="102"/>
      <x:c r="U136" s="102" t="str">
        <x:v>CMA CGM-led consortium 67%</x:v>
      </x:c>
      <x:c r="V136" s="102" t="str">
        <x:v>CMA-FR-LYON</x:v>
      </x:c>
      <x:c r="W136" s="102" t="str">
        <x:v>https://www.cmacgm-group.com/en/news-media/annual-financial-results-2025</x:v>
      </x:c>
      <x:c r="X136" s="102" t="str">
        <x:v>High</x:v>
      </x:c>
      <x:c r="Y136" s="102" t="str">
        <x:v>Concession began April 2025; supports Mediterranean–Rhône–Saône corridor.</x:v>
      </x:c>
      <x:c r="Z136" s="102" t="str"/>
    </x:row>
    <x:row r="137">
      <x:c r="A137" s="102" t="str">
        <x:v>TERM0136</x:v>
      </x:c>
      <x:c r="B137" s="102" t="str">
        <x:v>SAMR – Port Réunion Terminal</x:v>
      </x:c>
      <x:c r="C137" s="102" t="str">
        <x:v>PORTG0115</x:v>
      </x:c>
      <x:c r="D137" s="102" t="str">
        <x:v>Port Réunion</x:v>
      </x:c>
      <x:c r="E137" s="102" t="str">
        <x:v>France (Réunion)</x:v>
      </x:c>
      <x:c r="F137" s="102" t="str">
        <x:v>Le Port</x:v>
      </x:c>
      <x:c r="G137" s="102" t="str">
        <x:v>Indian Ocean</x:v>
      </x:c>
      <x:c r="H137" s="102" t="str">
        <x:v>Container terminal</x:v>
      </x:c>
      <x:c r="I137" s="102" t="str">
        <x:v>Containers / terminal cargo</x:v>
      </x:c>
      <x:c r="J137" s="102" t="str">
        <x:v>COMP_CMA_TERMINALS</x:v>
      </x:c>
      <x:c r="K137" s="102" t="str">
        <x:v>SAMR</x:v>
      </x:c>
      <x:c r="L137" s="102" t="str">
        <x:v>CMA Terminals</x:v>
      </x:c>
      <x:c r="M137" s="102" t="str">
        <x:v>Operating</x:v>
      </x:c>
      <x:c r="N137" s="102"/>
      <x:c r="O137" s="102"/>
      <x:c r="P137" s="102"/>
      <x:c r="Q137" s="102"/>
      <x:c r="R137" s="102"/>
      <x:c r="S137" s="102"/>
      <x:c r="T137" s="102"/>
      <x:c r="U137" s="102" t="str">
        <x:v>CMA Terminals operation</x:v>
      </x:c>
      <x:c r="V137" s="102" t="str">
        <x:v>CMA-FR-REU</x:v>
      </x:c>
      <x:c r="W137" s="102" t="str">
        <x:v>https://www.kalmarglobal.com/news--insights/press_releases/2024/kalmar-concluded-an-agreement-to/</x:v>
      </x:c>
      <x:c r="X137" s="102" t="str">
        <x:v>Medium</x:v>
      </x:c>
      <x:c r="Y137" s="102" t="str">
        <x:v>Strategic Indian Ocean hub; three hybrid straddle carriers ordered for delivery in 2024.</x:v>
      </x:c>
      <x:c r="Z137" s="102" t="str"/>
    </x:row>
    <x:row r="138">
      <x:c r="A138" s="102" t="str">
        <x:v>TERM0137</x:v>
      </x:c>
      <x:c r="B138" s="102" t="str">
        <x:v>Kribi Conteneurs Terminal</x:v>
      </x:c>
      <x:c r="C138" s="102" t="str">
        <x:v>PORTG0116</x:v>
      </x:c>
      <x:c r="D138" s="102" t="str">
        <x:v>Port of Kribi</x:v>
      </x:c>
      <x:c r="E138" s="102" t="str">
        <x:v>Cameroon</x:v>
      </x:c>
      <x:c r="F138" s="102" t="str">
        <x:v>Kribi</x:v>
      </x:c>
      <x:c r="G138" s="102" t="str">
        <x:v>Gulf of Guinea</x:v>
      </x:c>
      <x:c r="H138" s="102" t="str">
        <x:v>Container / transshipment terminal</x:v>
      </x:c>
      <x:c r="I138" s="102" t="str">
        <x:v>Containers / terminal cargo</x:v>
      </x:c>
      <x:c r="J138" s="102" t="str">
        <x:v>COMP_CMA_TERMINALS</x:v>
      </x:c>
      <x:c r="K138" s="102" t="str">
        <x:v>Kribi Conteneurs Terminal</x:v>
      </x:c>
      <x:c r="L138" s="102" t="str">
        <x:v>CMA Terminals Holding strategic hub</x:v>
      </x:c>
      <x:c r="M138" s="102" t="str">
        <x:v>Operating</x:v>
      </x:c>
      <x:c r="N138" s="102"/>
      <x:c r="O138" s="102"/>
      <x:c r="P138" s="102"/>
      <x:c r="Q138" s="102"/>
      <x:c r="R138" s="102"/>
      <x:c r="S138" s="102"/>
      <x:c r="T138" s="102"/>
      <x:c r="U138" s="102" t="str">
        <x:v>CMA CGM-linked terminal interest</x:v>
      </x:c>
      <x:c r="V138" s="102" t="str">
        <x:v>CMA-CM-KRIBI</x:v>
      </x:c>
      <x:c r="W138" s="102" t="str">
        <x:v>https://www.cmacgm-group.com/en/group-and-vision/our-activities/terminals</x:v>
      </x:c>
      <x:c r="X138" s="102" t="str">
        <x:v>High</x:v>
      </x:c>
      <x:c r="Y138" s="102" t="str">
        <x:v>Named by CMATH as one of seven major transshipment hubs.</x:v>
      </x:c>
      <x:c r="Z138" s="102" t="str"/>
    </x:row>
    <x:row r="139">
      <x:c r="A139" s="102" t="str">
        <x:v>TERM0138</x:v>
      </x:c>
      <x:c r="B139" s="102" t="str">
        <x:v>Terminal Link – Rotterdam</x:v>
      </x:c>
      <x:c r="C139" s="102" t="str">
        <x:v>PORTG0020</x:v>
      </x:c>
      <x:c r="D139" s="102" t="str">
        <x:v>Port of Rotterdam</x:v>
      </x:c>
      <x:c r="E139" s="102" t="str">
        <x:v>Netherlands</x:v>
      </x:c>
      <x:c r="F139" s="102" t="str">
        <x:v>Rotterdam</x:v>
      </x:c>
      <x:c r="G139" s="102" t="str">
        <x:v>Northern Europe</x:v>
      </x:c>
      <x:c r="H139" s="102" t="str">
        <x:v>Container terminal</x:v>
      </x:c>
      <x:c r="I139" s="102" t="str">
        <x:v>Containers / terminal cargo</x:v>
      </x:c>
      <x:c r="J139" s="102" t="str">
        <x:v>COMP_TERMINAL_LINK</x:v>
      </x:c>
      <x:c r="K139" s="102" t="str">
        <x:v>Terminal Link</x:v>
      </x:c>
      <x:c r="L139" s="102" t="str">
        <x:v>Terminal Link</x:v>
      </x:c>
      <x:c r="M139" s="102" t="str">
        <x:v>Operating</x:v>
      </x:c>
      <x:c r="N139" s="102"/>
      <x:c r="O139" s="102"/>
      <x:c r="P139" s="102"/>
      <x:c r="Q139" s="102"/>
      <x:c r="R139" s="102"/>
      <x:c r="S139" s="102"/>
      <x:c r="T139" s="102"/>
      <x:c r="U139" s="102" t="str">
        <x:v>51% CMA Terminals Holding / 49% CM Port (portfolio-level structure)</x:v>
      </x:c>
      <x:c r="V139" s="102" t="str">
        <x:v>CMA-TL-RTM</x:v>
      </x:c>
      <x:c r="W139" s="102" t="str">
        <x:v>https://www.terminal-link.com/ports/location</x:v>
      </x:c>
      <x:c r="X139" s="102" t="str">
        <x:v>High</x:v>
      </x:c>
      <x:c r="Y139" s="102" t="str">
        <x:v>Official Terminal Link location network. Infrastructure fields intentionally blank until terminal-specific verification.</x:v>
      </x:c>
      <x:c r="Z139" s="102" t="str"/>
    </x:row>
    <x:row r="140">
      <x:c r="A140" s="102" t="str">
        <x:v>TERM0139</x:v>
      </x:c>
      <x:c r="B140" s="102" t="str">
        <x:v>Terminal des Flandres</x:v>
      </x:c>
      <x:c r="C140" s="102" t="str">
        <x:v>PORTG0117</x:v>
      </x:c>
      <x:c r="D140" s="102" t="str">
        <x:v>Port of Dunkirk</x:v>
      </x:c>
      <x:c r="E140" s="102" t="str">
        <x:v>France</x:v>
      </x:c>
      <x:c r="F140" s="102" t="str">
        <x:v>Dunkirk</x:v>
      </x:c>
      <x:c r="G140" s="102" t="str">
        <x:v>Northern Europe</x:v>
      </x:c>
      <x:c r="H140" s="102" t="str">
        <x:v>Container terminal</x:v>
      </x:c>
      <x:c r="I140" s="102" t="str">
        <x:v>Containers / terminal cargo</x:v>
      </x:c>
      <x:c r="J140" s="102" t="str">
        <x:v>COMP_TERMINAL_LINK</x:v>
      </x:c>
      <x:c r="K140" s="102" t="str">
        <x:v>Terminal Link</x:v>
      </x:c>
      <x:c r="L140" s="102" t="str">
        <x:v>Terminal Link</x:v>
      </x:c>
      <x:c r="M140" s="102" t="str">
        <x:v>Operating</x:v>
      </x:c>
      <x:c r="N140" s="102"/>
      <x:c r="O140" s="102"/>
      <x:c r="P140" s="102"/>
      <x:c r="Q140" s="102"/>
      <x:c r="R140" s="102"/>
      <x:c r="S140" s="102"/>
      <x:c r="T140" s="102"/>
      <x:c r="U140" s="102" t="str">
        <x:v>51% CMA Terminals Holding / 49% CM Port (portfolio-level structure)</x:v>
      </x:c>
      <x:c r="V140" s="102" t="str">
        <x:v>CMA-TL-DKR</x:v>
      </x:c>
      <x:c r="W140" s="102" t="str">
        <x:v>https://www.terminal-link.com/ports/location</x:v>
      </x:c>
      <x:c r="X140" s="102" t="str">
        <x:v>High</x:v>
      </x:c>
      <x:c r="Y140" s="102" t="str">
        <x:v>Official Terminal Link location network. Infrastructure fields intentionally blank until terminal-specific verification.</x:v>
      </x:c>
      <x:c r="Z140" s="102" t="str"/>
    </x:row>
    <x:row r="141">
      <x:c r="A141" s="102" t="str">
        <x:v>TERM0140</x:v>
      </x:c>
      <x:c r="B141" s="102" t="str">
        <x:v>Terminal Link – Le Havre</x:v>
      </x:c>
      <x:c r="C141" s="102" t="str">
        <x:v>PORTG0118</x:v>
      </x:c>
      <x:c r="D141" s="102" t="str">
        <x:v>Port of Le Havre</x:v>
      </x:c>
      <x:c r="E141" s="102" t="str">
        <x:v>France</x:v>
      </x:c>
      <x:c r="F141" s="102" t="str">
        <x:v>Le Havre</x:v>
      </x:c>
      <x:c r="G141" s="102" t="str">
        <x:v>Northern Europe</x:v>
      </x:c>
      <x:c r="H141" s="102" t="str">
        <x:v>Container terminal</x:v>
      </x:c>
      <x:c r="I141" s="102" t="str">
        <x:v>Containers / terminal cargo</x:v>
      </x:c>
      <x:c r="J141" s="102" t="str">
        <x:v>COMP_TERMINAL_LINK</x:v>
      </x:c>
      <x:c r="K141" s="102" t="str">
        <x:v>Terminal Link</x:v>
      </x:c>
      <x:c r="L141" s="102" t="str">
        <x:v>Terminal Link</x:v>
      </x:c>
      <x:c r="M141" s="102" t="str">
        <x:v>Operating</x:v>
      </x:c>
      <x:c r="N141" s="102"/>
      <x:c r="O141" s="102"/>
      <x:c r="P141" s="102"/>
      <x:c r="Q141" s="102"/>
      <x:c r="R141" s="102"/>
      <x:c r="S141" s="102"/>
      <x:c r="T141" s="102"/>
      <x:c r="U141" s="102" t="str">
        <x:v>51% CMA Terminals Holding / 49% CM Port (portfolio-level structure)</x:v>
      </x:c>
      <x:c r="V141" s="102" t="str">
        <x:v>CMA-TL-LEH</x:v>
      </x:c>
      <x:c r="W141" s="102" t="str">
        <x:v>https://www.terminal-link.com/ports/location</x:v>
      </x:c>
      <x:c r="X141" s="102" t="str">
        <x:v>High</x:v>
      </x:c>
      <x:c r="Y141" s="102" t="str">
        <x:v>Official Terminal Link location network. Infrastructure fields intentionally blank until terminal-specific verification.</x:v>
      </x:c>
      <x:c r="Z141" s="102" t="str"/>
    </x:row>
    <x:row r="142">
      <x:c r="A142" s="102" t="str">
        <x:v>TERM0141</x:v>
      </x:c>
      <x:c r="B142" s="102" t="str">
        <x:v>Terminal du Grand Ouest / Montoir</x:v>
      </x:c>
      <x:c r="C142" s="102" t="str">
        <x:v>PORTG0119</x:v>
      </x:c>
      <x:c r="D142" s="102" t="str">
        <x:v>Nantes Saint-Nazaire Port</x:v>
      </x:c>
      <x:c r="E142" s="102" t="str">
        <x:v>France</x:v>
      </x:c>
      <x:c r="F142" s="102" t="str">
        <x:v>Montoir-de-Bretagne</x:v>
      </x:c>
      <x:c r="G142" s="102" t="str">
        <x:v>Atlantic Europe</x:v>
      </x:c>
      <x:c r="H142" s="102" t="str">
        <x:v>Container terminal</x:v>
      </x:c>
      <x:c r="I142" s="102" t="str">
        <x:v>Containers / terminal cargo</x:v>
      </x:c>
      <x:c r="J142" s="102" t="str">
        <x:v>COMP_TERMINAL_LINK</x:v>
      </x:c>
      <x:c r="K142" s="102" t="str">
        <x:v>Terminal Link</x:v>
      </x:c>
      <x:c r="L142" s="102" t="str">
        <x:v>Terminal Link</x:v>
      </x:c>
      <x:c r="M142" s="102" t="str">
        <x:v>Operating</x:v>
      </x:c>
      <x:c r="N142" s="102"/>
      <x:c r="O142" s="102"/>
      <x:c r="P142" s="102"/>
      <x:c r="Q142" s="102"/>
      <x:c r="R142" s="102"/>
      <x:c r="S142" s="102"/>
      <x:c r="T142" s="102"/>
      <x:c r="U142" s="102" t="str">
        <x:v>51% CMA Terminals Holding / 49% CM Port (portfolio-level structure)</x:v>
      </x:c>
      <x:c r="V142" s="102" t="str">
        <x:v>CMA-TL-MON</x:v>
      </x:c>
      <x:c r="W142" s="102" t="str">
        <x:v>https://www.terminal-link.com/ports/location</x:v>
      </x:c>
      <x:c r="X142" s="102" t="str">
        <x:v>High</x:v>
      </x:c>
      <x:c r="Y142" s="102" t="str">
        <x:v>Official Terminal Link location network. Infrastructure fields intentionally blank until terminal-specific verification.</x:v>
      </x:c>
      <x:c r="Z142" s="102" t="str"/>
    </x:row>
    <x:row r="143">
      <x:c r="A143" s="102" t="str">
        <x:v>TERM0142</x:v>
      </x:c>
      <x:c r="B143" s="102" t="str">
        <x:v>EUROFOS</x:v>
      </x:c>
      <x:c r="C143" s="102" t="str">
        <x:v>PORTG0120</x:v>
      </x:c>
      <x:c r="D143" s="102" t="str">
        <x:v>Port of Marseille-Fos</x:v>
      </x:c>
      <x:c r="E143" s="102" t="str">
        <x:v>France</x:v>
      </x:c>
      <x:c r="F143" s="102" t="str">
        <x:v>Fos-sur-Mer</x:v>
      </x:c>
      <x:c r="G143" s="102" t="str">
        <x:v>Western Mediterranean</x:v>
      </x:c>
      <x:c r="H143" s="102" t="str">
        <x:v>Container terminal</x:v>
      </x:c>
      <x:c r="I143" s="102" t="str">
        <x:v>Containers / terminal cargo</x:v>
      </x:c>
      <x:c r="J143" s="102" t="str">
        <x:v>COMP_TERMINAL_LINK</x:v>
      </x:c>
      <x:c r="K143" s="102" t="str">
        <x:v>Terminal Link</x:v>
      </x:c>
      <x:c r="L143" s="102" t="str">
        <x:v>Terminal Link</x:v>
      </x:c>
      <x:c r="M143" s="102" t="str">
        <x:v>Operating</x:v>
      </x:c>
      <x:c r="N143" s="102"/>
      <x:c r="O143" s="102"/>
      <x:c r="P143" s="102"/>
      <x:c r="Q143" s="102"/>
      <x:c r="R143" s="102"/>
      <x:c r="S143" s="102"/>
      <x:c r="T143" s="102"/>
      <x:c r="U143" s="102" t="str">
        <x:v>51% CMA Terminals Holding / 49% CM Port (portfolio-level structure)</x:v>
      </x:c>
      <x:c r="V143" s="102" t="str">
        <x:v>CMA-TL-FOS</x:v>
      </x:c>
      <x:c r="W143" s="102" t="str">
        <x:v>https://www.terminal-link.com/ports/location</x:v>
      </x:c>
      <x:c r="X143" s="102" t="str">
        <x:v>High</x:v>
      </x:c>
      <x:c r="Y143" s="102" t="str">
        <x:v>Official Terminal Link location network. Infrastructure fields intentionally blank until terminal-specific verification.</x:v>
      </x:c>
      <x:c r="Z143" s="102" t="str"/>
    </x:row>
    <x:row r="144">
      <x:c r="A144" s="102" t="str">
        <x:v>TERM0143</x:v>
      </x:c>
      <x:c r="B144" s="102" t="str">
        <x:v>Malta Freeport Terminal</x:v>
      </x:c>
      <x:c r="C144" s="102" t="str">
        <x:v>PORTG0121</x:v>
      </x:c>
      <x:c r="D144" s="102" t="str">
        <x:v>Malta Freeport</x:v>
      </x:c>
      <x:c r="E144" s="102" t="str">
        <x:v>Malta</x:v>
      </x:c>
      <x:c r="F144" s="102" t="str">
        <x:v>Marsaxlokk</x:v>
      </x:c>
      <x:c r="G144" s="102" t="str">
        <x:v>Central Mediterranean</x:v>
      </x:c>
      <x:c r="H144" s="102" t="str">
        <x:v>Container terminal</x:v>
      </x:c>
      <x:c r="I144" s="102" t="str">
        <x:v>Containers / terminal cargo</x:v>
      </x:c>
      <x:c r="J144" s="102" t="str">
        <x:v>COMP_TERMINAL_LINK</x:v>
      </x:c>
      <x:c r="K144" s="102" t="str">
        <x:v>Terminal Link</x:v>
      </x:c>
      <x:c r="L144" s="102" t="str">
        <x:v>Terminal Link</x:v>
      </x:c>
      <x:c r="M144" s="102" t="str">
        <x:v>Operating</x:v>
      </x:c>
      <x:c r="N144" s="102"/>
      <x:c r="O144" s="102"/>
      <x:c r="P144" s="102"/>
      <x:c r="Q144" s="102"/>
      <x:c r="R144" s="102"/>
      <x:c r="S144" s="102"/>
      <x:c r="T144" s="102"/>
      <x:c r="U144" s="102" t="str">
        <x:v>51% CMA Terminals Holding / 49% CM Port (portfolio-level structure)</x:v>
      </x:c>
      <x:c r="V144" s="102" t="str">
        <x:v>CMA-TL-MLA</x:v>
      </x:c>
      <x:c r="W144" s="102" t="str">
        <x:v>https://www.terminal-link.com/ports/location</x:v>
      </x:c>
      <x:c r="X144" s="102" t="str">
        <x:v>High</x:v>
      </x:c>
      <x:c r="Y144" s="102" t="str">
        <x:v>Official Terminal Link location network. Infrastructure fields intentionally blank until terminal-specific verification.</x:v>
      </x:c>
      <x:c r="Z144" s="102" t="str"/>
    </x:row>
    <x:row r="145">
      <x:c r="A145" s="102" t="str">
        <x:v>TERM0144</x:v>
      </x:c>
      <x:c r="B145" s="102" t="str">
        <x:v>Thessaloniki Container Terminal</x:v>
      </x:c>
      <x:c r="C145" s="102" t="str">
        <x:v>PORTG0122</x:v>
      </x:c>
      <x:c r="D145" s="102" t="str">
        <x:v>Port of Thessaloniki</x:v>
      </x:c>
      <x:c r="E145" s="102" t="str">
        <x:v>Greece</x:v>
      </x:c>
      <x:c r="F145" s="102" t="str">
        <x:v>Thessaloniki</x:v>
      </x:c>
      <x:c r="G145" s="102" t="str">
        <x:v>Eastern Mediterranean</x:v>
      </x:c>
      <x:c r="H145" s="102" t="str">
        <x:v>Container terminal</x:v>
      </x:c>
      <x:c r="I145" s="102" t="str">
        <x:v>Containers / terminal cargo</x:v>
      </x:c>
      <x:c r="J145" s="102" t="str">
        <x:v>COMP_TERMINAL_LINK</x:v>
      </x:c>
      <x:c r="K145" s="102" t="str">
        <x:v>Terminal Link</x:v>
      </x:c>
      <x:c r="L145" s="102" t="str">
        <x:v>Terminal Link</x:v>
      </x:c>
      <x:c r="M145" s="102" t="str">
        <x:v>Operating</x:v>
      </x:c>
      <x:c r="N145" s="102"/>
      <x:c r="O145" s="102"/>
      <x:c r="P145" s="102"/>
      <x:c r="Q145" s="102"/>
      <x:c r="R145" s="102"/>
      <x:c r="S145" s="102"/>
      <x:c r="T145" s="102"/>
      <x:c r="U145" s="102" t="str">
        <x:v>51% CMA Terminals Holding / 49% CM Port (portfolio-level structure)</x:v>
      </x:c>
      <x:c r="V145" s="102" t="str">
        <x:v>CMA-TL-THS</x:v>
      </x:c>
      <x:c r="W145" s="102" t="str">
        <x:v>https://www.terminal-link.com/ports/location</x:v>
      </x:c>
      <x:c r="X145" s="102" t="str">
        <x:v>High</x:v>
      </x:c>
      <x:c r="Y145" s="102" t="str">
        <x:v>Official Terminal Link location network. Infrastructure fields intentionally blank until terminal-specific verification.</x:v>
      </x:c>
      <x:c r="Z145" s="102" t="str"/>
    </x:row>
    <x:row r="146">
      <x:c r="A146" s="102" t="str">
        <x:v>TERM0145</x:v>
      </x:c>
      <x:c r="B146" s="102" t="str">
        <x:v>Terminal Link – Odesa</x:v>
      </x:c>
      <x:c r="C146" s="102" t="str">
        <x:v>PORTG0123</x:v>
      </x:c>
      <x:c r="D146" s="102" t="str">
        <x:v>Port of Odesa</x:v>
      </x:c>
      <x:c r="E146" s="102" t="str">
        <x:v>Ukraine</x:v>
      </x:c>
      <x:c r="F146" s="102" t="str">
        <x:v>Odesa</x:v>
      </x:c>
      <x:c r="G146" s="102" t="str">
        <x:v>Black Sea</x:v>
      </x:c>
      <x:c r="H146" s="102" t="str">
        <x:v>Container terminal</x:v>
      </x:c>
      <x:c r="I146" s="102" t="str">
        <x:v>Containers / terminal cargo</x:v>
      </x:c>
      <x:c r="J146" s="102" t="str">
        <x:v>COMP_TERMINAL_LINK</x:v>
      </x:c>
      <x:c r="K146" s="102" t="str">
        <x:v>Terminal Link</x:v>
      </x:c>
      <x:c r="L146" s="102" t="str">
        <x:v>Terminal Link</x:v>
      </x:c>
      <x:c r="M146" s="102" t="str">
        <x:v>Operating</x:v>
      </x:c>
      <x:c r="N146" s="102"/>
      <x:c r="O146" s="102"/>
      <x:c r="P146" s="102"/>
      <x:c r="Q146" s="102"/>
      <x:c r="R146" s="102"/>
      <x:c r="S146" s="102"/>
      <x:c r="T146" s="102"/>
      <x:c r="U146" s="102" t="str">
        <x:v>51% CMA Terminals Holding / 49% CM Port (portfolio-level structure)</x:v>
      </x:c>
      <x:c r="V146" s="102" t="str">
        <x:v>CMA-TL-ODS</x:v>
      </x:c>
      <x:c r="W146" s="102" t="str">
        <x:v>https://www.terminal-link.com/ports/location</x:v>
      </x:c>
      <x:c r="X146" s="102" t="str">
        <x:v>High</x:v>
      </x:c>
      <x:c r="Y146" s="102" t="str">
        <x:v>Official Terminal Link location network. Infrastructure fields intentionally blank until terminal-specific verification.</x:v>
      </x:c>
      <x:c r="Z146" s="102" t="str"/>
    </x:row>
    <x:row r="147">
      <x:c r="A147" s="102" t="str">
        <x:v>TERM0146</x:v>
      </x:c>
      <x:c r="B147" s="102" t="str">
        <x:v>Eurogate Tanger</x:v>
      </x:c>
      <x:c r="C147" s="102" t="str">
        <x:v>PORTG0124</x:v>
      </x:c>
      <x:c r="D147" s="102" t="str">
        <x:v>Tanger Med</x:v>
      </x:c>
      <x:c r="E147" s="102" t="str">
        <x:v>Morocco</x:v>
      </x:c>
      <x:c r="F147" s="102" t="str">
        <x:v>Tangier</x:v>
      </x:c>
      <x:c r="G147" s="102" t="str">
        <x:v>Strait of Gibraltar</x:v>
      </x:c>
      <x:c r="H147" s="102" t="str">
        <x:v>Container terminal</x:v>
      </x:c>
      <x:c r="I147" s="102" t="str">
        <x:v>Containers / terminal cargo</x:v>
      </x:c>
      <x:c r="J147" s="102" t="str">
        <x:v>COMP_TERMINAL_LINK</x:v>
      </x:c>
      <x:c r="K147" s="102" t="str">
        <x:v>Terminal Link</x:v>
      </x:c>
      <x:c r="L147" s="102" t="str">
        <x:v>Terminal Link</x:v>
      </x:c>
      <x:c r="M147" s="102" t="str">
        <x:v>Operating</x:v>
      </x:c>
      <x:c r="N147" s="102"/>
      <x:c r="O147" s="102"/>
      <x:c r="P147" s="102"/>
      <x:c r="Q147" s="102"/>
      <x:c r="R147" s="102"/>
      <x:c r="S147" s="102"/>
      <x:c r="T147" s="102"/>
      <x:c r="U147" s="102" t="str">
        <x:v>51% CMA Terminals Holding / 49% CM Port (portfolio-level structure)</x:v>
      </x:c>
      <x:c r="V147" s="102" t="str">
        <x:v>CMA-TL-TNG</x:v>
      </x:c>
      <x:c r="W147" s="102" t="str">
        <x:v>https://www.terminal-link.com/ports/location</x:v>
      </x:c>
      <x:c r="X147" s="102" t="str">
        <x:v>High</x:v>
      </x:c>
      <x:c r="Y147" s="102" t="str">
        <x:v>Official Terminal Link location network. Infrastructure fields intentionally blank until terminal-specific verification.</x:v>
      </x:c>
      <x:c r="Z147" s="102" t="str"/>
    </x:row>
    <x:row r="148">
      <x:c r="A148" s="102" t="str">
        <x:v>TERM0147</x:v>
      </x:c>
      <x:c r="B148" s="102" t="str">
        <x:v>SOMAPORT Casablanca</x:v>
      </x:c>
      <x:c r="C148" s="102" t="str">
        <x:v>PORTG0125</x:v>
      </x:c>
      <x:c r="D148" s="102" t="str">
        <x:v>Port of Casablanca</x:v>
      </x:c>
      <x:c r="E148" s="102" t="str">
        <x:v>Morocco</x:v>
      </x:c>
      <x:c r="F148" s="102" t="str">
        <x:v>Casablanca</x:v>
      </x:c>
      <x:c r="G148" s="102" t="str">
        <x:v>Atlantic North Africa</x:v>
      </x:c>
      <x:c r="H148" s="102" t="str">
        <x:v>Container terminal</x:v>
      </x:c>
      <x:c r="I148" s="102" t="str">
        <x:v>Containers / terminal cargo</x:v>
      </x:c>
      <x:c r="J148" s="102" t="str">
        <x:v>COMP_TERMINAL_LINK</x:v>
      </x:c>
      <x:c r="K148" s="102" t="str">
        <x:v>Terminal Link</x:v>
      </x:c>
      <x:c r="L148" s="102" t="str">
        <x:v>Terminal Link</x:v>
      </x:c>
      <x:c r="M148" s="102" t="str">
        <x:v>Operating</x:v>
      </x:c>
      <x:c r="N148" s="102"/>
      <x:c r="O148" s="102"/>
      <x:c r="P148" s="102"/>
      <x:c r="Q148" s="102"/>
      <x:c r="R148" s="102"/>
      <x:c r="S148" s="102"/>
      <x:c r="T148" s="102"/>
      <x:c r="U148" s="102" t="str">
        <x:v>51% CMA Terminals Holding / 49% CM Port (portfolio-level structure)</x:v>
      </x:c>
      <x:c r="V148" s="102" t="str">
        <x:v>CMA-TL-CAS</x:v>
      </x:c>
      <x:c r="W148" s="102" t="str">
        <x:v>https://www.terminal-link.com/ports/location</x:v>
      </x:c>
      <x:c r="X148" s="102" t="str">
        <x:v>High</x:v>
      </x:c>
      <x:c r="Y148" s="102" t="str">
        <x:v>Official Terminal Link location network. Infrastructure fields intentionally blank until terminal-specific verification.</x:v>
      </x:c>
      <x:c r="Z148" s="102" t="str"/>
    </x:row>
    <x:row r="149">
      <x:c r="A149" s="102" t="str">
        <x:v>TERM0148</x:v>
      </x:c>
      <x:c r="B149" s="102" t="str">
        <x:v>Terminal Link – Côte d’Ivoire / Abidjan</x:v>
      </x:c>
      <x:c r="C149" s="102" t="str">
        <x:v>PORTG0126</x:v>
      </x:c>
      <x:c r="D149" s="102" t="str">
        <x:v>Port of Abidjan</x:v>
      </x:c>
      <x:c r="E149" s="102" t="str">
        <x:v>Côte d’Ivoire</x:v>
      </x:c>
      <x:c r="F149" s="102" t="str">
        <x:v>Abidjan</x:v>
      </x:c>
      <x:c r="G149" s="102" t="str">
        <x:v>Gulf of Guinea</x:v>
      </x:c>
      <x:c r="H149" s="102" t="str">
        <x:v>Container terminal</x:v>
      </x:c>
      <x:c r="I149" s="102" t="str">
        <x:v>Containers / terminal cargo</x:v>
      </x:c>
      <x:c r="J149" s="102" t="str">
        <x:v>COMP_TERMINAL_LINK</x:v>
      </x:c>
      <x:c r="K149" s="102" t="str">
        <x:v>Terminal Link</x:v>
      </x:c>
      <x:c r="L149" s="102" t="str">
        <x:v>Terminal Link</x:v>
      </x:c>
      <x:c r="M149" s="102" t="str">
        <x:v>Operating</x:v>
      </x:c>
      <x:c r="N149" s="102"/>
      <x:c r="O149" s="102"/>
      <x:c r="P149" s="102"/>
      <x:c r="Q149" s="102"/>
      <x:c r="R149" s="102"/>
      <x:c r="S149" s="102"/>
      <x:c r="T149" s="102"/>
      <x:c r="U149" s="102" t="str">
        <x:v>51% CMA Terminals Holding / 49% CM Port (portfolio-level structure)</x:v>
      </x:c>
      <x:c r="V149" s="102" t="str">
        <x:v>CMA-TL-ABJ</x:v>
      </x:c>
      <x:c r="W149" s="102" t="str">
        <x:v>https://www.terminal-link.com/ports/location</x:v>
      </x:c>
      <x:c r="X149" s="102" t="str">
        <x:v>High</x:v>
      </x:c>
      <x:c r="Y149" s="102" t="str">
        <x:v>Official Terminal Link location network. Infrastructure fields intentionally blank until terminal-specific verification.</x:v>
      </x:c>
      <x:c r="Z149" s="102" t="str"/>
    </x:row>
    <x:row r="150">
      <x:c r="A150" s="102" t="str">
        <x:v>TERM0149</x:v>
      </x:c>
      <x:c r="B150" s="102" t="str">
        <x:v>CMA CGM Terminal Iraq / Umm Qasr</x:v>
      </x:c>
      <x:c r="C150" s="102" t="str">
        <x:v>PORTG0127</x:v>
      </x:c>
      <x:c r="D150" s="102" t="str">
        <x:v>Port of Umm Qasr</x:v>
      </x:c>
      <x:c r="E150" s="102" t="str">
        <x:v>Iraq</x:v>
      </x:c>
      <x:c r="F150" s="102" t="str">
        <x:v>Umm Qasr</x:v>
      </x:c>
      <x:c r="G150" s="102" t="str">
        <x:v>Upper Gulf</x:v>
      </x:c>
      <x:c r="H150" s="102" t="str">
        <x:v>Container terminal</x:v>
      </x:c>
      <x:c r="I150" s="102" t="str">
        <x:v>Containers / terminal cargo</x:v>
      </x:c>
      <x:c r="J150" s="102" t="str">
        <x:v>COMP_TERMINAL_LINK</x:v>
      </x:c>
      <x:c r="K150" s="102" t="str">
        <x:v>Terminal Link</x:v>
      </x:c>
      <x:c r="L150" s="102" t="str">
        <x:v>Terminal Link</x:v>
      </x:c>
      <x:c r="M150" s="102" t="str">
        <x:v>Operating</x:v>
      </x:c>
      <x:c r="N150" s="102"/>
      <x:c r="O150" s="102"/>
      <x:c r="P150" s="102"/>
      <x:c r="Q150" s="102"/>
      <x:c r="R150" s="102"/>
      <x:c r="S150" s="102"/>
      <x:c r="T150" s="102"/>
      <x:c r="U150" s="102" t="str">
        <x:v>51% CMA Terminals Holding / 49% CM Port (portfolio-level structure)</x:v>
      </x:c>
      <x:c r="V150" s="102" t="str">
        <x:v>CMA-TL-UQR</x:v>
      </x:c>
      <x:c r="W150" s="102" t="str">
        <x:v>https://www.terminal-link.com/ports/location</x:v>
      </x:c>
      <x:c r="X150" s="102" t="str">
        <x:v>High</x:v>
      </x:c>
      <x:c r="Y150" s="102" t="str">
        <x:v>Official Terminal Link location network. Infrastructure fields intentionally blank until terminal-specific verification.</x:v>
      </x:c>
      <x:c r="Z150" s="102" t="str"/>
    </x:row>
    <x:row r="151">
      <x:c r="A151" s="102" t="str">
        <x:v>TERM0150</x:v>
      </x:c>
      <x:c r="B151" s="102" t="str">
        <x:v>Vietnam International Container Terminals (VICT)</x:v>
      </x:c>
      <x:c r="C151" s="102" t="str">
        <x:v>PORTG0017</x:v>
      </x:c>
      <x:c r="D151" s="102" t="str">
        <x:v>Port of Ho Chi Minh City</x:v>
      </x:c>
      <x:c r="E151" s="102" t="str">
        <x:v>Vietnam</x:v>
      </x:c>
      <x:c r="F151" s="102" t="str">
        <x:v>Ho Chi Minh City</x:v>
      </x:c>
      <x:c r="G151" s="102" t="str">
        <x:v>Southeast Asia</x:v>
      </x:c>
      <x:c r="H151" s="102" t="str">
        <x:v>Container terminal</x:v>
      </x:c>
      <x:c r="I151" s="102" t="str">
        <x:v>Containers / terminal cargo</x:v>
      </x:c>
      <x:c r="J151" s="102" t="str">
        <x:v>COMP_TERMINAL_LINK</x:v>
      </x:c>
      <x:c r="K151" s="102" t="str">
        <x:v>Terminal Link</x:v>
      </x:c>
      <x:c r="L151" s="102" t="str">
        <x:v>Terminal Link</x:v>
      </x:c>
      <x:c r="M151" s="102" t="str">
        <x:v>Operating</x:v>
      </x:c>
      <x:c r="N151" s="102"/>
      <x:c r="O151" s="102"/>
      <x:c r="P151" s="102"/>
      <x:c r="Q151" s="102"/>
      <x:c r="R151" s="102"/>
      <x:c r="S151" s="102"/>
      <x:c r="T151" s="102"/>
      <x:c r="U151" s="102" t="str">
        <x:v>51% CMA Terminals Holding / 49% CM Port (portfolio-level structure)</x:v>
      </x:c>
      <x:c r="V151" s="102" t="str">
        <x:v>CMA-TL-VICT</x:v>
      </x:c>
      <x:c r="W151" s="102" t="str">
        <x:v>https://www.terminal-link.com/ports/location</x:v>
      </x:c>
      <x:c r="X151" s="102" t="str">
        <x:v>High</x:v>
      </x:c>
      <x:c r="Y151" s="102" t="str">
        <x:v>Official Terminal Link location network. Infrastructure fields intentionally blank until terminal-specific verification.</x:v>
      </x:c>
      <x:c r="Z151" s="102" t="str"/>
    </x:row>
    <x:row r="152">
      <x:c r="A152" s="102" t="str">
        <x:v>TERM0151</x:v>
      </x:c>
      <x:c r="B152" s="102" t="str">
        <x:v>Laem Chabang International Terminal</x:v>
      </x:c>
      <x:c r="C152" s="102" t="str">
        <x:v>PORTG0016</x:v>
      </x:c>
      <x:c r="D152" s="102" t="str">
        <x:v>Port of Laem Chabang</x:v>
      </x:c>
      <x:c r="E152" s="102" t="str">
        <x:v>Thailand</x:v>
      </x:c>
      <x:c r="F152" s="102" t="str">
        <x:v>Laem Chabang</x:v>
      </x:c>
      <x:c r="G152" s="102" t="str">
        <x:v>Southeast Asia</x:v>
      </x:c>
      <x:c r="H152" s="102" t="str">
        <x:v>Container terminal</x:v>
      </x:c>
      <x:c r="I152" s="102" t="str">
        <x:v>Containers / terminal cargo</x:v>
      </x:c>
      <x:c r="J152" s="102" t="str">
        <x:v>COMP_TERMINAL_LINK</x:v>
      </x:c>
      <x:c r="K152" s="102" t="str">
        <x:v>Terminal Link</x:v>
      </x:c>
      <x:c r="L152" s="102" t="str">
        <x:v>APM Terminals; Terminal Link</x:v>
      </x:c>
      <x:c r="M152" s="102" t="str">
        <x:v>Operating</x:v>
      </x:c>
      <x:c r="N152" s="102"/>
      <x:c r="O152" s="102"/>
      <x:c r="P152" s="102"/>
      <x:c r="Q152" s="102"/>
      <x:c r="R152" s="102"/>
      <x:c r="S152" s="102"/>
      <x:c r="T152" s="102"/>
      <x:c r="U152" s="102" t="str">
        <x:v>51% CMA Terminals Holding / 49% CM Port (portfolio-level structure) | APM Terminals network asset / partnership; detailed equity not verified in this pass</x:v>
      </x:c>
      <x:c r="V152" s="102" t="str">
        <x:v>CMA-TL-LCH; APM-LAEM-CHABANG</x:v>
      </x:c>
      <x:c r="W152" s="102" t="str">
        <x:v>https://www.terminal-link.com/ports/location; https://www2.apmterminals.com/en/</x:v>
      </x:c>
      <x:c r="X152" s="102" t="str">
        <x:v>High</x:v>
      </x:c>
      <x:c r="Y152" s="102" t="str">
        <x:v>Official Terminal Link location network. Infrastructure fields intentionally blank until terminal-specific verification. | Current APM Terminals network seed retained from v1.12; infrastructure enrichment pending.</x:v>
      </x:c>
      <x:c r="Z152" s="102" t="str">
        <x:v>Duplicate source records collapsed</x:v>
      </x:c>
    </x:row>
    <x:row r="153">
      <x:c r="A153" s="102" t="str">
        <x:v>TERM0152</x:v>
      </x:c>
      <x:c r="B153" s="102" t="str">
        <x:v>CMA CGM PSA Lion Terminal</x:v>
      </x:c>
      <x:c r="C153" s="102" t="str">
        <x:v>PORTG0128</x:v>
      </x:c>
      <x:c r="D153" s="102" t="str">
        <x:v>Port of Singapore</x:v>
      </x:c>
      <x:c r="E153" s="102" t="str">
        <x:v>Singapore</x:v>
      </x:c>
      <x:c r="F153" s="102" t="str">
        <x:v>Singapore</x:v>
      </x:c>
      <x:c r="G153" s="102" t="str">
        <x:v>Southeast Asia</x:v>
      </x:c>
      <x:c r="H153" s="102" t="str">
        <x:v>Container terminal</x:v>
      </x:c>
      <x:c r="I153" s="102" t="str">
        <x:v>Containers / terminal cargo</x:v>
      </x:c>
      <x:c r="J153" s="102" t="str">
        <x:v>COMP_TERMINAL_LINK</x:v>
      </x:c>
      <x:c r="K153" s="102" t="str">
        <x:v>Terminal Link</x:v>
      </x:c>
      <x:c r="L153" s="102" t="str">
        <x:v>Terminal Link</x:v>
      </x:c>
      <x:c r="M153" s="102" t="str">
        <x:v>Operating</x:v>
      </x:c>
      <x:c r="N153" s="102"/>
      <x:c r="O153" s="102"/>
      <x:c r="P153" s="102"/>
      <x:c r="Q153" s="102"/>
      <x:c r="R153" s="102"/>
      <x:c r="S153" s="102"/>
      <x:c r="T153" s="102"/>
      <x:c r="U153" s="102" t="str">
        <x:v>51% CMA Terminals Holding / 49% CM Port (portfolio-level structure)</x:v>
      </x:c>
      <x:c r="V153" s="102" t="str">
        <x:v>CMA-TL-SIN</x:v>
      </x:c>
      <x:c r="W153" s="102" t="str">
        <x:v>https://www.terminal-link.com/ports/location</x:v>
      </x:c>
      <x:c r="X153" s="102" t="str">
        <x:v>High</x:v>
      </x:c>
      <x:c r="Y153" s="102" t="str">
        <x:v>Official Terminal Link location network. Infrastructure fields intentionally blank until terminal-specific verification.</x:v>
      </x:c>
      <x:c r="Z153" s="102" t="str"/>
    </x:row>
    <x:row r="154">
      <x:c r="A154" s="102" t="str">
        <x:v>TERM0153</x:v>
      </x:c>
      <x:c r="B154" s="102" t="str">
        <x:v>Terminal Link – Qingdao</x:v>
      </x:c>
      <x:c r="C154" s="102" t="str">
        <x:v>PORTG0005</x:v>
      </x:c>
      <x:c r="D154" s="102" t="str">
        <x:v>Port of Qingdao</x:v>
      </x:c>
      <x:c r="E154" s="102" t="str">
        <x:v>China</x:v>
      </x:c>
      <x:c r="F154" s="102" t="str">
        <x:v>Qingdao</x:v>
      </x:c>
      <x:c r="G154" s="102" t="str">
        <x:v>East Asia</x:v>
      </x:c>
      <x:c r="H154" s="102" t="str">
        <x:v>Container terminal</x:v>
      </x:c>
      <x:c r="I154" s="102" t="str">
        <x:v>Containers / terminal cargo</x:v>
      </x:c>
      <x:c r="J154" s="102" t="str">
        <x:v>COMP_TERMINAL_LINK</x:v>
      </x:c>
      <x:c r="K154" s="102" t="str">
        <x:v>Terminal Link</x:v>
      </x:c>
      <x:c r="L154" s="102" t="str">
        <x:v>Terminal Link</x:v>
      </x:c>
      <x:c r="M154" s="102" t="str">
        <x:v>Operating</x:v>
      </x:c>
      <x:c r="N154" s="102"/>
      <x:c r="O154" s="102"/>
      <x:c r="P154" s="102"/>
      <x:c r="Q154" s="102"/>
      <x:c r="R154" s="102"/>
      <x:c r="S154" s="102"/>
      <x:c r="T154" s="102"/>
      <x:c r="U154" s="102" t="str">
        <x:v>51% CMA Terminals Holding / 49% CM Port (portfolio-level structure)</x:v>
      </x:c>
      <x:c r="V154" s="102" t="str">
        <x:v>CMA-TL-QDG</x:v>
      </x:c>
      <x:c r="W154" s="102" t="str">
        <x:v>https://www.terminal-link.com/ports/location</x:v>
      </x:c>
      <x:c r="X154" s="102" t="str">
        <x:v>High</x:v>
      </x:c>
      <x:c r="Y154" s="102" t="str">
        <x:v>Official Terminal Link location network. Infrastructure fields intentionally blank until terminal-specific verification.</x:v>
      </x:c>
      <x:c r="Z154" s="102" t="str"/>
    </x:row>
    <x:row r="155">
      <x:c r="A155" s="102" t="str">
        <x:v>TERM0154</x:v>
      </x:c>
      <x:c r="B155" s="102" t="str">
        <x:v>Busan New Container Terminal</x:v>
      </x:c>
      <x:c r="C155" s="102" t="str">
        <x:v>PORTG0015</x:v>
      </x:c>
      <x:c r="D155" s="102" t="str">
        <x:v>Port of Busan</x:v>
      </x:c>
      <x:c r="E155" s="102" t="str">
        <x:v>South Korea</x:v>
      </x:c>
      <x:c r="F155" s="102" t="str">
        <x:v>Busan</x:v>
      </x:c>
      <x:c r="G155" s="102" t="str">
        <x:v>East Asia</x:v>
      </x:c>
      <x:c r="H155" s="102" t="str">
        <x:v>Container terminal</x:v>
      </x:c>
      <x:c r="I155" s="102" t="str">
        <x:v>Containers / terminal cargo</x:v>
      </x:c>
      <x:c r="J155" s="102" t="str">
        <x:v>COMP_TERMINAL_LINK</x:v>
      </x:c>
      <x:c r="K155" s="102" t="str">
        <x:v>Terminal Link</x:v>
      </x:c>
      <x:c r="L155" s="102" t="str">
        <x:v>Terminal Link</x:v>
      </x:c>
      <x:c r="M155" s="102" t="str">
        <x:v>Operating</x:v>
      </x:c>
      <x:c r="N155" s="102"/>
      <x:c r="O155" s="102"/>
      <x:c r="P155" s="102"/>
      <x:c r="Q155" s="102"/>
      <x:c r="R155" s="102"/>
      <x:c r="S155" s="102"/>
      <x:c r="T155" s="102"/>
      <x:c r="U155" s="102" t="str">
        <x:v>51% CMA Terminals Holding / 49% CM Port (portfolio-level structure)</x:v>
      </x:c>
      <x:c r="V155" s="102" t="str">
        <x:v>CMA-TL-BUS</x:v>
      </x:c>
      <x:c r="W155" s="102" t="str">
        <x:v>https://www.terminal-link.com/ports/location</x:v>
      </x:c>
      <x:c r="X155" s="102" t="str">
        <x:v>High</x:v>
      </x:c>
      <x:c r="Y155" s="102" t="str">
        <x:v>Official Terminal Link location network. Infrastructure fields intentionally blank until terminal-specific verification.</x:v>
      </x:c>
      <x:c r="Z155" s="102" t="str"/>
    </x:row>
    <x:row r="156">
      <x:c r="A156" s="102" t="str">
        <x:v>TERM0155</x:v>
      </x:c>
      <x:c r="B156" s="102" t="str">
        <x:v>South Florida Container Terminal</x:v>
      </x:c>
      <x:c r="C156" s="102" t="str">
        <x:v>PORTG0129</x:v>
      </x:c>
      <x:c r="D156" s="102" t="str">
        <x:v>PortMiami</x:v>
      </x:c>
      <x:c r="E156" s="102" t="str">
        <x:v>United States</x:v>
      </x:c>
      <x:c r="F156" s="102" t="str">
        <x:v>Miami, FL</x:v>
      </x:c>
      <x:c r="G156" s="102" t="str">
        <x:v>North America</x:v>
      </x:c>
      <x:c r="H156" s="102" t="str">
        <x:v>Container terminal</x:v>
      </x:c>
      <x:c r="I156" s="102" t="str">
        <x:v>Containers / terminal cargo</x:v>
      </x:c>
      <x:c r="J156" s="102" t="str">
        <x:v>COMP_APMT</x:v>
      </x:c>
      <x:c r="K156" s="102" t="str">
        <x:v>APM Terminals / partner operator</x:v>
      </x:c>
      <x:c r="L156" s="102" t="str">
        <x:v>APM Terminals; Terminal Link</x:v>
      </x:c>
      <x:c r="M156" s="102" t="str">
        <x:v>Operating</x:v>
      </x:c>
      <x:c r="N156" s="102"/>
      <x:c r="O156" s="102" t="n">
        <x:v>287000</x:v>
      </x:c>
      <x:c r="P156" s="102"/>
      <x:c r="Q156" s="102" t="n">
        <x:v>15</x:v>
      </x:c>
      <x:c r="R156" s="102"/>
      <x:c r="S156" s="102"/>
      <x:c r="T156" s="102" t="n">
        <x:v>480</x:v>
      </x:c>
      <x:c r="U156" s="102" t="str">
        <x:v>51% CMA Terminals Holding / 49% CM Port (portfolio-level structure) | 51% Terminal Link Miami / 49% APM Terminals</x:v>
      </x:c>
      <x:c r="V156" s="102" t="str">
        <x:v>CMA-TL-MIA; APM-MIAMI-FL</x:v>
      </x:c>
      <x:c r="W156" s="102" t="str">
        <x:v>https://www.terminal-link.com/ports/location; https://www2.apmterminals.com/en/miami/about/our-terminal</x:v>
      </x:c>
      <x:c r="X156" s="102" t="str">
        <x:v>High</x:v>
      </x:c>
      <x:c r="Y156" s="102" t="str">
        <x:v>Official Terminal Link location network. Infrastructure fields intentionally blank until terminal-specific verification. | South Florida Container Terminal; 18 eRTGs. Physical terminal shared with CMA/Terminal Link dataset.</x:v>
      </x:c>
      <x:c r="Z156" s="102" t="str">
        <x:v>Duplicate source records collapsed</x:v>
      </x:c>
    </x:row>
    <x:row r="157">
      <x:c r="A157" s="102" t="str">
        <x:v>TERM0156</x:v>
      </x:c>
      <x:c r="B157" s="102" t="str">
        <x:v>Houston Terminal Link</x:v>
      </x:c>
      <x:c r="C157" s="102" t="str">
        <x:v>PORTG0130</x:v>
      </x:c>
      <x:c r="D157" s="102" t="str">
        <x:v>Port Houston</x:v>
      </x:c>
      <x:c r="E157" s="102" t="str">
        <x:v>United States</x:v>
      </x:c>
      <x:c r="F157" s="102" t="str">
        <x:v>Houston</x:v>
      </x:c>
      <x:c r="G157" s="102" t="str">
        <x:v>US Gulf</x:v>
      </x:c>
      <x:c r="H157" s="102" t="str">
        <x:v>Container terminal</x:v>
      </x:c>
      <x:c r="I157" s="102" t="str">
        <x:v>Containers / terminal cargo</x:v>
      </x:c>
      <x:c r="J157" s="102" t="str">
        <x:v>COMP_TERMINAL_LINK</x:v>
      </x:c>
      <x:c r="K157" s="102" t="str">
        <x:v>Terminal Link</x:v>
      </x:c>
      <x:c r="L157" s="102" t="str">
        <x:v>Terminal Link</x:v>
      </x:c>
      <x:c r="M157" s="102" t="str">
        <x:v>Operating</x:v>
      </x:c>
      <x:c r="N157" s="102"/>
      <x:c r="O157" s="102"/>
      <x:c r="P157" s="102"/>
      <x:c r="Q157" s="102"/>
      <x:c r="R157" s="102"/>
      <x:c r="S157" s="102"/>
      <x:c r="T157" s="102"/>
      <x:c r="U157" s="102" t="str">
        <x:v>51% CMA Terminals Holding / 49% CM Port (portfolio-level structure)</x:v>
      </x:c>
      <x:c r="V157" s="102" t="str">
        <x:v>CMA-TL-HOU</x:v>
      </x:c>
      <x:c r="W157" s="102" t="str">
        <x:v>https://www.terminal-link.com/ports/location</x:v>
      </x:c>
      <x:c r="X157" s="102" t="str">
        <x:v>High</x:v>
      </x:c>
      <x:c r="Y157" s="102" t="str">
        <x:v>Official Terminal Link location network. Infrastructure fields intentionally blank until terminal-specific verification.</x:v>
      </x:c>
      <x:c r="Z157" s="102" t="str"/>
    </x:row>
    <x:row r="158">
      <x:c r="A158" s="102" t="str">
        <x:v>TERM0157</x:v>
      </x:c>
      <x:c r="B158" s="102" t="str">
        <x:v>Kingston Freeport Terminal</x:v>
      </x:c>
      <x:c r="C158" s="102" t="str">
        <x:v>PORTG0131</x:v>
      </x:c>
      <x:c r="D158" s="102" t="str">
        <x:v>Port of Kingston</x:v>
      </x:c>
      <x:c r="E158" s="102" t="str">
        <x:v>Jamaica</x:v>
      </x:c>
      <x:c r="F158" s="102" t="str">
        <x:v>Kingston</x:v>
      </x:c>
      <x:c r="G158" s="102" t="str">
        <x:v>Caribbean</x:v>
      </x:c>
      <x:c r="H158" s="102" t="str">
        <x:v>Container terminal</x:v>
      </x:c>
      <x:c r="I158" s="102" t="str">
        <x:v>Containers / terminal cargo</x:v>
      </x:c>
      <x:c r="J158" s="102" t="str">
        <x:v>COMP_TERMINAL_LINK</x:v>
      </x:c>
      <x:c r="K158" s="102" t="str">
        <x:v>Terminal Link</x:v>
      </x:c>
      <x:c r="L158" s="102" t="str">
        <x:v>Terminal Link</x:v>
      </x:c>
      <x:c r="M158" s="102" t="str">
        <x:v>Operating</x:v>
      </x:c>
      <x:c r="N158" s="102"/>
      <x:c r="O158" s="102"/>
      <x:c r="P158" s="102"/>
      <x:c r="Q158" s="102"/>
      <x:c r="R158" s="102"/>
      <x:c r="S158" s="102"/>
      <x:c r="T158" s="102"/>
      <x:c r="U158" s="102" t="str">
        <x:v>51% CMA Terminals Holding / 49% CM Port (portfolio-level structure)</x:v>
      </x:c>
      <x:c r="V158" s="102" t="str">
        <x:v>CMA-TL-KIN</x:v>
      </x:c>
      <x:c r="W158" s="102" t="str">
        <x:v>https://www.terminal-link.com/ports/location</x:v>
      </x:c>
      <x:c r="X158" s="102" t="str">
        <x:v>High</x:v>
      </x:c>
      <x:c r="Y158" s="102" t="str">
        <x:v>Official Terminal Link location network. Infrastructure fields intentionally blank until terminal-specific verification.</x:v>
      </x:c>
      <x:c r="Z158" s="102" t="str"/>
    </x:row>
    <x:row r="159">
      <x:c r="A159" s="102" t="str">
        <x:v>TERM0158</x:v>
      </x:c>
      <x:c r="B159" s="102" t="str">
        <x:v>MSC PSA European Terminal (MPET)</x:v>
      </x:c>
      <x:c r="C159" s="102" t="str">
        <x:v>PORTG0018</x:v>
      </x:c>
      <x:c r="D159" s="102" t="str">
        <x:v>Port of Antwerp-Bruges</x:v>
      </x:c>
      <x:c r="E159" s="102" t="str">
        <x:v>Belgium</x:v>
      </x:c>
      <x:c r="F159" s="102" t="str">
        <x:v>Antwerp</x:v>
      </x:c>
      <x:c r="G159" s="102" t="str">
        <x:v>Northern Europe</x:v>
      </x:c>
      <x:c r="H159" s="102" t="str">
        <x:v>Container terminal</x:v>
      </x:c>
      <x:c r="I159" s="102" t="str">
        <x:v>Containers / terminal cargo</x:v>
      </x:c>
      <x:c r="J159" s="102" t="str">
        <x:v>COMP_TIL</x:v>
      </x:c>
      <x:c r="K159" s="102" t="str">
        <x:v>MPET</x:v>
      </x:c>
      <x:c r="L159" s="102" t="str">
        <x:v>TiL / PSA JV</x:v>
      </x:c>
      <x:c r="M159" s="102" t="str">
        <x:v>Operating</x:v>
      </x:c>
      <x:c r="N159" s="102" t="n">
        <x:v>9000000</x:v>
      </x:c>
      <x:c r="O159" s="102" t="n">
        <x:v>2420000</x:v>
      </x:c>
      <x:c r="P159" s="102" t="n">
        <x:v>3680</x:v>
      </x:c>
      <x:c r="Q159" s="102" t="n">
        <x:v>17</x:v>
      </x:c>
      <x:c r="R159" s="102"/>
      <x:c r="S159" s="102" t="str">
        <x:v>Yes</x:v>
      </x:c>
      <x:c r="T159" s="102" t="n">
        <x:v>3408</x:v>
      </x:c>
      <x:c r="U159" s="102" t="str">
        <x:v>JV between PSA and TiL</x:v>
      </x:c>
      <x:c r="V159" s="102" t="str">
        <x:v>TIL-BE-MPET</x:v>
      </x:c>
      <x:c r="W159" s="102" t="str">
        <x:v>https://www.tilgroup.com/our-terminals/antwerp.html</x:v>
      </x:c>
      <x:c r="X159" s="102" t="str">
        <x:v>High</x:v>
      </x:c>
      <x:c r="Y159" s="102" t="str">
        <x:v>Europe flagship; 38 quay cranes and 228 yard cranes.</x:v>
      </x:c>
      <x:c r="Z159" s="102" t="str"/>
    </x:row>
    <x:row r="160">
      <x:c r="A160" s="102" t="str">
        <x:v>TERM0159</x:v>
      </x:c>
      <x:c r="B160" s="102" t="str">
        <x:v>Total Terminals International (TTI) Pier T</x:v>
      </x:c>
      <x:c r="C160" s="102" t="str">
        <x:v>PORTG0132</x:v>
      </x:c>
      <x:c r="D160" s="102" t="str">
        <x:v>Port of Long Beach</x:v>
      </x:c>
      <x:c r="E160" s="102" t="str">
        <x:v>United States</x:v>
      </x:c>
      <x:c r="F160" s="102" t="str">
        <x:v>Long Beach</x:v>
      </x:c>
      <x:c r="G160" s="102" t="str">
        <x:v>US West Coast</x:v>
      </x:c>
      <x:c r="H160" s="102" t="str">
        <x:v>Container terminal</x:v>
      </x:c>
      <x:c r="I160" s="102" t="str">
        <x:v>Containers / terminal cargo</x:v>
      </x:c>
      <x:c r="J160" s="102" t="str">
        <x:v>COMP_TIL</x:v>
      </x:c>
      <x:c r="K160" s="102" t="str">
        <x:v>TTI</x:v>
      </x:c>
      <x:c r="L160" s="102" t="str">
        <x:v>TiL</x:v>
      </x:c>
      <x:c r="M160" s="102" t="str">
        <x:v>Operating; modernization planned</x:v>
      </x:c>
      <x:c r="N160" s="102" t="n">
        <x:v>2900000</x:v>
      </x:c>
      <x:c r="O160" s="102" t="n">
        <x:v>1540000</x:v>
      </x:c>
      <x:c r="P160" s="102" t="n">
        <x:v>1524</x:v>
      </x:c>
      <x:c r="Q160" s="102" t="n">
        <x:v>17</x:v>
      </x:c>
      <x:c r="R160" s="102"/>
      <x:c r="S160" s="102" t="str">
        <x:v>Yes</x:v>
      </x:c>
      <x:c r="T160" s="102" t="n">
        <x:v>1384</x:v>
      </x:c>
      <x:c r="U160" s="102" t="str">
        <x:v>TiL portfolio</x:v>
      </x:c>
      <x:c r="V160" s="102" t="str">
        <x:v>TIL-US-TTI</x:v>
      </x:c>
      <x:c r="W160" s="102" t="str">
        <x:v>https://www.tilgroup.com/our-terminals/long-beach.html</x:v>
      </x:c>
      <x:c r="X160" s="102" t="str">
        <x:v>High</x:v>
      </x:c>
      <x:c r="Y160" s="102" t="str">
        <x:v>16 quay cranes, 28 yard cranes; 12 working + 4 storage rail tracks.</x:v>
      </x:c>
      <x:c r="Z160" s="102" t="str"/>
    </x:row>
    <x:row r="161">
      <x:c r="A161" s="102" t="str">
        <x:v>TERM0160</x:v>
      </x:c>
      <x:c r="B161" s="102" t="str">
        <x:v>MSC PSA Asia Terminal (MPAT)</x:v>
      </x:c>
      <x:c r="C161" s="102" t="str">
        <x:v>PORTG0128</x:v>
      </x:c>
      <x:c r="D161" s="102" t="str">
        <x:v>Port of Singapore</x:v>
      </x:c>
      <x:c r="E161" s="102" t="str">
        <x:v>Singapore</x:v>
      </x:c>
      <x:c r="F161" s="102" t="str">
        <x:v>Singapore</x:v>
      </x:c>
      <x:c r="G161" s="102" t="str">
        <x:v>Southeast Asia</x:v>
      </x:c>
      <x:c r="H161" s="102" t="str">
        <x:v>Container / transshipment terminal</x:v>
      </x:c>
      <x:c r="I161" s="102" t="str">
        <x:v>Containers / terminal cargo</x:v>
      </x:c>
      <x:c r="J161" s="102" t="str">
        <x:v>COMP_TIL</x:v>
      </x:c>
      <x:c r="K161" s="102" t="str">
        <x:v>MPAT</x:v>
      </x:c>
      <x:c r="L161" s="102" t="str">
        <x:v>TiL / PSA JV</x:v>
      </x:c>
      <x:c r="M161" s="102" t="str">
        <x:v>Operating</x:v>
      </x:c>
      <x:c r="N161" s="102" t="n">
        <x:v>8500000</x:v>
      </x:c>
      <x:c r="O161" s="102" t="n">
        <x:v>1039500</x:v>
      </x:c>
      <x:c r="P161" s="102" t="n">
        <x:v>3015</x:v>
      </x:c>
      <x:c r="Q161" s="102" t="n">
        <x:v>16</x:v>
      </x:c>
      <x:c r="R161" s="102"/>
      <x:c r="S161" s="102"/>
      <x:c r="T161" s="102" t="n">
        <x:v>1220</x:v>
      </x:c>
      <x:c r="U161" s="102" t="str">
        <x:v>JV between PSA and TiL</x:v>
      </x:c>
      <x:c r="V161" s="102" t="str">
        <x:v>TIL-SG-MPAT</x:v>
      </x:c>
      <x:c r="W161" s="102" t="str">
        <x:v>https://www.tilgroup.com/our-terminals/pasir.html</x:v>
      </x:c>
      <x:c r="X161" s="102" t="str">
        <x:v>High</x:v>
      </x:c>
      <x:c r="Y161" s="102" t="str">
        <x:v>35 quay cranes, 106 yard cranes.</x:v>
      </x:c>
      <x:c r="Z161" s="102" t="str"/>
    </x:row>
    <x:row r="162">
      <x:c r="A162" s="102" t="str">
        <x:v>TERM0161</x:v>
      </x:c>
      <x:c r="B162" s="102" t="str">
        <x:v>National Container Terminals (NCT)</x:v>
      </x:c>
      <x:c r="C162" s="102" t="str">
        <x:v>PORTG0133</x:v>
      </x:c>
      <x:c r="D162" s="102" t="str">
        <x:v>King Abdullah Port</x:v>
      </x:c>
      <x:c r="E162" s="102" t="str">
        <x:v>Saudi Arabia</x:v>
      </x:c>
      <x:c r="F162" s="102" t="str">
        <x:v>King Abdullah Economic City</x:v>
      </x:c>
      <x:c r="G162" s="102" t="str">
        <x:v>Red Sea</x:v>
      </x:c>
      <x:c r="H162" s="102" t="str">
        <x:v>Container / transshipment terminal</x:v>
      </x:c>
      <x:c r="I162" s="102" t="str">
        <x:v>Containers / terminal cargo</x:v>
      </x:c>
      <x:c r="J162" s="102" t="str">
        <x:v>COMP_TIL</x:v>
      </x:c>
      <x:c r="K162" s="102" t="str">
        <x:v>NCT</x:v>
      </x:c>
      <x:c r="L162" s="102" t="str">
        <x:v>TiL</x:v>
      </x:c>
      <x:c r="M162" s="102" t="str">
        <x:v>Operating</x:v>
      </x:c>
      <x:c r="N162" s="102" t="n">
        <x:v>3000000</x:v>
      </x:c>
      <x:c r="O162" s="102" t="n">
        <x:v>1550000</x:v>
      </x:c>
      <x:c r="P162" s="102" t="n">
        <x:v>2170</x:v>
      </x:c>
      <x:c r="Q162" s="102" t="n">
        <x:v>17</x:v>
      </x:c>
      <x:c r="R162" s="102"/>
      <x:c r="S162" s="102"/>
      <x:c r="T162" s="102" t="n">
        <x:v>3000</x:v>
      </x:c>
      <x:c r="U162" s="102" t="str">
        <x:v>TiL portfolio</x:v>
      </x:c>
      <x:c r="V162" s="102" t="str">
        <x:v>TIL-SA-NCT</x:v>
      </x:c>
      <x:c r="W162" s="102" t="str">
        <x:v>https://tilgroup.com/our-terminals/king-abdullah.html</x:v>
      </x:c>
      <x:c r="X162" s="102" t="str">
        <x:v>High</x:v>
      </x:c>
      <x:c r="Y162" s="102" t="str">
        <x:v>20 quay cranes, 68 yard cranes.</x:v>
      </x:c>
      <x:c r="Z162" s="102" t="str"/>
    </x:row>
    <x:row r="163">
      <x:c r="A163" s="102" t="str">
        <x:v>TERM0162</x:v>
      </x:c>
      <x:c r="B163" s="102" t="str">
        <x:v>Portonave</x:v>
      </x:c>
      <x:c r="C163" s="102" t="str">
        <x:v>PORTG0134</x:v>
      </x:c>
      <x:c r="D163" s="102" t="str">
        <x:v>Port of Navegantes</x:v>
      </x:c>
      <x:c r="E163" s="102" t="str">
        <x:v>Brazil</x:v>
      </x:c>
      <x:c r="F163" s="102" t="str">
        <x:v>Navegantes</x:v>
      </x:c>
      <x:c r="G163" s="102" t="str">
        <x:v>South America Atlantic</x:v>
      </x:c>
      <x:c r="H163" s="102" t="str">
        <x:v>Container terminal</x:v>
      </x:c>
      <x:c r="I163" s="102" t="str">
        <x:v>Containers / terminal cargo</x:v>
      </x:c>
      <x:c r="J163" s="102" t="str">
        <x:v>COMP_TIL</x:v>
      </x:c>
      <x:c r="K163" s="102" t="str">
        <x:v>Portonave</x:v>
      </x:c>
      <x:c r="L163" s="102" t="str">
        <x:v>TiL</x:v>
      </x:c>
      <x:c r="M163" s="102" t="str">
        <x:v>Operating; quay upgrade</x:v>
      </x:c>
      <x:c r="N163" s="102" t="n">
        <x:v>1400000</x:v>
      </x:c>
      <x:c r="O163" s="102" t="n">
        <x:v>412000</x:v>
      </x:c>
      <x:c r="P163" s="102" t="n">
        <x:v>900</x:v>
      </x:c>
      <x:c r="Q163" s="102" t="n">
        <x:v>14</x:v>
      </x:c>
      <x:c r="R163" s="102" t="n">
        <x:v>3</x:v>
      </x:c>
      <x:c r="S163" s="102"/>
      <x:c r="T163" s="102" t="n">
        <x:v>2130</x:v>
      </x:c>
      <x:c r="U163" s="102" t="str">
        <x:v>Part of TiL group</x:v>
      </x:c>
      <x:c r="V163" s="102" t="str">
        <x:v>TIL-BR-PORTO</x:v>
      </x:c>
      <x:c r="W163" s="102" t="str">
        <x:v>https://www.tilgroup.com/our-terminals/navegantes.html</x:v>
      </x:c>
      <x:c r="X163" s="102" t="str">
        <x:v>High</x:v>
      </x:c>
      <x:c r="Y163" s="102" t="str">
        <x:v>Official TiL legacy figures: 6 quay and 5 yard cranes; 2026 upgrade program increases effective capability.</x:v>
      </x:c>
      <x:c r="Z163" s="102" t="str"/>
    </x:row>
    <x:row r="164">
      <x:c r="A164" s="102" t="str">
        <x:v>TERM0163</x:v>
      </x:c>
      <x:c r="B164" s="102" t="str">
        <x:v>MSC Terminal Valencia</x:v>
      </x:c>
      <x:c r="C164" s="102" t="str">
        <x:v>PORTG0102</x:v>
      </x:c>
      <x:c r="D164" s="102" t="str">
        <x:v>Port of Valencia</x:v>
      </x:c>
      <x:c r="E164" s="102" t="str">
        <x:v>Spain</x:v>
      </x:c>
      <x:c r="F164" s="102" t="str">
        <x:v>Valencia</x:v>
      </x:c>
      <x:c r="G164" s="102" t="str">
        <x:v>Western Mediterranean</x:v>
      </x:c>
      <x:c r="H164" s="102" t="str">
        <x:v>Container terminal</x:v>
      </x:c>
      <x:c r="I164" s="102" t="str">
        <x:v>Containers / terminal cargo</x:v>
      </x:c>
      <x:c r="J164" s="102" t="str">
        <x:v>COMP_TIL</x:v>
      </x:c>
      <x:c r="K164" s="102" t="str">
        <x:v>MSC Terminal Valencia</x:v>
      </x:c>
      <x:c r="L164" s="102" t="str">
        <x:v>TiL</x:v>
      </x:c>
      <x:c r="M164" s="102" t="str">
        <x:v>Operating; major automated expansion planned</x:v>
      </x:c>
      <x:c r="N164" s="102" t="n">
        <x:v>2000000</x:v>
      </x:c>
      <x:c r="O164" s="102" t="n">
        <x:v>380000</x:v>
      </x:c>
      <x:c r="P164" s="102" t="n">
        <x:v>770</x:v>
      </x:c>
      <x:c r="Q164" s="102" t="n">
        <x:v>15.9</x:v>
      </x:c>
      <x:c r="R164" s="102"/>
      <x:c r="S164" s="102"/>
      <x:c r="T164" s="102" t="n">
        <x:v>1220</x:v>
      </x:c>
      <x:c r="U164" s="102" t="str">
        <x:v>TiL portfolio</x:v>
      </x:c>
      <x:c r="V164" s="102" t="str">
        <x:v>TIL-ES-VAL</x:v>
      </x:c>
      <x:c r="W164" s="102" t="str">
        <x:v>https://www.tilgroup.com/our-terminals/valencia.html</x:v>
      </x:c>
      <x:c r="X164" s="102" t="str">
        <x:v>High</x:v>
      </x:c>
      <x:c r="Y164" s="102" t="str">
        <x:v>20 quay cranes, 28 yard cranes; future automated terminal target 4.8m TEU.</x:v>
      </x:c>
      <x:c r="Z164" s="102" t="str"/>
    </x:row>
    <x:row r="165">
      <x:c r="A165" s="102" t="str">
        <x:v>TERM0164</x:v>
      </x:c>
      <x:c r="B165" s="102" t="str">
        <x:v>Terminaux de Normandie</x:v>
      </x:c>
      <x:c r="C165" s="102" t="str">
        <x:v>PORTG0118</x:v>
      </x:c>
      <x:c r="D165" s="102" t="str">
        <x:v>Port of Le Havre</x:v>
      </x:c>
      <x:c r="E165" s="102" t="str">
        <x:v>France</x:v>
      </x:c>
      <x:c r="F165" s="102" t="str">
        <x:v>Le Havre</x:v>
      </x:c>
      <x:c r="G165" s="102" t="str">
        <x:v>Northern Europe</x:v>
      </x:c>
      <x:c r="H165" s="102" t="str">
        <x:v>Container terminal</x:v>
      </x:c>
      <x:c r="I165" s="102" t="str">
        <x:v>Containers / terminal cargo</x:v>
      </x:c>
      <x:c r="J165" s="102" t="str">
        <x:v>COMP_TIL</x:v>
      </x:c>
      <x:c r="K165" s="102" t="str">
        <x:v>Terminaux de Normandie</x:v>
      </x:c>
      <x:c r="L165" s="102" t="str">
        <x:v>TiL / MSC</x:v>
      </x:c>
      <x:c r="M165" s="102" t="str">
        <x:v>Operating; modernization to 2028</x:v>
      </x:c>
      <x:c r="N165" s="102" t="n">
        <x:v>1800000</x:v>
      </x:c>
      <x:c r="O165" s="102" t="n">
        <x:v>1070000</x:v>
      </x:c>
      <x:c r="P165" s="102" t="n">
        <x:v>2100</x:v>
      </x:c>
      <x:c r="Q165" s="102" t="n">
        <x:v>16</x:v>
      </x:c>
      <x:c r="R165" s="102" t="n">
        <x:v>6</x:v>
      </x:c>
      <x:c r="S165" s="102" t="str">
        <x:v>Yes</x:v>
      </x:c>
      <x:c r="T165" s="102" t="n">
        <x:v>1090</x:v>
      </x:c>
      <x:c r="U165" s="102" t="str">
        <x:v>MSC/TiL portfolio</x:v>
      </x:c>
      <x:c r="V165" s="102" t="str">
        <x:v>TIL-FR-TN</x:v>
      </x:c>
      <x:c r="W165" s="102" t="str">
        <x:v>https://tilgroup.com/our-terminals/havre.html</x:v>
      </x:c>
      <x:c r="X165" s="102" t="str">
        <x:v>High</x:v>
      </x:c>
      <x:c r="Y165" s="102" t="str">
        <x:v>11 quay cranes and 68 yard cranes currently; project targets 20 STS and triple storage capacity.</x:v>
      </x:c>
      <x:c r="Z165" s="102" t="str"/>
    </x:row>
    <x:row r="166">
      <x:c r="A166" s="102" t="str">
        <x:v>TERM0165</x:v>
      </x:c>
      <x:c r="B166" s="102" t="str">
        <x:v>Lomé Container Terminal</x:v>
      </x:c>
      <x:c r="C166" s="102" t="str">
        <x:v>PORTG0135</x:v>
      </x:c>
      <x:c r="D166" s="102" t="str">
        <x:v>Port of Lomé</x:v>
      </x:c>
      <x:c r="E166" s="102" t="str">
        <x:v>Togo</x:v>
      </x:c>
      <x:c r="F166" s="102" t="str">
        <x:v>Lomé</x:v>
      </x:c>
      <x:c r="G166" s="102" t="str">
        <x:v>Gulf of Guinea</x:v>
      </x:c>
      <x:c r="H166" s="102" t="str">
        <x:v>Container / transshipment terminal</x:v>
      </x:c>
      <x:c r="I166" s="102" t="str">
        <x:v>Containers / terminal cargo</x:v>
      </x:c>
      <x:c r="J166" s="102" t="str">
        <x:v>COMP_TIL</x:v>
      </x:c>
      <x:c r="K166" s="102" t="str">
        <x:v>LCT</x:v>
      </x:c>
      <x:c r="L166" s="102" t="str">
        <x:v>TiL</x:v>
      </x:c>
      <x:c r="M166" s="102" t="str">
        <x:v>Operating</x:v>
      </x:c>
      <x:c r="N166" s="102" t="n">
        <x:v>1600000</x:v>
      </x:c>
      <x:c r="O166" s="102" t="n">
        <x:v>530000</x:v>
      </x:c>
      <x:c r="P166" s="102" t="n">
        <x:v>1050</x:v>
      </x:c>
      <x:c r="Q166" s="102" t="n">
        <x:v>16.6</x:v>
      </x:c>
      <x:c r="R166" s="102"/>
      <x:c r="S166" s="102"/>
      <x:c r="T166" s="102" t="n">
        <x:v>1120</x:v>
      </x:c>
      <x:c r="U166" s="102" t="str">
        <x:v>TiL-developed 35-year concession</x:v>
      </x:c>
      <x:c r="V166" s="102" t="str">
        <x:v>TIL-TG-LCT</x:v>
      </x:c>
      <x:c r="W166" s="102" t="str">
        <x:v>https://www.tilgroup.com/our-terminals/lome.html</x:v>
      </x:c>
      <x:c r="X166" s="102" t="str">
        <x:v>High</x:v>
      </x:c>
      <x:c r="Y166" s="102" t="str">
        <x:v>TiL page text also cites estimated 2.2m TEU moves; key-figure panel says max capacity 1.6m. Stored conservative key-figure value and flagged discrepancy.</x:v>
      </x:c>
      <x:c r="Z166" s="102" t="str"/>
    </x:row>
    <x:row r="167">
      <x:c r="A167" s="102" t="str">
        <x:v>TERM0166</x:v>
      </x:c>
      <x:c r="B167" s="102" t="str">
        <x:v>Port Newark Container Terminal (PNCT)</x:v>
      </x:c>
      <x:c r="C167" s="102" t="str">
        <x:v>PORTG0099</x:v>
      </x:c>
      <x:c r="D167" s="102" t="str">
        <x:v>Port of New York &amp; New Jersey</x:v>
      </x:c>
      <x:c r="E167" s="102" t="str">
        <x:v>United States</x:v>
      </x:c>
      <x:c r="F167" s="102" t="str">
        <x:v>Newark, New Jersey</x:v>
      </x:c>
      <x:c r="G167" s="102" t="str">
        <x:v>US East Coast</x:v>
      </x:c>
      <x:c r="H167" s="102" t="str">
        <x:v>Container terminal</x:v>
      </x:c>
      <x:c r="I167" s="102" t="str">
        <x:v>Containers / terminal cargo</x:v>
      </x:c>
      <x:c r="J167" s="102" t="str">
        <x:v>COMP_TIL</x:v>
      </x:c>
      <x:c r="K167" s="102" t="str">
        <x:v>PNCT</x:v>
      </x:c>
      <x:c r="L167" s="102" t="str">
        <x:v>TiL US portfolio</x:v>
      </x:c>
      <x:c r="M167" s="102" t="str">
        <x:v>Operating</x:v>
      </x:c>
      <x:c r="N167" s="102"/>
      <x:c r="O167" s="102"/>
      <x:c r="P167" s="102"/>
      <x:c r="Q167" s="102"/>
      <x:c r="R167" s="102"/>
      <x:c r="S167" s="102" t="str">
        <x:v>Yes</x:v>
      </x:c>
      <x:c r="T167" s="102"/>
      <x:c r="U167" s="102" t="str">
        <x:v>TiL investment/operation</x:v>
      </x:c>
      <x:c r="V167" s="102" t="str">
        <x:v>TIL-US-PNCT</x:v>
      </x:c>
      <x:c r="W167" s="102" t="str">
        <x:v>https://spctmd.com/about/</x:v>
      </x:c>
      <x:c r="X167" s="102" t="str">
        <x:v>High</x:v>
      </x:c>
      <x:c r="Y167" s="102" t="str">
        <x:v>Explicitly listed among TiL's nine U.S. terminal operations.</x:v>
      </x:c>
      <x:c r="Z167" s="102" t="str"/>
    </x:row>
    <x:row r="168">
      <x:c r="A168" s="102" t="str">
        <x:v>TERM0167</x:v>
      </x:c>
      <x:c r="B168" s="102" t="str">
        <x:v>Port Everglades Terminal (PET)</x:v>
      </x:c>
      <x:c r="C168" s="102" t="str">
        <x:v>PORTG0136</x:v>
      </x:c>
      <x:c r="D168" s="102" t="str">
        <x:v>Port Everglades</x:v>
      </x:c>
      <x:c r="E168" s="102" t="str">
        <x:v>United States</x:v>
      </x:c>
      <x:c r="F168" s="102" t="str">
        <x:v>Fort Lauderdale, Florida</x:v>
      </x:c>
      <x:c r="G168" s="102" t="str">
        <x:v>US East Coast</x:v>
      </x:c>
      <x:c r="H168" s="102" t="str">
        <x:v>Container terminal</x:v>
      </x:c>
      <x:c r="I168" s="102" t="str">
        <x:v>Containers / terminal cargo</x:v>
      </x:c>
      <x:c r="J168" s="102" t="str">
        <x:v>COMP_TIL</x:v>
      </x:c>
      <x:c r="K168" s="102" t="str">
        <x:v>PET</x:v>
      </x:c>
      <x:c r="L168" s="102" t="str">
        <x:v>TiL US portfolio</x:v>
      </x:c>
      <x:c r="M168" s="102" t="str">
        <x:v>Operating</x:v>
      </x:c>
      <x:c r="N168" s="102"/>
      <x:c r="O168" s="102"/>
      <x:c r="P168" s="102"/>
      <x:c r="Q168" s="102"/>
      <x:c r="R168" s="102"/>
      <x:c r="S168" s="102"/>
      <x:c r="T168" s="102"/>
      <x:c r="U168" s="102" t="str">
        <x:v>TiL investment/operation</x:v>
      </x:c>
      <x:c r="V168" s="102" t="str">
        <x:v>TIL-US-PET</x:v>
      </x:c>
      <x:c r="W168" s="102" t="str">
        <x:v>https://spctmd.com/about/</x:v>
      </x:c>
      <x:c r="X168" s="102" t="str">
        <x:v>High</x:v>
      </x:c>
      <x:c r="Y168" s="102" t="str">
        <x:v>Explicitly listed among TiL's nine U.S. terminal operations.</x:v>
      </x:c>
      <x:c r="Z168" s="102" t="str"/>
    </x:row>
    <x:row r="169">
      <x:c r="A169" s="102" t="str">
        <x:v>TERM0168</x:v>
      </x:c>
      <x:c r="B169" s="102" t="str">
        <x:v>New Orleans Terminal (NOT)</x:v>
      </x:c>
      <x:c r="C169" s="102" t="str">
        <x:v>PORTG0137</x:v>
      </x:c>
      <x:c r="D169" s="102" t="str">
        <x:v>Port of New Orleans</x:v>
      </x:c>
      <x:c r="E169" s="102" t="str">
        <x:v>United States</x:v>
      </x:c>
      <x:c r="F169" s="102" t="str">
        <x:v>New Orleans, Louisiana</x:v>
      </x:c>
      <x:c r="G169" s="102" t="str">
        <x:v>US Gulf</x:v>
      </x:c>
      <x:c r="H169" s="102" t="str">
        <x:v>Container terminal</x:v>
      </x:c>
      <x:c r="I169" s="102" t="str">
        <x:v>Containers / terminal cargo</x:v>
      </x:c>
      <x:c r="J169" s="102" t="str">
        <x:v>COMP_TIL</x:v>
      </x:c>
      <x:c r="K169" s="102" t="str">
        <x:v>NOT</x:v>
      </x:c>
      <x:c r="L169" s="102" t="str">
        <x:v>TiL US portfolio</x:v>
      </x:c>
      <x:c r="M169" s="102" t="str">
        <x:v>Operating</x:v>
      </x:c>
      <x:c r="N169" s="102"/>
      <x:c r="O169" s="102"/>
      <x:c r="P169" s="102"/>
      <x:c r="Q169" s="102"/>
      <x:c r="R169" s="102"/>
      <x:c r="S169" s="102" t="str">
        <x:v>Yes</x:v>
      </x:c>
      <x:c r="T169" s="102"/>
      <x:c r="U169" s="102" t="str">
        <x:v>TiL investment/operation</x:v>
      </x:c>
      <x:c r="V169" s="102" t="str">
        <x:v>TIL-US-NOT</x:v>
      </x:c>
      <x:c r="W169" s="102" t="str">
        <x:v>https://spctmd.com/about/</x:v>
      </x:c>
      <x:c r="X169" s="102" t="str">
        <x:v>High</x:v>
      </x:c>
      <x:c r="Y169" s="102" t="str">
        <x:v>Explicitly listed among TiL's nine U.S. terminal operations.</x:v>
      </x:c>
      <x:c r="Z169" s="102" t="str"/>
    </x:row>
    <x:row r="170">
      <x:c r="A170" s="102" t="str">
        <x:v>TERM0169</x:v>
      </x:c>
      <x:c r="B170" s="102" t="str">
        <x:v>Houston Terminal – Bayport</x:v>
      </x:c>
      <x:c r="C170" s="102" t="str">
        <x:v>PORTG0130</x:v>
      </x:c>
      <x:c r="D170" s="102" t="str">
        <x:v>Port Houston</x:v>
      </x:c>
      <x:c r="E170" s="102" t="str">
        <x:v>United States</x:v>
      </x:c>
      <x:c r="F170" s="102" t="str">
        <x:v>Houston</x:v>
      </x:c>
      <x:c r="G170" s="102" t="str">
        <x:v>US Gulf</x:v>
      </x:c>
      <x:c r="H170" s="102" t="str">
        <x:v>Container terminal</x:v>
      </x:c>
      <x:c r="I170" s="102" t="str">
        <x:v>Containers / terminal cargo</x:v>
      </x:c>
      <x:c r="J170" s="102" t="str">
        <x:v>COMP_TIL</x:v>
      </x:c>
      <x:c r="K170" s="102" t="str">
        <x:v>Houston Terminal / Bayport</x:v>
      </x:c>
      <x:c r="L170" s="102" t="str">
        <x:v>TiL US portfolio</x:v>
      </x:c>
      <x:c r="M170" s="102" t="str">
        <x:v>Operating</x:v>
      </x:c>
      <x:c r="N170" s="102"/>
      <x:c r="O170" s="102"/>
      <x:c r="P170" s="102"/>
      <x:c r="Q170" s="102"/>
      <x:c r="R170" s="102"/>
      <x:c r="S170" s="102" t="str">
        <x:v>Yes</x:v>
      </x:c>
      <x:c r="T170" s="102"/>
      <x:c r="U170" s="102" t="str">
        <x:v>TiL investment/operation</x:v>
      </x:c>
      <x:c r="V170" s="102" t="str">
        <x:v>TIL-US-HTBAY</x:v>
      </x:c>
      <x:c r="W170" s="102" t="str">
        <x:v>https://spctmd.com/about/</x:v>
      </x:c>
      <x:c r="X170" s="102" t="str">
        <x:v>High</x:v>
      </x:c>
      <x:c r="Y170" s="102" t="str">
        <x:v>Explicitly listed among TiL's nine U.S. terminal operations.</x:v>
      </x:c>
      <x:c r="Z170" s="102" t="str"/>
    </x:row>
    <x:row r="171">
      <x:c r="A171" s="102" t="str">
        <x:v>TERM0170</x:v>
      </x:c>
      <x:c r="B171" s="102" t="str">
        <x:v>Houston Terminal – Barbours Cut</x:v>
      </x:c>
      <x:c r="C171" s="102" t="str">
        <x:v>PORTG0130</x:v>
      </x:c>
      <x:c r="D171" s="102" t="str">
        <x:v>Port Houston</x:v>
      </x:c>
      <x:c r="E171" s="102" t="str">
        <x:v>United States</x:v>
      </x:c>
      <x:c r="F171" s="102" t="str">
        <x:v>Houston</x:v>
      </x:c>
      <x:c r="G171" s="102" t="str">
        <x:v>US Gulf</x:v>
      </x:c>
      <x:c r="H171" s="102" t="str">
        <x:v>Container terminal</x:v>
      </x:c>
      <x:c r="I171" s="102" t="str">
        <x:v>Containers / terminal cargo</x:v>
      </x:c>
      <x:c r="J171" s="102" t="str">
        <x:v>COMP_TIL</x:v>
      </x:c>
      <x:c r="K171" s="102" t="str">
        <x:v>Houston Terminal / Barbours Cut</x:v>
      </x:c>
      <x:c r="L171" s="102" t="str">
        <x:v>TiL US portfolio</x:v>
      </x:c>
      <x:c r="M171" s="102" t="str">
        <x:v>Operating</x:v>
      </x:c>
      <x:c r="N171" s="102"/>
      <x:c r="O171" s="102"/>
      <x:c r="P171" s="102"/>
      <x:c r="Q171" s="102"/>
      <x:c r="R171" s="102"/>
      <x:c r="S171" s="102" t="str">
        <x:v>Yes</x:v>
      </x:c>
      <x:c r="T171" s="102"/>
      <x:c r="U171" s="102" t="str">
        <x:v>TiL investment/operation</x:v>
      </x:c>
      <x:c r="V171" s="102" t="str">
        <x:v>TIL-US-HTBC</x:v>
      </x:c>
      <x:c r="W171" s="102" t="str">
        <x:v>https://spctmd.com/about/</x:v>
      </x:c>
      <x:c r="X171" s="102" t="str">
        <x:v>High</x:v>
      </x:c>
      <x:c r="Y171" s="102" t="str">
        <x:v>Explicitly listed among TiL's nine U.S. terminal operations.</x:v>
      </x:c>
      <x:c r="Z171" s="102" t="str"/>
    </x:row>
    <x:row r="172">
      <x:c r="A172" s="102" t="str">
        <x:v>TERM0171</x:v>
      </x:c>
      <x:c r="B172" s="102" t="str">
        <x:v>Los Angeles TraPac/terminal interest (LATT)</x:v>
      </x:c>
      <x:c r="C172" s="102" t="str">
        <x:v>PORTG0098</x:v>
      </x:c>
      <x:c r="D172" s="102" t="str">
        <x:v>Port of Los Angeles</x:v>
      </x:c>
      <x:c r="E172" s="102" t="str">
        <x:v>United States</x:v>
      </x:c>
      <x:c r="F172" s="102" t="str">
        <x:v>Los Angeles</x:v>
      </x:c>
      <x:c r="G172" s="102" t="str">
        <x:v>US West Coast</x:v>
      </x:c>
      <x:c r="H172" s="102" t="str">
        <x:v>Container terminal</x:v>
      </x:c>
      <x:c r="I172" s="102" t="str">
        <x:v>Containers / terminal cargo</x:v>
      </x:c>
      <x:c r="J172" s="102" t="str">
        <x:v>COMP_TIL</x:v>
      </x:c>
      <x:c r="K172" s="102" t="str">
        <x:v>LATT</x:v>
      </x:c>
      <x:c r="L172" s="102" t="str">
        <x:v>TiL US portfolio</x:v>
      </x:c>
      <x:c r="M172" s="102" t="str">
        <x:v>Operating</x:v>
      </x:c>
      <x:c r="N172" s="102"/>
      <x:c r="O172" s="102"/>
      <x:c r="P172" s="102"/>
      <x:c r="Q172" s="102"/>
      <x:c r="R172" s="102"/>
      <x:c r="S172" s="102" t="str">
        <x:v>Yes</x:v>
      </x:c>
      <x:c r="T172" s="102"/>
      <x:c r="U172" s="102" t="str">
        <x:v>TiL investment/operation</x:v>
      </x:c>
      <x:c r="V172" s="102" t="str">
        <x:v>TIL-US-LATT</x:v>
      </x:c>
      <x:c r="W172" s="102" t="str">
        <x:v>https://spctmd.com/about/</x:v>
      </x:c>
      <x:c r="X172" s="102" t="str">
        <x:v>High</x:v>
      </x:c>
      <x:c r="Y172" s="102" t="str">
        <x:v>SPCT site identifies LATT among TiL U.S. operations; terminal-specific legal name should be cross-checked before public display.</x:v>
      </x:c>
      <x:c r="Z172" s="102" t="str"/>
    </x:row>
    <x:row r="173">
      <x:c r="A173" s="102" t="str">
        <x:v>TERM0172</x:v>
      </x:c>
      <x:c r="B173" s="102" t="str">
        <x:v>SSATS Terminal 18</x:v>
      </x:c>
      <x:c r="C173" s="102" t="str">
        <x:v>PORTG0138</x:v>
      </x:c>
      <x:c r="D173" s="102" t="str">
        <x:v>Port of Seattle</x:v>
      </x:c>
      <x:c r="E173" s="102" t="str">
        <x:v>United States</x:v>
      </x:c>
      <x:c r="F173" s="102" t="str">
        <x:v>Seattle</x:v>
      </x:c>
      <x:c r="G173" s="102" t="str">
        <x:v>US West Coast</x:v>
      </x:c>
      <x:c r="H173" s="102" t="str">
        <x:v>Container terminal</x:v>
      </x:c>
      <x:c r="I173" s="102" t="str">
        <x:v>Containers / terminal cargo</x:v>
      </x:c>
      <x:c r="J173" s="102" t="str">
        <x:v>COMP_TIL</x:v>
      </x:c>
      <x:c r="K173" s="102" t="str">
        <x:v>SSATS T18</x:v>
      </x:c>
      <x:c r="L173" s="102" t="str">
        <x:v>TiL US portfolio</x:v>
      </x:c>
      <x:c r="M173" s="102" t="str">
        <x:v>Operating</x:v>
      </x:c>
      <x:c r="N173" s="102"/>
      <x:c r="O173" s="102"/>
      <x:c r="P173" s="102"/>
      <x:c r="Q173" s="102"/>
      <x:c r="R173" s="102"/>
      <x:c r="S173" s="102" t="str">
        <x:v>Yes</x:v>
      </x:c>
      <x:c r="T173" s="102"/>
      <x:c r="U173" s="102" t="str">
        <x:v>TiL investment/operation</x:v>
      </x:c>
      <x:c r="V173" s="102" t="str">
        <x:v>TIL-US-SEA18</x:v>
      </x:c>
      <x:c r="W173" s="102" t="str">
        <x:v>https://spctmd.com/about/</x:v>
      </x:c>
      <x:c r="X173" s="102" t="str">
        <x:v>High</x:v>
      </x:c>
      <x:c r="Y173" s="102" t="str">
        <x:v>Explicitly listed among TiL's U.S. operations.</x:v>
      </x:c>
      <x:c r="Z173" s="102" t="str"/>
    </x:row>
    <x:row r="174">
      <x:c r="A174" s="102" t="str">
        <x:v>TERM0173</x:v>
      </x:c>
      <x:c r="B174" s="102" t="str">
        <x:v>SSATS Terminal 5</x:v>
      </x:c>
      <x:c r="C174" s="102" t="str">
        <x:v>PORTG0138</x:v>
      </x:c>
      <x:c r="D174" s="102" t="str">
        <x:v>Port of Seattle</x:v>
      </x:c>
      <x:c r="E174" s="102" t="str">
        <x:v>United States</x:v>
      </x:c>
      <x:c r="F174" s="102" t="str">
        <x:v>Seattle</x:v>
      </x:c>
      <x:c r="G174" s="102" t="str">
        <x:v>US West Coast</x:v>
      </x:c>
      <x:c r="H174" s="102" t="str">
        <x:v>Container terminal</x:v>
      </x:c>
      <x:c r="I174" s="102" t="str">
        <x:v>Containers / terminal cargo</x:v>
      </x:c>
      <x:c r="J174" s="102" t="str">
        <x:v>COMP_TIL</x:v>
      </x:c>
      <x:c r="K174" s="102" t="str">
        <x:v>SSATS T5</x:v>
      </x:c>
      <x:c r="L174" s="102" t="str">
        <x:v>TiL US portfolio</x:v>
      </x:c>
      <x:c r="M174" s="102" t="str">
        <x:v>Operating</x:v>
      </x:c>
      <x:c r="N174" s="102"/>
      <x:c r="O174" s="102"/>
      <x:c r="P174" s="102"/>
      <x:c r="Q174" s="102"/>
      <x:c r="R174" s="102"/>
      <x:c r="S174" s="102" t="str">
        <x:v>Yes</x:v>
      </x:c>
      <x:c r="T174" s="102"/>
      <x:c r="U174" s="102" t="str">
        <x:v>TiL investment/operation</x:v>
      </x:c>
      <x:c r="V174" s="102" t="str">
        <x:v>TIL-US-SEA5</x:v>
      </x:c>
      <x:c r="W174" s="102" t="str">
        <x:v>https://spctmd.com/about/</x:v>
      </x:c>
      <x:c r="X174" s="102" t="str">
        <x:v>High</x:v>
      </x:c>
      <x:c r="Y174" s="102" t="str">
        <x:v>Explicitly listed among TiL's U.S. operations.</x:v>
      </x:c>
      <x:c r="Z174" s="102" t="str"/>
    </x:row>
    <x:row r="175">
      <x:c r="A175" s="102" t="str">
        <x:v>TERM0174</x:v>
      </x:c>
      <x:c r="B175" s="102" t="str">
        <x:v>Sparrows Point Container Terminal</x:v>
      </x:c>
      <x:c r="C175" s="102" t="str">
        <x:v>PORTG0139</x:v>
      </x:c>
      <x:c r="D175" s="102" t="str">
        <x:v>Sparrows Point / Baltimore</x:v>
      </x:c>
      <x:c r="E175" s="102" t="str">
        <x:v>United States</x:v>
      </x:c>
      <x:c r="F175" s="102" t="str">
        <x:v>Baltimore, Maryland</x:v>
      </x:c>
      <x:c r="G175" s="102" t="str">
        <x:v>US East Coast</x:v>
      </x:c>
      <x:c r="H175" s="102" t="str">
        <x:v>Container / intermodal terminal</x:v>
      </x:c>
      <x:c r="I175" s="102" t="str">
        <x:v>Containers / terminal cargo</x:v>
      </x:c>
      <x:c r="J175" s="102" t="str">
        <x:v>COMP_TIL</x:v>
      </x:c>
      <x:c r="K175" s="102" t="str">
        <x:v>Sparrows Point Container Terminal</x:v>
      </x:c>
      <x:c r="L175" s="102" t="str">
        <x:v>TiL / Tradepoint Atlantic JV</x:v>
      </x:c>
      <x:c r="M175" s="102" t="str">
        <x:v>Under construction</x:v>
      </x:c>
      <x:c r="N175" s="102" t="n">
        <x:v>1000000</x:v>
      </x:c>
      <x:c r="O175" s="102" t="n">
        <x:v>680000</x:v>
      </x:c>
      <x:c r="P175" s="102"/>
      <x:c r="Q175" s="102"/>
      <x:c r="R175" s="102" t="n">
        <x:v>2</x:v>
      </x:c>
      <x:c r="S175" s="102" t="str">
        <x:v>Yes</x:v>
      </x:c>
      <x:c r="T175" s="102"/>
      <x:c r="U175" s="102" t="str">
        <x:v>JV Tradepoint Atlantic + TiL</x:v>
      </x:c>
      <x:c r="V175" s="102" t="str">
        <x:v>TIL-US-SPCT</x:v>
      </x:c>
      <x:c r="W175" s="102" t="str">
        <x:v>https://www.spctmd.com/</x:v>
      </x:c>
      <x:c r="X175" s="102" t="str">
        <x:v>High</x:v>
      </x:c>
      <x:c r="Y175" s="102" t="str">
        <x:v>330-acre redevelopment: 168 acres terminal/intermodal + 162 acres support. Groundbreaking 1 May 2026; &gt;1m TEU concept.</x:v>
      </x:c>
      <x:c r="Z175" s="102" t="str"/>
    </x:row>
    <x:row r="176">
      <x:c r="A176" s="102" t="str">
        <x:v>TERM0175</x:v>
      </x:c>
      <x:c r="B176" s="102" t="str">
        <x:v>Adani International Container Terminal / CT3</x:v>
      </x:c>
      <x:c r="C176" s="102" t="str">
        <x:v>PORTG0031</x:v>
      </x:c>
      <x:c r="D176" s="102" t="str">
        <x:v>Mundra Port</x:v>
      </x:c>
      <x:c r="E176" s="102" t="str">
        <x:v>India</x:v>
      </x:c>
      <x:c r="F176" s="102" t="str">
        <x:v>Mundra</x:v>
      </x:c>
      <x:c r="G176" s="102" t="str">
        <x:v>Indian Subcontinent</x:v>
      </x:c>
      <x:c r="H176" s="102" t="str">
        <x:v>Container terminal</x:v>
      </x:c>
      <x:c r="I176" s="102" t="str">
        <x:v>Containers / terminal cargo</x:v>
      </x:c>
      <x:c r="J176" s="102" t="str">
        <x:v>COMP_TIL</x:v>
      </x:c>
      <x:c r="K176" s="102" t="str">
        <x:v>AICTPL / CT3</x:v>
      </x:c>
      <x:c r="L176" s="102" t="str">
        <x:v>TiL / APSEZ JV</x:v>
      </x:c>
      <x:c r="M176" s="102" t="str">
        <x:v>Operating</x:v>
      </x:c>
      <x:c r="N176" s="102"/>
      <x:c r="O176" s="102"/>
      <x:c r="P176" s="102"/>
      <x:c r="Q176" s="102"/>
      <x:c r="R176" s="102"/>
      <x:c r="S176" s="102" t="str">
        <x:v>Yes</x:v>
      </x:c>
      <x:c r="T176" s="102"/>
      <x:c r="U176" s="102" t="str">
        <x:v>APSEZ-TiL JV</x:v>
      </x:c>
      <x:c r="V176" s="102" t="str">
        <x:v>TIL-IN-MUNDRA3</x:v>
      </x:c>
      <x:c r="W176" s="102" t="str">
        <x:v>https://www.adaniports.com/newsroom/media-releases/apsez-expands-strategic-partnership-with-msc</x:v>
      </x:c>
      <x:c r="X176" s="102" t="str">
        <x:v>High</x:v>
      </x:c>
      <x:c r="Y176" s="102" t="str">
        <x:v>First major APSEZ-TiL JV; CT3 handled &gt;3m TEU in FY2023-24 per APSEZ reporting.</x:v>
      </x:c>
      <x:c r="Z176" s="102" t="str"/>
    </x:row>
    <x:row r="177">
      <x:c r="A177" s="102" t="str">
        <x:v>TERM0176</x:v>
      </x:c>
      <x:c r="B177" s="102" t="str">
        <x:v>Adani Ennore Container Terminal</x:v>
      </x:c>
      <x:c r="C177" s="102" t="str">
        <x:v>PORTG0140</x:v>
      </x:c>
      <x:c r="D177" s="102" t="str">
        <x:v>Kamarajar / Ennore Port</x:v>
      </x:c>
      <x:c r="E177" s="102" t="str">
        <x:v>India</x:v>
      </x:c>
      <x:c r="F177" s="102" t="str">
        <x:v>Chennai</x:v>
      </x:c>
      <x:c r="G177" s="102" t="str">
        <x:v>Indian Subcontinent</x:v>
      </x:c>
      <x:c r="H177" s="102" t="str">
        <x:v>Container terminal</x:v>
      </x:c>
      <x:c r="I177" s="102" t="str">
        <x:v>Containers / terminal cargo</x:v>
      </x:c>
      <x:c r="J177" s="102" t="str">
        <x:v>COMP_TIL</x:v>
      </x:c>
      <x:c r="K177" s="102" t="str">
        <x:v>AECTPL</x:v>
      </x:c>
      <x:c r="L177" s="102" t="str">
        <x:v>TiL / APSEZ JV</x:v>
      </x:c>
      <x:c r="M177" s="102" t="str">
        <x:v>Operating</x:v>
      </x:c>
      <x:c r="N177" s="102" t="n">
        <x:v>800000</x:v>
      </x:c>
      <x:c r="O177" s="102"/>
      <x:c r="P177" s="102" t="n">
        <x:v>400</x:v>
      </x:c>
      <x:c r="Q177" s="102"/>
      <x:c r="R177" s="102"/>
      <x:c r="S177" s="102" t="str">
        <x:v>Yes</x:v>
      </x:c>
      <x:c r="T177" s="102"/>
      <x:c r="U177" s="102" t="str">
        <x:v>49% TiL / 51% APSEZ</x:v>
      </x:c>
      <x:c r="V177" s="102" t="str">
        <x:v>TIL-IN-ENN</x:v>
      </x:c>
      <x:c r="W177" s="102" t="str">
        <x:v>https://www.adaniports.com/newsroom/media-releases/apsez-expands-strategic-partnership-with-msc</x:v>
      </x:c>
      <x:c r="X177" s="102" t="str">
        <x:v>High</x:v>
      </x:c>
      <x:c r="Y177" s="102" t="str">
        <x:v>Expandable to 1.4m TEU; 4 quay cranes and 12 e-RTGs shown on current terminal page.</x:v>
      </x:c>
      <x:c r="Z177" s="102" t="str"/>
    </x:row>
    <x:row r="178">
      <x:c r="A178" s="102" t="str">
        <x:v>TERM0177</x:v>
      </x:c>
      <x:c r="B178" s="102" t="str">
        <x:v>Vizhinjam International Seaport</x:v>
      </x:c>
      <x:c r="C178" s="102" t="str">
        <x:v>PORTG0141</x:v>
      </x:c>
      <x:c r="D178" s="102" t="str">
        <x:v>Vizhinjam Port</x:v>
      </x:c>
      <x:c r="E178" s="102" t="str">
        <x:v>India</x:v>
      </x:c>
      <x:c r="F178" s="102" t="str">
        <x:v>Thiruvananthapuram</x:v>
      </x:c>
      <x:c r="G178" s="102" t="str">
        <x:v>Indian Subcontinent</x:v>
      </x:c>
      <x:c r="H178" s="102" t="str">
        <x:v>Deep-water container / transshipment port</x:v>
      </x:c>
      <x:c r="I178" s="102" t="str">
        <x:v>Containers / terminal cargo</x:v>
      </x:c>
      <x:c r="J178" s="102" t="str">
        <x:v>COMP_TIL</x:v>
      </x:c>
      <x:c r="K178" s="102" t="str">
        <x:v>Adani Vizhinjam Port Pvt Ltd</x:v>
      </x:c>
      <x:c r="L178" s="102" t="str">
        <x:v>TiL / APSEZ</x:v>
      </x:c>
      <x:c r="M178" s="102" t="str">
        <x:v>Operating; ownership investment pending completion / expansion</x:v>
      </x:c>
      <x:c r="N178" s="102" t="n">
        <x:v>5700000</x:v>
      </x:c>
      <x:c r="O178" s="102"/>
      <x:c r="P178" s="102"/>
      <x:c r="Q178" s="102"/>
      <x:c r="R178" s="102"/>
      <x:c r="S178" s="102"/>
      <x:c r="T178" s="102"/>
      <x:c r="U178" s="102" t="str">
        <x:v>Definitive agreement: 49% TiL / 51% APSEZ</x:v>
      </x:c>
      <x:c r="V178" s="102" t="str">
        <x:v>TIL-IN-VIZ</x:v>
      </x:c>
      <x:c r="W178" s="102" t="str">
        <x:v>https://www.adani.com/newsroom/media-releases/apsez-and-msc-group-deepen-long-term-partnership</x:v>
      </x:c>
      <x:c r="X178" s="102" t="str">
        <x:v>High</x:v>
      </x:c>
      <x:c r="Y178" s="102" t="str">
        <x:v>Current capacity 1.6m TEU; expansion target 5.7m TEU. Treat 49% as definitive agreement until completion is confirmed.</x:v>
      </x:c>
      <x:c r="Z178" s="102" t="str"/>
    </x:row>
    <x:row r="179">
      <x:c r="A179" s="102" t="str">
        <x:v>TERM0178</x:v>
      </x:c>
      <x:c r="B179" s="102" t="str">
        <x:v>Misurata Free Zone Port container terminals</x:v>
      </x:c>
      <x:c r="C179" s="102" t="str">
        <x:v>PORTG0142</x:v>
      </x:c>
      <x:c r="D179" s="102" t="str">
        <x:v>Misurata Free Zone Port</x:v>
      </x:c>
      <x:c r="E179" s="102" t="str">
        <x:v>Libya</x:v>
      </x:c>
      <x:c r="F179" s="102" t="str">
        <x:v>Misurata</x:v>
      </x:c>
      <x:c r="G179" s="102" t="str">
        <x:v>Central Mediterranean</x:v>
      </x:c>
      <x:c r="H179" s="102" t="str">
        <x:v>Container / transshipment port</x:v>
      </x:c>
      <x:c r="I179" s="102" t="str">
        <x:v>Containers / terminal cargo</x:v>
      </x:c>
      <x:c r="J179" s="102" t="str">
        <x:v>COMP_TIL</x:v>
      </x:c>
      <x:c r="K179" s="102" t="str">
        <x:v>Misurata Free Zone Port</x:v>
      </x:c>
      <x:c r="L179" s="102" t="str">
        <x:v>TiL / Maha Capital / MFZ PPP</x:v>
      </x:c>
      <x:c r="M179" s="102" t="str">
        <x:v>Development / modernization</x:v>
      </x:c>
      <x:c r="N179" s="102" t="n">
        <x:v>4000000</x:v>
      </x:c>
      <x:c r="O179" s="102"/>
      <x:c r="P179" s="102"/>
      <x:c r="Q179" s="102"/>
      <x:c r="R179" s="102"/>
      <x:c r="S179" s="102"/>
      <x:c r="T179" s="102"/>
      <x:c r="U179" s="102" t="str">
        <x:v>Long-term PPP; TiL transaction approved by COMESA</x:v>
      </x:c>
      <x:c r="V179" s="102" t="str">
        <x:v>TIL-LY-MIS</x:v>
      </x:c>
      <x:c r="W179" s="102" t="str">
        <x:v>https://www.mfzly.com/en/post.php?id=90</x:v>
      </x:c>
      <x:c r="X179" s="102" t="str">
        <x:v>High</x:v>
      </x:c>
      <x:c r="Y179" s="102" t="str">
        <x:v>US$2.7bn development program; target capacity 4m TEU. COMESA approved TiL/MFZ transaction 12 May 2026.</x:v>
      </x:c>
      <x:c r="Z179" s="102" t="str"/>
    </x:row>
    <x:row r="180">
      <x:c r="A180" s="102" t="str">
        <x:v>TERM0179</x:v>
      </x:c>
      <x:c r="B180" s="102" t="str">
        <x:v>Medcenter Container Terminal</x:v>
      </x:c>
      <x:c r="C180" s="102" t="str">
        <x:v>PORTG0143</x:v>
      </x:c>
      <x:c r="D180" s="102" t="str">
        <x:v>Port of Gioia Tauro</x:v>
      </x:c>
      <x:c r="E180" s="102" t="str">
        <x:v>Italy</x:v>
      </x:c>
      <x:c r="F180" s="102" t="str">
        <x:v>Gioia Tauro</x:v>
      </x:c>
      <x:c r="G180" s="102" t="str">
        <x:v>Central Mediterranean</x:v>
      </x:c>
      <x:c r="H180" s="102" t="str">
        <x:v>Container / transshipment terminal</x:v>
      </x:c>
      <x:c r="I180" s="102" t="str">
        <x:v>Containers / terminal cargo</x:v>
      </x:c>
      <x:c r="J180" s="102" t="str">
        <x:v>COMP_TIL</x:v>
      </x:c>
      <x:c r="K180" s="102" t="str">
        <x:v>Medcenter Container Terminal</x:v>
      </x:c>
      <x:c r="L180" s="102" t="str">
        <x:v>TiL / MSC ecosystem</x:v>
      </x:c>
      <x:c r="M180" s="102" t="str">
        <x:v>Operating</x:v>
      </x:c>
      <x:c r="N180" s="102"/>
      <x:c r="O180" s="102"/>
      <x:c r="P180" s="102"/>
      <x:c r="Q180" s="102"/>
      <x:c r="R180" s="102"/>
      <x:c r="S180" s="102"/>
      <x:c r="T180" s="102"/>
      <x:c r="U180" s="102" t="str">
        <x:v>TiL/MSC-linked portfolio</x:v>
      </x:c>
      <x:c r="V180" s="102" t="str">
        <x:v>TIL-IT-GIT</x:v>
      </x:c>
      <x:c r="W180" s="102" t="str">
        <x:v>https://tilgroup.com/about-us.html</x:v>
      </x:c>
      <x:c r="X180" s="102" t="str">
        <x:v>Medium</x:v>
      </x:c>
      <x:c r="Y180" s="102" t="str">
        <x:v>Strategic MSC transshipment terminal; retained as portfolio row pending terminal-specific ownership verification.</x:v>
      </x:c>
      <x:c r="Z180" s="102" t="str"/>
    </x:row>
    <x:row r="181">
      <x:c r="A181" s="102" t="str">
        <x:v>TERM0180</x:v>
      </x:c>
      <x:c r="B181" s="102" t="str">
        <x:v>Trieste Marine Terminal</x:v>
      </x:c>
      <x:c r="C181" s="102" t="str">
        <x:v>PORTG0144</x:v>
      </x:c>
      <x:c r="D181" s="102" t="str">
        <x:v>Port of Trieste</x:v>
      </x:c>
      <x:c r="E181" s="102" t="str">
        <x:v>Italy</x:v>
      </x:c>
      <x:c r="F181" s="102" t="str">
        <x:v>Trieste</x:v>
      </x:c>
      <x:c r="G181" s="102" t="str">
        <x:v>Adriatic</x:v>
      </x:c>
      <x:c r="H181" s="102" t="str">
        <x:v>Container terminal</x:v>
      </x:c>
      <x:c r="I181" s="102" t="str">
        <x:v>Containers / terminal cargo</x:v>
      </x:c>
      <x:c r="J181" s="102" t="str">
        <x:v>COMP_TIL</x:v>
      </x:c>
      <x:c r="K181" s="102" t="str">
        <x:v>Trieste Marine Terminal</x:v>
      </x:c>
      <x:c r="L181" s="102" t="str">
        <x:v>TiL / MSC ecosystem</x:v>
      </x:c>
      <x:c r="M181" s="102" t="str">
        <x:v>Operating</x:v>
      </x:c>
      <x:c r="N181" s="102"/>
      <x:c r="O181" s="102"/>
      <x:c r="P181" s="102"/>
      <x:c r="Q181" s="102"/>
      <x:c r="R181" s="102"/>
      <x:c r="S181" s="102" t="str">
        <x:v>Yes</x:v>
      </x:c>
      <x:c r="T181" s="102"/>
      <x:c r="U181" s="102" t="str">
        <x:v>TiL-linked portfolio</x:v>
      </x:c>
      <x:c r="V181" s="102" t="str">
        <x:v>TIL-IT-TRI</x:v>
      </x:c>
      <x:c r="W181" s="102" t="str">
        <x:v>https://tilgroup.com/about-us.html</x:v>
      </x:c>
      <x:c r="X181" s="102" t="str">
        <x:v>Medium</x:v>
      </x:c>
      <x:c r="Y181" s="102" t="str">
        <x:v>Known MSC/TiL-linked terminal; infrastructure and exact equity to be verified in next pass.</x:v>
      </x:c>
      <x:c r="Z181" s="102" t="str"/>
    </x:row>
    <x:row r="182">
      <x:c r="A182" s="102" t="str">
        <x:v>TERM0181</x:v>
      </x:c>
      <x:c r="B182" s="102" t="str">
        <x:v>PSA Sines / Terminal XXI TiL-linked interest</x:v>
      </x:c>
      <x:c r="C182" s="102" t="str">
        <x:v>PORTG0145</x:v>
      </x:c>
      <x:c r="D182" s="102" t="str">
        <x:v>Port of Sines</x:v>
      </x:c>
      <x:c r="E182" s="102" t="str">
        <x:v>Portugal</x:v>
      </x:c>
      <x:c r="F182" s="102" t="str">
        <x:v>Sines</x:v>
      </x:c>
      <x:c r="G182" s="102" t="str">
        <x:v>Atlantic Europe</x:v>
      </x:c>
      <x:c r="H182" s="102" t="str">
        <x:v>Container / transshipment terminal</x:v>
      </x:c>
      <x:c r="I182" s="102" t="str">
        <x:v>Containers / terminal cargo</x:v>
      </x:c>
      <x:c r="J182" s="102" t="str">
        <x:v>COMP_TIL</x:v>
      </x:c>
      <x:c r="K182" s="102" t="str">
        <x:v>Terminal XXI</x:v>
      </x:c>
      <x:c r="L182" s="102" t="str">
        <x:v>TiL portfolio</x:v>
      </x:c>
      <x:c r="M182" s="102" t="str">
        <x:v>Operating</x:v>
      </x:c>
      <x:c r="N182" s="102"/>
      <x:c r="O182" s="102"/>
      <x:c r="P182" s="102"/>
      <x:c r="Q182" s="102"/>
      <x:c r="R182" s="102"/>
      <x:c r="S182" s="102" t="str">
        <x:v>Yes</x:v>
      </x:c>
      <x:c r="T182" s="102"/>
      <x:c r="U182" s="102" t="str">
        <x:v>TiL-linked investment</x:v>
      </x:c>
      <x:c r="V182" s="102" t="str">
        <x:v>TIL-PT-SINES</x:v>
      </x:c>
      <x:c r="W182" s="102" t="str">
        <x:v>https://tilgroup.com/about-us.html</x:v>
      </x:c>
      <x:c r="X182" s="102" t="str">
        <x:v>Medium</x:v>
      </x:c>
      <x:c r="Y182" s="102" t="str">
        <x:v>Portfolio presence reported; exact current legal/equity structure to be verified before public display.</x:v>
      </x:c>
      <x:c r="Z182" s="102" t="str"/>
    </x:row>
    <x:row r="183">
      <x:c r="A183" s="102" t="str">
        <x:v>TERM0182</x:v>
      </x:c>
      <x:c r="B183" s="102" t="str">
        <x:v>Asyaport</x:v>
      </x:c>
      <x:c r="C183" s="102" t="str">
        <x:v>PORTG0146</x:v>
      </x:c>
      <x:c r="D183" s="102" t="str">
        <x:v>Port of Tekirdağ</x:v>
      </x:c>
      <x:c r="E183" s="102" t="str">
        <x:v>Türkiye</x:v>
      </x:c>
      <x:c r="F183" s="102" t="str">
        <x:v>Tekirdağ</x:v>
      </x:c>
      <x:c r="G183" s="102" t="str">
        <x:v>Sea of Marmara</x:v>
      </x:c>
      <x:c r="H183" s="102" t="str">
        <x:v>Container / transshipment terminal</x:v>
      </x:c>
      <x:c r="I183" s="102" t="str">
        <x:v>Containers / terminal cargo</x:v>
      </x:c>
      <x:c r="J183" s="102" t="str">
        <x:v>COMP_TIL</x:v>
      </x:c>
      <x:c r="K183" s="102" t="str">
        <x:v>Asyaport</x:v>
      </x:c>
      <x:c r="L183" s="102" t="str">
        <x:v>TiL</x:v>
      </x:c>
      <x:c r="M183" s="102" t="str">
        <x:v>Operating</x:v>
      </x:c>
      <x:c r="N183" s="102"/>
      <x:c r="O183" s="102"/>
      <x:c r="P183" s="102"/>
      <x:c r="Q183" s="102"/>
      <x:c r="R183" s="102"/>
      <x:c r="S183" s="102" t="str">
        <x:v>Yes</x:v>
      </x:c>
      <x:c r="T183" s="102"/>
      <x:c r="U183" s="102" t="str">
        <x:v>TiL-controlled through Global Terminal Ltd / local partner</x:v>
      </x:c>
      <x:c r="V183" s="102" t="str">
        <x:v>TIL-TR-ASY</x:v>
      </x:c>
      <x:c r="W183" s="102" t="str">
        <x:v>https://disclosures.ifc.org/project-detail/ESRS/33999/asyaport</x:v>
      </x:c>
      <x:c r="X183" s="102" t="str">
        <x:v>High</x:v>
      </x:c>
      <x:c r="Y183" s="102" t="str">
        <x:v>IFC documentation describes TiL subsidiary Global Terminal Ltd with 70% and Soyuer family 30%.</x:v>
      </x:c>
      <x:c r="Z183" s="102" t="str"/>
    </x:row>
    <x:row r="184">
      <x:c r="A184" s="102" t="str">
        <x:v>TERM0183</x:v>
      </x:c>
      <x:c r="B184" s="102" t="str">
        <x:v>Brasil Terminal Portuário</x:v>
      </x:c>
      <x:c r="C184" s="102" t="str">
        <x:v>PORTG0049</x:v>
      </x:c>
      <x:c r="D184" s="102" t="str">
        <x:v>Port of Santos</x:v>
      </x:c>
      <x:c r="E184" s="102" t="str">
        <x:v>Brazil</x:v>
      </x:c>
      <x:c r="F184" s="102" t="str">
        <x:v>Santos</x:v>
      </x:c>
      <x:c r="G184" s="102" t="str">
        <x:v>South America Atlantic</x:v>
      </x:c>
      <x:c r="H184" s="102" t="str">
        <x:v>Container terminal</x:v>
      </x:c>
      <x:c r="I184" s="102" t="str">
        <x:v>Containers / terminal cargo</x:v>
      </x:c>
      <x:c r="J184" s="102" t="str">
        <x:v>COMP_TIL</x:v>
      </x:c>
      <x:c r="K184" s="102" t="str">
        <x:v>BTP</x:v>
      </x:c>
      <x:c r="L184" s="102" t="str">
        <x:v>APM Terminals; TiL / partner JV</x:v>
      </x:c>
      <x:c r="M184" s="102" t="str">
        <x:v>Operating</x:v>
      </x:c>
      <x:c r="N184" s="102"/>
      <x:c r="O184" s="102"/>
      <x:c r="P184" s="102"/>
      <x:c r="Q184" s="102"/>
      <x:c r="R184" s="102"/>
      <x:c r="S184" s="102" t="str">
        <x:v>Yes</x:v>
      </x:c>
      <x:c r="T184" s="102"/>
      <x:c r="U184" s="102" t="str">
        <x:v>TiL-linked JV | APM Terminals network asset / partnership; detailed equity not verified in this pass</x:v>
      </x:c>
      <x:c r="V184" s="102" t="str">
        <x:v>TIL-BR-BTP; APM-SANTOS</x:v>
      </x:c>
      <x:c r="W184" s="102" t="str">
        <x:v>https://tilgroup.com/about-us.html; https://www2.apmterminals.com/en/</x:v>
      </x:c>
      <x:c r="X184" s="102" t="str">
        <x:v>Medium</x:v>
      </x:c>
      <x:c r="Y184" s="102" t="str">
        <x:v>Major Santos terminal commonly associated with TiL portfolio; exact current equity to be verified in next pass. | Current APM Terminals network seed retained from v1.12; infrastructure enrichment pending.</x:v>
      </x:c>
      <x:c r="Z184" s="102" t="str">
        <x:v>Duplicate source records collapsed</x:v>
      </x:c>
    </x:row>
    <x:row r="185">
      <x:c r="A185" s="102" t="str">
        <x:v>TERM0184</x:v>
      </x:c>
      <x:c r="B185" s="102" t="str">
        <x:v>San Pedro Container Terminal / TiL-linked asset</x:v>
      </x:c>
      <x:c r="C185" s="102" t="str">
        <x:v>PORTG0147</x:v>
      </x:c>
      <x:c r="D185" s="102" t="str">
        <x:v>Port of San Pedro</x:v>
      </x:c>
      <x:c r="E185" s="102" t="str">
        <x:v>Côte d’Ivoire</x:v>
      </x:c>
      <x:c r="F185" s="102" t="str">
        <x:v>San Pedro</x:v>
      </x:c>
      <x:c r="G185" s="102" t="str">
        <x:v>Gulf of Guinea</x:v>
      </x:c>
      <x:c r="H185" s="102" t="str">
        <x:v>Container terminal</x:v>
      </x:c>
      <x:c r="I185" s="102" t="str">
        <x:v>Containers / terminal cargo</x:v>
      </x:c>
      <x:c r="J185" s="102" t="str">
        <x:v>COMP_TIL</x:v>
      </x:c>
      <x:c r="K185" s="102" t="str">
        <x:v>TBD</x:v>
      </x:c>
      <x:c r="L185" s="102" t="str">
        <x:v>TiL portfolio</x:v>
      </x:c>
      <x:c r="M185" s="102" t="str">
        <x:v>Operating / development</x:v>
      </x:c>
      <x:c r="N185" s="102"/>
      <x:c r="O185" s="102"/>
      <x:c r="P185" s="102"/>
      <x:c r="Q185" s="102"/>
      <x:c r="R185" s="102"/>
      <x:c r="S185" s="102"/>
      <x:c r="T185" s="102"/>
      <x:c r="U185" s="102" t="str">
        <x:v>TiL-linked portfolio</x:v>
      </x:c>
      <x:c r="V185" s="102" t="str">
        <x:v>TIL-CI-SANPEDRO</x:v>
      </x:c>
      <x:c r="W185" s="102" t="str">
        <x:v>https://tilgroup.com/about-us.html</x:v>
      </x:c>
      <x:c r="X185" s="102" t="str">
        <x:v>Medium</x:v>
      </x:c>
      <x:c r="Y185" s="102" t="str">
        <x:v>Portfolio-level row retained pending terminal-specific primary-source verification.</x:v>
      </x:c>
      <x:c r="Z185" s="102" t="str"/>
    </x:row>
    <x:row r="186">
      <x:c r="A186" s="102" t="str">
        <x:v>TERM0185</x:v>
      </x:c>
      <x:c r="B186" s="102" t="str">
        <x:v>Panama Colon Container Port / TiL-linked asset</x:v>
      </x:c>
      <x:c r="C186" s="102" t="str">
        <x:v>PORTG0148</x:v>
      </x:c>
      <x:c r="D186" s="102" t="str">
        <x:v>Colón</x:v>
      </x:c>
      <x:c r="E186" s="102" t="str">
        <x:v>Panama</x:v>
      </x:c>
      <x:c r="F186" s="102" t="str">
        <x:v>Colón</x:v>
      </x:c>
      <x:c r="G186" s="102" t="str">
        <x:v>Caribbean / Panama Canal</x:v>
      </x:c>
      <x:c r="H186" s="102" t="str">
        <x:v>Container terminal</x:v>
      </x:c>
      <x:c r="I186" s="102" t="str">
        <x:v>Containers / terminal cargo</x:v>
      </x:c>
      <x:c r="J186" s="102" t="str">
        <x:v>COMP_TIL</x:v>
      </x:c>
      <x:c r="K186" s="102" t="str">
        <x:v>TBD</x:v>
      </x:c>
      <x:c r="L186" s="102" t="str">
        <x:v>TiL portfolio</x:v>
      </x:c>
      <x:c r="M186" s="102" t="str">
        <x:v>Operating</x:v>
      </x:c>
      <x:c r="N186" s="102"/>
      <x:c r="O186" s="102"/>
      <x:c r="P186" s="102"/>
      <x:c r="Q186" s="102"/>
      <x:c r="R186" s="102"/>
      <x:c r="S186" s="102"/>
      <x:c r="T186" s="102"/>
      <x:c r="U186" s="102" t="str">
        <x:v>TiL-linked portfolio</x:v>
      </x:c>
      <x:c r="V186" s="102" t="str">
        <x:v>TIL-PA-COLON</x:v>
      </x:c>
      <x:c r="W186" s="102" t="str">
        <x:v>https://tilgroup.com/about-us.html</x:v>
      </x:c>
      <x:c r="X186" s="102" t="str">
        <x:v>Medium</x:v>
      </x:c>
      <x:c r="Y186" s="102" t="str">
        <x:v>Portfolio-level row retained pending terminal-specific primary-source verification.</x:v>
      </x:c>
      <x:c r="Z186" s="102" t="str"/>
    </x:row>
    <x:row r="187">
      <x:c r="A187" s="102" t="str">
        <x:v>TERM0186</x:v>
      </x:c>
      <x:c r="B187" s="102" t="str">
        <x:v>Exolgan Container Terminal</x:v>
      </x:c>
      <x:c r="C187" s="102" t="str">
        <x:v>PORTG0149</x:v>
      </x:c>
      <x:c r="D187" s="102" t="str">
        <x:v>Port of Buenos Aires / Dock Sud</x:v>
      </x:c>
      <x:c r="E187" s="102" t="str">
        <x:v>Argentina</x:v>
      </x:c>
      <x:c r="F187" s="102" t="str">
        <x:v>Buenos Aires</x:v>
      </x:c>
      <x:c r="G187" s="102" t="str">
        <x:v>South America Atlantic</x:v>
      </x:c>
      <x:c r="H187" s="102" t="str">
        <x:v>Container terminal</x:v>
      </x:c>
      <x:c r="I187" s="102" t="str">
        <x:v>Containers / terminal cargo</x:v>
      </x:c>
      <x:c r="J187" s="102" t="str">
        <x:v>COMP_TIL</x:v>
      </x:c>
      <x:c r="K187" s="102" t="str">
        <x:v>Exolgan</x:v>
      </x:c>
      <x:c r="L187" s="102" t="str">
        <x:v>TiL portfolio</x:v>
      </x:c>
      <x:c r="M187" s="102" t="str">
        <x:v>Operating</x:v>
      </x:c>
      <x:c r="N187" s="102"/>
      <x:c r="O187" s="102"/>
      <x:c r="P187" s="102"/>
      <x:c r="Q187" s="102"/>
      <x:c r="R187" s="102"/>
      <x:c r="S187" s="102" t="str">
        <x:v>Yes</x:v>
      </x:c>
      <x:c r="T187" s="102"/>
      <x:c r="U187" s="102" t="str">
        <x:v>TiL-linked portfolio</x:v>
      </x:c>
      <x:c r="V187" s="102" t="str">
        <x:v>TIL-AR-EXO</x:v>
      </x:c>
      <x:c r="W187" s="102" t="str">
        <x:v>https://tilgroup.com/about-us.html</x:v>
      </x:c>
      <x:c r="X187" s="102" t="str">
        <x:v>Medium</x:v>
      </x:c>
      <x:c r="Y187" s="102" t="str">
        <x:v>Portfolio-level row pending current equity verification.</x:v>
      </x:c>
      <x:c r="Z187" s="102" t="str"/>
    </x:row>
    <x:row r="188">
      <x:c r="A188" s="102" t="str">
        <x:v>TERM0187</x:v>
      </x:c>
      <x:c r="B188" s="102" t="str">
        <x:v>TiL-linked Callao terminal interest</x:v>
      </x:c>
      <x:c r="C188" s="102" t="str">
        <x:v>PORTG0054</x:v>
      </x:c>
      <x:c r="D188" s="102" t="str">
        <x:v>Port of Callao</x:v>
      </x:c>
      <x:c r="E188" s="102" t="str">
        <x:v>Peru</x:v>
      </x:c>
      <x:c r="F188" s="102" t="str">
        <x:v>Callao</x:v>
      </x:c>
      <x:c r="G188" s="102" t="str">
        <x:v>South America Pacific</x:v>
      </x:c>
      <x:c r="H188" s="102" t="str">
        <x:v>Container terminal</x:v>
      </x:c>
      <x:c r="I188" s="102" t="str">
        <x:v>Containers / terminal cargo</x:v>
      </x:c>
      <x:c r="J188" s="102" t="str">
        <x:v>COMP_TIL</x:v>
      </x:c>
      <x:c r="K188" s="102" t="str">
        <x:v>TBD</x:v>
      </x:c>
      <x:c r="L188" s="102" t="str">
        <x:v>TiL portfolio</x:v>
      </x:c>
      <x:c r="M188" s="102" t="str">
        <x:v>Operating</x:v>
      </x:c>
      <x:c r="N188" s="102"/>
      <x:c r="O188" s="102"/>
      <x:c r="P188" s="102"/>
      <x:c r="Q188" s="102"/>
      <x:c r="R188" s="102"/>
      <x:c r="S188" s="102" t="str">
        <x:v>Yes</x:v>
      </x:c>
      <x:c r="T188" s="102"/>
      <x:c r="U188" s="102" t="str">
        <x:v>TiL-linked portfolio</x:v>
      </x:c>
      <x:c r="V188" s="102" t="str">
        <x:v>TIL-PA-CALLAO</x:v>
      </x:c>
      <x:c r="W188" s="102" t="str">
        <x:v>https://tilgroup.com/about-us.html</x:v>
      </x:c>
      <x:c r="X188" s="102" t="str">
        <x:v>Medium</x:v>
      </x:c>
      <x:c r="Y188" s="102" t="str">
        <x:v>Portfolio-level row pending current legal/operator verification.</x:v>
      </x:c>
      <x:c r="Z188" s="102" t="str"/>
    </x:row>
    <x:row r="189">
      <x:c r="A189" s="102" t="str">
        <x:v>TERM0188</x:v>
      </x:c>
      <x:c r="B189" s="102" t="str">
        <x:v>TiL terminal investment – Ningbo</x:v>
      </x:c>
      <x:c r="C189" s="102" t="str">
        <x:v>PORTG0150</x:v>
      </x:c>
      <x:c r="D189" s="102" t="str">
        <x:v>Port of Ningbo-Zhoushan</x:v>
      </x:c>
      <x:c r="E189" s="102" t="str">
        <x:v>China</x:v>
      </x:c>
      <x:c r="F189" s="102" t="str">
        <x:v>Ningbo</x:v>
      </x:c>
      <x:c r="G189" s="102" t="str">
        <x:v>East Asia</x:v>
      </x:c>
      <x:c r="H189" s="102" t="str">
        <x:v>Container terminal investment</x:v>
      </x:c>
      <x:c r="I189" s="102" t="str">
        <x:v>Containers / terminal cargo</x:v>
      </x:c>
      <x:c r="J189" s="102" t="str">
        <x:v>COMP_TIL</x:v>
      </x:c>
      <x:c r="K189" s="102" t="str">
        <x:v>TBD</x:v>
      </x:c>
      <x:c r="L189" s="102" t="str">
        <x:v>TiL portfolio</x:v>
      </x:c>
      <x:c r="M189" s="102" t="str">
        <x:v>Operating</x:v>
      </x:c>
      <x:c r="N189" s="102"/>
      <x:c r="O189" s="102"/>
      <x:c r="P189" s="102"/>
      <x:c r="Q189" s="102"/>
      <x:c r="R189" s="102"/>
      <x:c r="S189" s="102"/>
      <x:c r="T189" s="102"/>
      <x:c r="U189" s="102" t="str">
        <x:v>TiL significant presence stated by company</x:v>
      </x:c>
      <x:c r="V189" s="102" t="str">
        <x:v>TIL-CN-NGB</x:v>
      </x:c>
      <x:c r="W189" s="102" t="str">
        <x:v>https://tilgroup.com/about-us.html</x:v>
      </x:c>
      <x:c r="X189" s="102" t="str">
        <x:v>High</x:v>
      </x:c>
      <x:c r="Y189" s="102" t="str">
        <x:v>TiL explicitly lists Ningbo among major ports where it has significant presence; terminal-specific entity to be resolved.</x:v>
      </x:c>
      <x:c r="Z189" s="102" t="str"/>
    </x:row>
    <x:row r="190">
      <x:c r="A190" s="102" t="str">
        <x:v>TERM0189</x:v>
      </x:c>
      <x:c r="B190" s="102" t="str">
        <x:v>TiL terminal investment – Busan</x:v>
      </x:c>
      <x:c r="C190" s="102" t="str">
        <x:v>PORTG0015</x:v>
      </x:c>
      <x:c r="D190" s="102" t="str">
        <x:v>Port of Busan</x:v>
      </x:c>
      <x:c r="E190" s="102" t="str">
        <x:v>South Korea</x:v>
      </x:c>
      <x:c r="F190" s="102" t="str">
        <x:v>Busan</x:v>
      </x:c>
      <x:c r="G190" s="102" t="str">
        <x:v>East Asia</x:v>
      </x:c>
      <x:c r="H190" s="102" t="str">
        <x:v>Container terminal investment</x:v>
      </x:c>
      <x:c r="I190" s="102" t="str">
        <x:v>Containers / terminal cargo</x:v>
      </x:c>
      <x:c r="J190" s="102" t="str">
        <x:v>COMP_TIL</x:v>
      </x:c>
      <x:c r="K190" s="102" t="str">
        <x:v>TBD</x:v>
      </x:c>
      <x:c r="L190" s="102" t="str">
        <x:v>TiL portfolio</x:v>
      </x:c>
      <x:c r="M190" s="102" t="str">
        <x:v>Operating</x:v>
      </x:c>
      <x:c r="N190" s="102"/>
      <x:c r="O190" s="102"/>
      <x:c r="P190" s="102"/>
      <x:c r="Q190" s="102"/>
      <x:c r="R190" s="102"/>
      <x:c r="S190" s="102"/>
      <x:c r="T190" s="102"/>
      <x:c r="U190" s="102" t="str">
        <x:v>TiL significant presence stated by company</x:v>
      </x:c>
      <x:c r="V190" s="102" t="str">
        <x:v>TIL-KR-BUS</x:v>
      </x:c>
      <x:c r="W190" s="102" t="str">
        <x:v>https://tilgroup.com/about-us.html</x:v>
      </x:c>
      <x:c r="X190" s="102" t="str">
        <x:v>High</x:v>
      </x:c>
      <x:c r="Y190" s="102" t="str">
        <x:v>TiL explicitly lists Busan among major ports where it has significant presence.</x:v>
      </x:c>
      <x:c r="Z190" s="102" t="str"/>
    </x:row>
    <x:row r="191">
      <x:c r="A191" s="102" t="str">
        <x:v>TERM0190</x:v>
      </x:c>
      <x:c r="B191" s="102" t="str">
        <x:v>TiL terminal investment – Rotterdam</x:v>
      </x:c>
      <x:c r="C191" s="102" t="str">
        <x:v>PORTG0020</x:v>
      </x:c>
      <x:c r="D191" s="102" t="str">
        <x:v>Port of Rotterdam</x:v>
      </x:c>
      <x:c r="E191" s="102" t="str">
        <x:v>Netherlands</x:v>
      </x:c>
      <x:c r="F191" s="102" t="str">
        <x:v>Rotterdam</x:v>
      </x:c>
      <x:c r="G191" s="102" t="str">
        <x:v>Northern Europe</x:v>
      </x:c>
      <x:c r="H191" s="102" t="str">
        <x:v>Container terminal investment</x:v>
      </x:c>
      <x:c r="I191" s="102" t="str">
        <x:v>Containers / terminal cargo</x:v>
      </x:c>
      <x:c r="J191" s="102" t="str">
        <x:v>COMP_TIL</x:v>
      </x:c>
      <x:c r="K191" s="102" t="str">
        <x:v>TBD</x:v>
      </x:c>
      <x:c r="L191" s="102" t="str">
        <x:v>TiL portfolio</x:v>
      </x:c>
      <x:c r="M191" s="102" t="str">
        <x:v>Operating</x:v>
      </x:c>
      <x:c r="N191" s="102"/>
      <x:c r="O191" s="102"/>
      <x:c r="P191" s="102"/>
      <x:c r="Q191" s="102"/>
      <x:c r="R191" s="102"/>
      <x:c r="S191" s="102" t="str">
        <x:v>Yes</x:v>
      </x:c>
      <x:c r="T191" s="102"/>
      <x:c r="U191" s="102" t="str">
        <x:v>TiL significant presence stated by company</x:v>
      </x:c>
      <x:c r="V191" s="102" t="str">
        <x:v>TIL-NL-RTM</x:v>
      </x:c>
      <x:c r="W191" s="102" t="str">
        <x:v>https://tilgroup.com/about-us.html</x:v>
      </x:c>
      <x:c r="X191" s="102" t="str">
        <x:v>High</x:v>
      </x:c>
      <x:c r="Y191" s="102" t="str">
        <x:v>TiL explicitly lists Rotterdam among major ports where it has significant presence.</x:v>
      </x:c>
      <x:c r="Z191" s="102" t="str"/>
    </x:row>
    <x:row r="192">
      <x:c r="A192" s="102" t="str">
        <x:v>TERM0191</x:v>
      </x:c>
      <x:c r="B192" s="102" t="str">
        <x:v>Lázaro Cárdenas terminal</x:v>
      </x:c>
      <x:c r="C192" s="102" t="str">
        <x:v>PORTG0151</x:v>
      </x:c>
      <x:c r="D192" s="102" t="str">
        <x:v>Port of Lázaro Cárdenas</x:v>
      </x:c>
      <x:c r="E192" s="102" t="str">
        <x:v>Mexico</x:v>
      </x:c>
      <x:c r="F192" s="102" t="str">
        <x:v>Lázaro Cárdenas</x:v>
      </x:c>
      <x:c r="G192" s="102" t="str">
        <x:v>North America Pacific / Gulf</x:v>
      </x:c>
      <x:c r="H192" s="102" t="str">
        <x:v>Container terminal</x:v>
      </x:c>
      <x:c r="I192" s="102" t="str">
        <x:v>Containers / terminal cargo</x:v>
      </x:c>
      <x:c r="J192" s="102" t="str">
        <x:v>COMP_APMT</x:v>
      </x:c>
      <x:c r="K192" s="102" t="str">
        <x:v>APM Terminals / partner operator</x:v>
      </x:c>
      <x:c r="L192" s="102" t="str">
        <x:v>APM Terminals</x:v>
      </x:c>
      <x:c r="M192" s="102" t="str">
        <x:v>Operating / Phase III expanding</x:v>
      </x:c>
      <x:c r="N192" s="102" t="n">
        <x:v>2000000</x:v>
      </x:c>
      <x:c r="O192" s="102" t="n">
        <x:v>650000</x:v>
      </x:c>
      <x:c r="P192" s="102" t="n">
        <x:v>750</x:v>
      </x:c>
      <x:c r="Q192" s="102" t="n">
        <x:v>16.5</x:v>
      </x:c>
      <x:c r="R192" s="102"/>
      <x:c r="S192" s="102" t="str">
        <x:v>Yes</x:v>
      </x:c>
      <x:c r="T192" s="102" t="n">
        <x:v>342</x:v>
      </x:c>
      <x:c r="U192" s="102" t="str">
        <x:v>APM Terminals concession/operation</x:v>
      </x:c>
      <x:c r="V192" s="102" t="str">
        <x:v>APM-LÁZARO-CÁRDENAS-TERMINAL</x:v>
      </x:c>
      <x:c r="W192" s="102" t="str">
        <x:v>https://www2.apmterminals.com/en/lazaro-cardenas/about/our-terminal</x:v>
      </x:c>
      <x:c r="X192" s="102" t="str">
        <x:v>High</x:v>
      </x:c>
      <x:c r="Y192" s="102" t="str">
        <x:v>Phase II inaugurated 20 Mar 2026; &gt;$350m Phase III construction launched; 8 STS cranes and 5 rail tracks.</x:v>
      </x:c>
      <x:c r="Z192" s="102" t="str"/>
    </x:row>
    <x:row r="193">
      <x:c r="A193" s="102" t="str">
        <x:v>TERM0192</x:v>
      </x:c>
      <x:c r="B193" s="102" t="str">
        <x:v>Suape terminal</x:v>
      </x:c>
      <x:c r="C193" s="102" t="str">
        <x:v>PORTG0152</x:v>
      </x:c>
      <x:c r="D193" s="102" t="str">
        <x:v>Port of Suape</x:v>
      </x:c>
      <x:c r="E193" s="102" t="str">
        <x:v>Brazil</x:v>
      </x:c>
      <x:c r="F193" s="102" t="str">
        <x:v>Suape</x:v>
      </x:c>
      <x:c r="G193" s="102" t="str">
        <x:v>South America Atlantic</x:v>
      </x:c>
      <x:c r="H193" s="102" t="str">
        <x:v>Container terminal</x:v>
      </x:c>
      <x:c r="I193" s="102" t="str">
        <x:v>Containers / terminal cargo</x:v>
      </x:c>
      <x:c r="J193" s="102" t="str">
        <x:v>COMP_APMT</x:v>
      </x:c>
      <x:c r="K193" s="102" t="str">
        <x:v>APM Terminals / partner operator</x:v>
      </x:c>
      <x:c r="L193" s="102" t="str">
        <x:v>APM Terminals</x:v>
      </x:c>
      <x:c r="M193" s="102" t="str">
        <x:v>Delivered / commissioning into operation</x:v>
      </x:c>
      <x:c r="N193" s="102" t="n">
        <x:v>400000</x:v>
      </x:c>
      <x:c r="O193" s="102" t="n">
        <x:v>495000</x:v>
      </x:c>
      <x:c r="P193" s="102" t="n">
        <x:v>430</x:v>
      </x:c>
      <x:c r="Q193" s="102" t="n">
        <x:v>15.1</x:v>
      </x:c>
      <x:c r="R193" s="102" t="n">
        <x:v>1</x:v>
      </x:c>
      <x:c r="S193" s="102" t="str">
        <x:v>Future rail / intermodal</x:v>
      </x:c>
      <x:c r="T193" s="102" t="n">
        <x:v>300</x:v>
      </x:c>
      <x:c r="U193" s="102" t="str">
        <x:v>APM Terminals greenfield terminal</x:v>
      </x:c>
      <x:c r="V193" s="102" t="str">
        <x:v>APM-SUAPE-TERMINAL</x:v>
      </x:c>
      <x:c r="W193" s="102" t="str">
        <x:v>https://www2.apmterminals.com/en/suape/about/our-terminal</x:v>
      </x:c>
      <x:c r="X193" s="102" t="str">
        <x:v>High</x:v>
      </x:c>
      <x:c r="Y193" s="102" t="str">
        <x:v>Latin America's first fully electric container terminal; 2 STS, 7 eRTG, 14 electric terminal tractors, 2 e-reach stackers, 1 electric empty handler.</x:v>
      </x:c>
      <x:c r="Z193" s="102" t="str"/>
    </x:row>
    <x:row r="194">
      <x:c r="A194" s="102" t="str">
        <x:v>TERM0193</x:v>
      </x:c>
      <x:c r="B194" s="102" t="str">
        <x:v>Bahrain</x:v>
      </x:c>
      <x:c r="C194" s="102" t="str">
        <x:v>PORTG0153</x:v>
      </x:c>
      <x:c r="D194" s="102" t="str">
        <x:v>Khalifa Bin Salman Port</x:v>
      </x:c>
      <x:c r="E194" s="102" t="str">
        <x:v>Bahrain</x:v>
      </x:c>
      <x:c r="F194" s="102" t="str">
        <x:v>Bahrain</x:v>
      </x:c>
      <x:c r="G194" s="102" t="str">
        <x:v>Arabian Gulf</x:v>
      </x:c>
      <x:c r="H194" s="102" t="str">
        <x:v>Container terminal</x:v>
      </x:c>
      <x:c r="I194" s="102" t="str">
        <x:v>Containers / terminal cargo</x:v>
      </x:c>
      <x:c r="J194" s="102" t="str">
        <x:v>COMP_APMT</x:v>
      </x:c>
      <x:c r="K194" s="102" t="str">
        <x:v>APM Terminals / partner operator</x:v>
      </x:c>
      <x:c r="L194" s="102" t="str">
        <x:v>APM Terminals</x:v>
      </x:c>
      <x:c r="M194" s="102" t="str">
        <x:v>Operating</x:v>
      </x:c>
      <x:c r="N194" s="102"/>
      <x:c r="O194" s="102" t="n">
        <x:v>900000</x:v>
      </x:c>
      <x:c r="P194" s="102" t="n">
        <x:v>1800</x:v>
      </x:c>
      <x:c r="Q194" s="102" t="n">
        <x:v>15</x:v>
      </x:c>
      <x:c r="R194" s="102"/>
      <x:c r="S194" s="102"/>
      <x:c r="T194" s="102"/>
      <x:c r="U194" s="102" t="str">
        <x:v>APM Terminals Bahrain operator</x:v>
      </x:c>
      <x:c r="V194" s="102" t="str">
        <x:v>APM-BAHRAIN</x:v>
      </x:c>
      <x:c r="W194" s="102" t="str">
        <x:v>https://www2.apmterminals.com/en/bahrain/about/our-terminal</x:v>
      </x:c>
      <x:c r="X194" s="102" t="str">
        <x:v>High</x:v>
      </x:c>
      <x:c r="Y194" s="102" t="str">
        <x:v>Multi-purpose Khalifa Bin Salman Port terminal.</x:v>
      </x:c>
      <x:c r="Z194" s="102" t="str"/>
    </x:row>
    <x:row r="195">
      <x:c r="A195" s="102" t="str">
        <x:v>TERM0194</x:v>
      </x:c>
      <x:c r="B195" s="102" t="str">
        <x:v>Pointe-Noire</x:v>
      </x:c>
      <x:c r="C195" s="102" t="str">
        <x:v>PORTG0154</x:v>
      </x:c>
      <x:c r="D195" s="102" t="str">
        <x:v>Port of Pointe-Noire</x:v>
      </x:c>
      <x:c r="E195" s="102" t="str">
        <x:v>Congo</x:v>
      </x:c>
      <x:c r="F195" s="102" t="str">
        <x:v>Pointe-Noire</x:v>
      </x:c>
      <x:c r="G195" s="102" t="str">
        <x:v>Gulf of Guinea</x:v>
      </x:c>
      <x:c r="H195" s="102" t="str">
        <x:v>Container terminal</x:v>
      </x:c>
      <x:c r="I195" s="102" t="str">
        <x:v>Containers / terminal cargo</x:v>
      </x:c>
      <x:c r="J195" s="102" t="str">
        <x:v>COMP_APMT</x:v>
      </x:c>
      <x:c r="K195" s="102" t="str">
        <x:v>APM Terminals / partner operator</x:v>
      </x:c>
      <x:c r="L195" s="102" t="str">
        <x:v>APM Terminals</x:v>
      </x:c>
      <x:c r="M195" s="102" t="str">
        <x:v>Operating</x:v>
      </x:c>
      <x:c r="N195" s="102"/>
      <x:c r="O195" s="102"/>
      <x:c r="P195" s="102"/>
      <x:c r="Q195" s="102" t="n">
        <x:v>16.5</x:v>
      </x:c>
      <x:c r="R195" s="102"/>
      <x:c r="S195" s="102"/>
      <x:c r="T195" s="102"/>
      <x:c r="U195" s="102" t="str">
        <x:v>APM Terminals minority interest / partner terminal</x:v>
      </x:c>
      <x:c r="V195" s="102" t="str">
        <x:v>APM-POINTE-NOIRE</x:v>
      </x:c>
      <x:c r="W195" s="102" t="str">
        <x:v>https://akamai.apmterminals.com/en/pointe-noire/about/our-terminal</x:v>
      </x:c>
      <x:c r="X195" s="102" t="str">
        <x:v>High</x:v>
      </x:c>
      <x:c r="Y195" s="102" t="str">
        <x:v>Congo Terminal; official page cites 16.5m access channel and APM Terminals minority participation.</x:v>
      </x:c>
      <x:c r="Z195" s="102" t="str"/>
    </x:row>
    <x:row r="196">
      <x:c r="A196" s="102" t="str">
        <x:v>TERM0195</x:v>
      </x:c>
      <x:c r="B196" s="102" t="str">
        <x:v>Abidjan Côte d’Ivoire Terminal (CIT)</x:v>
      </x:c>
      <x:c r="C196" s="102" t="str">
        <x:v>PORTG0155</x:v>
      </x:c>
      <x:c r="D196" s="102" t="str">
        <x:v>Port of Abidjan</x:v>
      </x:c>
      <x:c r="E196" s="102" t="str">
        <x:v>Côte d'Ivoire</x:v>
      </x:c>
      <x:c r="F196" s="102" t="str">
        <x:v>Abidjan Côte d’Ivoire Terminal (CIT)</x:v>
      </x:c>
      <x:c r="G196" s="102" t="str">
        <x:v>Gulf of Guinea</x:v>
      </x:c>
      <x:c r="H196" s="102" t="str">
        <x:v>Container terminal</x:v>
      </x:c>
      <x:c r="I196" s="102" t="str">
        <x:v>Containers / terminal cargo</x:v>
      </x:c>
      <x:c r="J196" s="102" t="str">
        <x:v>COMP_APMT</x:v>
      </x:c>
      <x:c r="K196" s="102" t="str">
        <x:v>APM Terminals / partner operator</x:v>
      </x:c>
      <x:c r="L196" s="102" t="str">
        <x:v>APM Terminals</x:v>
      </x:c>
      <x:c r="M196" s="102" t="str">
        <x:v>Operating</x:v>
      </x:c>
      <x:c r="N196" s="102" t="n">
        <x:v>1500000</x:v>
      </x:c>
      <x:c r="O196" s="102" t="n">
        <x:v>375000</x:v>
      </x:c>
      <x:c r="P196" s="102" t="n">
        <x:v>1100</x:v>
      </x:c>
      <x:c r="Q196" s="102" t="n">
        <x:v>16</x:v>
      </x:c>
      <x:c r="R196" s="102"/>
      <x:c r="S196" s="102" t="str">
        <x:v>Yes</x:v>
      </x:c>
      <x:c r="T196" s="102" t="n">
        <x:v>1100</x:v>
      </x:c>
      <x:c r="U196" s="102" t="str">
        <x:v>CIT partnership / APM Terminals investment</x:v>
      </x:c>
      <x:c r="V196" s="102" t="str">
        <x:v>APM-ABIDJAN-CÔTE-D-IVOIRE-TERMINAL-CIT</x:v>
      </x:c>
      <x:c r="W196" s="102" t="str">
        <x:v>https://www2.apmterminals.com/en/cit/about/our-terminal</x:v>
      </x:c>
      <x:c r="X196" s="102" t="str">
        <x:v>High</x:v>
      </x:c>
      <x:c r="Y196" s="102" t="str">
        <x:v>6 electric post-Panamax gantry cranes; 13 electric RTGs; 2 x 300m rail tracks.</x:v>
      </x:c>
      <x:c r="Z196" s="102" t="str"/>
    </x:row>
    <x:row r="197">
      <x:c r="A197" s="102" t="str">
        <x:v>TERM0196</x:v>
      </x:c>
      <x:c r="B197" s="102" t="str">
        <x:v>San Pedro</x:v>
      </x:c>
      <x:c r="C197" s="102" t="str">
        <x:v>PORTG0156</x:v>
      </x:c>
      <x:c r="D197" s="102" t="str">
        <x:v>Port of San Pedro</x:v>
      </x:c>
      <x:c r="E197" s="102" t="str">
        <x:v>Côte d'Ivoire</x:v>
      </x:c>
      <x:c r="F197" s="102" t="str">
        <x:v>San Pedro</x:v>
      </x:c>
      <x:c r="G197" s="102" t="str">
        <x:v>Gulf of Guinea</x:v>
      </x:c>
      <x:c r="H197" s="102" t="str">
        <x:v>Container terminal</x:v>
      </x:c>
      <x:c r="I197" s="102" t="str">
        <x:v>Containers / terminal cargo</x:v>
      </x:c>
      <x:c r="J197" s="102" t="str">
        <x:v>COMP_APMT</x:v>
      </x:c>
      <x:c r="K197" s="102" t="str">
        <x:v>APM Terminals / partner operator</x:v>
      </x:c>
      <x:c r="L197" s="102" t="str">
        <x:v>APM Terminals</x:v>
      </x:c>
      <x:c r="M197" s="102" t="str">
        <x:v>Operating / network</x:v>
      </x:c>
      <x:c r="N197" s="102"/>
      <x:c r="O197" s="102"/>
      <x:c r="P197" s="102"/>
      <x:c r="Q197" s="102"/>
      <x:c r="R197" s="102"/>
      <x:c r="S197" s="102"/>
      <x:c r="T197" s="102"/>
      <x:c r="U197" s="102" t="str">
        <x:v>APM Terminals network asset / partnership; detailed equity not verified in this pass</x:v>
      </x:c>
      <x:c r="V197" s="102" t="str">
        <x:v>APM-SAN-PEDRO</x:v>
      </x:c>
      <x:c r="W197" s="102" t="str">
        <x:v>https://www2.apmterminals.com/en/</x:v>
      </x:c>
      <x:c r="X197" s="102" t="str">
        <x:v>Medium</x:v>
      </x:c>
      <x:c r="Y197" s="102" t="str">
        <x:v>Current APM Terminals network seed retained from v1.12; infrastructure enrichment pending.</x:v>
      </x:c>
      <x:c r="Z197" s="102" t="str"/>
    </x:row>
    <x:row r="198">
      <x:c r="A198" s="102" t="str">
        <x:v>TERM0197</x:v>
      </x:c>
      <x:c r="B198" s="102" t="str">
        <x:v>Suez Canal Container Terminal (SCCT)</x:v>
      </x:c>
      <x:c r="C198" s="102" t="str">
        <x:v>PORTG0157</x:v>
      </x:c>
      <x:c r="D198" s="102" t="str">
        <x:v>Port Said East Port</x:v>
      </x:c>
      <x:c r="E198" s="102" t="str">
        <x:v>Egypt</x:v>
      </x:c>
      <x:c r="F198" s="102" t="str">
        <x:v>Suez Canal Container Terminal (SCCT)</x:v>
      </x:c>
      <x:c r="G198" s="102" t="str">
        <x:v>Eastern Mediterranean / Suez</x:v>
      </x:c>
      <x:c r="H198" s="102" t="str">
        <x:v>Container terminal</x:v>
      </x:c>
      <x:c r="I198" s="102" t="str">
        <x:v>Containers / terminal cargo</x:v>
      </x:c>
      <x:c r="J198" s="102" t="str">
        <x:v>COMP_APMT</x:v>
      </x:c>
      <x:c r="K198" s="102" t="str">
        <x:v>APM Terminals / partner operator</x:v>
      </x:c>
      <x:c r="L198" s="102" t="str">
        <x:v>APM Terminals</x:v>
      </x:c>
      <x:c r="M198" s="102" t="str">
        <x:v>Operating</x:v>
      </x:c>
      <x:c r="N198" s="102" t="n">
        <x:v>5000000</x:v>
      </x:c>
      <x:c r="O198" s="102"/>
      <x:c r="P198" s="102" t="n">
        <x:v>2400</x:v>
      </x:c>
      <x:c r="Q198" s="102" t="n">
        <x:v>17</x:v>
      </x:c>
      <x:c r="R198" s="102"/>
      <x:c r="S198" s="102"/>
      <x:c r="T198" s="102" t="n">
        <x:v>4000</x:v>
      </x:c>
      <x:c r="U198" s="102" t="str">
        <x:v>SCCT JV / APM Terminals investment</x:v>
      </x:c>
      <x:c r="V198" s="102" t="str">
        <x:v>APM-SUEZ-CANAL-CONTAINER-TERMINAL-SCCT</x:v>
      </x:c>
      <x:c r="W198" s="102" t="str">
        <x:v>https://www2.apmterminals.com/en/scct/about/our-terminal</x:v>
      </x:c>
      <x:c r="X198" s="102" t="str">
        <x:v>High</x:v>
      </x:c>
      <x:c r="Y198" s="102" t="str">
        <x:v>Strategic East Port Said terminal; 18 STS cranes and 60 RTGs in current public terminal specifications.</x:v>
      </x:c>
      <x:c r="Z198" s="102" t="str"/>
    </x:row>
    <x:row r="199">
      <x:c r="A199" s="102" t="str">
        <x:v>TERM0198</x:v>
      </x:c>
      <x:c r="B199" s="102" t="str">
        <x:v>Tema</x:v>
      </x:c>
      <x:c r="C199" s="102" t="str">
        <x:v>PORTG0158</x:v>
      </x:c>
      <x:c r="D199" s="102" t="str">
        <x:v>Port of Tema</x:v>
      </x:c>
      <x:c r="E199" s="102" t="str">
        <x:v>Ghana</x:v>
      </x:c>
      <x:c r="F199" s="102" t="str">
        <x:v>Tema</x:v>
      </x:c>
      <x:c r="G199" s="102" t="str">
        <x:v>Gulf of Guinea</x:v>
      </x:c>
      <x:c r="H199" s="102" t="str">
        <x:v>Container terminal</x:v>
      </x:c>
      <x:c r="I199" s="102" t="str">
        <x:v>Containers / terminal cargo</x:v>
      </x:c>
      <x:c r="J199" s="102" t="str">
        <x:v>COMP_APMT</x:v>
      </x:c>
      <x:c r="K199" s="102" t="str">
        <x:v>APM Terminals / partner operator</x:v>
      </x:c>
      <x:c r="L199" s="102" t="str">
        <x:v>APM Terminals</x:v>
      </x:c>
      <x:c r="M199" s="102" t="str">
        <x:v>Operating / network</x:v>
      </x:c>
      <x:c r="N199" s="102"/>
      <x:c r="O199" s="102"/>
      <x:c r="P199" s="102"/>
      <x:c r="Q199" s="102"/>
      <x:c r="R199" s="102"/>
      <x:c r="S199" s="102"/>
      <x:c r="T199" s="102"/>
      <x:c r="U199" s="102" t="str">
        <x:v>APM Terminals network asset / partnership; detailed equity not verified in this pass</x:v>
      </x:c>
      <x:c r="V199" s="102" t="str">
        <x:v>APM-TEMA</x:v>
      </x:c>
      <x:c r="W199" s="102" t="str">
        <x:v>https://www2.apmterminals.com/en/</x:v>
      </x:c>
      <x:c r="X199" s="102" t="str">
        <x:v>Medium</x:v>
      </x:c>
      <x:c r="Y199" s="102" t="str">
        <x:v>Current APM Terminals network seed retained from v1.12; infrastructure enrichment pending.</x:v>
      </x:c>
      <x:c r="Z199" s="102" t="str"/>
    </x:row>
    <x:row r="200">
      <x:c r="A200" s="102" t="str">
        <x:v>TERM0199</x:v>
      </x:c>
      <x:c r="B200" s="102" t="str">
        <x:v>Aqaba</x:v>
      </x:c>
      <x:c r="C200" s="102" t="str">
        <x:v>PORTG0076</x:v>
      </x:c>
      <x:c r="D200" s="102" t="str">
        <x:v>Port of Aqaba</x:v>
      </x:c>
      <x:c r="E200" s="102" t="str">
        <x:v>Jordan</x:v>
      </x:c>
      <x:c r="F200" s="102" t="str">
        <x:v>Aqaba</x:v>
      </x:c>
      <x:c r="G200" s="102" t="str">
        <x:v>Red Sea</x:v>
      </x:c>
      <x:c r="H200" s="102" t="str">
        <x:v>Container terminal</x:v>
      </x:c>
      <x:c r="I200" s="102" t="str">
        <x:v>Containers / terminal cargo</x:v>
      </x:c>
      <x:c r="J200" s="102" t="str">
        <x:v>COMP_APMT</x:v>
      </x:c>
      <x:c r="K200" s="102" t="str">
        <x:v>APM Terminals / partner operator</x:v>
      </x:c>
      <x:c r="L200" s="102" t="str">
        <x:v>APM Terminals</x:v>
      </x:c>
      <x:c r="M200" s="102" t="str">
        <x:v>Operating</x:v>
      </x:c>
      <x:c r="N200" s="102"/>
      <x:c r="O200" s="102" t="n">
        <x:v>500000</x:v>
      </x:c>
      <x:c r="P200" s="102" t="n">
        <x:v>1000</x:v>
      </x:c>
      <x:c r="Q200" s="102" t="n">
        <x:v>16.5</x:v>
      </x:c>
      <x:c r="R200" s="102" t="n">
        <x:v>3</x:v>
      </x:c>
      <x:c r="S200" s="102"/>
      <x:c r="T200" s="102" t="n">
        <x:v>800</x:v>
      </x:c>
      <x:c r="U200" s="102" t="str">
        <x:v>APM Terminals 50% + 1 under BOT with Aqaba Development Company</x:v>
      </x:c>
      <x:c r="V200" s="102" t="str">
        <x:v>APM-AQABA</x:v>
      </x:c>
      <x:c r="W200" s="102" t="str">
        <x:v>https://akamai.apmterminals.com/en/aqaba/about/our-terminal</x:v>
      </x:c>
      <x:c r="X200" s="102" t="str">
        <x:v>High</x:v>
      </x:c>
      <x:c r="Y200" s="102" t="str">
        <x:v>7 STS, 22 RTG, 9 reach stackers, 12 empty handlers, 46 terminal trucks.</x:v>
      </x:c>
      <x:c r="Z200" s="102" t="str"/>
    </x:row>
    <x:row r="201">
      <x:c r="A201" s="102" t="str">
        <x:v>TERM0200</x:v>
      </x:c>
      <x:c r="B201" s="102" t="str">
        <x:v>Monrovia</x:v>
      </x:c>
      <x:c r="C201" s="102" t="str">
        <x:v>PORTG0159</x:v>
      </x:c>
      <x:c r="D201" s="102" t="str">
        <x:v>Freeport of Monrovia</x:v>
      </x:c>
      <x:c r="E201" s="102" t="str">
        <x:v>Liberia</x:v>
      </x:c>
      <x:c r="F201" s="102" t="str">
        <x:v>Monrovia</x:v>
      </x:c>
      <x:c r="G201" s="102" t="str">
        <x:v>West Africa Atlantic</x:v>
      </x:c>
      <x:c r="H201" s="102" t="str">
        <x:v>Container terminal</x:v>
      </x:c>
      <x:c r="I201" s="102" t="str">
        <x:v>Containers / terminal cargo</x:v>
      </x:c>
      <x:c r="J201" s="102" t="str">
        <x:v>COMP_APMT</x:v>
      </x:c>
      <x:c r="K201" s="102" t="str">
        <x:v>APM Terminals / partner operator</x:v>
      </x:c>
      <x:c r="L201" s="102" t="str">
        <x:v>APM Terminals</x:v>
      </x:c>
      <x:c r="M201" s="102" t="str">
        <x:v>Operating</x:v>
      </x:c>
      <x:c r="N201" s="102" t="n">
        <x:v>200000</x:v>
      </x:c>
      <x:c r="O201" s="102"/>
      <x:c r="P201" s="102"/>
      <x:c r="Q201" s="102" t="n">
        <x:v>12.5</x:v>
      </x:c>
      <x:c r="R201" s="102"/>
      <x:c r="S201" s="102"/>
      <x:c r="T201" s="102"/>
      <x:c r="U201" s="102" t="str">
        <x:v>APM Terminals concession; ownership increased to 100% per APM growth update</x:v>
      </x:c>
      <x:c r="V201" s="102" t="str">
        <x:v>APM-MONROVIA</x:v>
      </x:c>
      <x:c r="W201" s="102" t="str">
        <x:v>https://www2.apmterminals.com/en/monrovia/about/our-terminal</x:v>
      </x:c>
      <x:c r="X201" s="102" t="str">
        <x:v>High</x:v>
      </x:c>
      <x:c r="Y201" s="102" t="str">
        <x:v>Multi-purpose terminal; port dredged to 12.5m in recent expansion.</x:v>
      </x:c>
      <x:c r="Z201" s="102" t="str"/>
    </x:row>
    <x:row r="202">
      <x:c r="A202" s="102" t="str">
        <x:v>TERM0201</x:v>
      </x:c>
      <x:c r="B202" s="102" t="str">
        <x:v>MedPort Tangier</x:v>
      </x:c>
      <x:c r="C202" s="102" t="str">
        <x:v>PORTG0124</x:v>
      </x:c>
      <x:c r="D202" s="102" t="str">
        <x:v>Tanger Med</x:v>
      </x:c>
      <x:c r="E202" s="102" t="str">
        <x:v>Morocco</x:v>
      </x:c>
      <x:c r="F202" s="102" t="str">
        <x:v>MedPort Tangier</x:v>
      </x:c>
      <x:c r="G202" s="102" t="str">
        <x:v>Strait of Gibraltar / North Africa</x:v>
      </x:c>
      <x:c r="H202" s="102" t="str">
        <x:v>Container terminal</x:v>
      </x:c>
      <x:c r="I202" s="102" t="str">
        <x:v>Containers / terminal cargo</x:v>
      </x:c>
      <x:c r="J202" s="102" t="str">
        <x:v>COMP_APMT</x:v>
      </x:c>
      <x:c r="K202" s="102" t="str">
        <x:v>APM Terminals / partner operator</x:v>
      </x:c>
      <x:c r="L202" s="102" t="str">
        <x:v>APM Terminals</x:v>
      </x:c>
      <x:c r="M202" s="102" t="str">
        <x:v>Operating</x:v>
      </x:c>
      <x:c r="N202" s="102" t="n">
        <x:v>5200000</x:v>
      </x:c>
      <x:c r="O202" s="102" t="n">
        <x:v>600000</x:v>
      </x:c>
      <x:c r="P202" s="102" t="n">
        <x:v>2000</x:v>
      </x:c>
      <x:c r="Q202" s="102" t="n">
        <x:v>18</x:v>
      </x:c>
      <x:c r="R202" s="102" t="n">
        <x:v>3</x:v>
      </x:c>
      <x:c r="S202" s="102"/>
      <x:c r="T202" s="102"/>
      <x:c r="U202" s="102" t="str">
        <x:v>APM Terminals / Tanger Med partnership</x:v>
      </x:c>
      <x:c r="V202" s="102" t="str">
        <x:v>APM-MEDPORT-TANGIER</x:v>
      </x:c>
      <x:c r="W202" s="102" t="str">
        <x:v>https://www2.apmterminals.com/en/medport-tangier/about/our-terminal</x:v>
      </x:c>
      <x:c r="X202" s="102" t="str">
        <x:v>High</x:v>
      </x:c>
      <x:c r="Y202" s="102" t="str">
        <x:v>20 dual-trolley STS, 70 ARMG and 65 shuttle carriers.</x:v>
      </x:c>
      <x:c r="Z202" s="102" t="str"/>
    </x:row>
    <x:row r="203">
      <x:c r="A203" s="102" t="str">
        <x:v>TERM0202</x:v>
      </x:c>
      <x:c r="B203" s="102" t="str">
        <x:v>Tangier</x:v>
      </x:c>
      <x:c r="C203" s="102" t="str">
        <x:v>PORTG0124</x:v>
      </x:c>
      <x:c r="D203" s="102" t="str">
        <x:v>Tanger Med</x:v>
      </x:c>
      <x:c r="E203" s="102" t="str">
        <x:v>Morocco</x:v>
      </x:c>
      <x:c r="F203" s="102" t="str">
        <x:v>Tangier</x:v>
      </x:c>
      <x:c r="G203" s="102" t="str">
        <x:v>Strait of Gibraltar / North Africa</x:v>
      </x:c>
      <x:c r="H203" s="102" t="str">
        <x:v>Container terminal</x:v>
      </x:c>
      <x:c r="I203" s="102" t="str">
        <x:v>Containers / terminal cargo</x:v>
      </x:c>
      <x:c r="J203" s="102" t="str">
        <x:v>COMP_APMT</x:v>
      </x:c>
      <x:c r="K203" s="102" t="str">
        <x:v>APM Terminals / partner operator</x:v>
      </x:c>
      <x:c r="L203" s="102" t="str">
        <x:v>APM Terminals</x:v>
      </x:c>
      <x:c r="M203" s="102" t="str">
        <x:v>Operating</x:v>
      </x:c>
      <x:c r="N203" s="102" t="n">
        <x:v>2400000</x:v>
      </x:c>
      <x:c r="O203" s="102"/>
      <x:c r="P203" s="102"/>
      <x:c r="Q203" s="102" t="n">
        <x:v>16</x:v>
      </x:c>
      <x:c r="R203" s="102"/>
      <x:c r="S203" s="102"/>
      <x:c r="T203" s="102"/>
      <x:c r="U203" s="102" t="str">
        <x:v>APM Terminals Tangier partnership</x:v>
      </x:c>
      <x:c r="V203" s="102" t="str">
        <x:v>APM-TANGIER</x:v>
      </x:c>
      <x:c r="W203" s="102" t="str">
        <x:v>https://akamai.apmterminals.com/en/tangier/about/our-terminal</x:v>
      </x:c>
      <x:c r="X203" s="102" t="str">
        <x:v>High</x:v>
      </x:c>
      <x:c r="Y203" s="102" t="str">
        <x:v>EUR 140m investment; deep-water transshipment gateway.</x:v>
      </x:c>
      <x:c r="Z203" s="102" t="str"/>
    </x:row>
    <x:row r="204">
      <x:c r="A204" s="102" t="str">
        <x:v>TERM0203</x:v>
      </x:c>
      <x:c r="B204" s="102" t="str">
        <x:v>Apapa</x:v>
      </x:c>
      <x:c r="C204" s="102" t="str">
        <x:v>PORTG0160</x:v>
      </x:c>
      <x:c r="D204" s="102" t="str">
        <x:v>Lagos Port Complex / Apapa</x:v>
      </x:c>
      <x:c r="E204" s="102" t="str">
        <x:v>Nigeria</x:v>
      </x:c>
      <x:c r="F204" s="102" t="str">
        <x:v>Apapa</x:v>
      </x:c>
      <x:c r="G204" s="102" t="str">
        <x:v>Gulf of Guinea</x:v>
      </x:c>
      <x:c r="H204" s="102" t="str">
        <x:v>Container terminal</x:v>
      </x:c>
      <x:c r="I204" s="102" t="str">
        <x:v>Containers / terminal cargo</x:v>
      </x:c>
      <x:c r="J204" s="102" t="str">
        <x:v>COMP_APMT</x:v>
      </x:c>
      <x:c r="K204" s="102" t="str">
        <x:v>APM Terminals / partner operator</x:v>
      </x:c>
      <x:c r="L204" s="102" t="str">
        <x:v>APM Terminals</x:v>
      </x:c>
      <x:c r="M204" s="102" t="str">
        <x:v>Operating</x:v>
      </x:c>
      <x:c r="N204" s="102" t="n">
        <x:v>1000000</x:v>
      </x:c>
      <x:c r="O204" s="102" t="n">
        <x:v>550000</x:v>
      </x:c>
      <x:c r="P204" s="102" t="n">
        <x:v>1005</x:v>
      </x:c>
      <x:c r="Q204" s="102" t="n">
        <x:v>13.5</x:v>
      </x:c>
      <x:c r="R204" s="102"/>
      <x:c r="S204" s="102" t="str">
        <x:v>Yes</x:v>
      </x:c>
      <x:c r="T204" s="102" t="n">
        <x:v>900</x:v>
      </x:c>
      <x:c r="U204" s="102" t="str">
        <x:v>APM Terminals concession</x:v>
      </x:c>
      <x:c r="V204" s="102" t="str">
        <x:v>APM-APAPA</x:v>
      </x:c>
      <x:c r="W204" s="102" t="str">
        <x:v>https://www2.apmterminals.com/en/apapa/about/our-terminal</x:v>
      </x:c>
      <x:c r="X204" s="102" t="str">
        <x:v>High</x:v>
      </x:c>
      <x:c r="Y204" s="102" t="str">
        <x:v>27 RTG, 13 mobile harbour cranes, 7 reach stackers, 6 empty handlers, 65 terminal trucks; 2 rail tracks.</x:v>
      </x:c>
      <x:c r="Z204" s="102" t="str"/>
    </x:row>
    <x:row r="205">
      <x:c r="A205" s="102" t="str">
        <x:v>TERM0204</x:v>
      </x:c>
      <x:c r="B205" s="102" t="str">
        <x:v>Onne</x:v>
      </x:c>
      <x:c r="C205" s="102" t="str">
        <x:v>PORTG0161</x:v>
      </x:c>
      <x:c r="D205" s="102" t="str">
        <x:v>Onne Port</x:v>
      </x:c>
      <x:c r="E205" s="102" t="str">
        <x:v>Nigeria</x:v>
      </x:c>
      <x:c r="F205" s="102" t="str">
        <x:v>Onne</x:v>
      </x:c>
      <x:c r="G205" s="102" t="str">
        <x:v>Gulf of Guinea</x:v>
      </x:c>
      <x:c r="H205" s="102" t="str">
        <x:v>Container terminal</x:v>
      </x:c>
      <x:c r="I205" s="102" t="str">
        <x:v>Containers / terminal cargo</x:v>
      </x:c>
      <x:c r="J205" s="102" t="str">
        <x:v>COMP_APMT</x:v>
      </x:c>
      <x:c r="K205" s="102" t="str">
        <x:v>APM Terminals / partner operator</x:v>
      </x:c>
      <x:c r="L205" s="102" t="str">
        <x:v>APM Terminals</x:v>
      </x:c>
      <x:c r="M205" s="102" t="str">
        <x:v>Operating</x:v>
      </x:c>
      <x:c r="N205" s="102" t="n">
        <x:v>361000</x:v>
      </x:c>
      <x:c r="O205" s="102" t="n">
        <x:v>250000</x:v>
      </x:c>
      <x:c r="P205" s="102" t="n">
        <x:v>570</x:v>
      </x:c>
      <x:c r="Q205" s="102" t="n">
        <x:v>11.3</x:v>
      </x:c>
      <x:c r="R205" s="102"/>
      <x:c r="S205" s="102"/>
      <x:c r="T205" s="102" t="n">
        <x:v>600</x:v>
      </x:c>
      <x:c r="U205" s="102" t="str">
        <x:v>West Africa Container Terminal / APM Terminals</x:v>
      </x:c>
      <x:c r="V205" s="102" t="str">
        <x:v>APM-ONNE</x:v>
      </x:c>
      <x:c r="W205" s="102" t="str">
        <x:v>https://www2.apmterminals.com/en/onne/about/our-terminal</x:v>
      </x:c>
      <x:c r="X205" s="102" t="str">
        <x:v>High</x:v>
      </x:c>
      <x:c r="Y205" s="102" t="str">
        <x:v>20 RTGs, 5 mobile harbour cranes, 7 reach stackers, 6 empty handlers, 37 terminal trucks.</x:v>
      </x:c>
      <x:c r="Z205" s="102" t="str"/>
    </x:row>
    <x:row r="206">
      <x:c r="A206" s="102" t="str">
        <x:v>TERM0205</x:v>
      </x:c>
      <x:c r="B206" s="102" t="str">
        <x:v>Salalah</x:v>
      </x:c>
      <x:c r="C206" s="102" t="str">
        <x:v>PORTG0162</x:v>
      </x:c>
      <x:c r="D206" s="102" t="str">
        <x:v>Port of Salalah</x:v>
      </x:c>
      <x:c r="E206" s="102" t="str">
        <x:v>Oman</x:v>
      </x:c>
      <x:c r="F206" s="102" t="str">
        <x:v>Salalah</x:v>
      </x:c>
      <x:c r="G206" s="102" t="str">
        <x:v>Arabian Sea</x:v>
      </x:c>
      <x:c r="H206" s="102" t="str">
        <x:v>Container terminal</x:v>
      </x:c>
      <x:c r="I206" s="102" t="str">
        <x:v>Containers / terminal cargo</x:v>
      </x:c>
      <x:c r="J206" s="102" t="str">
        <x:v>COMP_APMT</x:v>
      </x:c>
      <x:c r="K206" s="102" t="str">
        <x:v>APM Terminals / partner operator</x:v>
      </x:c>
      <x:c r="L206" s="102" t="str">
        <x:v>APM Terminals</x:v>
      </x:c>
      <x:c r="M206" s="102" t="str">
        <x:v>Operating</x:v>
      </x:c>
      <x:c r="N206" s="102" t="n">
        <x:v>5000000</x:v>
      </x:c>
      <x:c r="O206" s="102"/>
      <x:c r="P206" s="102" t="n">
        <x:v>2400</x:v>
      </x:c>
      <x:c r="Q206" s="102" t="n">
        <x:v>18</x:v>
      </x:c>
      <x:c r="R206" s="102" t="n">
        <x:v>7</x:v>
      </x:c>
      <x:c r="S206" s="102"/>
      <x:c r="T206" s="102"/>
      <x:c r="U206" s="102" t="str">
        <x:v>APM Terminals / Port of Salalah partnership</x:v>
      </x:c>
      <x:c r="V206" s="102" t="str">
        <x:v>APM-SALALAH</x:v>
      </x:c>
      <x:c r="W206" s="102" t="str">
        <x:v>https://www2.apmterminals.com/en/salalah/about/our-terminal</x:v>
      </x:c>
      <x:c r="X206" s="102" t="str">
        <x:v>High</x:v>
      </x:c>
      <x:c r="Y206" s="102" t="str">
        <x:v>Major Arabian Sea transshipment hub.</x:v>
      </x:c>
      <x:c r="Z206" s="102" t="str"/>
    </x:row>
    <x:row r="207">
      <x:c r="A207" s="102" t="str">
        <x:v>TERM0206</x:v>
      </x:c>
      <x:c r="B207" s="102" t="str">
        <x:v>Guangzhou</x:v>
      </x:c>
      <x:c r="C207" s="102" t="str">
        <x:v>PORTG0163</x:v>
      </x:c>
      <x:c r="D207" s="102" t="str">
        <x:v>Port of Guangzhou</x:v>
      </x:c>
      <x:c r="E207" s="102" t="str">
        <x:v>China</x:v>
      </x:c>
      <x:c r="F207" s="102" t="str">
        <x:v>Guangzhou</x:v>
      </x:c>
      <x:c r="G207" s="102" t="str">
        <x:v>East Asia</x:v>
      </x:c>
      <x:c r="H207" s="102" t="str">
        <x:v>Container terminal</x:v>
      </x:c>
      <x:c r="I207" s="102" t="str">
        <x:v>Containers / terminal cargo</x:v>
      </x:c>
      <x:c r="J207" s="102" t="str">
        <x:v>COMP_APMT</x:v>
      </x:c>
      <x:c r="K207" s="102" t="str">
        <x:v>APM Terminals / partner operator</x:v>
      </x:c>
      <x:c r="L207" s="102" t="str">
        <x:v>APM Terminals</x:v>
      </x:c>
      <x:c r="M207" s="102" t="str">
        <x:v>Operating / network</x:v>
      </x:c>
      <x:c r="N207" s="102"/>
      <x:c r="O207" s="102"/>
      <x:c r="P207" s="102"/>
      <x:c r="Q207" s="102"/>
      <x:c r="R207" s="102"/>
      <x:c r="S207" s="102"/>
      <x:c r="T207" s="102"/>
      <x:c r="U207" s="102" t="str">
        <x:v>APM Terminals network asset / partnership; detailed equity not verified in this pass</x:v>
      </x:c>
      <x:c r="V207" s="102" t="str">
        <x:v>APM-GUANGZHOU</x:v>
      </x:c>
      <x:c r="W207" s="102" t="str">
        <x:v>https://www2.apmterminals.com/en/</x:v>
      </x:c>
      <x:c r="X207" s="102" t="str">
        <x:v>Medium</x:v>
      </x:c>
      <x:c r="Y207" s="102" t="str">
        <x:v>Current APM Terminals network seed retained from v1.12; infrastructure enrichment pending.</x:v>
      </x:c>
      <x:c r="Z207" s="102" t="str"/>
    </x:row>
    <x:row r="208">
      <x:c r="A208" s="102" t="str">
        <x:v>TERM0207</x:v>
      </x:c>
      <x:c r="B208" s="102" t="str">
        <x:v>Qingdao</x:v>
      </x:c>
      <x:c r="C208" s="102" t="str">
        <x:v>PORTG0005</x:v>
      </x:c>
      <x:c r="D208" s="102" t="str">
        <x:v>Port of Qingdao</x:v>
      </x:c>
      <x:c r="E208" s="102" t="str">
        <x:v>China</x:v>
      </x:c>
      <x:c r="F208" s="102" t="str">
        <x:v>Qingdao</x:v>
      </x:c>
      <x:c r="G208" s="102" t="str">
        <x:v>East Asia</x:v>
      </x:c>
      <x:c r="H208" s="102" t="str">
        <x:v>Container terminal</x:v>
      </x:c>
      <x:c r="I208" s="102" t="str">
        <x:v>Containers / terminal cargo</x:v>
      </x:c>
      <x:c r="J208" s="102" t="str">
        <x:v>COMP_APMT</x:v>
      </x:c>
      <x:c r="K208" s="102" t="str">
        <x:v>APM Terminals / partner operator</x:v>
      </x:c>
      <x:c r="L208" s="102" t="str">
        <x:v>APM Terminals</x:v>
      </x:c>
      <x:c r="M208" s="102" t="str">
        <x:v>Operating / network</x:v>
      </x:c>
      <x:c r="N208" s="102"/>
      <x:c r="O208" s="102"/>
      <x:c r="P208" s="102"/>
      <x:c r="Q208" s="102"/>
      <x:c r="R208" s="102"/>
      <x:c r="S208" s="102"/>
      <x:c r="T208" s="102"/>
      <x:c r="U208" s="102" t="str">
        <x:v>APM Terminals network asset / partnership; detailed equity not verified in this pass</x:v>
      </x:c>
      <x:c r="V208" s="102" t="str">
        <x:v>APM-QINGDAO</x:v>
      </x:c>
      <x:c r="W208" s="102" t="str">
        <x:v>https://www2.apmterminals.com/en/</x:v>
      </x:c>
      <x:c r="X208" s="102" t="str">
        <x:v>Medium</x:v>
      </x:c>
      <x:c r="Y208" s="102" t="str">
        <x:v>Current APM Terminals network seed retained from v1.12; infrastructure enrichment pending.</x:v>
      </x:c>
      <x:c r="Z208" s="102" t="str"/>
    </x:row>
    <x:row r="209">
      <x:c r="A209" s="102" t="str">
        <x:v>TERM0208</x:v>
      </x:c>
      <x:c r="B209" s="102" t="str">
        <x:v>Shanghai</x:v>
      </x:c>
      <x:c r="C209" s="102" t="str">
        <x:v>PORTG0164</x:v>
      </x:c>
      <x:c r="D209" s="102" t="str">
        <x:v>Port of Shanghai</x:v>
      </x:c>
      <x:c r="E209" s="102" t="str">
        <x:v>China</x:v>
      </x:c>
      <x:c r="F209" s="102" t="str">
        <x:v>Shanghai</x:v>
      </x:c>
      <x:c r="G209" s="102" t="str">
        <x:v>East Asia</x:v>
      </x:c>
      <x:c r="H209" s="102" t="str">
        <x:v>Container terminal</x:v>
      </x:c>
      <x:c r="I209" s="102" t="str">
        <x:v>Containers / terminal cargo</x:v>
      </x:c>
      <x:c r="J209" s="102" t="str">
        <x:v>COMP_APMT</x:v>
      </x:c>
      <x:c r="K209" s="102" t="str">
        <x:v>APM Terminals / partner operator</x:v>
      </x:c>
      <x:c r="L209" s="102" t="str">
        <x:v>APM Terminals</x:v>
      </x:c>
      <x:c r="M209" s="102" t="str">
        <x:v>Operating</x:v>
      </x:c>
      <x:c r="N209" s="102" t="n">
        <x:v>4000000</x:v>
      </x:c>
      <x:c r="O209" s="102" t="n">
        <x:v>1550000</x:v>
      </x:c>
      <x:c r="P209" s="102" t="n">
        <x:v>1437</x:v>
      </x:c>
      <x:c r="Q209" s="102" t="n">
        <x:v>14.2</x:v>
      </x:c>
      <x:c r="R209" s="102"/>
      <x:c r="S209" s="102"/>
      <x:c r="T209" s="102"/>
      <x:c r="U209" s="102" t="str">
        <x:v>APM Terminals 49% / SIPG joint venture</x:v>
      </x:c>
      <x:c r="V209" s="102" t="str">
        <x:v>APM-SHANGHAI</x:v>
      </x:c>
      <x:c r="W209" s="102" t="str">
        <x:v>https://www2.apmterminals.com/en/shanghai/about/our-terminal</x:v>
      </x:c>
      <x:c r="X209" s="102" t="str">
        <x:v>High</x:v>
      </x:c>
      <x:c r="Y209" s="102" t="str">
        <x:v>Deep-sea quay 1,250m plus 187m barge quay; 15 super-Panamax STS plus 2 additional cranes.</x:v>
      </x:c>
      <x:c r="Z209" s="102" t="str"/>
    </x:row>
    <x:row r="210">
      <x:c r="A210" s="102" t="str">
        <x:v>TERM0209</x:v>
      </x:c>
      <x:c r="B210" s="102" t="str">
        <x:v>Tianjin</x:v>
      </x:c>
      <x:c r="C210" s="102" t="str">
        <x:v>PORTG0165</x:v>
      </x:c>
      <x:c r="D210" s="102" t="str">
        <x:v>Port of Tianjin</x:v>
      </x:c>
      <x:c r="E210" s="102" t="str">
        <x:v>China</x:v>
      </x:c>
      <x:c r="F210" s="102" t="str">
        <x:v>Tianjin</x:v>
      </x:c>
      <x:c r="G210" s="102" t="str">
        <x:v>East Asia</x:v>
      </x:c>
      <x:c r="H210" s="102" t="str">
        <x:v>Container terminal</x:v>
      </x:c>
      <x:c r="I210" s="102" t="str">
        <x:v>Containers / terminal cargo</x:v>
      </x:c>
      <x:c r="J210" s="102" t="str">
        <x:v>COMP_APMT</x:v>
      </x:c>
      <x:c r="K210" s="102" t="str">
        <x:v>APM Terminals / partner operator</x:v>
      </x:c>
      <x:c r="L210" s="102" t="str">
        <x:v>APM Terminals</x:v>
      </x:c>
      <x:c r="M210" s="102" t="str">
        <x:v>Operating</x:v>
      </x:c>
      <x:c r="N210" s="102" t="n">
        <x:v>1700000</x:v>
      </x:c>
      <x:c r="O210" s="102" t="n">
        <x:v>632000</x:v>
      </x:c>
      <x:c r="P210" s="102" t="n">
        <x:v>1100</x:v>
      </x:c>
      <x:c r="Q210" s="102" t="n">
        <x:v>15.5</x:v>
      </x:c>
      <x:c r="R210" s="102" t="n">
        <x:v>4</x:v>
      </x:c>
      <x:c r="S210" s="102"/>
      <x:c r="T210" s="102"/>
      <x:c r="U210" s="102" t="str">
        <x:v>APM Terminals 20% interest</x:v>
      </x:c>
      <x:c r="V210" s="102" t="str">
        <x:v>APM-TIANJIN</x:v>
      </x:c>
      <x:c r="W210" s="102" t="str">
        <x:v>https://www2.apmterminals.com/en/tianjin/about/our-terminal</x:v>
      </x:c>
      <x:c r="X210" s="102" t="str">
        <x:v>High</x:v>
      </x:c>
      <x:c r="Y210" s="102" t="str">
        <x:v>Four-berth Tianjin container terminal investment.</x:v>
      </x:c>
      <x:c r="Z210" s="102" t="str"/>
    </x:row>
    <x:row r="211">
      <x:c r="A211" s="102" t="str">
        <x:v>TERM0210</x:v>
      </x:c>
      <x:c r="B211" s="102" t="str">
        <x:v>Xiamen</x:v>
      </x:c>
      <x:c r="C211" s="102" t="str">
        <x:v>PORTG0166</x:v>
      </x:c>
      <x:c r="D211" s="102" t="str">
        <x:v>Port of Xiamen</x:v>
      </x:c>
      <x:c r="E211" s="102" t="str">
        <x:v>China</x:v>
      </x:c>
      <x:c r="F211" s="102" t="str">
        <x:v>Xiamen</x:v>
      </x:c>
      <x:c r="G211" s="102" t="str">
        <x:v>East Asia</x:v>
      </x:c>
      <x:c r="H211" s="102" t="str">
        <x:v>Container terminal</x:v>
      </x:c>
      <x:c r="I211" s="102" t="str">
        <x:v>Containers / terminal cargo</x:v>
      </x:c>
      <x:c r="J211" s="102" t="str">
        <x:v>COMP_APMT</x:v>
      </x:c>
      <x:c r="K211" s="102" t="str">
        <x:v>APM Terminals / partner operator</x:v>
      </x:c>
      <x:c r="L211" s="102" t="str">
        <x:v>APM Terminals</x:v>
      </x:c>
      <x:c r="M211" s="102" t="str">
        <x:v>Operating / network</x:v>
      </x:c>
      <x:c r="N211" s="102"/>
      <x:c r="O211" s="102"/>
      <x:c r="P211" s="102"/>
      <x:c r="Q211" s="102"/>
      <x:c r="R211" s="102"/>
      <x:c r="S211" s="102"/>
      <x:c r="T211" s="102"/>
      <x:c r="U211" s="102" t="str">
        <x:v>APM Terminals network asset / partnership; detailed equity not verified in this pass</x:v>
      </x:c>
      <x:c r="V211" s="102" t="str">
        <x:v>APM-XIAMEN</x:v>
      </x:c>
      <x:c r="W211" s="102" t="str">
        <x:v>https://www2.apmterminals.com/en/</x:v>
      </x:c>
      <x:c r="X211" s="102" t="str">
        <x:v>Medium</x:v>
      </x:c>
      <x:c r="Y211" s="102" t="str">
        <x:v>Current APM Terminals network seed retained from v1.12; infrastructure enrichment pending.</x:v>
      </x:c>
      <x:c r="Z211" s="102" t="str"/>
    </x:row>
    <x:row r="212">
      <x:c r="A212" s="102" t="str">
        <x:v>TERM0211</x:v>
      </x:c>
      <x:c r="B212" s="102" t="str">
        <x:v>Mumbai</x:v>
      </x:c>
      <x:c r="C212" s="102" t="str">
        <x:v>PORTG0106</x:v>
      </x:c>
      <x:c r="D212" s="102" t="str">
        <x:v>Jawaharlal Nehru Port</x:v>
      </x:c>
      <x:c r="E212" s="102" t="str">
        <x:v>India</x:v>
      </x:c>
      <x:c r="F212" s="102" t="str">
        <x:v>Mumbai</x:v>
      </x:c>
      <x:c r="G212" s="102" t="str">
        <x:v>Indian Subcontinent</x:v>
      </x:c>
      <x:c r="H212" s="102" t="str">
        <x:v>Container terminal</x:v>
      </x:c>
      <x:c r="I212" s="102" t="str">
        <x:v>Containers / terminal cargo</x:v>
      </x:c>
      <x:c r="J212" s="102" t="str">
        <x:v>COMP_APMT</x:v>
      </x:c>
      <x:c r="K212" s="102" t="str">
        <x:v>APM Terminals / partner operator</x:v>
      </x:c>
      <x:c r="L212" s="102" t="str">
        <x:v>APM Terminals</x:v>
      </x:c>
      <x:c r="M212" s="102" t="str">
        <x:v>Operating / transformation</x:v>
      </x:c>
      <x:c r="N212" s="102" t="n">
        <x:v>2200000</x:v>
      </x:c>
      <x:c r="O212" s="102"/>
      <x:c r="P212" s="102" t="n">
        <x:v>712</x:v>
      </x:c>
      <x:c r="Q212" s="102" t="n">
        <x:v>16.5</x:v>
      </x:c>
      <x:c r="R212" s="102"/>
      <x:c r="S212" s="102" t="str">
        <x:v>Yes</x:v>
      </x:c>
      <x:c r="T212" s="102" t="n">
        <x:v>980</x:v>
      </x:c>
      <x:c r="U212" s="102" t="str">
        <x:v>APM Terminals / CONCOR joint venture</x:v>
      </x:c>
      <x:c r="V212" s="102" t="str">
        <x:v>APM-MUMBAI</x:v>
      </x:c>
      <x:c r="W212" s="102" t="str">
        <x:v>https://www2.apmterminals.com/en/mumbai/about/our-terminal</x:v>
      </x:c>
      <x:c r="X212" s="102" t="str">
        <x:v>High</x:v>
      </x:c>
      <x:c r="Y212" s="102" t="str">
        <x:v>11 quay cranes, 40 RTGs, 3 RMGs; 3 x 830m on-dock rail; ambition 2.4m TEU by 2028.</x:v>
      </x:c>
      <x:c r="Z212" s="102" t="str"/>
    </x:row>
    <x:row r="213">
      <x:c r="A213" s="102" t="str">
        <x:v>TERM0212</x:v>
      </x:c>
      <x:c r="B213" s="102" t="str">
        <x:v>Pipavav</x:v>
      </x:c>
      <x:c r="C213" s="102" t="str">
        <x:v>PORTG0167</x:v>
      </x:c>
      <x:c r="D213" s="102" t="str">
        <x:v>Port Pipavav</x:v>
      </x:c>
      <x:c r="E213" s="102" t="str">
        <x:v>India</x:v>
      </x:c>
      <x:c r="F213" s="102" t="str">
        <x:v>Pipavav</x:v>
      </x:c>
      <x:c r="G213" s="102" t="str">
        <x:v>Indian Subcontinent</x:v>
      </x:c>
      <x:c r="H213" s="102" t="str">
        <x:v>Container terminal</x:v>
      </x:c>
      <x:c r="I213" s="102" t="str">
        <x:v>Containers / terminal cargo</x:v>
      </x:c>
      <x:c r="J213" s="102" t="str">
        <x:v>COMP_APMT</x:v>
      </x:c>
      <x:c r="K213" s="102" t="str">
        <x:v>APM Terminals / partner operator</x:v>
      </x:c>
      <x:c r="L213" s="102" t="str">
        <x:v>APM Terminals</x:v>
      </x:c>
      <x:c r="M213" s="102" t="str">
        <x:v>Operating</x:v>
      </x:c>
      <x:c r="N213" s="102" t="n">
        <x:v>1350000</x:v>
      </x:c>
      <x:c r="O213" s="102" t="n">
        <x:v>6320000</x:v>
      </x:c>
      <x:c r="P213" s="102" t="n">
        <x:v>735</x:v>
      </x:c>
      <x:c r="Q213" s="102" t="n">
        <x:v>14.5</x:v>
      </x:c>
      <x:c r="R213" s="102"/>
      <x:c r="S213" s="102" t="str">
        <x:v>Yes</x:v>
      </x:c>
      <x:c r="T213" s="102" t="n">
        <x:v>500</x:v>
      </x:c>
      <x:c r="U213" s="102" t="str">
        <x:v>APM Terminals-controlled Gujarat Pipavav Port</x:v>
      </x:c>
      <x:c r="V213" s="102" t="str">
        <x:v>APM-PIPAVAV</x:v>
      </x:c>
      <x:c r="W213" s="102" t="str">
        <x:v>https://www2.apmterminals.com/en/pipavav/about/our-terminal</x:v>
      </x:c>
      <x:c r="X213" s="102" t="str">
        <x:v>High</x:v>
      </x:c>
      <x:c r="Y213" s="102" t="str">
        <x:v>8 post-Panamax cranes, 20 RTG, 4 RMG; 11 rail sidings.</x:v>
      </x:c>
      <x:c r="Z213" s="102" t="str"/>
    </x:row>
    <x:row r="214">
      <x:c r="A214" s="102" t="str">
        <x:v>TERM0213</x:v>
      </x:c>
      <x:c r="B214" s="102" t="str">
        <x:v>Yokohama</x:v>
      </x:c>
      <x:c r="C214" s="102" t="str">
        <x:v>PORTG0168</x:v>
      </x:c>
      <x:c r="D214" s="102" t="str">
        <x:v>Port of Yokohama</x:v>
      </x:c>
      <x:c r="E214" s="102" t="str">
        <x:v>Japan</x:v>
      </x:c>
      <x:c r="F214" s="102" t="str">
        <x:v>Yokohama</x:v>
      </x:c>
      <x:c r="G214" s="102" t="str">
        <x:v>East Asia</x:v>
      </x:c>
      <x:c r="H214" s="102" t="str">
        <x:v>Container terminal</x:v>
      </x:c>
      <x:c r="I214" s="102" t="str">
        <x:v>Containers / terminal cargo</x:v>
      </x:c>
      <x:c r="J214" s="102" t="str">
        <x:v>COMP_APMT</x:v>
      </x:c>
      <x:c r="K214" s="102" t="str">
        <x:v>APM Terminals / partner operator</x:v>
      </x:c>
      <x:c r="L214" s="102" t="str">
        <x:v>APM Terminals</x:v>
      </x:c>
      <x:c r="M214" s="102" t="str">
        <x:v>Operating / network</x:v>
      </x:c>
      <x:c r="N214" s="102"/>
      <x:c r="O214" s="102"/>
      <x:c r="P214" s="102"/>
      <x:c r="Q214" s="102"/>
      <x:c r="R214" s="102"/>
      <x:c r="S214" s="102"/>
      <x:c r="T214" s="102"/>
      <x:c r="U214" s="102" t="str">
        <x:v>APM Terminals network asset / partnership; detailed equity not verified in this pass</x:v>
      </x:c>
      <x:c r="V214" s="102" t="str">
        <x:v>APM-YOKOHAMA</x:v>
      </x:c>
      <x:c r="W214" s="102" t="str">
        <x:v>https://www2.apmterminals.com/en/</x:v>
      </x:c>
      <x:c r="X214" s="102" t="str">
        <x:v>Medium</x:v>
      </x:c>
      <x:c r="Y214" s="102" t="str">
        <x:v>Current APM Terminals network seed retained from v1.12; infrastructure enrichment pending.</x:v>
      </x:c>
      <x:c r="Z214" s="102" t="str"/>
    </x:row>
    <x:row r="215">
      <x:c r="A215" s="102" t="str">
        <x:v>TERM0214</x:v>
      </x:c>
      <x:c r="B215" s="102" t="str">
        <x:v>Tanjung Pelepas</x:v>
      </x:c>
      <x:c r="C215" s="102" t="str">
        <x:v>PORTG0169</x:v>
      </x:c>
      <x:c r="D215" s="102" t="str">
        <x:v>Port of Tanjung Pelepas</x:v>
      </x:c>
      <x:c r="E215" s="102" t="str">
        <x:v>Malaysia</x:v>
      </x:c>
      <x:c r="F215" s="102" t="str">
        <x:v>Tanjung Pelepas</x:v>
      </x:c>
      <x:c r="G215" s="102" t="str">
        <x:v>Southeast Asia</x:v>
      </x:c>
      <x:c r="H215" s="102" t="str">
        <x:v>Container terminal</x:v>
      </x:c>
      <x:c r="I215" s="102" t="str">
        <x:v>Containers / terminal cargo</x:v>
      </x:c>
      <x:c r="J215" s="102" t="str">
        <x:v>COMP_APMT</x:v>
      </x:c>
      <x:c r="K215" s="102" t="str">
        <x:v>APM Terminals / partner operator</x:v>
      </x:c>
      <x:c r="L215" s="102" t="str">
        <x:v>APM Terminals</x:v>
      </x:c>
      <x:c r="M215" s="102" t="str">
        <x:v>Operating</x:v>
      </x:c>
      <x:c r="N215" s="102"/>
      <x:c r="O215" s="102" t="n">
        <x:v>1800000</x:v>
      </x:c>
      <x:c r="P215" s="102" t="n">
        <x:v>5040</x:v>
      </x:c>
      <x:c r="Q215" s="102" t="n">
        <x:v>19</x:v>
      </x:c>
      <x:c r="R215" s="102" t="n">
        <x:v>14</x:v>
      </x:c>
      <x:c r="S215" s="102"/>
      <x:c r="T215" s="102" t="n">
        <x:v>4445</x:v>
      </x:c>
      <x:c r="U215" s="102" t="str">
        <x:v>APM Terminals / MMC partnership</x:v>
      </x:c>
      <x:c r="V215" s="102" t="str">
        <x:v>APM-TANJUNG-PELEPAS</x:v>
      </x:c>
      <x:c r="W215" s="102" t="str">
        <x:v>https://akamai.apmterminals.com/en/tanjung-pelepas/about/our-terminal</x:v>
      </x:c>
      <x:c r="X215" s="102" t="str">
        <x:v>High</x:v>
      </x:c>
      <x:c r="Y215" s="102" t="str">
        <x:v>66 Super Post-Panamax cranes and 172 RTGs; berth draft range 15-19m.</x:v>
      </x:c>
      <x:c r="Z215" s="102" t="str"/>
    </x:row>
    <x:row r="216">
      <x:c r="A216" s="102" t="str">
        <x:v>TERM0215</x:v>
      </x:c>
      <x:c r="B216" s="102" t="str">
        <x:v>Colombo</x:v>
      </x:c>
      <x:c r="C216" s="102" t="str">
        <x:v>PORTG0170</x:v>
      </x:c>
      <x:c r="D216" s="102" t="str">
        <x:v>Port of Colombo</x:v>
      </x:c>
      <x:c r="E216" s="102" t="str">
        <x:v>Sri Lanka</x:v>
      </x:c>
      <x:c r="F216" s="102" t="str">
        <x:v>Colombo</x:v>
      </x:c>
      <x:c r="G216" s="102" t="str">
        <x:v>Indian Ocean</x:v>
      </x:c>
      <x:c r="H216" s="102" t="str">
        <x:v>Container terminal</x:v>
      </x:c>
      <x:c r="I216" s="102" t="str">
        <x:v>Containers / terminal cargo</x:v>
      </x:c>
      <x:c r="J216" s="102" t="str">
        <x:v>COMP_APMT</x:v>
      </x:c>
      <x:c r="K216" s="102" t="str">
        <x:v>APM Terminals / partner operator</x:v>
      </x:c>
      <x:c r="L216" s="102" t="str">
        <x:v>APM Terminals</x:v>
      </x:c>
      <x:c r="M216" s="102" t="str">
        <x:v>Operating / network</x:v>
      </x:c>
      <x:c r="N216" s="102"/>
      <x:c r="O216" s="102"/>
      <x:c r="P216" s="102"/>
      <x:c r="Q216" s="102"/>
      <x:c r="R216" s="102"/>
      <x:c r="S216" s="102"/>
      <x:c r="T216" s="102"/>
      <x:c r="U216" s="102" t="str">
        <x:v>APM Terminals network asset / partnership; detailed equity not verified in this pass</x:v>
      </x:c>
      <x:c r="V216" s="102" t="str">
        <x:v>APM-COLOMBO</x:v>
      </x:c>
      <x:c r="W216" s="102" t="str">
        <x:v>https://www2.apmterminals.com/en/</x:v>
      </x:c>
      <x:c r="X216" s="102" t="str">
        <x:v>Medium</x:v>
      </x:c>
      <x:c r="Y216" s="102" t="str">
        <x:v>Current APM Terminals network seed retained from v1.12; infrastructure enrichment pending.</x:v>
      </x:c>
      <x:c r="Z216" s="102" t="str"/>
    </x:row>
    <x:row r="217">
      <x:c r="A217" s="102" t="str">
        <x:v>TERM0216</x:v>
      </x:c>
      <x:c r="B217" s="102" t="str">
        <x:v>Cai Mep</x:v>
      </x:c>
      <x:c r="C217" s="102" t="str">
        <x:v>PORTG0105</x:v>
      </x:c>
      <x:c r="D217" s="102" t="str">
        <x:v>Cai Mep-Thi Vai Port</x:v>
      </x:c>
      <x:c r="E217" s="102" t="str">
        <x:v>Vietnam</x:v>
      </x:c>
      <x:c r="F217" s="102" t="str">
        <x:v>Cai Mep</x:v>
      </x:c>
      <x:c r="G217" s="102" t="str">
        <x:v>Southeast Asia</x:v>
      </x:c>
      <x:c r="H217" s="102" t="str">
        <x:v>Container terminal</x:v>
      </x:c>
      <x:c r="I217" s="102" t="str">
        <x:v>Containers / terminal cargo</x:v>
      </x:c>
      <x:c r="J217" s="102" t="str">
        <x:v>COMP_APMT</x:v>
      </x:c>
      <x:c r="K217" s="102" t="str">
        <x:v>APM Terminals / partner operator</x:v>
      </x:c>
      <x:c r="L217" s="102" t="str">
        <x:v>APM Terminals</x:v>
      </x:c>
      <x:c r="M217" s="102" t="str">
        <x:v>Operating</x:v>
      </x:c>
      <x:c r="N217" s="102" t="n">
        <x:v>2100000</x:v>
      </x:c>
      <x:c r="O217" s="102" t="n">
        <x:v>300000</x:v>
      </x:c>
      <x:c r="P217" s="102" t="n">
        <x:v>600</x:v>
      </x:c>
      <x:c r="Q217" s="102" t="n">
        <x:v>16.5</x:v>
      </x:c>
      <x:c r="R217" s="102"/>
      <x:c r="S217" s="102"/>
      <x:c r="T217" s="102" t="n">
        <x:v>840</x:v>
      </x:c>
      <x:c r="U217" s="102" t="str">
        <x:v>Cai Mep International Terminal JV / APM Terminals investment</x:v>
      </x:c>
      <x:c r="V217" s="102" t="str">
        <x:v>APM-CAI-MEP</x:v>
      </x:c>
      <x:c r="W217" s="102" t="str">
        <x:v>https://akamai.apmterminals.com/en/cai-mep/about/our-terminal</x:v>
      </x:c>
      <x:c r="X217" s="102" t="str">
        <x:v>High</x:v>
      </x:c>
      <x:c r="Y217" s="102" t="str">
        <x:v>6 Super Post-Panamax cranes, 15 RTGs, 3 reach stackers, 2 empty handlers.</x:v>
      </x:c>
      <x:c r="Z217" s="102" t="str"/>
    </x:row>
    <x:row r="218">
      <x:c r="A218" s="102" t="str">
        <x:v>TERM0217</x:v>
      </x:c>
      <x:c r="B218" s="102" t="str">
        <x:v>Rijeka Gateway</x:v>
      </x:c>
      <x:c r="C218" s="102" t="str">
        <x:v>PORTG0171</x:v>
      </x:c>
      <x:c r="D218" s="102" t="str">
        <x:v>Port of Rijeka</x:v>
      </x:c>
      <x:c r="E218" s="102" t="str">
        <x:v>Croatia</x:v>
      </x:c>
      <x:c r="F218" s="102" t="str">
        <x:v>Rijeka Gateway</x:v>
      </x:c>
      <x:c r="G218" s="102" t="str">
        <x:v>Adriatic</x:v>
      </x:c>
      <x:c r="H218" s="102" t="str">
        <x:v>Container terminal</x:v>
      </x:c>
      <x:c r="I218" s="102" t="str">
        <x:v>Containers / terminal cargo</x:v>
      </x:c>
      <x:c r="J218" s="102" t="str">
        <x:v>COMP_APMT</x:v>
      </x:c>
      <x:c r="K218" s="102" t="str">
        <x:v>APM Terminals / partner operator</x:v>
      </x:c>
      <x:c r="L218" s="102" t="str">
        <x:v>APM Terminals</x:v>
      </x:c>
      <x:c r="M218" s="102" t="str">
        <x:v>Operating / Phase 2 planned</x:v>
      </x:c>
      <x:c r="N218" s="102" t="n">
        <x:v>650000</x:v>
      </x:c>
      <x:c r="O218" s="102"/>
      <x:c r="P218" s="102" t="n">
        <x:v>400</x:v>
      </x:c>
      <x:c r="Q218" s="102" t="n">
        <x:v>20</x:v>
      </x:c>
      <x:c r="R218" s="102"/>
      <x:c r="S218" s="102" t="str">
        <x:v>Yes</x:v>
      </x:c>
      <x:c r="T218" s="102"/>
      <x:c r="U218" s="102" t="str">
        <x:v>51% APM Terminals / 49% ENNA Group</x:v>
      </x:c>
      <x:c r="V218" s="102" t="str">
        <x:v>APM-RIJEKA-GATEWAY</x:v>
      </x:c>
      <x:c r="W218" s="102" t="str">
        <x:v>https://www2.apmterminals.com/en/rijeka/about/our-terminal</x:v>
      </x:c>
      <x:c r="X218" s="102" t="str">
        <x:v>High</x:v>
      </x:c>
      <x:c r="Y218" s="102" t="str">
        <x:v>Phase 1 completed Sep 2025; Phase 2 targets 680m quay and 1.055m TEU by 2035.</x:v>
      </x:c>
      <x:c r="Z218" s="102" t="str"/>
    </x:row>
    <x:row r="219">
      <x:c r="A219" s="102" t="str">
        <x:v>TERM0218</x:v>
      </x:c>
      <x:c r="B219" s="102" t="str">
        <x:v>Aarhus</x:v>
      </x:c>
      <x:c r="C219" s="102" t="str">
        <x:v>PORTG0172</x:v>
      </x:c>
      <x:c r="D219" s="102" t="str">
        <x:v>Port of Aarhus</x:v>
      </x:c>
      <x:c r="E219" s="102" t="str">
        <x:v>Denmark</x:v>
      </x:c>
      <x:c r="F219" s="102" t="str">
        <x:v>Aarhus</x:v>
      </x:c>
      <x:c r="G219" s="102" t="str">
        <x:v>Northern Europe</x:v>
      </x:c>
      <x:c r="H219" s="102" t="str">
        <x:v>Container terminal</x:v>
      </x:c>
      <x:c r="I219" s="102" t="str">
        <x:v>Containers / terminal cargo</x:v>
      </x:c>
      <x:c r="J219" s="102" t="str">
        <x:v>COMP_APMT</x:v>
      </x:c>
      <x:c r="K219" s="102" t="str">
        <x:v>APM Terminals / partner operator</x:v>
      </x:c>
      <x:c r="L219" s="102" t="str">
        <x:v>APM Terminals</x:v>
      </x:c>
      <x:c r="M219" s="102" t="str">
        <x:v>Operating</x:v>
      </x:c>
      <x:c r="N219" s="102" t="n">
        <x:v>1000000</x:v>
      </x:c>
      <x:c r="O219" s="102"/>
      <x:c r="P219" s="102" t="n">
        <x:v>1300</x:v>
      </x:c>
      <x:c r="Q219" s="102" t="n">
        <x:v>15</x:v>
      </x:c>
      <x:c r="R219" s="102"/>
      <x:c r="S219" s="102" t="str">
        <x:v>Yes</x:v>
      </x:c>
      <x:c r="T219" s="102"/>
      <x:c r="U219" s="102" t="str">
        <x:v>APM Terminals operation</x:v>
      </x:c>
      <x:c r="V219" s="102" t="str">
        <x:v>APM-AARHUS</x:v>
      </x:c>
      <x:c r="W219" s="102" t="str">
        <x:v>https://www2.apmterminals.com/en/aarhus/about/our-terminal</x:v>
      </x:c>
      <x:c r="X219" s="102" t="str">
        <x:v>High</x:v>
      </x:c>
      <x:c r="Y219" s="102" t="str">
        <x:v>Deep-water Danish gateway.</x:v>
      </x:c>
      <x:c r="Z219" s="102" t="str"/>
    </x:row>
    <x:row r="220">
      <x:c r="A220" s="102" t="str">
        <x:v>TERM0219</x:v>
      </x:c>
      <x:c r="B220" s="102" t="str">
        <x:v>Kalundborg</x:v>
      </x:c>
      <x:c r="C220" s="102" t="str">
        <x:v>PORTG0173</x:v>
      </x:c>
      <x:c r="D220" s="102" t="str">
        <x:v>Port of Kalundborg</x:v>
      </x:c>
      <x:c r="E220" s="102" t="str">
        <x:v>Denmark</x:v>
      </x:c>
      <x:c r="F220" s="102" t="str">
        <x:v>Kalundborg</x:v>
      </x:c>
      <x:c r="G220" s="102" t="str">
        <x:v>Northern Europe</x:v>
      </x:c>
      <x:c r="H220" s="102" t="str">
        <x:v>Container terminal</x:v>
      </x:c>
      <x:c r="I220" s="102" t="str">
        <x:v>Containers / terminal cargo</x:v>
      </x:c>
      <x:c r="J220" s="102" t="str">
        <x:v>COMP_APMT</x:v>
      </x:c>
      <x:c r="K220" s="102" t="str">
        <x:v>APM Terminals / partner operator</x:v>
      </x:c>
      <x:c r="L220" s="102" t="str">
        <x:v>APM Terminals</x:v>
      </x:c>
      <x:c r="M220" s="102" t="str">
        <x:v>Operating / network</x:v>
      </x:c>
      <x:c r="N220" s="102"/>
      <x:c r="O220" s="102"/>
      <x:c r="P220" s="102"/>
      <x:c r="Q220" s="102"/>
      <x:c r="R220" s="102"/>
      <x:c r="S220" s="102"/>
      <x:c r="T220" s="102"/>
      <x:c r="U220" s="102" t="str">
        <x:v>APM Terminals network asset / partnership; detailed equity not verified in this pass</x:v>
      </x:c>
      <x:c r="V220" s="102" t="str">
        <x:v>APM-KALUNDBORG</x:v>
      </x:c>
      <x:c r="W220" s="102" t="str">
        <x:v>https://www2.apmterminals.com/en/</x:v>
      </x:c>
      <x:c r="X220" s="102" t="str">
        <x:v>Medium</x:v>
      </x:c>
      <x:c r="Y220" s="102" t="str">
        <x:v>Current APM Terminals network seed retained from v1.12; infrastructure enrichment pending.</x:v>
      </x:c>
      <x:c r="Z220" s="102" t="str"/>
    </x:row>
    <x:row r="221">
      <x:c r="A221" s="102" t="str">
        <x:v>TERM0220</x:v>
      </x:c>
      <x:c r="B221" s="102" t="str">
        <x:v>Marseille Fos</x:v>
      </x:c>
      <x:c r="C221" s="102" t="str">
        <x:v>PORTG0120</x:v>
      </x:c>
      <x:c r="D221" s="102" t="str">
        <x:v>Port of Marseille Fos</x:v>
      </x:c>
      <x:c r="E221" s="102" t="str">
        <x:v>France</x:v>
      </x:c>
      <x:c r="F221" s="102" t="str">
        <x:v>Marseille Fos</x:v>
      </x:c>
      <x:c r="G221" s="102" t="str">
        <x:v>Western Mediterranean / Europe</x:v>
      </x:c>
      <x:c r="H221" s="102" t="str">
        <x:v>Container terminal</x:v>
      </x:c>
      <x:c r="I221" s="102" t="str">
        <x:v>Containers / terminal cargo</x:v>
      </x:c>
      <x:c r="J221" s="102" t="str">
        <x:v>COMP_APMT</x:v>
      </x:c>
      <x:c r="K221" s="102" t="str">
        <x:v>APM Terminals / partner operator</x:v>
      </x:c>
      <x:c r="L221" s="102" t="str">
        <x:v>APM Terminals</x:v>
      </x:c>
      <x:c r="M221" s="102" t="str">
        <x:v>Operating / network</x:v>
      </x:c>
      <x:c r="N221" s="102"/>
      <x:c r="O221" s="102"/>
      <x:c r="P221" s="102"/>
      <x:c r="Q221" s="102"/>
      <x:c r="R221" s="102"/>
      <x:c r="S221" s="102"/>
      <x:c r="T221" s="102"/>
      <x:c r="U221" s="102" t="str">
        <x:v>APM Terminals network asset / partnership; detailed equity not verified in this pass</x:v>
      </x:c>
      <x:c r="V221" s="102" t="str">
        <x:v>APM-MARSEILLE-FOS</x:v>
      </x:c>
      <x:c r="W221" s="102" t="str">
        <x:v>https://www2.apmterminals.com/en/</x:v>
      </x:c>
      <x:c r="X221" s="102" t="str">
        <x:v>Medium</x:v>
      </x:c>
      <x:c r="Y221" s="102" t="str">
        <x:v>Current APM Terminals network seed retained from v1.12; infrastructure enrichment pending.</x:v>
      </x:c>
      <x:c r="Z221" s="102" t="str"/>
    </x:row>
    <x:row r="222">
      <x:c r="A222" s="102" t="str">
        <x:v>TERM0221</x:v>
      </x:c>
      <x:c r="B222" s="102" t="str">
        <x:v>Poti</x:v>
      </x:c>
      <x:c r="C222" s="102" t="str">
        <x:v>PORTG0174</x:v>
      </x:c>
      <x:c r="D222" s="102" t="str">
        <x:v>Port of Poti</x:v>
      </x:c>
      <x:c r="E222" s="102" t="str">
        <x:v>Georgia</x:v>
      </x:c>
      <x:c r="F222" s="102" t="str">
        <x:v>Poti</x:v>
      </x:c>
      <x:c r="G222" s="102" t="str">
        <x:v>Black Sea</x:v>
      </x:c>
      <x:c r="H222" s="102" t="str">
        <x:v>Container terminal</x:v>
      </x:c>
      <x:c r="I222" s="102" t="str">
        <x:v>Containers / terminal cargo</x:v>
      </x:c>
      <x:c r="J222" s="102" t="str">
        <x:v>COMP_APMT</x:v>
      </x:c>
      <x:c r="K222" s="102" t="str">
        <x:v>APM Terminals / partner operator</x:v>
      </x:c>
      <x:c r="L222" s="102" t="str">
        <x:v>APM Terminals</x:v>
      </x:c>
      <x:c r="M222" s="102" t="str">
        <x:v>Operating / network</x:v>
      </x:c>
      <x:c r="N222" s="102"/>
      <x:c r="O222" s="102"/>
      <x:c r="P222" s="102"/>
      <x:c r="Q222" s="102"/>
      <x:c r="R222" s="102"/>
      <x:c r="S222" s="102"/>
      <x:c r="T222" s="102"/>
      <x:c r="U222" s="102" t="str">
        <x:v>APM Terminals network asset / partnership; detailed equity not verified in this pass</x:v>
      </x:c>
      <x:c r="V222" s="102" t="str">
        <x:v>APM-POTI</x:v>
      </x:c>
      <x:c r="W222" s="102" t="str">
        <x:v>https://www2.apmterminals.com/en/</x:v>
      </x:c>
      <x:c r="X222" s="102" t="str">
        <x:v>Medium</x:v>
      </x:c>
      <x:c r="Y222" s="102" t="str">
        <x:v>Current APM Terminals network seed retained from v1.12; infrastructure enrichment pending.</x:v>
      </x:c>
      <x:c r="Z222" s="102" t="str"/>
    </x:row>
    <x:row r="223">
      <x:c r="A223" s="102" t="str">
        <x:v>TERM0222</x:v>
      </x:c>
      <x:c r="B223" s="102" t="str">
        <x:v>Bremerhaven</x:v>
      </x:c>
      <x:c r="C223" s="102" t="str">
        <x:v>PORTG0175</x:v>
      </x:c>
      <x:c r="D223" s="102" t="str">
        <x:v>Port of Bremerhaven</x:v>
      </x:c>
      <x:c r="E223" s="102" t="str">
        <x:v>Germany</x:v>
      </x:c>
      <x:c r="F223" s="102" t="str">
        <x:v>Bremerhaven</x:v>
      </x:c>
      <x:c r="G223" s="102" t="str">
        <x:v>Northern Europe</x:v>
      </x:c>
      <x:c r="H223" s="102" t="str">
        <x:v>Container terminal</x:v>
      </x:c>
      <x:c r="I223" s="102" t="str">
        <x:v>Containers / terminal cargo</x:v>
      </x:c>
      <x:c r="J223" s="102" t="str">
        <x:v>COMP_APMT</x:v>
      </x:c>
      <x:c r="K223" s="102" t="str">
        <x:v>APM Terminals / partner operator</x:v>
      </x:c>
      <x:c r="L223" s="102" t="str">
        <x:v>APM Terminals</x:v>
      </x:c>
      <x:c r="M223" s="102" t="str">
        <x:v>Operating / network</x:v>
      </x:c>
      <x:c r="N223" s="102"/>
      <x:c r="O223" s="102"/>
      <x:c r="P223" s="102"/>
      <x:c r="Q223" s="102"/>
      <x:c r="R223" s="102"/>
      <x:c r="S223" s="102"/>
      <x:c r="T223" s="102"/>
      <x:c r="U223" s="102" t="str">
        <x:v>APM Terminals network asset / partnership; detailed equity not verified in this pass</x:v>
      </x:c>
      <x:c r="V223" s="102" t="str">
        <x:v>APM-BREMERHAVEN</x:v>
      </x:c>
      <x:c r="W223" s="102" t="str">
        <x:v>https://www2.apmterminals.com/en/</x:v>
      </x:c>
      <x:c r="X223" s="102" t="str">
        <x:v>Medium</x:v>
      </x:c>
      <x:c r="Y223" s="102" t="str">
        <x:v>Current APM Terminals network seed retained from v1.12; infrastructure enrichment pending.</x:v>
      </x:c>
      <x:c r="Z223" s="102" t="str"/>
    </x:row>
    <x:row r="224">
      <x:c r="A224" s="102" t="str">
        <x:v>TERM0223</x:v>
      </x:c>
      <x:c r="B224" s="102" t="str">
        <x:v>Vado Ligure</x:v>
      </x:c>
      <x:c r="C224" s="102" t="str">
        <x:v>PORTG0176</x:v>
      </x:c>
      <x:c r="D224" s="102" t="str">
        <x:v>Port of Vado Ligure</x:v>
      </x:c>
      <x:c r="E224" s="102" t="str">
        <x:v>Italy</x:v>
      </x:c>
      <x:c r="F224" s="102" t="str">
        <x:v>Vado Ligure</x:v>
      </x:c>
      <x:c r="G224" s="102" t="str">
        <x:v>Western Mediterranean</x:v>
      </x:c>
      <x:c r="H224" s="102" t="str">
        <x:v>Container terminal</x:v>
      </x:c>
      <x:c r="I224" s="102" t="str">
        <x:v>Containers / terminal cargo</x:v>
      </x:c>
      <x:c r="J224" s="102" t="str">
        <x:v>COMP_APMT</x:v>
      </x:c>
      <x:c r="K224" s="102" t="str">
        <x:v>APM Terminals / partner operator</x:v>
      </x:c>
      <x:c r="L224" s="102" t="str">
        <x:v>APM Terminals</x:v>
      </x:c>
      <x:c r="M224" s="102" t="str">
        <x:v>Operating</x:v>
      </x:c>
      <x:c r="N224" s="102" t="n">
        <x:v>250000</x:v>
      </x:c>
      <x:c r="O224" s="102"/>
      <x:c r="P224" s="102" t="n">
        <x:v>470</x:v>
      </x:c>
      <x:c r="Q224" s="102" t="n">
        <x:v>14.1</x:v>
      </x:c>
      <x:c r="R224" s="102" t="n">
        <x:v>3</x:v>
      </x:c>
      <x:c r="S224" s="102" t="str">
        <x:v>Yes</x:v>
      </x:c>
      <x:c r="T224" s="102" t="n">
        <x:v>500</x:v>
      </x:c>
      <x:c r="U224" s="102" t="str">
        <x:v>APM Terminals Vado port system</x:v>
      </x:c>
      <x:c r="V224" s="102" t="str">
        <x:v>APM-VADO-LIGURE</x:v>
      </x:c>
      <x:c r="W224" s="102" t="str">
        <x:v>https://akamai.apmterminals.com/en/vado-ligure/about/our-terminal</x:v>
      </x:c>
      <x:c r="X224" s="102" t="str">
        <x:v>High</x:v>
      </x:c>
      <x:c r="Y224" s="102" t="str">
        <x:v>Reefer Terminal figures shown here; complex also includes semi-automated Vado Gateway and Ro-Ro berth.</x:v>
      </x:c>
      <x:c r="Z224" s="102" t="str"/>
    </x:row>
    <x:row r="225">
      <x:c r="A225" s="102" t="str">
        <x:v>TERM0224</x:v>
      </x:c>
      <x:c r="B225" s="102" t="str">
        <x:v>Rotterdam Maasvlakte II</x:v>
      </x:c>
      <x:c r="C225" s="102" t="str">
        <x:v>PORTG0020</x:v>
      </x:c>
      <x:c r="D225" s="102" t="str">
        <x:v>Port of Rotterdam</x:v>
      </x:c>
      <x:c r="E225" s="102" t="str">
        <x:v>Netherlands</x:v>
      </x:c>
      <x:c r="F225" s="102" t="str">
        <x:v>Rotterdam Maasvlakte II</x:v>
      </x:c>
      <x:c r="G225" s="102" t="str">
        <x:v>Northern Europe</x:v>
      </x:c>
      <x:c r="H225" s="102" t="str">
        <x:v>Container terminal</x:v>
      </x:c>
      <x:c r="I225" s="102" t="str">
        <x:v>Containers / terminal cargo</x:v>
      </x:c>
      <x:c r="J225" s="102" t="str">
        <x:v>COMP_APMT</x:v>
      </x:c>
      <x:c r="K225" s="102" t="str">
        <x:v>APM Terminals / partner operator</x:v>
      </x:c>
      <x:c r="L225" s="102" t="str">
        <x:v>APM Terminals</x:v>
      </x:c>
      <x:c r="M225" s="102" t="str">
        <x:v>Operating / major expansion</x:v>
      </x:c>
      <x:c r="N225" s="102" t="n">
        <x:v>5400000</x:v>
      </x:c>
      <x:c r="O225" s="102"/>
      <x:c r="P225" s="102" t="n">
        <x:v>2000</x:v>
      </x:c>
      <x:c r="Q225" s="102"/>
      <x:c r="R225" s="102"/>
      <x:c r="S225" s="102" t="str">
        <x:v>Yes</x:v>
      </x:c>
      <x:c r="T225" s="102"/>
      <x:c r="U225" s="102" t="str">
        <x:v>APM Terminals operator; Hapag-Lloyd 25% stake agreement pending approval</x:v>
      </x:c>
      <x:c r="V225" s="102" t="str">
        <x:v>APM-ROTTERDAM-MAASVLAKTE-II</x:v>
      </x:c>
      <x:c r="W225" s="102" t="str">
        <x:v>https://www2.apmterminals.com/en/news/news-releases/2026/260819-APMTerminals-and-Hapag-Lloyd-partner-at-Maasvlakte-II</x:v>
      </x:c>
      <x:c r="X225" s="102" t="str">
        <x:v>High</x:v>
      </x:c>
      <x:c r="Y225" s="102" t="str">
        <x:v>Current expansion adds 1,000m deep-sea berth, four rail tracks and more automation; capacity target 5.4m TEU.</x:v>
      </x:c>
      <x:c r="Z225" s="102" t="str"/>
    </x:row>
    <x:row r="226">
      <x:c r="A226" s="102" t="str">
        <x:v>TERM0225</x:v>
      </x:c>
      <x:c r="B226" s="102" t="str">
        <x:v>Algeciras</x:v>
      </x:c>
      <x:c r="C226" s="102" t="str">
        <x:v>PORTG0103</x:v>
      </x:c>
      <x:c r="D226" s="102" t="str">
        <x:v>Port of Algeciras</x:v>
      </x:c>
      <x:c r="E226" s="102" t="str">
        <x:v>Spain</x:v>
      </x:c>
      <x:c r="F226" s="102" t="str">
        <x:v>Algeciras</x:v>
      </x:c>
      <x:c r="G226" s="102" t="str">
        <x:v>Western Mediterranean / Atlantic Europe</x:v>
      </x:c>
      <x:c r="H226" s="102" t="str">
        <x:v>Container terminal</x:v>
      </x:c>
      <x:c r="I226" s="102" t="str">
        <x:v>Containers / terminal cargo</x:v>
      </x:c>
      <x:c r="J226" s="102" t="str">
        <x:v>COMP_APMT</x:v>
      </x:c>
      <x:c r="K226" s="102" t="str">
        <x:v>APM Terminals / partner operator</x:v>
      </x:c>
      <x:c r="L226" s="102" t="str">
        <x:v>APM Terminals</x:v>
      </x:c>
      <x:c r="M226" s="102" t="str">
        <x:v>Operating / network</x:v>
      </x:c>
      <x:c r="N226" s="102"/>
      <x:c r="O226" s="102"/>
      <x:c r="P226" s="102"/>
      <x:c r="Q226" s="102"/>
      <x:c r="R226" s="102"/>
      <x:c r="S226" s="102"/>
      <x:c r="T226" s="102"/>
      <x:c r="U226" s="102" t="str">
        <x:v>APM Terminals network asset / partnership; detailed equity not verified in this pass</x:v>
      </x:c>
      <x:c r="V226" s="102" t="str">
        <x:v>APM-ALGECIRAS</x:v>
      </x:c>
      <x:c r="W226" s="102" t="str">
        <x:v>https://www2.apmterminals.com/en/</x:v>
      </x:c>
      <x:c r="X226" s="102" t="str">
        <x:v>Medium</x:v>
      </x:c>
      <x:c r="Y226" s="102" t="str">
        <x:v>Current APM Terminals network seed retained from v1.12; infrastructure enrichment pending.</x:v>
      </x:c>
      <x:c r="Z226" s="102" t="str"/>
    </x:row>
    <x:row r="227">
      <x:c r="A227" s="102" t="str">
        <x:v>TERM0226</x:v>
      </x:c>
      <x:c r="B227" s="102" t="str">
        <x:v>Barcelona</x:v>
      </x:c>
      <x:c r="C227" s="102" t="str">
        <x:v>PORTG0096</x:v>
      </x:c>
      <x:c r="D227" s="102" t="str">
        <x:v>Port of Barcelona</x:v>
      </x:c>
      <x:c r="E227" s="102" t="str">
        <x:v>Spain</x:v>
      </x:c>
      <x:c r="F227" s="102" t="str">
        <x:v>Barcelona</x:v>
      </x:c>
      <x:c r="G227" s="102" t="str">
        <x:v>Western Mediterranean / Atlantic Europe</x:v>
      </x:c>
      <x:c r="H227" s="102" t="str">
        <x:v>Container terminal</x:v>
      </x:c>
      <x:c r="I227" s="102" t="str">
        <x:v>Containers / terminal cargo</x:v>
      </x:c>
      <x:c r="J227" s="102" t="str">
        <x:v>COMP_APMT</x:v>
      </x:c>
      <x:c r="K227" s="102" t="str">
        <x:v>APM Terminals / partner operator</x:v>
      </x:c>
      <x:c r="L227" s="102" t="str">
        <x:v>APM Terminals</x:v>
      </x:c>
      <x:c r="M227" s="102" t="str">
        <x:v>Operating / network</x:v>
      </x:c>
      <x:c r="N227" s="102"/>
      <x:c r="O227" s="102"/>
      <x:c r="P227" s="102"/>
      <x:c r="Q227" s="102"/>
      <x:c r="R227" s="102"/>
      <x:c r="S227" s="102"/>
      <x:c r="T227" s="102"/>
      <x:c r="U227" s="102" t="str">
        <x:v>APM Terminals network asset / partnership; detailed equity not verified in this pass</x:v>
      </x:c>
      <x:c r="V227" s="102" t="str">
        <x:v>APM-BARCELONA</x:v>
      </x:c>
      <x:c r="W227" s="102" t="str">
        <x:v>https://www2.apmterminals.com/en/</x:v>
      </x:c>
      <x:c r="X227" s="102" t="str">
        <x:v>Medium</x:v>
      </x:c>
      <x:c r="Y227" s="102" t="str">
        <x:v>Current APM Terminals network seed retained from v1.12; infrastructure enrichment pending.</x:v>
      </x:c>
      <x:c r="Z227" s="102" t="str"/>
    </x:row>
    <x:row r="228">
      <x:c r="A228" s="102" t="str">
        <x:v>TERM0227</x:v>
      </x:c>
      <x:c r="B228" s="102" t="str">
        <x:v>Gijón</x:v>
      </x:c>
      <x:c r="C228" s="102" t="str">
        <x:v>PORTG0177</x:v>
      </x:c>
      <x:c r="D228" s="102" t="str">
        <x:v>Port of Gijón</x:v>
      </x:c>
      <x:c r="E228" s="102" t="str">
        <x:v>Spain</x:v>
      </x:c>
      <x:c r="F228" s="102" t="str">
        <x:v>Gijón</x:v>
      </x:c>
      <x:c r="G228" s="102" t="str">
        <x:v>Western Mediterranean / Atlantic Europe</x:v>
      </x:c>
      <x:c r="H228" s="102" t="str">
        <x:v>Container terminal</x:v>
      </x:c>
      <x:c r="I228" s="102" t="str">
        <x:v>Containers / terminal cargo</x:v>
      </x:c>
      <x:c r="J228" s="102" t="str">
        <x:v>COMP_APMT</x:v>
      </x:c>
      <x:c r="K228" s="102" t="str">
        <x:v>APM Terminals / partner operator</x:v>
      </x:c>
      <x:c r="L228" s="102" t="str">
        <x:v>APM Terminals</x:v>
      </x:c>
      <x:c r="M228" s="102" t="str">
        <x:v>Operating / network</x:v>
      </x:c>
      <x:c r="N228" s="102"/>
      <x:c r="O228" s="102"/>
      <x:c r="P228" s="102"/>
      <x:c r="Q228" s="102"/>
      <x:c r="R228" s="102"/>
      <x:c r="S228" s="102"/>
      <x:c r="T228" s="102"/>
      <x:c r="U228" s="102" t="str">
        <x:v>APM Terminals network asset / partnership; detailed equity not verified in this pass</x:v>
      </x:c>
      <x:c r="V228" s="102" t="str">
        <x:v>APM-GIJÓN</x:v>
      </x:c>
      <x:c r="W228" s="102" t="str">
        <x:v>https://www2.apmterminals.com/en/</x:v>
      </x:c>
      <x:c r="X228" s="102" t="str">
        <x:v>Medium</x:v>
      </x:c>
      <x:c r="Y228" s="102" t="str">
        <x:v>Current APM Terminals network seed retained from v1.12; infrastructure enrichment pending.</x:v>
      </x:c>
      <x:c r="Z228" s="102" t="str"/>
    </x:row>
    <x:row r="229">
      <x:c r="A229" s="102" t="str">
        <x:v>TERM0228</x:v>
      </x:c>
      <x:c r="B229" s="102" t="str">
        <x:v>Valencia</x:v>
      </x:c>
      <x:c r="C229" s="102" t="str">
        <x:v>PORTG0102</x:v>
      </x:c>
      <x:c r="D229" s="102" t="str">
        <x:v>Port of Valencia</x:v>
      </x:c>
      <x:c r="E229" s="102" t="str">
        <x:v>Spain</x:v>
      </x:c>
      <x:c r="F229" s="102" t="str">
        <x:v>Valencia</x:v>
      </x:c>
      <x:c r="G229" s="102" t="str">
        <x:v>Western Mediterranean / Atlantic Europe</x:v>
      </x:c>
      <x:c r="H229" s="102" t="str">
        <x:v>Container terminal</x:v>
      </x:c>
      <x:c r="I229" s="102" t="str">
        <x:v>Containers / terminal cargo</x:v>
      </x:c>
      <x:c r="J229" s="102" t="str">
        <x:v>COMP_APMT</x:v>
      </x:c>
      <x:c r="K229" s="102" t="str">
        <x:v>APM Terminals / partner operator</x:v>
      </x:c>
      <x:c r="L229" s="102" t="str">
        <x:v>APM Terminals</x:v>
      </x:c>
      <x:c r="M229" s="102" t="str">
        <x:v>Operating / electrification upgrade</x:v>
      </x:c>
      <x:c r="N229" s="102"/>
      <x:c r="O229" s="102"/>
      <x:c r="P229" s="102"/>
      <x:c r="Q229" s="102" t="n">
        <x:v>16.5</x:v>
      </x:c>
      <x:c r="R229" s="102"/>
      <x:c r="S229" s="102"/>
      <x:c r="T229" s="102"/>
      <x:c r="U229" s="102" t="str">
        <x:v>APM Terminals concession extended to 2049</x:v>
      </x:c>
      <x:c r="V229" s="102" t="str">
        <x:v>APM-VALENCIA</x:v>
      </x:c>
      <x:c r="W229" s="102" t="str">
        <x:v>https://www2.apmterminals.com/en/news/news-releases/2026/260422-APM-Terminals-invests-in-upgrade-and-extends-partnership</x:v>
      </x:c>
      <x:c r="X229" s="102" t="str">
        <x:v>High</x:v>
      </x:c>
      <x:c r="Y229" s="102" t="str">
        <x:v>2026 investment adapts Levante Quay for E/EEE class vessels and drafts up to 16.5m.</x:v>
      </x:c>
      <x:c r="Z229" s="102" t="str"/>
    </x:row>
    <x:row r="230">
      <x:c r="A230" s="102" t="str">
        <x:v>TERM0229</x:v>
      </x:c>
      <x:c r="B230" s="102" t="str">
        <x:v>Gothenburg</x:v>
      </x:c>
      <x:c r="C230" s="102" t="str">
        <x:v>PORTG0178</x:v>
      </x:c>
      <x:c r="D230" s="102" t="str">
        <x:v>Port of Gothenburg</x:v>
      </x:c>
      <x:c r="E230" s="102" t="str">
        <x:v>Sweden</x:v>
      </x:c>
      <x:c r="F230" s="102" t="str">
        <x:v>Gothenburg</x:v>
      </x:c>
      <x:c r="G230" s="102" t="str">
        <x:v>Northern Europe</x:v>
      </x:c>
      <x:c r="H230" s="102" t="str">
        <x:v>Container terminal</x:v>
      </x:c>
      <x:c r="I230" s="102" t="str">
        <x:v>Containers / terminal cargo</x:v>
      </x:c>
      <x:c r="J230" s="102" t="str">
        <x:v>COMP_APMT</x:v>
      </x:c>
      <x:c r="K230" s="102" t="str">
        <x:v>APM Terminals / partner operator</x:v>
      </x:c>
      <x:c r="L230" s="102" t="str">
        <x:v>APM Terminals</x:v>
      </x:c>
      <x:c r="M230" s="102" t="str">
        <x:v>Operating</x:v>
      </x:c>
      <x:c r="N230" s="102"/>
      <x:c r="O230" s="102" t="n">
        <x:v>800000</x:v>
      </x:c>
      <x:c r="P230" s="102" t="n">
        <x:v>1800</x:v>
      </x:c>
      <x:c r="Q230" s="102" t="n">
        <x:v>14.2</x:v>
      </x:c>
      <x:c r="R230" s="102"/>
      <x:c r="S230" s="102" t="str">
        <x:v>Yes</x:v>
      </x:c>
      <x:c r="T230" s="102"/>
      <x:c r="U230" s="102" t="str">
        <x:v>APM Terminals operation</x:v>
      </x:c>
      <x:c r="V230" s="102" t="str">
        <x:v>APM-GOTHENBURG</x:v>
      </x:c>
      <x:c r="W230" s="102" t="str">
        <x:v>https://www2.apmterminals.com/en/gothenburg/about/our-terminal</x:v>
      </x:c>
      <x:c r="X230" s="102" t="str">
        <x:v>High</x:v>
      </x:c>
      <x:c r="Y230" s="102" t="str">
        <x:v>Six rail tracks totaling about 2,250m; Super Post-Panamax STS capability.</x:v>
      </x:c>
      <x:c r="Z230" s="102" t="str"/>
    </x:row>
    <x:row r="231">
      <x:c r="A231" s="102" t="str">
        <x:v>TERM0230</x:v>
      </x:c>
      <x:c r="B231" s="102" t="str">
        <x:v>Izmir</x:v>
      </x:c>
      <x:c r="C231" s="102" t="str">
        <x:v>PORTG0179</x:v>
      </x:c>
      <x:c r="D231" s="102" t="str">
        <x:v>Port of Aliağa / İzmir</x:v>
      </x:c>
      <x:c r="E231" s="102" t="str">
        <x:v>Turkey</x:v>
      </x:c>
      <x:c r="F231" s="102" t="str">
        <x:v>Izmir</x:v>
      </x:c>
      <x:c r="G231" s="102" t="str">
        <x:v>Eastern Mediterranean</x:v>
      </x:c>
      <x:c r="H231" s="102" t="str">
        <x:v>Container terminal</x:v>
      </x:c>
      <x:c r="I231" s="102" t="str">
        <x:v>Containers / terminal cargo</x:v>
      </x:c>
      <x:c r="J231" s="102" t="str">
        <x:v>COMP_APMT</x:v>
      </x:c>
      <x:c r="K231" s="102" t="str">
        <x:v>APM Terminals / partner operator</x:v>
      </x:c>
      <x:c r="L231" s="102" t="str">
        <x:v>APM Terminals</x:v>
      </x:c>
      <x:c r="M231" s="102" t="str">
        <x:v>Operating / managed</x:v>
      </x:c>
      <x:c r="N231" s="102" t="n">
        <x:v>1500000</x:v>
      </x:c>
      <x:c r="O231" s="102" t="n">
        <x:v>420000</x:v>
      </x:c>
      <x:c r="P231" s="102" t="n">
        <x:v>700</x:v>
      </x:c>
      <x:c r="Q231" s="102" t="n">
        <x:v>18</x:v>
      </x:c>
      <x:c r="R231" s="102"/>
      <x:c r="S231" s="102"/>
      <x:c r="T231" s="102"/>
      <x:c r="U231" s="102" t="str">
        <x:v>APM Terminals long-term management; no current equity after 2018 divestment</x:v>
      </x:c>
      <x:c r="V231" s="102" t="str">
        <x:v>APM-IZMIR</x:v>
      </x:c>
      <x:c r="W231" s="102" t="str">
        <x:v>https://www2.apmterminals.com/en/izmir/about/our-terminal</x:v>
      </x:c>
      <x:c r="X231" s="102" t="str">
        <x:v>High</x:v>
      </x:c>
      <x:c r="Y231" s="102" t="str">
        <x:v>SOCAR Terminal; 42ha terminal plus external area.</x:v>
      </x:c>
      <x:c r="Z231" s="102" t="str"/>
    </x:row>
    <x:row r="232">
      <x:c r="A232" s="102" t="str">
        <x:v>TERM0231</x:v>
      </x:c>
      <x:c r="B232" s="102" t="str">
        <x:v>Buenos Aires</x:v>
      </x:c>
      <x:c r="C232" s="102" t="str">
        <x:v>PORTG0048</x:v>
      </x:c>
      <x:c r="D232" s="102" t="str">
        <x:v>Port of Buenos Aires</x:v>
      </x:c>
      <x:c r="E232" s="102" t="str">
        <x:v>Argentina</x:v>
      </x:c>
      <x:c r="F232" s="102" t="str">
        <x:v>Buenos Aires</x:v>
      </x:c>
      <x:c r="G232" s="102" t="str">
        <x:v>South America Atlantic</x:v>
      </x:c>
      <x:c r="H232" s="102" t="str">
        <x:v>Container terminal</x:v>
      </x:c>
      <x:c r="I232" s="102" t="str">
        <x:v>Containers / terminal cargo</x:v>
      </x:c>
      <x:c r="J232" s="102" t="str">
        <x:v>COMP_APMT</x:v>
      </x:c>
      <x:c r="K232" s="102" t="str">
        <x:v>APM Terminals / partner operator</x:v>
      </x:c>
      <x:c r="L232" s="102" t="str">
        <x:v>APM Terminals</x:v>
      </x:c>
      <x:c r="M232" s="102" t="str">
        <x:v>Operating</x:v>
      </x:c>
      <x:c r="N232" s="102" t="n">
        <x:v>850000</x:v>
      </x:c>
      <x:c r="O232" s="102" t="n">
        <x:v>160000</x:v>
      </x:c>
      <x:c r="P232" s="102" t="n">
        <x:v>495</x:v>
      </x:c>
      <x:c r="Q232" s="102" t="n">
        <x:v>10.3</x:v>
      </x:c>
      <x:c r="R232" s="102" t="n">
        <x:v>2</x:v>
      </x:c>
      <x:c r="S232" s="102"/>
      <x:c r="T232" s="102" t="n">
        <x:v>600</x:v>
      </x:c>
      <x:c r="U232" s="102" t="str">
        <x:v>Terminal 4 / APM Terminals</x:v>
      </x:c>
      <x:c r="V232" s="102" t="str">
        <x:v>APM-BUENOS-AIRES</x:v>
      </x:c>
      <x:c r="W232" s="102" t="str">
        <x:v>https://akamai.apmterminals.com/en/buenos-aires/about/our-terminal</x:v>
      </x:c>
      <x:c r="X232" s="102" t="str">
        <x:v>High</x:v>
      </x:c>
      <x:c r="Y232" s="102" t="str">
        <x:v>5 mobile cranes and 6 RTGs; two berths.</x:v>
      </x:c>
      <x:c r="Z232" s="102" t="str"/>
    </x:row>
    <x:row r="233">
      <x:c r="A233" s="102" t="str">
        <x:v>TERM0232</x:v>
      </x:c>
      <x:c r="B233" s="102" t="str">
        <x:v>Itapoá</x:v>
      </x:c>
      <x:c r="C233" s="102" t="str">
        <x:v>PORTG0180</x:v>
      </x:c>
      <x:c r="D233" s="102" t="str">
        <x:v>Port of Itapoá</x:v>
      </x:c>
      <x:c r="E233" s="102" t="str">
        <x:v>Brazil</x:v>
      </x:c>
      <x:c r="F233" s="102" t="str">
        <x:v>Itapoá</x:v>
      </x:c>
      <x:c r="G233" s="102" t="str">
        <x:v>South America Atlantic</x:v>
      </x:c>
      <x:c r="H233" s="102" t="str">
        <x:v>Container terminal</x:v>
      </x:c>
      <x:c r="I233" s="102" t="str">
        <x:v>Containers / terminal cargo</x:v>
      </x:c>
      <x:c r="J233" s="102" t="str">
        <x:v>COMP_APMT</x:v>
      </x:c>
      <x:c r="K233" s="102" t="str">
        <x:v>APM Terminals / partner operator</x:v>
      </x:c>
      <x:c r="L233" s="102" t="str">
        <x:v>APM Terminals</x:v>
      </x:c>
      <x:c r="M233" s="102" t="str">
        <x:v>Operating / network</x:v>
      </x:c>
      <x:c r="N233" s="102"/>
      <x:c r="O233" s="102"/>
      <x:c r="P233" s="102"/>
      <x:c r="Q233" s="102"/>
      <x:c r="R233" s="102"/>
      <x:c r="S233" s="102"/>
      <x:c r="T233" s="102"/>
      <x:c r="U233" s="102" t="str">
        <x:v>APM Terminals network asset / partnership; detailed equity not verified in this pass</x:v>
      </x:c>
      <x:c r="V233" s="102" t="str">
        <x:v>APM-ITAPOÁ</x:v>
      </x:c>
      <x:c r="W233" s="102" t="str">
        <x:v>https://www2.apmterminals.com/en/</x:v>
      </x:c>
      <x:c r="X233" s="102" t="str">
        <x:v>Medium</x:v>
      </x:c>
      <x:c r="Y233" s="102" t="str">
        <x:v>Current APM Terminals network seed retained from v1.12; infrastructure enrichment pending.</x:v>
      </x:c>
      <x:c r="Z233" s="102" t="str"/>
    </x:row>
    <x:row r="234">
      <x:c r="A234" s="102" t="str">
        <x:v>TERM0233</x:v>
      </x:c>
      <x:c r="B234" s="102" t="str">
        <x:v>Pecém</x:v>
      </x:c>
      <x:c r="C234" s="102" t="str">
        <x:v>PORTG0181</x:v>
      </x:c>
      <x:c r="D234" s="102" t="str">
        <x:v>Port of Pecém</x:v>
      </x:c>
      <x:c r="E234" s="102" t="str">
        <x:v>Brazil</x:v>
      </x:c>
      <x:c r="F234" s="102" t="str">
        <x:v>Pecém</x:v>
      </x:c>
      <x:c r="G234" s="102" t="str">
        <x:v>South America Atlantic</x:v>
      </x:c>
      <x:c r="H234" s="102" t="str">
        <x:v>Container terminal</x:v>
      </x:c>
      <x:c r="I234" s="102" t="str">
        <x:v>Containers / terminal cargo</x:v>
      </x:c>
      <x:c r="J234" s="102" t="str">
        <x:v>COMP_APMT</x:v>
      </x:c>
      <x:c r="K234" s="102" t="str">
        <x:v>APM Terminals / partner operator</x:v>
      </x:c>
      <x:c r="L234" s="102" t="str">
        <x:v>APM Terminals</x:v>
      </x:c>
      <x:c r="M234" s="102" t="str">
        <x:v>Operating</x:v>
      </x:c>
      <x:c r="N234" s="102" t="n">
        <x:v>556793</x:v>
      </x:c>
      <x:c r="O234" s="102" t="n">
        <x:v>380000</x:v>
      </x:c>
      <x:c r="P234" s="102" t="n">
        <x:v>760</x:v>
      </x:c>
      <x:c r="Q234" s="102" t="n">
        <x:v>15.3</x:v>
      </x:c>
      <x:c r="R234" s="102" t="n">
        <x:v>2</x:v>
      </x:c>
      <x:c r="S234" s="102" t="str">
        <x:v>Yes</x:v>
      </x:c>
      <x:c r="T234" s="102" t="n">
        <x:v>1388</x:v>
      </x:c>
      <x:c r="U234" s="102" t="str">
        <x:v>APM Terminals operation/management</x:v>
      </x:c>
      <x:c r="V234" s="102" t="str">
        <x:v>APM-PECÉM</x:v>
      </x:c>
      <x:c r="W234" s="102" t="str">
        <x:v>https://www2.apmterminals.com/en/pecem/about/our-terminal</x:v>
      </x:c>
      <x:c r="X234" s="102" t="str">
        <x:v>High</x:v>
      </x:c>
      <x:c r="Y234" s="102" t="str">
        <x:v>3 STS cranes, 14 reach stackers, 700m on-dock rail.</x:v>
      </x:c>
      <x:c r="Z234" s="102" t="str"/>
    </x:row>
    <x:row r="235">
      <x:c r="A235" s="102" t="str">
        <x:v>TERM0234</x:v>
      </x:c>
      <x:c r="B235" s="102" t="str">
        <x:v>Buenaventura</x:v>
      </x:c>
      <x:c r="C235" s="102" t="str">
        <x:v>PORTG0182</x:v>
      </x:c>
      <x:c r="D235" s="102" t="str">
        <x:v>Port of Buenaventura</x:v>
      </x:c>
      <x:c r="E235" s="102" t="str">
        <x:v>Colombia</x:v>
      </x:c>
      <x:c r="F235" s="102" t="str">
        <x:v>Buenaventura</x:v>
      </x:c>
      <x:c r="G235" s="102" t="str">
        <x:v>South America Pacific</x:v>
      </x:c>
      <x:c r="H235" s="102" t="str">
        <x:v>Container terminal</x:v>
      </x:c>
      <x:c r="I235" s="102" t="str">
        <x:v>Containers / terminal cargo</x:v>
      </x:c>
      <x:c r="J235" s="102" t="str">
        <x:v>COMP_APMT</x:v>
      </x:c>
      <x:c r="K235" s="102" t="str">
        <x:v>APM Terminals / partner operator</x:v>
      </x:c>
      <x:c r="L235" s="102" t="str">
        <x:v>APM Terminals</x:v>
      </x:c>
      <x:c r="M235" s="102" t="str">
        <x:v>Operating / network</x:v>
      </x:c>
      <x:c r="N235" s="102"/>
      <x:c r="O235" s="102"/>
      <x:c r="P235" s="102"/>
      <x:c r="Q235" s="102"/>
      <x:c r="R235" s="102"/>
      <x:c r="S235" s="102"/>
      <x:c r="T235" s="102"/>
      <x:c r="U235" s="102" t="str">
        <x:v>APM Terminals network asset / partnership; detailed equity not verified in this pass</x:v>
      </x:c>
      <x:c r="V235" s="102" t="str">
        <x:v>APM-BUENAVENTURA</x:v>
      </x:c>
      <x:c r="W235" s="102" t="str">
        <x:v>https://www2.apmterminals.com/en/</x:v>
      </x:c>
      <x:c r="X235" s="102" t="str">
        <x:v>Medium</x:v>
      </x:c>
      <x:c r="Y235" s="102" t="str">
        <x:v>Current APM Terminals network seed retained from v1.12; infrastructure enrichment pending.</x:v>
      </x:c>
      <x:c r="Z235" s="102" t="str"/>
    </x:row>
    <x:row r="236">
      <x:c r="A236" s="102" t="str">
        <x:v>TERM0235</x:v>
      </x:c>
      <x:c r="B236" s="102" t="str">
        <x:v>Moín</x:v>
      </x:c>
      <x:c r="C236" s="102" t="str">
        <x:v>PORTG0183</x:v>
      </x:c>
      <x:c r="D236" s="102" t="str">
        <x:v>Port of Moín</x:v>
      </x:c>
      <x:c r="E236" s="102" t="str">
        <x:v>Costa Rica</x:v>
      </x:c>
      <x:c r="F236" s="102" t="str">
        <x:v>Moín</x:v>
      </x:c>
      <x:c r="G236" s="102" t="str">
        <x:v>Caribbean</x:v>
      </x:c>
      <x:c r="H236" s="102" t="str">
        <x:v>Container terminal</x:v>
      </x:c>
      <x:c r="I236" s="102" t="str">
        <x:v>Containers / terminal cargo</x:v>
      </x:c>
      <x:c r="J236" s="102" t="str">
        <x:v>COMP_APMT</x:v>
      </x:c>
      <x:c r="K236" s="102" t="str">
        <x:v>APM Terminals / partner operator</x:v>
      </x:c>
      <x:c r="L236" s="102" t="str">
        <x:v>APM Terminals</x:v>
      </x:c>
      <x:c r="M236" s="102" t="str">
        <x:v>Operating</x:v>
      </x:c>
      <x:c r="N236" s="102" t="n">
        <x:v>1200000</x:v>
      </x:c>
      <x:c r="O236" s="102" t="n">
        <x:v>400000</x:v>
      </x:c>
      <x:c r="P236" s="102" t="n">
        <x:v>650</x:v>
      </x:c>
      <x:c r="Q236" s="102" t="n">
        <x:v>14.5</x:v>
      </x:c>
      <x:c r="R236" s="102"/>
      <x:c r="S236" s="102"/>
      <x:c r="T236" s="102" t="n">
        <x:v>3933</x:v>
      </x:c>
      <x:c r="U236" s="102" t="str">
        <x:v>APM Terminals concession</x:v>
      </x:c>
      <x:c r="V236" s="102" t="str">
        <x:v>APM-MOÍN</x:v>
      </x:c>
      <x:c r="W236" s="102" t="str">
        <x:v>https://www2.apmterminals.com/en/moin/about/our-terminal</x:v>
      </x:c>
      <x:c r="X236" s="102" t="str">
        <x:v>High</x:v>
      </x:c>
      <x:c r="Y236" s="102" t="str">
        <x:v>6 Super Post-Panamax cranes and 29 eRTGs; channel depth 18m.</x:v>
      </x:c>
      <x:c r="Z236" s="102" t="str"/>
    </x:row>
    <x:row r="237">
      <x:c r="A237" s="102" t="str">
        <x:v>TERM0236</x:v>
      </x:c>
      <x:c r="B237" s="102" t="str">
        <x:v>Puerto Quetzal</x:v>
      </x:c>
      <x:c r="C237" s="102" t="str">
        <x:v>PORTG0184</x:v>
      </x:c>
      <x:c r="D237" s="102" t="str">
        <x:v>Puerto Quetzal</x:v>
      </x:c>
      <x:c r="E237" s="102" t="str">
        <x:v>Guatemala</x:v>
      </x:c>
      <x:c r="F237" s="102" t="str">
        <x:v>Puerto Quetzal</x:v>
      </x:c>
      <x:c r="G237" s="102" t="str">
        <x:v>Central America Pacific</x:v>
      </x:c>
      <x:c r="H237" s="102" t="str">
        <x:v>Container terminal</x:v>
      </x:c>
      <x:c r="I237" s="102" t="str">
        <x:v>Containers / terminal cargo</x:v>
      </x:c>
      <x:c r="J237" s="102" t="str">
        <x:v>COMP_APMT</x:v>
      </x:c>
      <x:c r="K237" s="102" t="str">
        <x:v>APM Terminals / partner operator</x:v>
      </x:c>
      <x:c r="L237" s="102" t="str">
        <x:v>APM Terminals</x:v>
      </x:c>
      <x:c r="M237" s="102" t="str">
        <x:v>Operating</x:v>
      </x:c>
      <x:c r="N237" s="102" t="n">
        <x:v>340000</x:v>
      </x:c>
      <x:c r="O237" s="102"/>
      <x:c r="P237" s="102" t="n">
        <x:v>350</x:v>
      </x:c>
      <x:c r="Q237" s="102" t="n">
        <x:v>14.5</x:v>
      </x:c>
      <x:c r="R237" s="102"/>
      <x:c r="S237" s="102"/>
      <x:c r="T237" s="102" t="n">
        <x:v>610</x:v>
      </x:c>
      <x:c r="U237" s="102" t="str">
        <x:v>APM Terminals operation</x:v>
      </x:c>
      <x:c r="V237" s="102" t="str">
        <x:v>APM-PUERTO-QUETZAL</x:v>
      </x:c>
      <x:c r="W237" s="102" t="str">
        <x:v>https://www2.apmterminals.com/en/puerto-quetzal/about/our-terminal</x:v>
      </x:c>
      <x:c r="X237" s="102" t="str">
        <x:v>High</x:v>
      </x:c>
      <x:c r="Y237" s="102" t="str">
        <x:v>3 Super Post-Panamax STS cranes.</x:v>
      </x:c>
      <x:c r="Z237" s="102" t="str"/>
    </x:row>
    <x:row r="238">
      <x:c r="A238" s="102" t="str">
        <x:v>TERM0237</x:v>
      </x:c>
      <x:c r="B238" s="102" t="str">
        <x:v>Progreso</x:v>
      </x:c>
      <x:c r="C238" s="102" t="str">
        <x:v>PORTG0185</x:v>
      </x:c>
      <x:c r="D238" s="102" t="str">
        <x:v>Port of Progreso</x:v>
      </x:c>
      <x:c r="E238" s="102" t="str">
        <x:v>Mexico</x:v>
      </x:c>
      <x:c r="F238" s="102" t="str">
        <x:v>Progreso</x:v>
      </x:c>
      <x:c r="G238" s="102" t="str">
        <x:v>North America Pacific / Gulf</x:v>
      </x:c>
      <x:c r="H238" s="102" t="str">
        <x:v>Container terminal</x:v>
      </x:c>
      <x:c r="I238" s="102" t="str">
        <x:v>Containers / terminal cargo</x:v>
      </x:c>
      <x:c r="J238" s="102" t="str">
        <x:v>COMP_APMT</x:v>
      </x:c>
      <x:c r="K238" s="102" t="str">
        <x:v>APM Terminals / partner operator</x:v>
      </x:c>
      <x:c r="L238" s="102" t="str">
        <x:v>APM Terminals</x:v>
      </x:c>
      <x:c r="M238" s="102" t="str">
        <x:v>Operating / network</x:v>
      </x:c>
      <x:c r="N238" s="102"/>
      <x:c r="O238" s="102"/>
      <x:c r="P238" s="102"/>
      <x:c r="Q238" s="102"/>
      <x:c r="R238" s="102"/>
      <x:c r="S238" s="102"/>
      <x:c r="T238" s="102"/>
      <x:c r="U238" s="102" t="str">
        <x:v>APM Terminals network asset / partnership; detailed equity not verified in this pass</x:v>
      </x:c>
      <x:c r="V238" s="102" t="str">
        <x:v>APM-PROGRESO</x:v>
      </x:c>
      <x:c r="W238" s="102" t="str">
        <x:v>https://www2.apmterminals.com/en/</x:v>
      </x:c>
      <x:c r="X238" s="102" t="str">
        <x:v>Medium</x:v>
      </x:c>
      <x:c r="Y238" s="102" t="str">
        <x:v>Current APM Terminals network seed retained from v1.12; infrastructure enrichment pending.</x:v>
      </x:c>
      <x:c r="Z238" s="102" t="str"/>
    </x:row>
    <x:row r="239">
      <x:c r="A239" s="102" t="str">
        <x:v>TERM0238</x:v>
      </x:c>
      <x:c r="B239" s="102" t="str">
        <x:v>Callao</x:v>
      </x:c>
      <x:c r="C239" s="102" t="str">
        <x:v>PORTG0054</x:v>
      </x:c>
      <x:c r="D239" s="102" t="str">
        <x:v>Port of Callao</x:v>
      </x:c>
      <x:c r="E239" s="102" t="str">
        <x:v>Peru</x:v>
      </x:c>
      <x:c r="F239" s="102" t="str">
        <x:v>Callao</x:v>
      </x:c>
      <x:c r="G239" s="102" t="str">
        <x:v>South America Pacific</x:v>
      </x:c>
      <x:c r="H239" s="102" t="str">
        <x:v>Container terminal</x:v>
      </x:c>
      <x:c r="I239" s="102" t="str">
        <x:v>Containers / terminal cargo</x:v>
      </x:c>
      <x:c r="J239" s="102" t="str">
        <x:v>COMP_APMT</x:v>
      </x:c>
      <x:c r="K239" s="102" t="str">
        <x:v>APM Terminals / partner operator</x:v>
      </x:c>
      <x:c r="L239" s="102" t="str">
        <x:v>APM Terminals</x:v>
      </x:c>
      <x:c r="M239" s="102" t="str">
        <x:v>Operating</x:v>
      </x:c>
      <x:c r="N239" s="102" t="n">
        <x:v>1200000</x:v>
      </x:c>
      <x:c r="O239" s="102" t="n">
        <x:v>640000</x:v>
      </x:c>
      <x:c r="P239" s="102" t="n">
        <x:v>1835</x:v>
      </x:c>
      <x:c r="Q239" s="102" t="n">
        <x:v>16</x:v>
      </x:c>
      <x:c r="R239" s="102"/>
      <x:c r="S239" s="102" t="str">
        <x:v>Yes</x:v>
      </x:c>
      <x:c r="T239" s="102" t="n">
        <x:v>920</x:v>
      </x:c>
      <x:c r="U239" s="102" t="str">
        <x:v>APM Terminals Callao concession</x:v>
      </x:c>
      <x:c r="V239" s="102" t="str">
        <x:v>APM-CALLAO</x:v>
      </x:c>
      <x:c r="W239" s="102" t="str">
        <x:v>https://www2.apmterminals.com/en/callao/about/our-terminal</x:v>
      </x:c>
      <x:c r="X239" s="102" t="str">
        <x:v>High</x:v>
      </x:c>
      <x:c r="Y239" s="102" t="str">
        <x:v>4 Super Post-Panamax + 2 Panamax STS + 4 MHC; 12 eRTG + 2 diesel RTG.</x:v>
      </x:c>
      <x:c r="Z239" s="102" t="str"/>
    </x:row>
    <x:row r="240">
      <x:c r="A240" s="102" t="str">
        <x:v>TERM0239</x:v>
      </x:c>
      <x:c r="B240" s="102" t="str">
        <x:v>Los Angeles, CA</x:v>
      </x:c>
      <x:c r="C240" s="102" t="str">
        <x:v>PORTG0098</x:v>
      </x:c>
      <x:c r="D240" s="102" t="str">
        <x:v>Port of Los Angeles</x:v>
      </x:c>
      <x:c r="E240" s="102" t="str">
        <x:v>United States</x:v>
      </x:c>
      <x:c r="F240" s="102" t="str">
        <x:v>Los Angeles, CA</x:v>
      </x:c>
      <x:c r="G240" s="102" t="str">
        <x:v>North America</x:v>
      </x:c>
      <x:c r="H240" s="102" t="str">
        <x:v>Container terminal</x:v>
      </x:c>
      <x:c r="I240" s="102" t="str">
        <x:v>Containers / terminal cargo</x:v>
      </x:c>
      <x:c r="J240" s="102" t="str">
        <x:v>COMP_APMT</x:v>
      </x:c>
      <x:c r="K240" s="102" t="str">
        <x:v>APM Terminals / partner operator</x:v>
      </x:c>
      <x:c r="L240" s="102" t="str">
        <x:v>APM Terminals</x:v>
      </x:c>
      <x:c r="M240" s="102" t="str">
        <x:v>Operating</x:v>
      </x:c>
      <x:c r="N240" s="102" t="n">
        <x:v>4400000</x:v>
      </x:c>
      <x:c r="O240" s="102" t="n">
        <x:v>2051756</x:v>
      </x:c>
      <x:c r="P240" s="102" t="n">
        <x:v>2200</x:v>
      </x:c>
      <x:c r="Q240" s="102"/>
      <x:c r="R240" s="102" t="n">
        <x:v>5</x:v>
      </x:c>
      <x:c r="S240" s="102" t="str">
        <x:v>Yes</x:v>
      </x:c>
      <x:c r="T240" s="102" t="n">
        <x:v>2200</x:v>
      </x:c>
      <x:c r="U240" s="102" t="str">
        <x:v>APM Terminals Pier 400</x:v>
      </x:c>
      <x:c r="V240" s="102" t="str">
        <x:v>APM-LOS-ANGELES-CA</x:v>
      </x:c>
      <x:c r="W240" s="102" t="str">
        <x:v>https://www2.apmterminals.com/en/los-angeles/about/our-terminal</x:v>
      </x:c>
      <x:c r="X240" s="102" t="str">
        <x:v>High</x:v>
      </x:c>
      <x:c r="Y240" s="102" t="str">
        <x:v>Pier 400: 19 STS cranes; 65 acres of on-dock rail with 18 tracks; 57 gate lanes.</x:v>
      </x:c>
      <x:c r="Z240" s="102" t="str"/>
    </x:row>
    <x:row r="241">
      <x:c r="A241" s="102" t="str">
        <x:v>TERM0240</x:v>
      </x:c>
      <x:c r="B241" s="102" t="str">
        <x:v>Mobile, AL</x:v>
      </x:c>
      <x:c r="C241" s="102" t="str">
        <x:v>PORTG0186</x:v>
      </x:c>
      <x:c r="D241" s="102" t="str">
        <x:v>Port of Mobile</x:v>
      </x:c>
      <x:c r="E241" s="102" t="str">
        <x:v>United States</x:v>
      </x:c>
      <x:c r="F241" s="102" t="str">
        <x:v>Mobile, AL</x:v>
      </x:c>
      <x:c r="G241" s="102" t="str">
        <x:v>North America</x:v>
      </x:c>
      <x:c r="H241" s="102" t="str">
        <x:v>Container terminal</x:v>
      </x:c>
      <x:c r="I241" s="102" t="str">
        <x:v>Containers / terminal cargo</x:v>
      </x:c>
      <x:c r="J241" s="102" t="str">
        <x:v>COMP_APMT</x:v>
      </x:c>
      <x:c r="K241" s="102" t="str">
        <x:v>APM Terminals / partner operator</x:v>
      </x:c>
      <x:c r="L241" s="102" t="str">
        <x:v>APM Terminals</x:v>
      </x:c>
      <x:c r="M241" s="102" t="str">
        <x:v>Operating / expansion</x:v>
      </x:c>
      <x:c r="N241" s="102" t="n">
        <x:v>650000</x:v>
      </x:c>
      <x:c r="O241" s="102" t="n">
        <x:v>465388</x:v>
      </x:c>
      <x:c r="P241" s="102" t="n">
        <x:v>732</x:v>
      </x:c>
      <x:c r="Q241" s="102" t="n">
        <x:v>15.24</x:v>
      </x:c>
      <x:c r="R241" s="102"/>
      <x:c r="S241" s="102" t="str">
        <x:v>Yes</x:v>
      </x:c>
      <x:c r="T241" s="102" t="n">
        <x:v>325</x:v>
      </x:c>
      <x:c r="U241" s="102" t="str">
        <x:v>APM Terminals Mobile</x:v>
      </x:c>
      <x:c r="V241" s="102" t="str">
        <x:v>APM-MOBILE-AL</x:v>
      </x:c>
      <x:c r="W241" s="102" t="str">
        <x:v>https://www2.apmterminals.com/en/mobile/about/our-terminal</x:v>
      </x:c>
      <x:c r="X241" s="102" t="str">
        <x:v>High</x:v>
      </x:c>
      <x:c r="Y241" s="102" t="str">
        <x:v>6 Super Post-Panamax STS; public page also describes expansion path toward 1.3m TEU.</x:v>
      </x:c>
      <x:c r="Z241" s="102" t="str"/>
    </x:row>
    <x:row r="242">
      <x:c r="A242" s="102" t="str">
        <x:v>TERM0241</x:v>
      </x:c>
      <x:c r="B242" s="102" t="str">
        <x:v>Elizabeth, NJ</x:v>
      </x:c>
      <x:c r="C242" s="102" t="str">
        <x:v>PORTG0099</x:v>
      </x:c>
      <x:c r="D242" s="102" t="str">
        <x:v>Port of New York &amp; New Jersey</x:v>
      </x:c>
      <x:c r="E242" s="102" t="str">
        <x:v>United States</x:v>
      </x:c>
      <x:c r="F242" s="102" t="str">
        <x:v>Elizabeth, NJ</x:v>
      </x:c>
      <x:c r="G242" s="102" t="str">
        <x:v>North America</x:v>
      </x:c>
      <x:c r="H242" s="102" t="str">
        <x:v>Container terminal</x:v>
      </x:c>
      <x:c r="I242" s="102" t="str">
        <x:v>Containers / terminal cargo</x:v>
      </x:c>
      <x:c r="J242" s="102" t="str">
        <x:v>COMP_APMT</x:v>
      </x:c>
      <x:c r="K242" s="102" t="str">
        <x:v>APM Terminals / partner operator</x:v>
      </x:c>
      <x:c r="L242" s="102" t="str">
        <x:v>APM Terminals</x:v>
      </x:c>
      <x:c r="M242" s="102" t="str">
        <x:v>Operating</x:v>
      </x:c>
      <x:c r="N242" s="102" t="n">
        <x:v>2300000</x:v>
      </x:c>
      <x:c r="O242" s="102" t="n">
        <x:v>1416400</x:v>
      </x:c>
      <x:c r="P242" s="102" t="n">
        <x:v>1829</x:v>
      </x:c>
      <x:c r="Q242" s="102" t="n">
        <x:v>15.2</x:v>
      </x:c>
      <x:c r="R242" s="102"/>
      <x:c r="S242" s="102" t="str">
        <x:v>Yes</x:v>
      </x:c>
      <x:c r="T242" s="102" t="n">
        <x:v>1300</x:v>
      </x:c>
      <x:c r="U242" s="102" t="str">
        <x:v>APM Terminals Port Elizabeth</x:v>
      </x:c>
      <x:c r="V242" s="102" t="str">
        <x:v>APM-ELIZABETH-NJ</x:v>
      </x:c>
      <x:c r="W242" s="102" t="str">
        <x:v>https://www2.apmterminals.com/en/port-elizabeth/about/our-terminal</x:v>
      </x:c>
      <x:c r="X242" s="102" t="str">
        <x:v>High</x:v>
      </x:c>
      <x:c r="Y242" s="102" t="str">
        <x:v>14 STS cranes and on-dock rail.</x:v>
      </x:c>
      <x:c r="Z242" s="102" t="str"/>
    </x:row>
    <x:row r="243">
      <x:c r="A243" s="102" t="str">
        <x:v>TERM0242</x:v>
      </x:c>
      <x:c r="B243" s="102" t="str">
        <x:v>APM Terminals Laldia</x:v>
      </x:c>
      <x:c r="C243" s="102" t="str">
        <x:v>PORTG0187</x:v>
      </x:c>
      <x:c r="D243" s="102" t="str">
        <x:v>Port of Chattogram</x:v>
      </x:c>
      <x:c r="E243" s="102" t="str">
        <x:v>Bangladesh</x:v>
      </x:c>
      <x:c r="F243" s="102" t="str">
        <x:v>Chattogram</x:v>
      </x:c>
      <x:c r="G243" s="102" t="str">
        <x:v>Bay of Bengal</x:v>
      </x:c>
      <x:c r="H243" s="102" t="str">
        <x:v>Container terminal</x:v>
      </x:c>
      <x:c r="I243" s="102" t="str">
        <x:v>Containers / terminal cargo</x:v>
      </x:c>
      <x:c r="J243" s="102" t="str">
        <x:v>COMP_APMT</x:v>
      </x:c>
      <x:c r="K243" s="102" t="str">
        <x:v>APM Terminals / CPA / QNS partnership</x:v>
      </x:c>
      <x:c r="L243" s="102" t="str">
        <x:v>APM Terminals</x:v>
      </x:c>
      <x:c r="M243" s="102" t="str">
        <x:v>Under construction</x:v>
      </x:c>
      <x:c r="N243" s="102" t="n">
        <x:v>800000</x:v>
      </x:c>
      <x:c r="O243" s="102"/>
      <x:c r="P243" s="102"/>
      <x:c r="Q243" s="102"/>
      <x:c r="R243" s="102"/>
      <x:c r="S243" s="102"/>
      <x:c r="T243" s="102"/>
      <x:c r="U243" s="102" t="str">
        <x:v>PPP with Chittagong Port Authority and QNS Container Services</x:v>
      </x:c>
      <x:c r="V243" s="102" t="str">
        <x:v>APM-BD-LALDIA</x:v>
      </x:c>
      <x:c r="W243" s="102" t="str">
        <x:v>https://www2.apmterminals.com/en/news/news-releases/2026/260831-APMTerminals-breaks-ground-in-Laldia</x:v>
      </x:c>
      <x:c r="X243" s="102" t="str">
        <x:v>High</x:v>
      </x:c>
      <x:c r="Y243" s="102" t="str">
        <x:v>US$550m project; adds &gt;800k TEU; designed for vessels up to ~6,000 TEU; operational target around 2030.</x:v>
      </x:c>
      <x:c r="Z243" s="102" t="str"/>
    </x:row>
    <x:row r="244">
      <x:c r="A244" s="102" t="str">
        <x:v>TERM0243</x:v>
      </x:c>
      <x:c r="B244" s="102" t="str">
        <x:v>Lien Chieu Container Port / APM Terminals Da Nang</x:v>
      </x:c>
      <x:c r="C244" s="102" t="str">
        <x:v>PORTG0188</x:v>
      </x:c>
      <x:c r="D244" s="102" t="str">
        <x:v>Lien Chieu Port</x:v>
      </x:c>
      <x:c r="E244" s="102" t="str">
        <x:v>Vietnam</x:v>
      </x:c>
      <x:c r="F244" s="102" t="str">
        <x:v>Da Nang</x:v>
      </x:c>
      <x:c r="G244" s="102" t="str">
        <x:v>Southeast Asia</x:v>
      </x:c>
      <x:c r="H244" s="102" t="str">
        <x:v>Container terminal development</x:v>
      </x:c>
      <x:c r="I244" s="102" t="str">
        <x:v>Containers / terminal cargo</x:v>
      </x:c>
      <x:c r="J244" s="102" t="str">
        <x:v>COMP_APMT</x:v>
      </x:c>
      <x:c r="K244" s="102" t="str">
        <x:v>APM Terminals / Hateco Group</x:v>
      </x:c>
      <x:c r="L244" s="102" t="str">
        <x:v>APM Terminals</x:v>
      </x:c>
      <x:c r="M244" s="102" t="str">
        <x:v>Under development</x:v>
      </x:c>
      <x:c r="N244" s="102" t="n">
        <x:v>5700000</x:v>
      </x:c>
      <x:c r="O244" s="102"/>
      <x:c r="P244" s="102"/>
      <x:c r="Q244" s="102"/>
      <x:c r="R244" s="102" t="n">
        <x:v>8</x:v>
      </x:c>
      <x:c r="S244" s="102" t="str">
        <x:v>Yes</x:v>
      </x:c>
      <x:c r="T244" s="102"/>
      <x:c r="U244" s="102" t="str">
        <x:v>Partnership with Hateco and Da Nang City</x:v>
      </x:c>
      <x:c r="V244" s="102" t="str">
        <x:v>APM-VN-DANANG</x:v>
      </x:c>
      <x:c r="W244" s="102" t="str">
        <x:v>https://akamai.apmterminals.com/en/news/news-releases/2026/260425-APM-Terminals-and-Hateco-partner-in-Da-Nang</x:v>
      </x:c>
      <x:c r="X244" s="102" t="str">
        <x:v>High</x:v>
      </x:c>
      <x:c r="Y244" s="102" t="str">
        <x:v>&gt;$1.7bn project; Phase 1 berths 1-2, expansion through berths 3-8; designed for vessels up to 18,000 TEU.</x:v>
      </x:c>
      <x:c r="Z244" s="102" t="str"/>
    </x:row>
    <x:row r="245">
      <x:c r="A245" s="102" t="str">
        <x:v>TERM0244</x:v>
      </x:c>
      <x:c r="B245" s="102" t="str">
        <x:v>Balboa Container Terminal – temporary APM operation</x:v>
      </x:c>
      <x:c r="C245" s="102" t="str">
        <x:v>PORTG0189</x:v>
      </x:c>
      <x:c r="D245" s="102" t="str">
        <x:v>Port of Balboa</x:v>
      </x:c>
      <x:c r="E245" s="102" t="str">
        <x:v>Panama</x:v>
      </x:c>
      <x:c r="F245" s="102" t="str">
        <x:v>Balboa</x:v>
      </x:c>
      <x:c r="G245" s="102" t="str">
        <x:v>Panama Canal / Pacific</x:v>
      </x:c>
      <x:c r="H245" s="102" t="str">
        <x:v>Container terminal</x:v>
      </x:c>
      <x:c r="I245" s="102" t="str">
        <x:v>Containers / terminal cargo</x:v>
      </x:c>
      <x:c r="J245" s="102" t="str">
        <x:v>COMP_APMT</x:v>
      </x:c>
      <x:c r="K245" s="102" t="str">
        <x:v>APM Terminals Panama</x:v>
      </x:c>
      <x:c r="L245" s="102" t="str">
        <x:v>APM Terminals</x:v>
      </x:c>
      <x:c r="M245" s="102" t="str">
        <x:v>Temporary operation</x:v>
      </x:c>
      <x:c r="N245" s="102"/>
      <x:c r="O245" s="102"/>
      <x:c r="P245" s="102"/>
      <x:c r="Q245" s="102"/>
      <x:c r="R245" s="102"/>
      <x:c r="S245" s="102" t="str">
        <x:v>Yes</x:v>
      </x:c>
      <x:c r="T245" s="102"/>
      <x:c r="U245" s="102" t="str">
        <x:v>Temporary operating mandate</x:v>
      </x:c>
      <x:c r="V245" s="102" t="str">
        <x:v>APM-PA-BALBOA</x:v>
      </x:c>
      <x:c r="W245" s="102" t="str">
        <x:v>https://www2.apmterminals.com/en/news/news-releases/2026/260224-APM-Terminals-begins-temporary-operations-Port-of-Balboa</x:v>
      </x:c>
      <x:c r="X245" s="102" t="str">
        <x:v>High</x:v>
      </x:c>
      <x:c r="Y245" s="102" t="str">
        <x:v>Temporary stabilization/operation; Navis N4 deployment, workforce transition and asset diagnostics.</x:v>
      </x:c>
      <x:c r="Z245" s="102" t="str"/>
    </x:row>
    <x:row r="246">
      <x:c r="A246" s="102" t="str">
        <x:v>TERM0245</x:v>
      </x:c>
      <x:c r="B246" s="102" t="str">
        <x:v>Hateco Haiphong International Container Terminal (HHIT)</x:v>
      </x:c>
      <x:c r="C246" s="102" t="str">
        <x:v>PORTG0190</x:v>
      </x:c>
      <x:c r="D246" s="102" t="str">
        <x:v>Lach Huyen / Haiphong Port</x:v>
      </x:c>
      <x:c r="E246" s="102" t="str">
        <x:v>Vietnam</x:v>
      </x:c>
      <x:c r="F246" s="102" t="str">
        <x:v>Hai Phong</x:v>
      </x:c>
      <x:c r="G246" s="102" t="str">
        <x:v>Southeast Asia</x:v>
      </x:c>
      <x:c r="H246" s="102" t="str">
        <x:v>Container terminal</x:v>
      </x:c>
      <x:c r="I246" s="102" t="str">
        <x:v>Containers / terminal cargo</x:v>
      </x:c>
      <x:c r="J246" s="102" t="str">
        <x:v>COMP_APMT</x:v>
      </x:c>
      <x:c r="K246" s="102" t="str">
        <x:v>HHIT</x:v>
      </x:c>
      <x:c r="L246" s="102" t="str">
        <x:v>APM Terminals</x:v>
      </x:c>
      <x:c r="M246" s="102" t="str">
        <x:v>Operating</x:v>
      </x:c>
      <x:c r="N246" s="102"/>
      <x:c r="O246" s="102"/>
      <x:c r="P246" s="102"/>
      <x:c r="Q246" s="102"/>
      <x:c r="R246" s="102"/>
      <x:c r="S246" s="102"/>
      <x:c r="T246" s="102"/>
      <x:c r="U246" s="102" t="str">
        <x:v>APM Terminals / Hateco partnership</x:v>
      </x:c>
      <x:c r="V246" s="102" t="str">
        <x:v>APM-VN-HHIT</x:v>
      </x:c>
      <x:c r="W246" s="102" t="str">
        <x:v>https://akamai.apmterminals.com/en/news/news-releases/2026/260425-APM-Terminals-and-Hateco-partner-in-Da-Nang</x:v>
      </x:c>
      <x:c r="X246" s="102" t="str">
        <x:v>High</x:v>
      </x:c>
      <x:c r="Y246" s="102" t="str">
        <x:v>Existing APM-Hateco terminal went live in 2025; retained as strategic Vietnam gateway.</x:v>
      </x:c>
      <x:c r="Z246" s="102" t="str"/>
    </x:row>
  </x:sheetData>
  <x:pageMargins left="0.7" right="0.7" top="0.75" bottom="0.75" header="0.3" footer="0.3"/>
</x:worksheet>
</file>

<file path=xl/worksheets/sheet79.xml><?xml version="1.0" encoding="utf-8"?>
<x:worksheet xmlns:x="http://schemas.openxmlformats.org/spreadsheetml/2006/main">
  <x:sheetFormatPr defaultRowHeight="15"/>
  <x:cols>
    <x:col min="1" max="1" width="16" hidden="0" customWidth="1"/>
    <x:col min="2" max="2" width="14" hidden="0" customWidth="1"/>
    <x:col min="3" max="3" width="38" hidden="0" customWidth="1"/>
    <x:col min="4" max="4" width="12" hidden="0" customWidth="1"/>
    <x:col min="5" max="5" width="14" hidden="0" customWidth="1"/>
    <x:col min="6" max="6" width="14" hidden="0" customWidth="1"/>
    <x:col min="7" max="7" width="28" hidden="0" customWidth="1"/>
    <x:col min="8" max="8" width="24" hidden="0" customWidth="1"/>
    <x:col min="9" max="9" width="24" hidden="0" customWidth="1"/>
    <x:col min="10" max="10" width="65" hidden="0" customWidth="1"/>
    <x:col min="11" max="11" width="20" hidden="0" customWidth="1"/>
  </x:cols>
  <x:sheetData>
    <x:row r="1" ht="34" customHeight="1">
      <x:c r="A1" s="223" t="str">
        <x:v>Berth Record ID</x:v>
      </x:c>
      <x:c r="B1" s="223" t="str">
        <x:v>Terminal ID</x:v>
      </x:c>
      <x:c r="C1" s="223" t="str">
        <x:v>Berth / Interface</x:v>
      </x:c>
      <x:c r="D1" s="223" t="str">
        <x:v>Berth Count</x:v>
      </x:c>
      <x:c r="E1" s="223" t="str">
        <x:v>Quay Length m</x:v>
      </x:c>
      <x:c r="F1" s="223" t="str">
        <x:v>Max Depth m</x:v>
      </x:c>
      <x:c r="G1" s="223" t="str">
        <x:v>Cargo Use</x:v>
      </x:c>
      <x:c r="H1" s="223" t="str">
        <x:v>Status</x:v>
      </x:c>
      <x:c r="I1" s="223" t="str">
        <x:v>Source Operator</x:v>
      </x:c>
      <x:c r="J1" s="223" t="str">
        <x:v>Source URL</x:v>
      </x:c>
      <x:c r="K1" s="223" t="str">
        <x:v>Source Asset ID</x:v>
      </x:c>
    </x:row>
    <x:row r="2">
      <x:c r="A2" s="102" t="str">
        <x:v>BERTH00001</x:v>
      </x:c>
      <x:c r="B2" s="102" t="str">
        <x:v>TERM0001</x:v>
      </x:c>
      <x:c r="C2" s="102" t="str">
        <x:v>Terminal berths (aggregate)</x:v>
      </x:c>
      <x:c r="D2" s="102"/>
      <x:c r="E2" s="102" t="n">
        <x:v>936</x:v>
      </x:c>
      <x:c r="F2" s="102" t="n">
        <x:v>15</x:v>
      </x:c>
      <x:c r="G2" s="102" t="str">
        <x:v>Containers</x:v>
      </x:c>
      <x:c r="H2" s="102" t="str">
        <x:v>Operational</x:v>
      </x:c>
      <x:c r="I2" s="102" t="str">
        <x:v>DP World</x:v>
      </x:c>
      <x:c r="J2" s="102" t="str">
        <x:v>https://dpw-prod-cd-1.dpworld.com/australia/ports-and-terminals/dp-world-sydney</x:v>
      </x:c>
      <x:c r="K2" s="102" t="str">
        <x:v>DPW-AUS-SYD</x:v>
      </x:c>
    </x:row>
    <x:row r="3">
      <x:c r="A3" s="102" t="str">
        <x:v>BERTH00002</x:v>
      </x:c>
      <x:c r="B3" s="102" t="str">
        <x:v>TERM0002</x:v>
      </x:c>
      <x:c r="C3" s="102" t="str">
        <x:v>Terminal berths (aggregate)</x:v>
      </x:c>
      <x:c r="D3" s="102"/>
      <x:c r="E3" s="102" t="n">
        <x:v>900</x:v>
      </x:c>
      <x:c r="F3" s="102" t="n">
        <x:v>14</x:v>
      </x:c>
      <x:c r="G3" s="102" t="str">
        <x:v>Containers</x:v>
      </x:c>
      <x:c r="H3" s="102" t="str">
        <x:v>Operational</x:v>
      </x:c>
      <x:c r="I3" s="102" t="str">
        <x:v>DP World</x:v>
      </x:c>
      <x:c r="J3" s="102" t="str">
        <x:v>https://dpw-prod-cd-1.dpworld.com/australia/ports-and-terminals/dp-world-brisbane</x:v>
      </x:c>
      <x:c r="K3" s="102" t="str">
        <x:v>DPW-AUS-BNE</x:v>
      </x:c>
    </x:row>
    <x:row r="4">
      <x:c r="A4" s="102" t="str">
        <x:v>BERTH00003</x:v>
      </x:c>
      <x:c r="B4" s="102" t="str">
        <x:v>TERM0003</x:v>
      </x:c>
      <x:c r="C4" s="102" t="str">
        <x:v>Terminal berths (aggregate)</x:v>
      </x:c>
      <x:c r="D4" s="102"/>
      <x:c r="E4" s="102" t="n">
        <x:v>929</x:v>
      </x:c>
      <x:c r="F4" s="102" t="n">
        <x:v>14</x:v>
      </x:c>
      <x:c r="G4" s="102" t="str">
        <x:v>Containers</x:v>
      </x:c>
      <x:c r="H4" s="102" t="str">
        <x:v>Operational</x:v>
      </x:c>
      <x:c r="I4" s="102" t="str">
        <x:v>DP World</x:v>
      </x:c>
      <x:c r="J4" s="102" t="str">
        <x:v>https://dpw-prod-cd-1.dpworld.com/australia/ports-and-terminals/dp-world-melbourne</x:v>
      </x:c>
      <x:c r="K4" s="102" t="str">
        <x:v>DPW-AUS-MEL</x:v>
      </x:c>
    </x:row>
    <x:row r="5">
      <x:c r="A5" s="102" t="str">
        <x:v>BERTH00004</x:v>
      </x:c>
      <x:c r="B5" s="102" t="str">
        <x:v>TERM0004</x:v>
      </x:c>
      <x:c r="C5" s="102" t="str">
        <x:v>Terminal berths (aggregate)</x:v>
      </x:c>
      <x:c r="D5" s="102"/>
      <x:c r="E5" s="102" t="n">
        <x:v>646</x:v>
      </x:c>
      <x:c r="F5" s="102" t="n">
        <x:v>14.5</x:v>
      </x:c>
      <x:c r="G5" s="102" t="str">
        <x:v>Containers</x:v>
      </x:c>
      <x:c r="H5" s="102" t="str">
        <x:v>Operational</x:v>
      </x:c>
      <x:c r="I5" s="102" t="str">
        <x:v>DP World</x:v>
      </x:c>
      <x:c r="J5" s="102" t="str">
        <x:v>https://dpw-prod-cd-1.dpworld.com/australia/ports-and-terminals/dp-world-fremantle</x:v>
      </x:c>
      <x:c r="K5" s="102" t="str">
        <x:v>DPW-AUS-FRE</x:v>
      </x:c>
    </x:row>
    <x:row r="6">
      <x:c r="A6" s="102" t="str">
        <x:v>BERTH00005</x:v>
      </x:c>
      <x:c r="B6" s="102" t="str">
        <x:v>TERM0012</x:v>
      </x:c>
      <x:c r="C6" s="102" t="str">
        <x:v>Pier 3</x:v>
      </x:c>
      <x:c r="D6" s="102"/>
      <x:c r="E6" s="102" t="n">
        <x:v>600</x:v>
      </x:c>
      <x:c r="F6" s="102" t="n">
        <x:v>13</x:v>
      </x:c>
      <x:c r="G6" s="102" t="str">
        <x:v>Containers</x:v>
      </x:c>
      <x:c r="H6" s="102" t="str">
        <x:v>Operational</x:v>
      </x:c>
      <x:c r="I6" s="102" t="str">
        <x:v>DP World</x:v>
      </x:c>
      <x:c r="J6" s="102" t="str">
        <x:v>https://www.dpworld.com/en/news/dp-world-and-asian-terminals-inc-invest-us100-million-to-boost-capacity-at-manila-south-harbour</x:v>
      </x:c>
      <x:c r="K6" s="102" t="str">
        <x:v>DPW-PHL-MSH</x:v>
      </x:c>
    </x:row>
    <x:row r="7">
      <x:c r="A7" s="102" t="str">
        <x:v>BERTH00006</x:v>
      </x:c>
      <x:c r="B7" s="102" t="str">
        <x:v>TERM0015</x:v>
      </x:c>
      <x:c r="C7" s="102" t="str">
        <x:v>PNC berths (aggregate)</x:v>
      </x:c>
      <x:c r="D7" s="102"/>
      <x:c r="E7" s="102" t="n">
        <x:v>2000</x:v>
      </x:c>
      <x:c r="F7" s="102" t="n">
        <x:v>17</x:v>
      </x:c>
      <x:c r="G7" s="102" t="str">
        <x:v>Containers</x:v>
      </x:c>
      <x:c r="H7" s="102" t="str">
        <x:v>Operational</x:v>
      </x:c>
      <x:c r="I7" s="102" t="str">
        <x:v>DP World</x:v>
      </x:c>
      <x:c r="J7" s="102" t="str">
        <x:v>https://www.dpworld.com/en/ports-terminals/south-korea/pnc-port</x:v>
      </x:c>
      <x:c r="K7" s="102" t="str">
        <x:v>DPW-KOR-BUS</x:v>
      </x:c>
    </x:row>
    <x:row r="8">
      <x:c r="A8" s="102" t="str">
        <x:v>BERTH00007</x:v>
      </x:c>
      <x:c r="B8" s="102" t="str">
        <x:v>TERM0016</x:v>
      </x:c>
      <x:c r="C8" s="102" t="str">
        <x:v>B5 + C3</x:v>
      </x:c>
      <x:c r="D8" s="102"/>
      <x:c r="E8" s="102" t="n">
        <x:v>900</x:v>
      </x:c>
      <x:c r="F8" s="102"/>
      <x:c r="G8" s="102" t="str">
        <x:v>Containers</x:v>
      </x:c>
      <x:c r="H8" s="102" t="str">
        <x:v>Operational</x:v>
      </x:c>
      <x:c r="I8" s="102" t="str">
        <x:v>DP World</x:v>
      </x:c>
      <x:c r="J8" s="102" t="str">
        <x:v>https://www.dpworld.com/en/news/dp-world-secures-laem-chabang-concession-extension-amid-rising-intra-asia-trade</x:v>
      </x:c>
      <x:c r="K8" s="102" t="str">
        <x:v>DPW-THA-LCB</x:v>
      </x:c>
    </x:row>
    <x:row r="9">
      <x:c r="A9" s="102" t="str">
        <x:v>BERTH00008</x:v>
      </x:c>
      <x:c r="B9" s="102" t="str">
        <x:v>TERM0018</x:v>
      </x:c>
      <x:c r="C9" s="102" t="str">
        <x:v>Antwerp Gateway berths (aggregate)</x:v>
      </x:c>
      <x:c r="D9" s="102"/>
      <x:c r="E9" s="102" t="n">
        <x:v>1660</x:v>
      </x:c>
      <x:c r="F9" s="102" t="n">
        <x:v>16</x:v>
      </x:c>
      <x:c r="G9" s="102" t="str">
        <x:v>Containers / feeder / barge</x:v>
      </x:c>
      <x:c r="H9" s="102" t="str">
        <x:v>Operational</x:v>
      </x:c>
      <x:c r="I9" s="102" t="str">
        <x:v>DP World</x:v>
      </x:c>
      <x:c r="J9" s="102" t="str">
        <x:v>https://www.dpworld.com/en/ports-terminals/belgium/antwerp</x:v>
      </x:c>
      <x:c r="K9" s="102" t="str">
        <x:v>DPW-BEL-ANT</x:v>
      </x:c>
    </x:row>
    <x:row r="10">
      <x:c r="A10" s="102" t="str">
        <x:v>BERTH00009</x:v>
      </x:c>
      <x:c r="B10" s="102" t="str">
        <x:v>TERM0021</x:v>
      </x:c>
      <x:c r="C10" s="102" t="str">
        <x:v>Main quay</x:v>
      </x:c>
      <x:c r="D10" s="102"/>
      <x:c r="E10" s="102" t="n">
        <x:v>640</x:v>
      </x:c>
      <x:c r="F10" s="102"/>
      <x:c r="G10" s="102" t="str">
        <x:v>Containers</x:v>
      </x:c>
      <x:c r="H10" s="102" t="str">
        <x:v>Operational</x:v>
      </x:c>
      <x:c r="I10" s="102" t="str">
        <x:v>DP World</x:v>
      </x:c>
      <x:c r="J10" s="102" t="str">
        <x:v>https://www.dpworld.com/en/ports-terminals/romania/constanta</x:v>
      </x:c>
      <x:c r="K10" s="102" t="str">
        <x:v>DPW-ROU-CTA</x:v>
      </x:c>
    </x:row>
    <x:row r="11">
      <x:c r="A11" s="102" t="str">
        <x:v>BERTH00010</x:v>
      </x:c>
      <x:c r="B11" s="102" t="str">
        <x:v>TERM0021</x:v>
      </x:c>
      <x:c r="C11" s="102" t="str">
        <x:v>Feeder quay</x:v>
      </x:c>
      <x:c r="D11" s="102"/>
      <x:c r="E11" s="102" t="n">
        <x:v>380</x:v>
      </x:c>
      <x:c r="F11" s="102"/>
      <x:c r="G11" s="102" t="str">
        <x:v>Containers / feeder</x:v>
      </x:c>
      <x:c r="H11" s="102" t="str">
        <x:v>Operational</x:v>
      </x:c>
      <x:c r="I11" s="102" t="str">
        <x:v>DP World</x:v>
      </x:c>
      <x:c r="J11" s="102" t="str">
        <x:v>https://www.dpworld.com/en/ports-terminals/romania/constanta</x:v>
      </x:c>
      <x:c r="K11" s="102" t="str">
        <x:v>DPW-ROU-CTA</x:v>
      </x:c>
    </x:row>
    <x:row r="12">
      <x:c r="A12" s="102" t="str">
        <x:v>BERTH00011</x:v>
      </x:c>
      <x:c r="B12" s="102" t="str">
        <x:v>TERM0022</x:v>
      </x:c>
      <x:c r="C12" s="102" t="str">
        <x:v>Danube berths (aggregate)</x:v>
      </x:c>
      <x:c r="D12" s="102"/>
      <x:c r="E12" s="102" t="n">
        <x:v>800</x:v>
      </x:c>
      <x:c r="F12" s="102" t="n">
        <x:v>10</x:v>
      </x:c>
      <x:c r="G12" s="102" t="str">
        <x:v>Multipurpose</x:v>
      </x:c>
      <x:c r="H12" s="102" t="str">
        <x:v>Operational</x:v>
      </x:c>
      <x:c r="I12" s="102" t="str">
        <x:v>DP World</x:v>
      </x:c>
      <x:c r="J12" s="102" t="str">
        <x:v>https://www.dpworld.com/en/ports-terminals/eu-intermodal/novi-sad</x:v>
      </x:c>
      <x:c r="K12" s="102" t="str">
        <x:v>DPW-SRB-NVS</x:v>
      </x:c>
    </x:row>
    <x:row r="13">
      <x:c r="A13" s="102" t="str">
        <x:v>BERTH00012</x:v>
      </x:c>
      <x:c r="B13" s="102" t="str">
        <x:v>TERM0026</x:v>
      </x:c>
      <x:c r="C13" s="102" t="str">
        <x:v>Berths 1–4 (current aggregate)</x:v>
      </x:c>
      <x:c r="D13" s="102"/>
      <x:c r="E13" s="102" t="n">
        <x:v>1690</x:v>
      </x:c>
      <x:c r="F13" s="102" t="n">
        <x:v>16.5</x:v>
      </x:c>
      <x:c r="G13" s="102" t="str">
        <x:v>Containers</x:v>
      </x:c>
      <x:c r="H13" s="102" t="str">
        <x:v>Operational</x:v>
      </x:c>
      <x:c r="I13" s="102" t="str">
        <x:v>DP World</x:v>
      </x:c>
      <x:c r="J13" s="102" t="str">
        <x:v>https://www.dpworld.com/en/ports-terminals/united-kingdom/london-gateway/infrastructure-facts</x:v>
      </x:c>
      <x:c r="K13" s="102" t="str">
        <x:v>DPW-GBR-LGW</x:v>
      </x:c>
    </x:row>
    <x:row r="14">
      <x:c r="A14" s="102" t="str">
        <x:v>BERTH00013</x:v>
      </x:c>
      <x:c r="B14" s="102" t="str">
        <x:v>TERM0026</x:v>
      </x:c>
      <x:c r="C14" s="102" t="str">
        <x:v>Berth 5</x:v>
      </x:c>
      <x:c r="D14" s="102"/>
      <x:c r="E14" s="102" t="n">
        <x:v>400</x:v>
      </x:c>
      <x:c r="F14" s="102"/>
      <x:c r="G14" s="102" t="str">
        <x:v>Containers</x:v>
      </x:c>
      <x:c r="H14" s="102" t="str">
        <x:v>Under construction</x:v>
      </x:c>
      <x:c r="I14" s="102" t="str">
        <x:v>DP World</x:v>
      </x:c>
      <x:c r="J14" s="102" t="str">
        <x:v>https://www.dpworld.com/en/news/united-kingdom/dp-world-to-begin-construction-of-london-gateway-expansion</x:v>
      </x:c>
      <x:c r="K14" s="102" t="str">
        <x:v>DPW-GBR-LGW</x:v>
      </x:c>
    </x:row>
    <x:row r="15">
      <x:c r="A15" s="102" t="str">
        <x:v>BERTH00014</x:v>
      </x:c>
      <x:c r="B15" s="102" t="str">
        <x:v>TERM0026</x:v>
      </x:c>
      <x:c r="C15" s="102" t="str">
        <x:v>Berth 6</x:v>
      </x:c>
      <x:c r="D15" s="102"/>
      <x:c r="E15" s="102" t="n">
        <x:v>400</x:v>
      </x:c>
      <x:c r="F15" s="102"/>
      <x:c r="G15" s="102" t="str">
        <x:v>Containers</x:v>
      </x:c>
      <x:c r="H15" s="102" t="str">
        <x:v>Planned / under expansion program</x:v>
      </x:c>
      <x:c r="I15" s="102" t="str">
        <x:v>DP World</x:v>
      </x:c>
      <x:c r="J15" s="102" t="str">
        <x:v>https://www.dpworld.com/en/news/united-kingdom/dp-world-to-begin-construction-of-london-gateway-expansion</x:v>
      </x:c>
      <x:c r="K15" s="102" t="str">
        <x:v>DPW-GBR-LGW</x:v>
      </x:c>
    </x:row>
    <x:row r="16">
      <x:c r="A16" s="102" t="str">
        <x:v>BERTH00015</x:v>
      </x:c>
      <x:c r="B16" s="102" t="str">
        <x:v>TERM0027</x:v>
      </x:c>
      <x:c r="C16" s="102" t="str">
        <x:v>Terminal berths (aggregate)</x:v>
      </x:c>
      <x:c r="D16" s="102"/>
      <x:c r="E16" s="102" t="n">
        <x:v>1920</x:v>
      </x:c>
      <x:c r="F16" s="102" t="n">
        <x:v>16</x:v>
      </x:c>
      <x:c r="G16" s="102" t="str">
        <x:v>Containers</x:v>
      </x:c>
      <x:c r="H16" s="102" t="str">
        <x:v>Operational</x:v>
      </x:c>
      <x:c r="I16" s="102" t="str">
        <x:v>DP World</x:v>
      </x:c>
      <x:c r="J16" s="102" t="str">
        <x:v>https://www.dpworld.com/en/ports-terminals/united-kingdom/southampton/infrastructure-facts</x:v>
      </x:c>
      <x:c r="K16" s="102" t="str">
        <x:v>DPW-GBR-SOU</x:v>
      </x:c>
    </x:row>
    <x:row r="17">
      <x:c r="A17" s="102" t="str">
        <x:v>BERTH00016</x:v>
      </x:c>
      <x:c r="B17" s="102" t="str">
        <x:v>TERM0029</x:v>
      </x:c>
      <x:c r="C17" s="102" t="str">
        <x:v>Container berths</x:v>
      </x:c>
      <x:c r="D17" s="102"/>
      <x:c r="E17" s="102" t="n">
        <x:v>600</x:v>
      </x:c>
      <x:c r="F17" s="102" t="n">
        <x:v>11</x:v>
      </x:c>
      <x:c r="G17" s="102" t="str">
        <x:v>Containers</x:v>
      </x:c>
      <x:c r="H17" s="102" t="str">
        <x:v>Operational</x:v>
      </x:c>
      <x:c r="I17" s="102" t="str">
        <x:v>DP World</x:v>
      </x:c>
      <x:c r="J17" s="102" t="str">
        <x:v>https://www.dpworld.com/en/ports-terminals/algeria/djazair</x:v>
      </x:c>
      <x:c r="K17" s="102" t="str">
        <x:v>DPW-DZA-DZA</x:v>
      </x:c>
    </x:row>
    <x:row r="18">
      <x:c r="A18" s="102" t="str">
        <x:v>BERTH00017</x:v>
      </x:c>
      <x:c r="B18" s="102" t="str">
        <x:v>TERM0030</x:v>
      </x:c>
      <x:c r="C18" s="102" t="str">
        <x:v>Deep-water quay</x:v>
      </x:c>
      <x:c r="D18" s="102"/>
      <x:c r="E18" s="102" t="n">
        <x:v>1590</x:v>
      </x:c>
      <x:c r="F18" s="102" t="n">
        <x:v>17</x:v>
      </x:c>
      <x:c r="G18" s="102" t="str">
        <x:v>Containers / multipurpose</x:v>
      </x:c>
      <x:c r="H18" s="102" t="str">
        <x:v>Operational</x:v>
      </x:c>
      <x:c r="I18" s="102" t="str">
        <x:v>DP World</x:v>
      </x:c>
      <x:c r="J18" s="102" t="str">
        <x:v>https://www.dpworld.com/en/ports-terminals/algeria/djendjen</x:v>
      </x:c>
      <x:c r="K18" s="102" t="str">
        <x:v>DPW-DZA-DJD</x:v>
      </x:c>
    </x:row>
    <x:row r="19">
      <x:c r="A19" s="102" t="str">
        <x:v>BERTH00018</x:v>
      </x:c>
      <x:c r="B19" s="102" t="str">
        <x:v>TERM0030</x:v>
      </x:c>
      <x:c r="C19" s="102" t="str">
        <x:v>Secondary quay</x:v>
      </x:c>
      <x:c r="D19" s="102"/>
      <x:c r="E19" s="102" t="n">
        <x:v>250</x:v>
      </x:c>
      <x:c r="F19" s="102" t="n">
        <x:v>11</x:v>
      </x:c>
      <x:c r="G19" s="102" t="str">
        <x:v>Feeder / multipurpose</x:v>
      </x:c>
      <x:c r="H19" s="102" t="str">
        <x:v>Operational</x:v>
      </x:c>
      <x:c r="I19" s="102" t="str">
        <x:v>DP World</x:v>
      </x:c>
      <x:c r="J19" s="102" t="str">
        <x:v>https://www.dpworld.com/en/ports-terminals/algeria/djendjen</x:v>
      </x:c>
      <x:c r="K19" s="102" t="str">
        <x:v>DPW-DZA-DJD</x:v>
      </x:c>
    </x:row>
    <x:row r="20">
      <x:c r="A20" s="102" t="str">
        <x:v>BERTH00019</x:v>
      </x:c>
      <x:c r="B20" s="102" t="str">
        <x:v>TERM0031</x:v>
      </x:c>
      <x:c r="C20" s="102" t="str">
        <x:v>Berth 1</x:v>
      </x:c>
      <x:c r="D20" s="102"/>
      <x:c r="E20" s="102" t="n">
        <x:v>750</x:v>
      </x:c>
      <x:c r="F20" s="102" t="n">
        <x:v>17</x:v>
      </x:c>
      <x:c r="G20" s="102" t="str">
        <x:v>Containers / multipurpose</x:v>
      </x:c>
      <x:c r="H20" s="102" t="str">
        <x:v>Operational</x:v>
      </x:c>
      <x:c r="I20" s="102" t="str">
        <x:v>DP World</x:v>
      </x:c>
      <x:c r="J20" s="102" t="str">
        <x:v>https://www.dpworld.com/en/ports-terminals/egypt/sokhna/infrastructure-facts</x:v>
      </x:c>
      <x:c r="K20" s="102" t="str">
        <x:v>DPW-EGY-SOK</x:v>
      </x:c>
    </x:row>
    <x:row r="21">
      <x:c r="A21" s="102" t="str">
        <x:v>BERTH00020</x:v>
      </x:c>
      <x:c r="B21" s="102" t="str">
        <x:v>TERM0031</x:v>
      </x:c>
      <x:c r="C21" s="102" t="str">
        <x:v>Berth 2</x:v>
      </x:c>
      <x:c r="D21" s="102"/>
      <x:c r="E21" s="102" t="n">
        <x:v>1350</x:v>
      </x:c>
      <x:c r="F21" s="102" t="n">
        <x:v>17</x:v>
      </x:c>
      <x:c r="G21" s="102" t="str">
        <x:v>Containers / multipurpose</x:v>
      </x:c>
      <x:c r="H21" s="102" t="str">
        <x:v>Operational</x:v>
      </x:c>
      <x:c r="I21" s="102" t="str">
        <x:v>DP World</x:v>
      </x:c>
      <x:c r="J21" s="102" t="str">
        <x:v>https://www.dpworld.com/en/ports-terminals/egypt/sokhna/infrastructure-facts</x:v>
      </x:c>
      <x:c r="K21" s="102" t="str">
        <x:v>DPW-EGY-SOK</x:v>
      </x:c>
    </x:row>
    <x:row r="22">
      <x:c r="A22" s="102" t="str">
        <x:v>BERTH00021</x:v>
      </x:c>
      <x:c r="B22" s="102" t="str">
        <x:v>TERM0032</x:v>
      </x:c>
      <x:c r="C22" s="102" t="str">
        <x:v>NSICT quay</x:v>
      </x:c>
      <x:c r="D22" s="102"/>
      <x:c r="E22" s="102" t="n">
        <x:v>600</x:v>
      </x:c>
      <x:c r="F22" s="102" t="n">
        <x:v>16.2</x:v>
      </x:c>
      <x:c r="G22" s="102" t="str">
        <x:v>Containers</x:v>
      </x:c>
      <x:c r="H22" s="102" t="str">
        <x:v>Operational</x:v>
      </x:c>
      <x:c r="I22" s="102" t="str">
        <x:v>DP World</x:v>
      </x:c>
      <x:c r="J22" s="102" t="str">
        <x:v>https://www.dpworld.com/en/ports-terminals/india/nsict/infrastructure</x:v>
      </x:c>
      <x:c r="K22" s="102" t="str">
        <x:v>DPW-IND-NSI</x:v>
      </x:c>
    </x:row>
    <x:row r="23">
      <x:c r="A23" s="102" t="str">
        <x:v>BERTH00022</x:v>
      </x:c>
      <x:c r="B23" s="102" t="str">
        <x:v>TERM0033</x:v>
      </x:c>
      <x:c r="C23" s="102" t="str">
        <x:v>NSIGT quay</x:v>
      </x:c>
      <x:c r="D23" s="102"/>
      <x:c r="E23" s="102" t="n">
        <x:v>600</x:v>
      </x:c>
      <x:c r="F23" s="102" t="n">
        <x:v>16.2</x:v>
      </x:c>
      <x:c r="G23" s="102" t="str">
        <x:v>Containers</x:v>
      </x:c>
      <x:c r="H23" s="102" t="str">
        <x:v>Operational</x:v>
      </x:c>
      <x:c r="I23" s="102" t="str">
        <x:v>DP World</x:v>
      </x:c>
      <x:c r="J23" s="102" t="str">
        <x:v>https://www.dpworld.com/en/ports-terminals/india/nsigt/infrastructure</x:v>
      </x:c>
      <x:c r="K23" s="102" t="str">
        <x:v>DPW-IND-NSG</x:v>
      </x:c>
    </x:row>
    <x:row r="24">
      <x:c r="A24" s="102" t="str">
        <x:v>BERTH00023</x:v>
      </x:c>
      <x:c r="B24" s="102" t="str">
        <x:v>TERM0034</x:v>
      </x:c>
      <x:c r="C24" s="102" t="str">
        <x:v>MICT quay</x:v>
      </x:c>
      <x:c r="D24" s="102"/>
      <x:c r="E24" s="102" t="n">
        <x:v>632</x:v>
      </x:c>
      <x:c r="F24" s="102" t="n">
        <x:v>15.5</x:v>
      </x:c>
      <x:c r="G24" s="102" t="str">
        <x:v>Containers</x:v>
      </x:c>
      <x:c r="H24" s="102" t="str">
        <x:v>Operational</x:v>
      </x:c>
      <x:c r="I24" s="102" t="str">
        <x:v>DP World</x:v>
      </x:c>
      <x:c r="J24" s="102" t="str">
        <x:v>https://www.dpworld.com/en/ports-terminals/india/mict/infrastructure</x:v>
      </x:c>
      <x:c r="K24" s="102" t="str">
        <x:v>DPW-IND-MUN</x:v>
      </x:c>
    </x:row>
    <x:row r="25">
      <x:c r="A25" s="102" t="str">
        <x:v>BERTH00024</x:v>
      </x:c>
      <x:c r="B25" s="102" t="str">
        <x:v>TERM0035</x:v>
      </x:c>
      <x:c r="C25" s="102" t="str">
        <x:v>CB1</x:v>
      </x:c>
      <x:c r="D25" s="102"/>
      <x:c r="E25" s="102"/>
      <x:c r="F25" s="102" t="n">
        <x:v>13</x:v>
      </x:c>
      <x:c r="G25" s="102" t="str">
        <x:v>Containers</x:v>
      </x:c>
      <x:c r="H25" s="102" t="str">
        <x:v>Operational</x:v>
      </x:c>
      <x:c r="I25" s="102" t="str">
        <x:v>DP World</x:v>
      </x:c>
      <x:c r="J25" s="102" t="str">
        <x:v>https://www.dpworld.com/en/ports-terminals/india/cct/infrastructure</x:v>
      </x:c>
      <x:c r="K25" s="102" t="str">
        <x:v>DPW-IND-CCT</x:v>
      </x:c>
    </x:row>
    <x:row r="26">
      <x:c r="A26" s="102" t="str">
        <x:v>BERTH00025</x:v>
      </x:c>
      <x:c r="B26" s="102" t="str">
        <x:v>TERM0035</x:v>
      </x:c>
      <x:c r="C26" s="102" t="str">
        <x:v>CB2</x:v>
      </x:c>
      <x:c r="D26" s="102"/>
      <x:c r="E26" s="102"/>
      <x:c r="F26" s="102" t="n">
        <x:v>13</x:v>
      </x:c>
      <x:c r="G26" s="102" t="str">
        <x:v>Containers</x:v>
      </x:c>
      <x:c r="H26" s="102" t="str">
        <x:v>Operational</x:v>
      </x:c>
      <x:c r="I26" s="102" t="str">
        <x:v>DP World</x:v>
      </x:c>
      <x:c r="J26" s="102" t="str">
        <x:v>https://www.dpworld.com/en/ports-terminals/india/cct/infrastructure</x:v>
      </x:c>
      <x:c r="K26" s="102" t="str">
        <x:v>DPW-IND-CCT</x:v>
      </x:c>
    </x:row>
    <x:row r="27">
      <x:c r="A27" s="102" t="str">
        <x:v>BERTH00026</x:v>
      </x:c>
      <x:c r="B27" s="102" t="str">
        <x:v>TERM0035</x:v>
      </x:c>
      <x:c r="C27" s="102" t="str">
        <x:v>CB3</x:v>
      </x:c>
      <x:c r="D27" s="102"/>
      <x:c r="E27" s="102"/>
      <x:c r="F27" s="102" t="n">
        <x:v>13</x:v>
      </x:c>
      <x:c r="G27" s="102" t="str">
        <x:v>Containers</x:v>
      </x:c>
      <x:c r="H27" s="102" t="str">
        <x:v>Operational</x:v>
      </x:c>
      <x:c r="I27" s="102" t="str">
        <x:v>DP World</x:v>
      </x:c>
      <x:c r="J27" s="102" t="str">
        <x:v>https://www.dpworld.com/en/ports-terminals/india/cct/infrastructure</x:v>
      </x:c>
      <x:c r="K27" s="102" t="str">
        <x:v>DPW-IND-CCT</x:v>
      </x:c>
    </x:row>
    <x:row r="28">
      <x:c r="A28" s="102" t="str">
        <x:v>BERTH00027</x:v>
      </x:c>
      <x:c r="B28" s="102" t="str">
        <x:v>TERM0035</x:v>
      </x:c>
      <x:c r="C28" s="102" t="str">
        <x:v>CB4</x:v>
      </x:c>
      <x:c r="D28" s="102"/>
      <x:c r="E28" s="102"/>
      <x:c r="F28" s="102" t="n">
        <x:v>15</x:v>
      </x:c>
      <x:c r="G28" s="102" t="str">
        <x:v>Containers</x:v>
      </x:c>
      <x:c r="H28" s="102" t="str">
        <x:v>Operational</x:v>
      </x:c>
      <x:c r="I28" s="102" t="str">
        <x:v>DP World</x:v>
      </x:c>
      <x:c r="J28" s="102" t="str">
        <x:v>https://www.dpworld.com/en/ports-terminals/india/cct/infrastructure</x:v>
      </x:c>
      <x:c r="K28" s="102" t="str">
        <x:v>DPW-IND-CCT</x:v>
      </x:c>
    </x:row>
    <x:row r="29">
      <x:c r="A29" s="102" t="str">
        <x:v>BERTH00028</x:v>
      </x:c>
      <x:c r="B29" s="102" t="str">
        <x:v>TERM0036</x:v>
      </x:c>
      <x:c r="C29" s="102" t="str">
        <x:v>ICTT quay</x:v>
      </x:c>
      <x:c r="D29" s="102"/>
      <x:c r="E29" s="102" t="n">
        <x:v>950</x:v>
      </x:c>
      <x:c r="F29" s="102" t="n">
        <x:v>17.6</x:v>
      </x:c>
      <x:c r="G29" s="102" t="str">
        <x:v>Containers</x:v>
      </x:c>
      <x:c r="H29" s="102" t="str">
        <x:v>Operational</x:v>
      </x:c>
      <x:c r="I29" s="102" t="str">
        <x:v>DP World</x:v>
      </x:c>
      <x:c r="J29" s="102" t="str">
        <x:v>https://www.dpworld.com/en/ports-terminals/india/ictt/infrastructure</x:v>
      </x:c>
      <x:c r="K29" s="102" t="str">
        <x:v>DPW-IND-COK</x:v>
      </x:c>
    </x:row>
    <x:row r="30">
      <x:c r="A30" s="102" t="str">
        <x:v>BERTH00029</x:v>
      </x:c>
      <x:c r="B30" s="102" t="str">
        <x:v>TERM0037</x:v>
      </x:c>
      <x:c r="C30" s="102" t="str">
        <x:v>Phase 1 berth</x:v>
      </x:c>
      <x:c r="D30" s="102"/>
      <x:c r="E30" s="102" t="n">
        <x:v>1100</x:v>
      </x:c>
      <x:c r="F30" s="102"/>
      <x:c r="G30" s="102" t="str">
        <x:v>Containers</x:v>
      </x:c>
      <x:c r="H30" s="102" t="str">
        <x:v>Development</x:v>
      </x:c>
      <x:c r="I30" s="102" t="str">
        <x:v>DP World</x:v>
      </x:c>
      <x:c r="J30" s="102" t="str">
        <x:v>https://www.dpworld.com/en/news/india/dp-world-signs-concession-to-develop-tuna-tekra-mega-container-terminal-in-india</x:v>
      </x:c>
      <x:c r="K30" s="102" t="str">
        <x:v>DPW-IND-TUN</x:v>
      </x:c>
    </x:row>
    <x:row r="31">
      <x:c r="A31" s="102" t="str">
        <x:v>BERTH00030</x:v>
      </x:c>
      <x:c r="B31" s="102" t="str">
        <x:v>TERM0038</x:v>
      </x:c>
      <x:c r="C31" s="102" t="str">
        <x:v>Container quay</x:v>
      </x:c>
      <x:c r="D31" s="102"/>
      <x:c r="E31" s="102" t="n">
        <x:v>330</x:v>
      </x:c>
      <x:c r="F31" s="102" t="n">
        <x:v>12</x:v>
      </x:c>
      <x:c r="G31" s="102" t="str">
        <x:v>Containers</x:v>
      </x:c>
      <x:c r="H31" s="102" t="str">
        <x:v>Operational</x:v>
      </x:c>
      <x:c r="I31" s="102" t="str">
        <x:v>DP World</x:v>
      </x:c>
      <x:c r="J31" s="102" t="str">
        <x:v>https://www.dpworld.com/en/ports-terminals/mozambique/maputo</x:v>
      </x:c>
      <x:c r="K31" s="102" t="str">
        <x:v>DPW-MOZ-MAP</x:v>
      </x:c>
    </x:row>
    <x:row r="32">
      <x:c r="A32" s="102" t="str">
        <x:v>BERTH00031</x:v>
      </x:c>
      <x:c r="B32" s="102" t="str">
        <x:v>TERM0039</x:v>
      </x:c>
      <x:c r="C32" s="102" t="str">
        <x:v>Terminal 1 quay</x:v>
      </x:c>
      <x:c r="D32" s="102"/>
      <x:c r="E32" s="102" t="n">
        <x:v>712</x:v>
      </x:c>
      <x:c r="F32" s="102" t="n">
        <x:v>13</x:v>
      </x:c>
      <x:c r="G32" s="102" t="str">
        <x:v>Containers</x:v>
      </x:c>
      <x:c r="H32" s="102" t="str">
        <x:v>Operational</x:v>
      </x:c>
      <x:c r="I32" s="102" t="str">
        <x:v>DP World</x:v>
      </x:c>
      <x:c r="J32" s="102" t="str">
        <x:v>https://www.dpworld.com/en/ports-terminals/pakistan/qasim</x:v>
      </x:c>
      <x:c r="K32" s="102" t="str">
        <x:v>DPW-PAK-QAS</x:v>
      </x:c>
    </x:row>
    <x:row r="33">
      <x:c r="A33" s="102" t="str">
        <x:v>BERTH00032</x:v>
      </x:c>
      <x:c r="B33" s="102" t="str">
        <x:v>TERM0039</x:v>
      </x:c>
      <x:c r="C33" s="102" t="str">
        <x:v>Terminal 2 quay</x:v>
      </x:c>
      <x:c r="D33" s="102"/>
      <x:c r="E33" s="102" t="n">
        <x:v>615</x:v>
      </x:c>
      <x:c r="F33" s="102" t="n">
        <x:v>13</x:v>
      </x:c>
      <x:c r="G33" s="102" t="str">
        <x:v>Containers</x:v>
      </x:c>
      <x:c r="H33" s="102" t="str">
        <x:v>Operational</x:v>
      </x:c>
      <x:c r="I33" s="102" t="str">
        <x:v>DP World</x:v>
      </x:c>
      <x:c r="J33" s="102" t="str">
        <x:v>https://www.dpworld.com/en/ports-terminals/pakistan/qasim</x:v>
      </x:c>
      <x:c r="K33" s="102" t="str">
        <x:v>DPW-PAK-QAS</x:v>
      </x:c>
    </x:row>
    <x:row r="34">
      <x:c r="A34" s="102" t="str">
        <x:v>BERTH00033</x:v>
      </x:c>
      <x:c r="B34" s="102" t="str">
        <x:v>TERM0040</x:v>
      </x:c>
      <x:c r="C34" s="102" t="str">
        <x:v>South Container Terminal berths</x:v>
      </x:c>
      <x:c r="D34" s="102"/>
      <x:c r="E34" s="102" t="n">
        <x:v>2550</x:v>
      </x:c>
      <x:c r="F34" s="102" t="n">
        <x:v>18</x:v>
      </x:c>
      <x:c r="G34" s="102" t="str">
        <x:v>Containers</x:v>
      </x:c>
      <x:c r="H34" s="102" t="str">
        <x:v>Operational</x:v>
      </x:c>
      <x:c r="I34" s="102" t="str">
        <x:v>DP World</x:v>
      </x:c>
      <x:c r="J34" s="102" t="str">
        <x:v>https://www.dpworld.com/en/ports-terminals/saudi-arabia/jeddah</x:v>
      </x:c>
      <x:c r="K34" s="102" t="str">
        <x:v>DPW-SAU-JED</x:v>
      </x:c>
    </x:row>
    <x:row r="35">
      <x:c r="A35" s="102" t="str">
        <x:v>BERTH00034</x:v>
      </x:c>
      <x:c r="B35" s="102" t="str">
        <x:v>TERM0041</x:v>
      </x:c>
      <x:c r="C35" s="102" t="str">
        <x:v>Dakar container berths</x:v>
      </x:c>
      <x:c r="D35" s="102"/>
      <x:c r="E35" s="102" t="n">
        <x:v>720</x:v>
      </x:c>
      <x:c r="F35" s="102"/>
      <x:c r="G35" s="102" t="str">
        <x:v>Containers</x:v>
      </x:c>
      <x:c r="H35" s="102" t="str">
        <x:v>Operational</x:v>
      </x:c>
      <x:c r="I35" s="102" t="str">
        <x:v>DP World</x:v>
      </x:c>
      <x:c r="J35" s="102" t="str">
        <x:v>https://dpw-prod-cd-1.dpworld.com/senegal/ports-and-terminals</x:v>
      </x:c>
      <x:c r="K35" s="102" t="str">
        <x:v>DPW-SEN-DKR</x:v>
      </x:c>
    </x:row>
    <x:row r="36">
      <x:c r="A36" s="102" t="str">
        <x:v>BERTH00035</x:v>
      </x:c>
      <x:c r="B36" s="102" t="str">
        <x:v>TERM0042</x:v>
      </x:c>
      <x:c r="C36" s="102" t="str">
        <x:v>Ndayane Phase 1</x:v>
      </x:c>
      <x:c r="D36" s="102"/>
      <x:c r="E36" s="102" t="n">
        <x:v>840</x:v>
      </x:c>
      <x:c r="F36" s="102"/>
      <x:c r="G36" s="102" t="str">
        <x:v>Containers</x:v>
      </x:c>
      <x:c r="H36" s="102" t="str">
        <x:v>Development</x:v>
      </x:c>
      <x:c r="I36" s="102" t="str">
        <x:v>DP World</x:v>
      </x:c>
      <x:c r="J36" s="102" t="str">
        <x:v>https://www.dpworld.com/en/ports-terminals/senegal</x:v>
      </x:c>
      <x:c r="K36" s="102" t="str">
        <x:v>DPW-SEN-NDY</x:v>
      </x:c>
    </x:row>
    <x:row r="37">
      <x:c r="A37" s="102" t="str">
        <x:v>BERTH00036</x:v>
      </x:c>
      <x:c r="B37" s="102" t="str">
        <x:v>TERM0043</x:v>
      </x:c>
      <x:c r="C37" s="102" t="str">
        <x:v>Expansion quay</x:v>
      </x:c>
      <x:c r="D37" s="102"/>
      <x:c r="E37" s="102" t="n">
        <x:v>400</x:v>
      </x:c>
      <x:c r="F37" s="102"/>
      <x:c r="G37" s="102" t="str">
        <x:v>Containers</x:v>
      </x:c>
      <x:c r="H37" s="102" t="str">
        <x:v>Operational / expanding</x:v>
      </x:c>
      <x:c r="I37" s="102" t="str">
        <x:v>DP World</x:v>
      </x:c>
      <x:c r="J37" s="102" t="str">
        <x:v>https://www.dpworld.com/en/ports-terminals/somaliland/berbera</x:v>
      </x:c>
      <x:c r="K37" s="102" t="str">
        <x:v>DPW-SML-BER</x:v>
      </x:c>
    </x:row>
    <x:row r="38">
      <x:c r="A38" s="102" t="str">
        <x:v>BERTH00037</x:v>
      </x:c>
      <x:c r="B38" s="102" t="str">
        <x:v>TERM0044</x:v>
      </x:c>
      <x:c r="C38" s="102" t="str">
        <x:v>Berth 0</x:v>
      </x:c>
      <x:c r="D38" s="102"/>
      <x:c r="E38" s="102"/>
      <x:c r="F38" s="102"/>
      <x:c r="G38" s="102" t="str">
        <x:v>Multipurpose / RoRo</x:v>
      </x:c>
      <x:c r="H38" s="102" t="str">
        <x:v>Operational</x:v>
      </x:c>
      <x:c r="I38" s="102" t="str">
        <x:v>DP World</x:v>
      </x:c>
      <x:c r="J38" s="102" t="str">
        <x:v>https://www.dpworld.com/en/ports-terminals/dar-es-salaam/infrastructure</x:v>
      </x:c>
      <x:c r="K38" s="102" t="str">
        <x:v>DPW-TZA-DAR</x:v>
      </x:c>
    </x:row>
    <x:row r="39">
      <x:c r="A39" s="102" t="str">
        <x:v>BERTH00038</x:v>
      </x:c>
      <x:c r="B39" s="102" t="str">
        <x:v>TERM0044</x:v>
      </x:c>
      <x:c r="C39" s="102" t="str">
        <x:v>Berths 1–4</x:v>
      </x:c>
      <x:c r="D39" s="102"/>
      <x:c r="E39" s="102"/>
      <x:c r="F39" s="102"/>
      <x:c r="G39" s="102" t="str">
        <x:v>Multipurpose</x:v>
      </x:c>
      <x:c r="H39" s="102" t="str">
        <x:v>Operational</x:v>
      </x:c>
      <x:c r="I39" s="102" t="str">
        <x:v>DP World</x:v>
      </x:c>
      <x:c r="J39" s="102" t="str">
        <x:v>https://www.dpworld.com/en/ports-terminals/dar-es-salaam/infrastructure</x:v>
      </x:c>
      <x:c r="K39" s="102" t="str">
        <x:v>DPW-TZA-DAR</x:v>
      </x:c>
    </x:row>
    <x:row r="40">
      <x:c r="A40" s="102" t="str">
        <x:v>BERTH00039</x:v>
      </x:c>
      <x:c r="B40" s="102" t="str">
        <x:v>TERM0044</x:v>
      </x:c>
      <x:c r="C40" s="102" t="str">
        <x:v>Berths 5–7</x:v>
      </x:c>
      <x:c r="D40" s="102"/>
      <x:c r="E40" s="102" t="n">
        <x:v>550</x:v>
      </x:c>
      <x:c r="F40" s="102"/>
      <x:c r="G40" s="102" t="str">
        <x:v>Multipurpose</x:v>
      </x:c>
      <x:c r="H40" s="102" t="str">
        <x:v>Operational</x:v>
      </x:c>
      <x:c r="I40" s="102" t="str">
        <x:v>DP World</x:v>
      </x:c>
      <x:c r="J40" s="102" t="str">
        <x:v>https://www.dpworld.com/en/ports-terminals/dar-es-salaam/infrastructure</x:v>
      </x:c>
      <x:c r="K40" s="102" t="str">
        <x:v>DPW-TZA-DAR</x:v>
      </x:c>
    </x:row>
    <x:row r="41">
      <x:c r="A41" s="102" t="str">
        <x:v>BERTH00040</x:v>
      </x:c>
      <x:c r="B41" s="102" t="str">
        <x:v>TERM0046</x:v>
      </x:c>
      <x:c r="C41" s="102" t="str">
        <x:v>Mina Al Hamriya berths</x:v>
      </x:c>
      <x:c r="D41" s="102"/>
      <x:c r="E41" s="102" t="n">
        <x:v>1800</x:v>
      </x:c>
      <x:c r="F41" s="102" t="n">
        <x:v>7</x:v>
      </x:c>
      <x:c r="G41" s="102" t="str">
        <x:v>Multipurpose / coastal</x:v>
      </x:c>
      <x:c r="H41" s="102" t="str">
        <x:v>Operational</x:v>
      </x:c>
      <x:c r="I41" s="102" t="str">
        <x:v>DP World</x:v>
      </x:c>
      <x:c r="J41" s="102" t="str">
        <x:v>https://www.dpworld.com/en/ports-terminals/uae/mina-al-hamriya</x:v>
      </x:c>
      <x:c r="K41" s="102" t="str">
        <x:v>DPW-UAE-HAM</x:v>
      </x:c>
    </x:row>
    <x:row r="42">
      <x:c r="A42" s="102" t="str">
        <x:v>BERTH00041</x:v>
      </x:c>
      <x:c r="B42" s="102" t="str">
        <x:v>TERM0047</x:v>
      </x:c>
      <x:c r="C42" s="102" t="str">
        <x:v>Dubai Creek &amp; Deira wharfage</x:v>
      </x:c>
      <x:c r="D42" s="102"/>
      <x:c r="E42" s="102" t="n">
        <x:v>5000</x:v>
      </x:c>
      <x:c r="F42" s="102" t="n">
        <x:v>8</x:v>
      </x:c>
      <x:c r="G42" s="102" t="str">
        <x:v>Dhow / coastal / general cargo</x:v>
      </x:c>
      <x:c r="H42" s="102" t="str">
        <x:v>Operational</x:v>
      </x:c>
      <x:c r="I42" s="102" t="str">
        <x:v>DP World</x:v>
      </x:c>
      <x:c r="J42" s="102" t="str">
        <x:v>https://www.dpworld.com/en/ports-terminals/uae/dubai-creek-and-deira-wharfage</x:v>
      </x:c>
      <x:c r="K42" s="102" t="str">
        <x:v>DPW-UAE-DEI</x:v>
      </x:c>
    </x:row>
    <x:row r="43">
      <x:c r="A43" s="102" t="str">
        <x:v>BERTH00042</x:v>
      </x:c>
      <x:c r="B43" s="102" t="str">
        <x:v>TERM0051</x:v>
      </x:c>
      <x:c r="C43" s="102" t="str">
        <x:v>Initial quay</x:v>
      </x:c>
      <x:c r="D43" s="102"/>
      <x:c r="E43" s="102" t="n">
        <x:v>600</x:v>
      </x:c>
      <x:c r="F43" s="102"/>
      <x:c r="G43" s="102" t="str">
        <x:v>Containers</x:v>
      </x:c>
      <x:c r="H43" s="102" t="str">
        <x:v>Development</x:v>
      </x:c>
      <x:c r="I43" s="102" t="str">
        <x:v>DP World</x:v>
      </x:c>
      <x:c r="J43" s="102" t="str">
        <x:v>https://www.dpworld.com/en/news/dp-world-and-democratic-republic-of-the-congo-sign-final-agreement-to-develop-banana-port</x:v>
      </x:c>
      <x:c r="K43" s="102" t="str">
        <x:v>DPW-COD-BAN</x:v>
      </x:c>
    </x:row>
    <x:row r="44">
      <x:c r="A44" s="102" t="str">
        <x:v>BERTH00043</x:v>
      </x:c>
      <x:c r="B44" s="102" t="str">
        <x:v>TERM0053</x:v>
      </x:c>
      <x:c r="C44" s="102" t="str">
        <x:v>DP World Santos quay</x:v>
      </x:c>
      <x:c r="D44" s="102"/>
      <x:c r="E44" s="102" t="n">
        <x:v>1100</x:v>
      </x:c>
      <x:c r="F44" s="102"/>
      <x:c r="G44" s="102" t="str">
        <x:v>Containers / multipurpose</x:v>
      </x:c>
      <x:c r="H44" s="102" t="str">
        <x:v>Operational</x:v>
      </x:c>
      <x:c r="I44" s="102" t="str">
        <x:v>DP World</x:v>
      </x:c>
      <x:c r="J44" s="102" t="str">
        <x:v>https://www.dpworld.com/en/ports-terminals/brazil/santos</x:v>
      </x:c>
      <x:c r="K44" s="102" t="str">
        <x:v>DPW-BRA-STS</x:v>
      </x:c>
    </x:row>
    <x:row r="45">
      <x:c r="A45" s="102" t="str">
        <x:v>BERTH00044</x:v>
      </x:c>
      <x:c r="B45" s="102" t="str">
        <x:v>TERM0054</x:v>
      </x:c>
      <x:c r="C45" s="102" t="str">
        <x:v>San Antonio berthing facility</x:v>
      </x:c>
      <x:c r="D45" s="102"/>
      <x:c r="E45" s="102" t="n">
        <x:v>700</x:v>
      </x:c>
      <x:c r="F45" s="102"/>
      <x:c r="G45" s="102" t="str">
        <x:v>Containers / multipurpose</x:v>
      </x:c>
      <x:c r="H45" s="102" t="str">
        <x:v>Operational</x:v>
      </x:c>
      <x:c r="I45" s="102" t="str">
        <x:v>DP World</x:v>
      </x:c>
      <x:c r="J45" s="102" t="str">
        <x:v>https://www.dpworld.com/en/ports-terminals/chile/san-antonio</x:v>
      </x:c>
      <x:c r="K45" s="102" t="str">
        <x:v>DPW-CHL-SAI</x:v>
      </x:c>
    </x:row>
    <x:row r="46">
      <x:c r="A46" s="102" t="str">
        <x:v>BERTH00045</x:v>
      </x:c>
      <x:c r="B46" s="102" t="str">
        <x:v>TERM0055</x:v>
      </x:c>
      <x:c r="C46" s="102" t="str">
        <x:v>Pier 1 - Berth 1</x:v>
      </x:c>
      <x:c r="D46" s="102"/>
      <x:c r="E46" s="102" t="n">
        <x:v>220</x:v>
      </x:c>
      <x:c r="F46" s="102"/>
      <x:c r="G46" s="102" t="str">
        <x:v>Multipurpose</x:v>
      </x:c>
      <x:c r="H46" s="102" t="str">
        <x:v>Operational</x:v>
      </x:c>
      <x:c r="I46" s="102" t="str">
        <x:v>DP World</x:v>
      </x:c>
      <x:c r="J46" s="102" t="str">
        <x:v>https://www.dpworld.com/lirquen/about-us/infrastructure</x:v>
      </x:c>
      <x:c r="K46" s="102" t="str">
        <x:v>DPW-CHL-LIR</x:v>
      </x:c>
    </x:row>
    <x:row r="47">
      <x:c r="A47" s="102" t="str">
        <x:v>BERTH00046</x:v>
      </x:c>
      <x:c r="B47" s="102" t="str">
        <x:v>TERM0055</x:v>
      </x:c>
      <x:c r="C47" s="102" t="str">
        <x:v>Pier 1 - Berth 2</x:v>
      </x:c>
      <x:c r="D47" s="102"/>
      <x:c r="E47" s="102" t="n">
        <x:v>220</x:v>
      </x:c>
      <x:c r="F47" s="102"/>
      <x:c r="G47" s="102" t="str">
        <x:v>Multipurpose</x:v>
      </x:c>
      <x:c r="H47" s="102" t="str">
        <x:v>Operational</x:v>
      </x:c>
      <x:c r="I47" s="102" t="str">
        <x:v>DP World</x:v>
      </x:c>
      <x:c r="J47" s="102" t="str">
        <x:v>https://www.dpworld.com/lirquen/about-us/infrastructure</x:v>
      </x:c>
      <x:c r="K47" s="102" t="str">
        <x:v>DPW-CHL-LIR</x:v>
      </x:c>
    </x:row>
    <x:row r="48">
      <x:c r="A48" s="102" t="str">
        <x:v>BERTH00047</x:v>
      </x:c>
      <x:c r="B48" s="102" t="str">
        <x:v>TERM0055</x:v>
      </x:c>
      <x:c r="C48" s="102" t="str">
        <x:v>Pier 2 - Berth 5</x:v>
      </x:c>
      <x:c r="D48" s="102"/>
      <x:c r="E48" s="102" t="n">
        <x:v>367</x:v>
      </x:c>
      <x:c r="F48" s="102"/>
      <x:c r="G48" s="102" t="str">
        <x:v>Multipurpose</x:v>
      </x:c>
      <x:c r="H48" s="102" t="str">
        <x:v>Operational</x:v>
      </x:c>
      <x:c r="I48" s="102" t="str">
        <x:v>DP World</x:v>
      </x:c>
      <x:c r="J48" s="102" t="str">
        <x:v>https://www.dpworld.com/lirquen/about-us/infrastructure</x:v>
      </x:c>
      <x:c r="K48" s="102" t="str">
        <x:v>DPW-CHL-LIR</x:v>
      </x:c>
    </x:row>
    <x:row r="49">
      <x:c r="A49" s="102" t="str">
        <x:v>BERTH00048</x:v>
      </x:c>
      <x:c r="B49" s="102" t="str">
        <x:v>TERM0055</x:v>
      </x:c>
      <x:c r="C49" s="102" t="str">
        <x:v>Pier 2 - Berth 6</x:v>
      </x:c>
      <x:c r="D49" s="102"/>
      <x:c r="E49" s="102" t="n">
        <x:v>304</x:v>
      </x:c>
      <x:c r="F49" s="102"/>
      <x:c r="G49" s="102" t="str">
        <x:v>Multipurpose</x:v>
      </x:c>
      <x:c r="H49" s="102" t="str">
        <x:v>Operational</x:v>
      </x:c>
      <x:c r="I49" s="102" t="str">
        <x:v>DP World</x:v>
      </x:c>
      <x:c r="J49" s="102" t="str">
        <x:v>https://www.dpworld.com/lirquen/about-us/infrastructure</x:v>
      </x:c>
      <x:c r="K49" s="102" t="str">
        <x:v>DPW-CHL-LIR</x:v>
      </x:c>
    </x:row>
    <x:row r="50">
      <x:c r="A50" s="102" t="str">
        <x:v>BERTH00049</x:v>
      </x:c>
      <x:c r="B50" s="102" t="str">
        <x:v>TERM0056</x:v>
      </x:c>
      <x:c r="C50" s="102" t="str">
        <x:v>Dock 3</x:v>
      </x:c>
      <x:c r="D50" s="102"/>
      <x:c r="E50" s="102"/>
      <x:c r="F50" s="102" t="n">
        <x:v>15.5</x:v>
      </x:c>
      <x:c r="G50" s="102" t="str">
        <x:v>Containers</x:v>
      </x:c>
      <x:c r="H50" s="102" t="str">
        <x:v>Operational</x:v>
      </x:c>
      <x:c r="I50" s="102" t="str">
        <x:v>DP World</x:v>
      </x:c>
      <x:c r="J50" s="102" t="str">
        <x:v>https://www.dpworld.com/en/ports-terminals/dominican-republic/caucedo-port</x:v>
      </x:c>
      <x:c r="K50" s="102" t="str">
        <x:v>DPW-DOM-CAU</x:v>
      </x:c>
    </x:row>
    <x:row r="51">
      <x:c r="A51" s="102" t="str">
        <x:v>BERTH00050</x:v>
      </x:c>
      <x:c r="B51" s="102" t="str">
        <x:v>TERM0056</x:v>
      </x:c>
      <x:c r="C51" s="102" t="str">
        <x:v>Breakwater dock</x:v>
      </x:c>
      <x:c r="D51" s="102"/>
      <x:c r="E51" s="102"/>
      <x:c r="F51" s="102" t="n">
        <x:v>12</x:v>
      </x:c>
      <x:c r="G51" s="102" t="str">
        <x:v>Containers / feeder</x:v>
      </x:c>
      <x:c r="H51" s="102" t="str">
        <x:v>Operational</x:v>
      </x:c>
      <x:c r="I51" s="102" t="str">
        <x:v>DP World</x:v>
      </x:c>
      <x:c r="J51" s="102" t="str">
        <x:v>https://www.dpworld.com/en/ports-terminals/dominican-republic/caucedo-port</x:v>
      </x:c>
      <x:c r="K51" s="102" t="str">
        <x:v>DPW-DOM-CAU</x:v>
      </x:c>
    </x:row>
    <x:row r="52">
      <x:c r="A52" s="102" t="str">
        <x:v>BERTH00051</x:v>
      </x:c>
      <x:c r="B52" s="102" t="str">
        <x:v>TERM0057</x:v>
      </x:c>
      <x:c r="C52" s="102" t="str">
        <x:v>Current quay</x:v>
      </x:c>
      <x:c r="D52" s="102"/>
      <x:c r="E52" s="102" t="n">
        <x:v>700</x:v>
      </x:c>
      <x:c r="F52" s="102"/>
      <x:c r="G52" s="102" t="str">
        <x:v>Containers</x:v>
      </x:c>
      <x:c r="H52" s="102" t="str">
        <x:v>Operational</x:v>
      </x:c>
      <x:c r="I52" s="102" t="str">
        <x:v>DP World</x:v>
      </x:c>
      <x:c r="J52" s="102" t="str">
        <x:v>https://www.dpworld.com/en/news/dp-world-inaugurates-posorja-terminal-expansion-boosting-ecuadors-global-trade-capacity</x:v>
      </x:c>
      <x:c r="K52" s="102" t="str">
        <x:v>DPW-ECU-POS</x:v>
      </x:c>
    </x:row>
    <x:row r="53">
      <x:c r="A53" s="102" t="str">
        <x:v>BERTH00052</x:v>
      </x:c>
      <x:c r="B53" s="102" t="str">
        <x:v>TERM0058</x:v>
      </x:c>
      <x:c r="C53" s="102" t="str">
        <x:v>South Terminal quay</x:v>
      </x:c>
      <x:c r="D53" s="102"/>
      <x:c r="E53" s="102" t="n">
        <x:v>1050</x:v>
      </x:c>
      <x:c r="F53" s="102"/>
      <x:c r="G53" s="102" t="str">
        <x:v>Containers</x:v>
      </x:c>
      <x:c r="H53" s="102" t="str">
        <x:v>Operational</x:v>
      </x:c>
      <x:c r="I53" s="102" t="str">
        <x:v>DP World</x:v>
      </x:c>
      <x:c r="J53" s="102" t="str">
        <x:v>https://www.dpworld.com/en/ports-terminals/peru/callao</x:v>
      </x:c>
      <x:c r="K53" s="102" t="str">
        <x:v>DPW-PER-CAL</x:v>
      </x:c>
    </x:row>
    <x:row r="54">
      <x:c r="A54" s="102" t="str">
        <x:v>BERTH00053</x:v>
      </x:c>
      <x:c r="B54" s="102" t="str">
        <x:v>TERM0061</x:v>
      </x:c>
      <x:c r="C54" s="102" t="str">
        <x:v>La Vigilantia quay</x:v>
      </x:c>
      <x:c r="D54" s="102"/>
      <x:c r="E54" s="102" t="n">
        <x:v>73</x:v>
      </x:c>
      <x:c r="F54" s="102"/>
      <x:c r="G54" s="102" t="str">
        <x:v>Multipurpose</x:v>
      </x:c>
      <x:c r="H54" s="102" t="str">
        <x:v>Operational</x:v>
      </x:c>
      <x:c r="I54" s="102" t="str">
        <x:v>DP World</x:v>
      </x:c>
      <x:c r="J54" s="102" t="str">
        <x:v>https://www.dpworld.com/en/ports-terminals/suriname/la-vigilantia</x:v>
      </x:c>
      <x:c r="K54" s="102" t="str">
        <x:v>DPW-SUR-VIG</x:v>
      </x:c>
    </x:row>
    <x:row r="55">
      <x:c r="A55" s="102" t="str">
        <x:v>BERTH00054</x:v>
      </x:c>
      <x:c r="B55" s="102" t="str">
        <x:v>TERM0062</x:v>
      </x:c>
      <x:c r="C55" s="102" t="str">
        <x:v>Centerm berths</x:v>
      </x:c>
      <x:c r="D55" s="102"/>
      <x:c r="E55" s="102" t="n">
        <x:v>724</x:v>
      </x:c>
      <x:c r="F55" s="102" t="n">
        <x:v>15.5</x:v>
      </x:c>
      <x:c r="G55" s="102" t="str">
        <x:v>Containers</x:v>
      </x:c>
      <x:c r="H55" s="102" t="str">
        <x:v>Operational</x:v>
      </x:c>
      <x:c r="I55" s="102" t="str">
        <x:v>DP World</x:v>
      </x:c>
      <x:c r="J55" s="102" t="str">
        <x:v>https://www.dpworld.com/en/ports-terminals/canada/vancouver</x:v>
      </x:c>
      <x:c r="K55" s="102" t="str">
        <x:v>DPW-CAN-VAN</x:v>
      </x:c>
    </x:row>
    <x:row r="56">
      <x:c r="A56" s="102" t="str">
        <x:v>BERTH00055</x:v>
      </x:c>
      <x:c r="B56" s="102" t="str">
        <x:v>TERM0063</x:v>
      </x:c>
      <x:c r="C56" s="102" t="str">
        <x:v>Fraser Surrey berths</x:v>
      </x:c>
      <x:c r="D56" s="102"/>
      <x:c r="E56" s="102" t="n">
        <x:v>1575</x:v>
      </x:c>
      <x:c r="F56" s="102"/>
      <x:c r="G56" s="102" t="str">
        <x:v>Multipurpose</x:v>
      </x:c>
      <x:c r="H56" s="102" t="str">
        <x:v>Operational</x:v>
      </x:c>
      <x:c r="I56" s="102" t="str">
        <x:v>DP World</x:v>
      </x:c>
      <x:c r="J56" s="102" t="str">
        <x:v>https://www.dpworld.com/en/ports-terminals/canada/fraser-surrey-docks</x:v>
      </x:c>
      <x:c r="K56" s="102" t="str">
        <x:v>DPW-CAN-FSD</x:v>
      </x:c>
    </x:row>
    <x:row r="57">
      <x:c r="A57" s="102" t="str">
        <x:v>BERTH00056</x:v>
      </x:c>
      <x:c r="B57" s="102" t="str">
        <x:v>TERM0064</x:v>
      </x:c>
      <x:c r="C57" s="102" t="str">
        <x:v>Deep-sea berth</x:v>
      </x:c>
      <x:c r="D57" s="102"/>
      <x:c r="E57" s="102" t="n">
        <x:v>170</x:v>
      </x:c>
      <x:c r="F57" s="102" t="n">
        <x:v>13.5</x:v>
      </x:c>
      <x:c r="G57" s="102" t="str">
        <x:v>Containers</x:v>
      </x:c>
      <x:c r="H57" s="102" t="str">
        <x:v>Operational</x:v>
      </x:c>
      <x:c r="I57" s="102" t="str">
        <x:v>DP World</x:v>
      </x:c>
      <x:c r="J57" s="102" t="str">
        <x:v>https://www.dpworld.com/en/ports-terminals/canada/nanaimo</x:v>
      </x:c>
      <x:c r="K57" s="102" t="str">
        <x:v>DPW-CAN-NAN</x:v>
      </x:c>
    </x:row>
    <x:row r="58">
      <x:c r="A58" s="102" t="str">
        <x:v>BERTH00057</x:v>
      </x:c>
      <x:c r="B58" s="102" t="str">
        <x:v>TERM0064</x:v>
      </x:c>
      <x:c r="C58" s="102" t="str">
        <x:v>Barge berth</x:v>
      </x:c>
      <x:c r="D58" s="102"/>
      <x:c r="E58" s="102" t="n">
        <x:v>82</x:v>
      </x:c>
      <x:c r="F58" s="102"/>
      <x:c r="G58" s="102" t="str">
        <x:v>Barge / short-sea</x:v>
      </x:c>
      <x:c r="H58" s="102" t="str">
        <x:v>Operational</x:v>
      </x:c>
      <x:c r="I58" s="102" t="str">
        <x:v>DP World</x:v>
      </x:c>
      <x:c r="J58" s="102" t="str">
        <x:v>https://www.dpworld.com/en/ports-terminals/canada/nanaimo</x:v>
      </x:c>
      <x:c r="K58" s="102" t="str">
        <x:v>DPW-CAN-NAN</x:v>
      </x:c>
    </x:row>
    <x:row r="59">
      <x:c r="A59" s="102" t="str">
        <x:v>BERTH00058</x:v>
      </x:c>
      <x:c r="B59" s="102" t="str">
        <x:v>TERM0065</x:v>
      </x:c>
      <x:c r="C59" s="102" t="str">
        <x:v>Fairview berths</x:v>
      </x:c>
      <x:c r="D59" s="102"/>
      <x:c r="E59" s="102" t="n">
        <x:v>800</x:v>
      </x:c>
      <x:c r="F59" s="102" t="n">
        <x:v>17</x:v>
      </x:c>
      <x:c r="G59" s="102" t="str">
        <x:v>Containers</x:v>
      </x:c>
      <x:c r="H59" s="102" t="str">
        <x:v>Operational</x:v>
      </x:c>
      <x:c r="I59" s="102" t="str">
        <x:v>DP World</x:v>
      </x:c>
      <x:c r="J59" s="102" t="str">
        <x:v>https://www.dpworld.com/en/ports-terminals/canada/prince-rupert</x:v>
      </x:c>
      <x:c r="K59" s="102" t="str">
        <x:v>DPW-CAN-PRR</x:v>
      </x:c>
    </x:row>
    <x:row r="60">
      <x:c r="A60" s="102" t="str">
        <x:v>BERTH00059</x:v>
      </x:c>
      <x:c r="B60" s="102" t="str">
        <x:v>TERM0082</x:v>
      </x:c>
      <x:c r="C60" s="102" t="str">
        <x:v>CMA Terminals Khalifa Port – Phase 1</x:v>
      </x:c>
      <x:c r="D60" s="102" t="n">
        <x:v>2</x:v>
      </x:c>
      <x:c r="E60" s="102" t="n">
        <x:v>800</x:v>
      </x:c>
      <x:c r="F60" s="102" t="n">
        <x:v>18.5</x:v>
      </x:c>
      <x:c r="G60" s="102" t="str">
        <x:v>Container</x:v>
      </x:c>
      <x:c r="H60" s="102" t="str">
        <x:v>Operating</x:v>
      </x:c>
      <x:c r="I60" s="102" t="str">
        <x:v>AD Ports / Noatum</x:v>
      </x:c>
      <x:c r="J60" s="102" t="str">
        <x:v>https://www.adportsgroup.com/en/news-and-media/2025/03/14/the-cma-cgm-iron-the-first-dual-fuel-methanol-vessel-to-visit-abu-dhabi-at-khalifa-port</x:v>
      </x:c>
      <x:c r="K60" s="102" t="str">
        <x:v>ADP-UAE-CMA</x:v>
      </x:c>
    </x:row>
    <x:row r="61">
      <x:c r="A61" s="102" t="str">
        <x:v>BERTH00060</x:v>
      </x:c>
      <x:c r="B61" s="102" t="str">
        <x:v>TERM0073</x:v>
      </x:c>
      <x:c r="C61" s="102" t="str">
        <x:v>Mugharraq quay</x:v>
      </x:c>
      <x:c r="D61" s="102"/>
      <x:c r="E61" s="102" t="n">
        <x:v>480</x:v>
      </x:c>
      <x:c r="F61" s="102" t="n">
        <x:v>8</x:v>
      </x:c>
      <x:c r="G61" s="102" t="str">
        <x:v>Heavy lift / Ro-Ro / general cargo</x:v>
      </x:c>
      <x:c r="H61" s="102" t="str">
        <x:v>Operating</x:v>
      </x:c>
      <x:c r="I61" s="102" t="str">
        <x:v>AD Ports / Noatum</x:v>
      </x:c>
      <x:c r="J61" s="102" t="str">
        <x:v>https://www.adportsgroup.com/en/news-and-media/2022/09/29/ad-ports-group-welcomes-first-international-shipment-at-mugharraq-port</x:v>
      </x:c>
      <x:c r="K61" s="102" t="str">
        <x:v>ADP-UAE-MUGHARRAQ</x:v>
      </x:c>
    </x:row>
    <x:row r="62">
      <x:c r="A62" s="102" t="str">
        <x:v>BERTH00061</x:v>
      </x:c>
      <x:c r="B62" s="102" t="str">
        <x:v>TERM0094</x:v>
      </x:c>
      <x:c r="C62" s="102" t="str">
        <x:v>Karachi East Wharf berths 6-10</x:v>
      </x:c>
      <x:c r="D62" s="102" t="n">
        <x:v>5</x:v>
      </x:c>
      <x:c r="E62" s="102"/>
      <x:c r="F62" s="102" t="n">
        <x:v>13</x:v>
      </x:c>
      <x:c r="G62" s="102" t="str">
        <x:v>Container</x:v>
      </x:c>
      <x:c r="H62" s="102" t="str">
        <x:v>Operating; dredging to 15.5 m</x:v>
      </x:c>
      <x:c r="I62" s="102" t="str">
        <x:v>AD Ports / Noatum</x:v>
      </x:c>
      <x:c r="J62" s="102" t="str">
        <x:v>https://www.adportsgroup.com/en/news-and-media/2025/09/02/ad-ports-groups-karachi-terminals-in-pakistan-sign-major-dredging-agreement</x:v>
      </x:c>
      <x:c r="K62" s="102" t="str">
        <x:v>ADP-PAK-KGTL</x:v>
      </x:c>
    </x:row>
    <x:row r="63">
      <x:c r="A63" s="102" t="str">
        <x:v>BERTH00062</x:v>
      </x:c>
      <x:c r="B63" s="102" t="str">
        <x:v>TERM0095</x:v>
      </x:c>
      <x:c r="C63" s="102" t="str">
        <x:v>Karachi East Wharf berths 11-17</x:v>
      </x:c>
      <x:c r="D63" s="102" t="n">
        <x:v>7</x:v>
      </x:c>
      <x:c r="E63" s="102"/>
      <x:c r="F63" s="102"/>
      <x:c r="G63" s="102" t="str">
        <x:v>Bulk / general cargo</x:v>
      </x:c>
      <x:c r="H63" s="102" t="str">
        <x:v>Operating</x:v>
      </x:c>
      <x:c r="I63" s="102" t="str">
        <x:v>AD Ports / Noatum</x:v>
      </x:c>
      <x:c r="J63" s="102" t="str">
        <x:v>https://www.adportsgroup.com/en/news-and-media/2024/02/03/ad-ports-group-and-karachi-port-trust-extend-cooperation-through-25-year-concession-agreement</x:v>
      </x:c>
      <x:c r="K63" s="102" t="str">
        <x:v>ADP-PAK-KGTML</x:v>
      </x:c>
    </x:row>
    <x:row r="64">
      <x:c r="A64" s="102" t="str">
        <x:v>BERTH00063</x:v>
      </x:c>
      <x:c r="B64" s="102" t="str">
        <x:v>TERM0092</x:v>
      </x:c>
      <x:c r="C64" s="102" t="str">
        <x:v>Safaga multipurpose quay</x:v>
      </x:c>
      <x:c r="D64" s="102"/>
      <x:c r="E64" s="102" t="n">
        <x:v>1000</x:v>
      </x:c>
      <x:c r="F64" s="102"/>
      <x:c r="G64" s="102" t="str">
        <x:v>Multipurpose</x:v>
      </x:c>
      <x:c r="H64" s="102" t="str">
        <x:v>Trial operations / development</x:v>
      </x:c>
      <x:c r="I64" s="102" t="str">
        <x:v>AD Ports / Noatum</x:v>
      </x:c>
      <x:c r="J64" s="102" t="str">
        <x:v>https://www.adportsgroup.com/en/news-and-media/2025/03/04/ad-ports-group-prepares-to-receive-state-of-the-art-panamax-class-cranes-in-safaga</x:v>
      </x:c>
      <x:c r="K64" s="102" t="str">
        <x:v>ADP-EGY-SAFAGA</x:v>
      </x:c>
    </x:row>
    <x:row r="65">
      <x:c r="A65" s="102" t="str">
        <x:v>BERTH00064</x:v>
      </x:c>
      <x:c r="B65" s="102" t="str">
        <x:v>TERM0097</x:v>
      </x:c>
      <x:c r="C65" s="102" t="str">
        <x:v>Pointe-Noire initial quay</x:v>
      </x:c>
      <x:c r="D65" s="102"/>
      <x:c r="E65" s="102" t="n">
        <x:v>420</x:v>
      </x:c>
      <x:c r="F65" s="102" t="n">
        <x:v>16</x:v>
      </x:c>
      <x:c r="G65" s="102" t="str">
        <x:v>Container</x:v>
      </x:c>
      <x:c r="H65" s="102" t="str">
        <x:v>Under construction</x:v>
      </x:c>
      <x:c r="I65" s="102" t="str">
        <x:v>AD Ports / Noatum</x:v>
      </x:c>
      <x:c r="J65" s="102" t="str">
        <x:v>https://www.adportsgroup.com/en/news-and-media/2026/05/18/ad-ports-group-awards-three-contracts-for-noatum-ports-pointe-noire-terminal</x:v>
      </x:c>
      <x:c r="K65" s="102" t="str">
        <x:v>ADP-COG-POINTE</x:v>
      </x:c>
    </x:row>
    <x:row r="66">
      <x:c r="A66" s="102" t="str">
        <x:v>BERTH00065</x:v>
      </x:c>
      <x:c r="B66" s="102" t="str">
        <x:v>TERM0096</x:v>
      </x:c>
      <x:c r="C66" s="102" t="str">
        <x:v>Luanda upgraded terminal quay</x:v>
      </x:c>
      <x:c r="D66" s="102"/>
      <x:c r="E66" s="102"/>
      <x:c r="F66" s="102" t="n">
        <x:v>16</x:v>
      </x:c>
      <x:c r="G66" s="102" t="str">
        <x:v>Container / Ro-Ro / general cargo</x:v>
      </x:c>
      <x:c r="H66" s="102" t="str">
        <x:v>Modernisation</x:v>
      </x:c>
      <x:c r="I66" s="102" t="str">
        <x:v>AD Ports / Noatum</x:v>
      </x:c>
      <x:c r="J66" s="102" t="str">
        <x:v>https://www.adportsgroup.com/en/news-and-media/2025/09/19/ad-ports-group-breaks-ground-on-noatum-ports-luanda-terminal</x:v>
      </x:c>
      <x:c r="K66" s="102" t="str">
        <x:v>ADP-AGO-LUANDA</x:v>
      </x:c>
    </x:row>
    <x:row r="67">
      <x:c r="A67" s="102" t="str">
        <x:v>BERTH00066</x:v>
      </x:c>
      <x:c r="B67" s="102" t="str">
        <x:v>TERM0103</x:v>
      </x:c>
      <x:c r="C67" s="102" t="str">
        <x:v>Tarragona operating berthing line</x:v>
      </x:c>
      <x:c r="D67" s="102"/>
      <x:c r="E67" s="102" t="n">
        <x:v>5000</x:v>
      </x:c>
      <x:c r="F67" s="102" t="n">
        <x:v>16</x:v>
      </x:c>
      <x:c r="G67" s="102" t="str">
        <x:v>Multipurpose / bulk / Ro-Ro</x:v>
      </x:c>
      <x:c r="H67" s="102" t="str">
        <x:v>Operating</x:v>
      </x:c>
      <x:c r="I67" s="102" t="str">
        <x:v>AD Ports / Noatum</x:v>
      </x:c>
      <x:c r="J67" s="102" t="str">
        <x:v>https://www.noatum.com/en/terminals-port-operations/noatum-ports-tarragona-terminal/</x:v>
      </x:c>
      <x:c r="K67" s="102" t="str">
        <x:v>ADP-ESP-TARR</x:v>
      </x:c>
    </x:row>
    <x:row r="68">
      <x:c r="A68" s="102" t="str">
        <x:v>BERTH00067</x:v>
      </x:c>
      <x:c r="B68" s="102" t="str">
        <x:v>TERM0104</x:v>
      </x:c>
      <x:c r="C68" s="102" t="str">
        <x:v>Castellón berthing line</x:v>
      </x:c>
      <x:c r="D68" s="102"/>
      <x:c r="E68" s="102" t="n">
        <x:v>990</x:v>
      </x:c>
      <x:c r="F68" s="102" t="n">
        <x:v>13</x:v>
      </x:c>
      <x:c r="G68" s="102" t="str">
        <x:v>Multipurpose / container / bulk</x:v>
      </x:c>
      <x:c r="H68" s="102" t="str">
        <x:v>Operating</x:v>
      </x:c>
      <x:c r="I68" s="102" t="str">
        <x:v>AD Ports / Noatum</x:v>
      </x:c>
      <x:c r="J68" s="102" t="str">
        <x:v>https://www.noatum.com/en/terminals-port-operations/noatum-ports-castellon-terminal/</x:v>
      </x:c>
      <x:c r="K68" s="102" t="str">
        <x:v>ADP-ESP-CAST</x:v>
      </x:c>
    </x:row>
    <x:row r="69">
      <x:c r="A69" s="102" t="str">
        <x:v>BERTH00068</x:v>
      </x:c>
      <x:c r="B69" s="102" t="str">
        <x:v>TERM0105</x:v>
      </x:c>
      <x:c r="C69" s="102" t="str">
        <x:v>Sagunto berthing line</x:v>
      </x:c>
      <x:c r="D69" s="102"/>
      <x:c r="E69" s="102" t="n">
        <x:v>1530</x:v>
      </x:c>
      <x:c r="F69" s="102" t="n">
        <x:v>12.7</x:v>
      </x:c>
      <x:c r="G69" s="102" t="str">
        <x:v>Multipurpose / Ro-Ro</x:v>
      </x:c>
      <x:c r="H69" s="102" t="str">
        <x:v>Operating</x:v>
      </x:c>
      <x:c r="I69" s="102" t="str">
        <x:v>AD Ports / Noatum</x:v>
      </x:c>
      <x:c r="J69" s="102" t="str">
        <x:v>https://www.noatum.com/en/terminals-port-operations/noatum-ports-sagunto-terminal/</x:v>
      </x:c>
      <x:c r="K69" s="102" t="str">
        <x:v>ADP-ESP-SAG</x:v>
      </x:c>
    </x:row>
    <x:row r="70">
      <x:c r="A70" s="102" t="str">
        <x:v>BERTH00069</x:v>
      </x:c>
      <x:c r="B70" s="102" t="str">
        <x:v>TERM0107</x:v>
      </x:c>
      <x:c r="C70" s="102" t="str">
        <x:v>Málaga berthing line</x:v>
      </x:c>
      <x:c r="D70" s="102"/>
      <x:c r="E70" s="102" t="n">
        <x:v>723</x:v>
      </x:c>
      <x:c r="F70" s="102" t="n">
        <x:v>16</x:v>
      </x:c>
      <x:c r="G70" s="102" t="str">
        <x:v>Multipurpose / Ro-Ro / container</x:v>
      </x:c>
      <x:c r="H70" s="102" t="str">
        <x:v>Operating</x:v>
      </x:c>
      <x:c r="I70" s="102" t="str">
        <x:v>AD Ports / Noatum</x:v>
      </x:c>
      <x:c r="J70" s="102" t="str">
        <x:v>https://www.noatum.com/en/terminals-port-operations/noatum-ports-malaga-terminal/</x:v>
      </x:c>
      <x:c r="K70" s="102" t="str">
        <x:v>ADP-ESP-MAL</x:v>
      </x:c>
    </x:row>
    <x:row r="71">
      <x:c r="A71" s="102" t="str">
        <x:v>BERTH00070</x:v>
      </x:c>
      <x:c r="B71" s="102" t="str">
        <x:v>TERM0110</x:v>
      </x:c>
      <x:c r="C71" s="102" t="str">
        <x:v>Santander berthing line</x:v>
      </x:c>
      <x:c r="D71" s="102"/>
      <x:c r="E71" s="102" t="n">
        <x:v>3100</x:v>
      </x:c>
      <x:c r="F71" s="102" t="n">
        <x:v>13</x:v>
      </x:c>
      <x:c r="G71" s="102" t="str">
        <x:v>Multipurpose / bulk / Ro-Ro</x:v>
      </x:c>
      <x:c r="H71" s="102" t="str">
        <x:v>Operating</x:v>
      </x:c>
      <x:c r="I71" s="102" t="str">
        <x:v>AD Ports / Noatum</x:v>
      </x:c>
      <x:c r="J71" s="102" t="str">
        <x:v>https://www.noatum.com/en/terminals-port-operations/noatum-ports-santander-terminal/</x:v>
      </x:c>
      <x:c r="K71" s="102" t="str">
        <x:v>ADP-ESP-SANT</x:v>
      </x:c>
    </x:row>
    <x:row r="72">
      <x:c r="A72" s="102" t="str">
        <x:v>BERTH00071</x:v>
      </x:c>
      <x:c r="B72" s="102" t="str">
        <x:v>TERM0115</x:v>
      </x:c>
      <x:c r="C72" s="102" t="str">
        <x:v>Fenix Marine Services berths</x:v>
      </x:c>
      <x:c r="D72" s="102" t="n">
        <x:v>4</x:v>
      </x:c>
      <x:c r="E72" s="102"/>
      <x:c r="F72" s="102" t="n">
        <x:v>15.24</x:v>
      </x:c>
      <x:c r="G72" s="102" t="str">
        <x:v>Containers</x:v>
      </x:c>
      <x:c r="H72" s="102" t="str">
        <x:v>Operating</x:v>
      </x:c>
      <x:c r="I72" s="102" t="str">
        <x:v>CMA Terminals / Terminal Link</x:v>
      </x:c>
      <x:c r="J72" s="102" t="str">
        <x:v>https://www.cma-cgm.com/news/4028/cma-cgm-completes-the-acquisition-of-fenix-marine-services-one-of-the-largest-container-terminals-in-the-port-of-los-angeles</x:v>
      </x:c>
      <x:c r="K72" s="102" t="str">
        <x:v>CMA-US-FENIX</x:v>
      </x:c>
    </x:row>
    <x:row r="73">
      <x:c r="A73" s="102" t="str">
        <x:v>BERTH00072</x:v>
      </x:c>
      <x:c r="B73" s="102" t="str">
        <x:v>TERM0082</x:v>
      </x:c>
      <x:c r="C73" s="102" t="str">
        <x:v>Khalifa phase 1 quay</x:v>
      </x:c>
      <x:c r="D73" s="102" t="n">
        <x:v>2</x:v>
      </x:c>
      <x:c r="E73" s="102" t="n">
        <x:v>800</x:v>
      </x:c>
      <x:c r="F73" s="102" t="n">
        <x:v>18.5</x:v>
      </x:c>
      <x:c r="G73" s="102" t="str">
        <x:v>Containers</x:v>
      </x:c>
      <x:c r="H73" s="102" t="str">
        <x:v>Operating</x:v>
      </x:c>
      <x:c r="I73" s="102" t="str">
        <x:v>CMA Terminals / Terminal Link</x:v>
      </x:c>
      <x:c r="J73" s="102" t="str">
        <x:v>https://www.adportsgroup.com/en/news-and-media/2025/03/14/the-cma-cgm-iron-the-first-dual-fuel-methanol-vessel-to-visit-abu-dhabi-at-khalifa-port</x:v>
      </x:c>
      <x:c r="K73" s="102" t="str">
        <x:v>CMA-AE-KHAL</x:v>
      </x:c>
    </x:row>
    <x:row r="74">
      <x:c r="A74" s="102" t="str">
        <x:v>BERTH00073</x:v>
      </x:c>
      <x:c r="B74" s="102" t="str">
        <x:v>TERM0082</x:v>
      </x:c>
      <x:c r="C74" s="102" t="str">
        <x:v>Khalifa expanded quay</x:v>
      </x:c>
      <x:c r="D74" s="102"/>
      <x:c r="E74" s="102" t="n">
        <x:v>1200</x:v>
      </x:c>
      <x:c r="F74" s="102" t="n">
        <x:v>18.5</x:v>
      </x:c>
      <x:c r="G74" s="102" t="str">
        <x:v>Containers</x:v>
      </x:c>
      <x:c r="H74" s="102" t="str">
        <x:v>Planned early 2028</x:v>
      </x:c>
      <x:c r="I74" s="102" t="str">
        <x:v>CMA Terminals / Terminal Link</x:v>
      </x:c>
      <x:c r="J74" s="102" t="str">
        <x:v>https://www.adportsgroup.com/en/news-and-media/2025/11/18/ad-ports-group-signs-agreement-with-cma-cgm-group-to-expand-terminal-at-khalifa-port</x:v>
      </x:c>
      <x:c r="K74" s="102" t="str">
        <x:v>CMA-AE-KHAL</x:v>
      </x:c>
    </x:row>
    <x:row r="75">
      <x:c r="A75" s="102" t="str">
        <x:v>BERTH00074</x:v>
      </x:c>
      <x:c r="B75" s="102" t="str">
        <x:v>TERM0127</x:v>
      </x:c>
      <x:c r="C75" s="102" t="str">
        <x:v>Lekki quay</x:v>
      </x:c>
      <x:c r="D75" s="102" t="n">
        <x:v>2</x:v>
      </x:c>
      <x:c r="E75" s="102" t="n">
        <x:v>680</x:v>
      </x:c>
      <x:c r="F75" s="102" t="n">
        <x:v>16.5</x:v>
      </x:c>
      <x:c r="G75" s="102" t="str">
        <x:v>Containers</x:v>
      </x:c>
      <x:c r="H75" s="102" t="str">
        <x:v>Operating</x:v>
      </x:c>
      <x:c r="I75" s="102" t="str">
        <x:v>CMA Terminals / Terminal Link</x:v>
      </x:c>
      <x:c r="J75" s="102" t="str">
        <x:v>https://www.cma-cgm.com/assets/public/pdf/LEKKI%20FREEPORT%20TERMINAL%20Q3%202022.pdf</x:v>
      </x:c>
      <x:c r="K75" s="102" t="str">
        <x:v>CMA-NG-LEKKI</x:v>
      </x:c>
    </x:row>
    <x:row r="76">
      <x:c r="A76" s="102" t="str">
        <x:v>BERTH00075</x:v>
      </x:c>
      <x:c r="B76" s="102" t="str">
        <x:v>TERM0128</x:v>
      </x:c>
      <x:c r="C76" s="102" t="str">
        <x:v>Trans Misr / Pier 55 quay</x:v>
      </x:c>
      <x:c r="D76" s="102"/>
      <x:c r="E76" s="102" t="n">
        <x:v>2000</x:v>
      </x:c>
      <x:c r="F76" s="102"/>
      <x:c r="G76" s="102" t="str">
        <x:v>Containers</x:v>
      </x:c>
      <x:c r="H76" s="102" t="str">
        <x:v>Operating</x:v>
      </x:c>
      <x:c r="I76" s="102" t="str">
        <x:v>CMA Terminals / Terminal Link</x:v>
      </x:c>
      <x:c r="J76" s="102" t="str">
        <x:v>https://www.cma-cgm.com/ebusiness/schedules/terminal/detail/EGALY-MPT</x:v>
      </x:c>
      <x:c r="K76" s="102" t="str">
        <x:v>CMA-EG-ALEX</x:v>
      </x:c>
    </x:row>
    <x:row r="77">
      <x:c r="A77" s="102" t="str">
        <x:v>BERTH00076</x:v>
      </x:c>
      <x:c r="B77" s="102" t="str">
        <x:v>TERM0129</x:v>
      </x:c>
      <x:c r="C77" s="102" t="str">
        <x:v>Nador West Container Terminal</x:v>
      </x:c>
      <x:c r="D77" s="102"/>
      <x:c r="E77" s="102" t="n">
        <x:v>900</x:v>
      </x:c>
      <x:c r="F77" s="102" t="n">
        <x:v>18</x:v>
      </x:c>
      <x:c r="G77" s="102" t="str">
        <x:v>Containers / transshipment</x:v>
      </x:c>
      <x:c r="H77" s="102" t="str">
        <x:v>Under development</x:v>
      </x:c>
      <x:c r="I77" s="102" t="str">
        <x:v>CMA Terminals / Terminal Link</x:v>
      </x:c>
      <x:c r="J77" s="102" t="str">
        <x:v>https://www.cma-cgm.com/news/5223/marsa-maroc-and-cma-cgm-finalize-the-agreement-for-the-operation-of-a-container-terminal-at-the-port-of-nador-west-med</x:v>
      </x:c>
      <x:c r="K77" s="102" t="str">
        <x:v>CMA-MA-NADOR</x:v>
      </x:c>
    </x:row>
    <x:row r="78">
      <x:c r="A78" s="102" t="str">
        <x:v>BERTH00077</x:v>
      </x:c>
      <x:c r="B78" s="102" t="str">
        <x:v>TERM0097</x:v>
      </x:c>
      <x:c r="C78" s="102" t="str">
        <x:v>Pointe-Noire initial quay</x:v>
      </x:c>
      <x:c r="D78" s="102"/>
      <x:c r="E78" s="102" t="n">
        <x:v>420</x:v>
      </x:c>
      <x:c r="F78" s="102" t="n">
        <x:v>16</x:v>
      </x:c>
      <x:c r="G78" s="102" t="str">
        <x:v>Containers / multipurpose</x:v>
      </x:c>
      <x:c r="H78" s="102" t="str">
        <x:v>Under development</x:v>
      </x:c>
      <x:c r="I78" s="102" t="str">
        <x:v>CMA Terminals / Terminal Link</x:v>
      </x:c>
      <x:c r="J78" s="102" t="str">
        <x:v>https://www.adportsgroup.com/en/news-and-media/2026/05/18/ad-ports-group-awards-three-contracts-for-noatum-ports-pointe-noire-terminal</x:v>
      </x:c>
      <x:c r="K78" s="102" t="str">
        <x:v>CMA-CG-PNR</x:v>
      </x:c>
    </x:row>
    <x:row r="79">
      <x:c r="A79" s="102" t="str">
        <x:v>BERTH00078</x:v>
      </x:c>
      <x:c r="B79" s="102" t="str">
        <x:v>TERM0125</x:v>
      </x:c>
      <x:c r="C79" s="102" t="str">
        <x:v>Gemalink Phase 2 quay extension</x:v>
      </x:c>
      <x:c r="D79" s="102"/>
      <x:c r="E79" s="102" t="n">
        <x:v>450</x:v>
      </x:c>
      <x:c r="F79" s="102"/>
      <x:c r="G79" s="102" t="str">
        <x:v>Containers</x:v>
      </x:c>
      <x:c r="H79" s="102" t="str">
        <x:v>Under expansion</x:v>
      </x:c>
      <x:c r="I79" s="102" t="str">
        <x:v>CMA Terminals / Terminal Link</x:v>
      </x:c>
      <x:c r="J79" s="102" t="str">
        <x:v>https://www.cmacgm-group.com/en/news-media/cma-cgm-launches-phase-2-expansion-works-gemalink-container-terminal</x:v>
      </x:c>
      <x:c r="K79" s="102" t="str">
        <x:v>CMA-VN-GEMA</x:v>
      </x:c>
    </x:row>
    <x:row r="80">
      <x:c r="A80" s="102" t="str">
        <x:v>BERTH00079</x:v>
      </x:c>
      <x:c r="B80" s="102" t="str">
        <x:v>TERM0132</x:v>
      </x:c>
      <x:c r="C80" s="102" t="str">
        <x:v>Hamburg western expansion</x:v>
      </x:c>
      <x:c r="D80" s="102"/>
      <x:c r="E80" s="102" t="n">
        <x:v>1050</x:v>
      </x:c>
      <x:c r="F80" s="102"/>
      <x:c r="G80" s="102" t="str">
        <x:v>Containers</x:v>
      </x:c>
      <x:c r="H80" s="102" t="str">
        <x:v>Planned</x:v>
      </x:c>
      <x:c r="I80" s="102" t="str">
        <x:v>CMA Terminals / Terminal Link</x:v>
      </x:c>
      <x:c r="J80" s="102" t="str">
        <x:v>https://www1.eurogate.de/eurogate-and-cma-terminals-agree-on-strategic-partnership-at-eurogate-container-terminal-hamburg/</x:v>
      </x:c>
      <x:c r="K80" s="102" t="str">
        <x:v>CMA-DE-HAM</x:v>
      </x:c>
    </x:row>
    <x:row r="81">
      <x:c r="A81" s="102" t="str">
        <x:v>BERTH00080</x:v>
      </x:c>
      <x:c r="B81" s="102" t="str">
        <x:v>TERM0158</x:v>
      </x:c>
      <x:c r="C81" s="102" t="str">
        <x:v>MPET quay</x:v>
      </x:c>
      <x:c r="D81" s="102"/>
      <x:c r="E81" s="102" t="n">
        <x:v>3680</x:v>
      </x:c>
      <x:c r="F81" s="102" t="n">
        <x:v>17</x:v>
      </x:c>
      <x:c r="G81" s="102" t="str">
        <x:v>Containers</x:v>
      </x:c>
      <x:c r="H81" s="102" t="str">
        <x:v>Operating</x:v>
      </x:c>
      <x:c r="I81" s="102" t="str">
        <x:v>TiL</x:v>
      </x:c>
      <x:c r="J81" s="102" t="str">
        <x:v>https://www.tilgroup.com/our-terminals/antwerp.html</x:v>
      </x:c>
      <x:c r="K81" s="102" t="str">
        <x:v>TIL-BE-MPET</x:v>
      </x:c>
    </x:row>
    <x:row r="82">
      <x:c r="A82" s="102" t="str">
        <x:v>BERTH00081</x:v>
      </x:c>
      <x:c r="B82" s="102" t="str">
        <x:v>TERM0159</x:v>
      </x:c>
      <x:c r="C82" s="102" t="str">
        <x:v>TTI Pier T quay</x:v>
      </x:c>
      <x:c r="D82" s="102"/>
      <x:c r="E82" s="102" t="n">
        <x:v>1524</x:v>
      </x:c>
      <x:c r="F82" s="102" t="n">
        <x:v>17</x:v>
      </x:c>
      <x:c r="G82" s="102" t="str">
        <x:v>Containers</x:v>
      </x:c>
      <x:c r="H82" s="102" t="str">
        <x:v>Operating</x:v>
      </x:c>
      <x:c r="I82" s="102" t="str">
        <x:v>TiL</x:v>
      </x:c>
      <x:c r="J82" s="102" t="str">
        <x:v>https://www.tilgroup.com/our-terminals/long-beach.html</x:v>
      </x:c>
      <x:c r="K82" s="102" t="str">
        <x:v>TIL-US-TTI</x:v>
      </x:c>
    </x:row>
    <x:row r="83">
      <x:c r="A83" s="102" t="str">
        <x:v>BERTH00082</x:v>
      </x:c>
      <x:c r="B83" s="102" t="str">
        <x:v>TERM0160</x:v>
      </x:c>
      <x:c r="C83" s="102" t="str">
        <x:v>MPAT quay</x:v>
      </x:c>
      <x:c r="D83" s="102"/>
      <x:c r="E83" s="102" t="n">
        <x:v>3015</x:v>
      </x:c>
      <x:c r="F83" s="102" t="n">
        <x:v>16</x:v>
      </x:c>
      <x:c r="G83" s="102" t="str">
        <x:v>Containers</x:v>
      </x:c>
      <x:c r="H83" s="102" t="str">
        <x:v>Operating</x:v>
      </x:c>
      <x:c r="I83" s="102" t="str">
        <x:v>TiL</x:v>
      </x:c>
      <x:c r="J83" s="102" t="str">
        <x:v>https://www.tilgroup.com/our-terminals/pasir.html</x:v>
      </x:c>
      <x:c r="K83" s="102" t="str">
        <x:v>TIL-SG-MPAT</x:v>
      </x:c>
    </x:row>
    <x:row r="84">
      <x:c r="A84" s="102" t="str">
        <x:v>BERTH00083</x:v>
      </x:c>
      <x:c r="B84" s="102" t="str">
        <x:v>TERM0161</x:v>
      </x:c>
      <x:c r="C84" s="102" t="str">
        <x:v>NCT quay</x:v>
      </x:c>
      <x:c r="D84" s="102"/>
      <x:c r="E84" s="102" t="n">
        <x:v>2170</x:v>
      </x:c>
      <x:c r="F84" s="102" t="n">
        <x:v>17</x:v>
      </x:c>
      <x:c r="G84" s="102" t="str">
        <x:v>Containers</x:v>
      </x:c>
      <x:c r="H84" s="102" t="str">
        <x:v>Operating</x:v>
      </x:c>
      <x:c r="I84" s="102" t="str">
        <x:v>TiL</x:v>
      </x:c>
      <x:c r="J84" s="102" t="str">
        <x:v>https://tilgroup.com/our-terminals/king-abdullah.html</x:v>
      </x:c>
      <x:c r="K84" s="102" t="str">
        <x:v>TIL-SA-NCT</x:v>
      </x:c>
    </x:row>
    <x:row r="85">
      <x:c r="A85" s="102" t="str">
        <x:v>BERTH00084</x:v>
      </x:c>
      <x:c r="B85" s="102" t="str">
        <x:v>TERM0162</x:v>
      </x:c>
      <x:c r="C85" s="102" t="str">
        <x:v>Portonave quay</x:v>
      </x:c>
      <x:c r="D85" s="102" t="n">
        <x:v>3</x:v>
      </x:c>
      <x:c r="E85" s="102" t="n">
        <x:v>900</x:v>
      </x:c>
      <x:c r="F85" s="102" t="n">
        <x:v>14</x:v>
      </x:c>
      <x:c r="G85" s="102" t="str">
        <x:v>Containers</x:v>
      </x:c>
      <x:c r="H85" s="102" t="str">
        <x:v>Operating / reinforcement</x:v>
      </x:c>
      <x:c r="I85" s="102" t="str">
        <x:v>TiL</x:v>
      </x:c>
      <x:c r="J85" s="102" t="str">
        <x:v>https://www.tilgroup.com/our-terminals/navegantes.html</x:v>
      </x:c>
      <x:c r="K85" s="102" t="str">
        <x:v>TIL-BR-PORTO</x:v>
      </x:c>
    </x:row>
    <x:row r="86">
      <x:c r="A86" s="102" t="str">
        <x:v>BERTH00085</x:v>
      </x:c>
      <x:c r="B86" s="102" t="str">
        <x:v>TERM0163</x:v>
      </x:c>
      <x:c r="C86" s="102" t="str">
        <x:v>MSC Terminal Valencia quay</x:v>
      </x:c>
      <x:c r="D86" s="102"/>
      <x:c r="E86" s="102" t="n">
        <x:v>770</x:v>
      </x:c>
      <x:c r="F86" s="102" t="n">
        <x:v>15.9</x:v>
      </x:c>
      <x:c r="G86" s="102" t="str">
        <x:v>Containers</x:v>
      </x:c>
      <x:c r="H86" s="102" t="str">
        <x:v>Operating</x:v>
      </x:c>
      <x:c r="I86" s="102" t="str">
        <x:v>TiL</x:v>
      </x:c>
      <x:c r="J86" s="102" t="str">
        <x:v>https://www.tilgroup.com/our-terminals/valencia.html</x:v>
      </x:c>
      <x:c r="K86" s="102" t="str">
        <x:v>TIL-ES-VAL</x:v>
      </x:c>
    </x:row>
    <x:row r="87">
      <x:c r="A87" s="102" t="str">
        <x:v>BERTH00086</x:v>
      </x:c>
      <x:c r="B87" s="102" t="str">
        <x:v>TERM0164</x:v>
      </x:c>
      <x:c r="C87" s="102" t="str">
        <x:v>Terminaux de Normandie quay</x:v>
      </x:c>
      <x:c r="D87" s="102" t="n">
        <x:v>6</x:v>
      </x:c>
      <x:c r="E87" s="102" t="n">
        <x:v>2100</x:v>
      </x:c>
      <x:c r="F87" s="102" t="n">
        <x:v>16</x:v>
      </x:c>
      <x:c r="G87" s="102" t="str">
        <x:v>Containers</x:v>
      </x:c>
      <x:c r="H87" s="102" t="str">
        <x:v>Operating / modernization</x:v>
      </x:c>
      <x:c r="I87" s="102" t="str">
        <x:v>TiL</x:v>
      </x:c>
      <x:c r="J87" s="102" t="str">
        <x:v>https://tilgroup.com/our-terminals/havre.html</x:v>
      </x:c>
      <x:c r="K87" s="102" t="str">
        <x:v>TIL-FR-TN</x:v>
      </x:c>
    </x:row>
    <x:row r="88">
      <x:c r="A88" s="102" t="str">
        <x:v>BERTH00087</x:v>
      </x:c>
      <x:c r="B88" s="102" t="str">
        <x:v>TERM0165</x:v>
      </x:c>
      <x:c r="C88" s="102" t="str">
        <x:v>Lomé Container Terminal quay</x:v>
      </x:c>
      <x:c r="D88" s="102"/>
      <x:c r="E88" s="102" t="n">
        <x:v>1050</x:v>
      </x:c>
      <x:c r="F88" s="102" t="n">
        <x:v>16.6</x:v>
      </x:c>
      <x:c r="G88" s="102" t="str">
        <x:v>Containers / transshipment</x:v>
      </x:c>
      <x:c r="H88" s="102" t="str">
        <x:v>Operating</x:v>
      </x:c>
      <x:c r="I88" s="102" t="str">
        <x:v>TiL</x:v>
      </x:c>
      <x:c r="J88" s="102" t="str">
        <x:v>https://www.tilgroup.com/our-terminals/lome.html</x:v>
      </x:c>
      <x:c r="K88" s="102" t="str">
        <x:v>TIL-TG-LCT</x:v>
      </x:c>
    </x:row>
    <x:row r="89">
      <x:c r="A89" s="102" t="str">
        <x:v>BERTH00088</x:v>
      </x:c>
      <x:c r="B89" s="102" t="str">
        <x:v>TERM0176</x:v>
      </x:c>
      <x:c r="C89" s="102" t="str">
        <x:v>Ennore container quay</x:v>
      </x:c>
      <x:c r="D89" s="102"/>
      <x:c r="E89" s="102" t="n">
        <x:v>400</x:v>
      </x:c>
      <x:c r="F89" s="102"/>
      <x:c r="G89" s="102" t="str">
        <x:v>Containers</x:v>
      </x:c>
      <x:c r="H89" s="102" t="str">
        <x:v>Operating</x:v>
      </x:c>
      <x:c r="I89" s="102" t="str">
        <x:v>TiL</x:v>
      </x:c>
      <x:c r="J89" s="102" t="str">
        <x:v>https://www.adaniports.com/newsroom/media-releases/apsez-expands-strategic-partnership-with-msc</x:v>
      </x:c>
      <x:c r="K89" s="102" t="str">
        <x:v>TIL-IN-ENN</x:v>
      </x:c>
    </x:row>
    <x:row r="90">
      <x:c r="A90" s="102" t="str">
        <x:v>BERTH00089</x:v>
      </x:c>
      <x:c r="B90" s="102" t="str">
        <x:v>TERM0191</x:v>
      </x:c>
      <x:c r="C90" s="102" t="str">
        <x:v>Lázaro Cárdenas terminal marine interface</x:v>
      </x:c>
      <x:c r="D90" s="102"/>
      <x:c r="E90" s="102" t="n">
        <x:v>750</x:v>
      </x:c>
      <x:c r="F90" s="102" t="n">
        <x:v>16.5</x:v>
      </x:c>
      <x:c r="G90" s="102" t="str">
        <x:v>Containers / terminal cargo</x:v>
      </x:c>
      <x:c r="H90" s="102" t="str">
        <x:v>Operating / Phase III expanding</x:v>
      </x:c>
      <x:c r="I90" s="102" t="str">
        <x:v>APM Terminals</x:v>
      </x:c>
      <x:c r="J90" s="102" t="str">
        <x:v>https://www2.apmterminals.com/en/lazaro-cardenas/about/our-terminal</x:v>
      </x:c>
      <x:c r="K90" s="102" t="str">
        <x:v>APM-LÁZARO-CÁRDENAS-TERMINAL</x:v>
      </x:c>
    </x:row>
    <x:row r="91">
      <x:c r="A91" s="102" t="str">
        <x:v>BERTH00090</x:v>
      </x:c>
      <x:c r="B91" s="102" t="str">
        <x:v>TERM0192</x:v>
      </x:c>
      <x:c r="C91" s="102" t="str">
        <x:v>Suape terminal marine interface</x:v>
      </x:c>
      <x:c r="D91" s="102" t="n">
        <x:v>1</x:v>
      </x:c>
      <x:c r="E91" s="102" t="n">
        <x:v>430</x:v>
      </x:c>
      <x:c r="F91" s="102" t="n">
        <x:v>15.1</x:v>
      </x:c>
      <x:c r="G91" s="102" t="str">
        <x:v>Containers / terminal cargo</x:v>
      </x:c>
      <x:c r="H91" s="102" t="str">
        <x:v>Delivered / commissioning into operation</x:v>
      </x:c>
      <x:c r="I91" s="102" t="str">
        <x:v>APM Terminals</x:v>
      </x:c>
      <x:c r="J91" s="102" t="str">
        <x:v>https://www2.apmterminals.com/en/suape/about/our-terminal</x:v>
      </x:c>
      <x:c r="K91" s="102" t="str">
        <x:v>APM-SUAPE-TERMINAL</x:v>
      </x:c>
    </x:row>
    <x:row r="92">
      <x:c r="A92" s="102" t="str">
        <x:v>BERTH00091</x:v>
      </x:c>
      <x:c r="B92" s="102" t="str">
        <x:v>TERM0193</x:v>
      </x:c>
      <x:c r="C92" s="102" t="str">
        <x:v>Bahrain marine interface</x:v>
      </x:c>
      <x:c r="D92" s="102"/>
      <x:c r="E92" s="102" t="n">
        <x:v>1800</x:v>
      </x:c>
      <x:c r="F92" s="102" t="n">
        <x:v>15</x:v>
      </x:c>
      <x:c r="G92" s="102" t="str">
        <x:v>Containers / terminal cargo</x:v>
      </x:c>
      <x:c r="H92" s="102" t="str">
        <x:v>Operating</x:v>
      </x:c>
      <x:c r="I92" s="102" t="str">
        <x:v>APM Terminals</x:v>
      </x:c>
      <x:c r="J92" s="102" t="str">
        <x:v>https://www2.apmterminals.com/en/bahrain/about/our-terminal</x:v>
      </x:c>
      <x:c r="K92" s="102" t="str">
        <x:v>APM-BAHRAIN</x:v>
      </x:c>
    </x:row>
    <x:row r="93">
      <x:c r="A93" s="102" t="str">
        <x:v>BERTH00092</x:v>
      </x:c>
      <x:c r="B93" s="102" t="str">
        <x:v>TERM0194</x:v>
      </x:c>
      <x:c r="C93" s="102" t="str">
        <x:v>Pointe-Noire marine interface</x:v>
      </x:c>
      <x:c r="D93" s="102"/>
      <x:c r="E93" s="102"/>
      <x:c r="F93" s="102" t="n">
        <x:v>16.5</x:v>
      </x:c>
      <x:c r="G93" s="102" t="str">
        <x:v>Containers / terminal cargo</x:v>
      </x:c>
      <x:c r="H93" s="102" t="str">
        <x:v>Operating</x:v>
      </x:c>
      <x:c r="I93" s="102" t="str">
        <x:v>APM Terminals</x:v>
      </x:c>
      <x:c r="J93" s="102" t="str">
        <x:v>https://akamai.apmterminals.com/en/pointe-noire/about/our-terminal</x:v>
      </x:c>
      <x:c r="K93" s="102" t="str">
        <x:v>APM-POINTE-NOIRE</x:v>
      </x:c>
    </x:row>
    <x:row r="94">
      <x:c r="A94" s="102" t="str">
        <x:v>BERTH00093</x:v>
      </x:c>
      <x:c r="B94" s="102" t="str">
        <x:v>TERM0195</x:v>
      </x:c>
      <x:c r="C94" s="102" t="str">
        <x:v>Abidjan Côte d’Ivoire Terminal (CIT) marine interface</x:v>
      </x:c>
      <x:c r="D94" s="102"/>
      <x:c r="E94" s="102" t="n">
        <x:v>1100</x:v>
      </x:c>
      <x:c r="F94" s="102" t="n">
        <x:v>16</x:v>
      </x:c>
      <x:c r="G94" s="102" t="str">
        <x:v>Containers / terminal cargo</x:v>
      </x:c>
      <x:c r="H94" s="102" t="str">
        <x:v>Operating</x:v>
      </x:c>
      <x:c r="I94" s="102" t="str">
        <x:v>APM Terminals</x:v>
      </x:c>
      <x:c r="J94" s="102" t="str">
        <x:v>https://www2.apmterminals.com/en/cit/about/our-terminal</x:v>
      </x:c>
      <x:c r="K94" s="102" t="str">
        <x:v>APM-ABIDJAN-CÔTE-D-IVOIRE-TERMINAL-CIT</x:v>
      </x:c>
    </x:row>
    <x:row r="95">
      <x:c r="A95" s="102" t="str">
        <x:v>BERTH00094</x:v>
      </x:c>
      <x:c r="B95" s="102" t="str">
        <x:v>TERM0197</x:v>
      </x:c>
      <x:c r="C95" s="102" t="str">
        <x:v>Suez Canal Container Terminal (SCCT) marine interface</x:v>
      </x:c>
      <x:c r="D95" s="102"/>
      <x:c r="E95" s="102" t="n">
        <x:v>2400</x:v>
      </x:c>
      <x:c r="F95" s="102" t="n">
        <x:v>17</x:v>
      </x:c>
      <x:c r="G95" s="102" t="str">
        <x:v>Containers / terminal cargo</x:v>
      </x:c>
      <x:c r="H95" s="102" t="str">
        <x:v>Operating</x:v>
      </x:c>
      <x:c r="I95" s="102" t="str">
        <x:v>APM Terminals</x:v>
      </x:c>
      <x:c r="J95" s="102" t="str">
        <x:v>https://www2.apmterminals.com/en/scct/about/our-terminal</x:v>
      </x:c>
      <x:c r="K95" s="102" t="str">
        <x:v>APM-SUEZ-CANAL-CONTAINER-TERMINAL-SCCT</x:v>
      </x:c>
    </x:row>
    <x:row r="96">
      <x:c r="A96" s="102" t="str">
        <x:v>BERTH00095</x:v>
      </x:c>
      <x:c r="B96" s="102" t="str">
        <x:v>TERM0199</x:v>
      </x:c>
      <x:c r="C96" s="102" t="str">
        <x:v>Aqaba marine interface</x:v>
      </x:c>
      <x:c r="D96" s="102" t="n">
        <x:v>3</x:v>
      </x:c>
      <x:c r="E96" s="102" t="n">
        <x:v>1000</x:v>
      </x:c>
      <x:c r="F96" s="102" t="n">
        <x:v>16.5</x:v>
      </x:c>
      <x:c r="G96" s="102" t="str">
        <x:v>Containers / terminal cargo</x:v>
      </x:c>
      <x:c r="H96" s="102" t="str">
        <x:v>Operating</x:v>
      </x:c>
      <x:c r="I96" s="102" t="str">
        <x:v>APM Terminals</x:v>
      </x:c>
      <x:c r="J96" s="102" t="str">
        <x:v>https://akamai.apmterminals.com/en/aqaba/about/our-terminal</x:v>
      </x:c>
      <x:c r="K96" s="102" t="str">
        <x:v>APM-AQABA</x:v>
      </x:c>
    </x:row>
    <x:row r="97">
      <x:c r="A97" s="102" t="str">
        <x:v>BERTH00096</x:v>
      </x:c>
      <x:c r="B97" s="102" t="str">
        <x:v>TERM0200</x:v>
      </x:c>
      <x:c r="C97" s="102" t="str">
        <x:v>Monrovia marine interface</x:v>
      </x:c>
      <x:c r="D97" s="102"/>
      <x:c r="E97" s="102"/>
      <x:c r="F97" s="102" t="n">
        <x:v>12.5</x:v>
      </x:c>
      <x:c r="G97" s="102" t="str">
        <x:v>Containers / terminal cargo</x:v>
      </x:c>
      <x:c r="H97" s="102" t="str">
        <x:v>Operating</x:v>
      </x:c>
      <x:c r="I97" s="102" t="str">
        <x:v>APM Terminals</x:v>
      </x:c>
      <x:c r="J97" s="102" t="str">
        <x:v>https://www2.apmterminals.com/en/monrovia/about/our-terminal</x:v>
      </x:c>
      <x:c r="K97" s="102" t="str">
        <x:v>APM-MONROVIA</x:v>
      </x:c>
    </x:row>
    <x:row r="98">
      <x:c r="A98" s="102" t="str">
        <x:v>BERTH00097</x:v>
      </x:c>
      <x:c r="B98" s="102" t="str">
        <x:v>TERM0201</x:v>
      </x:c>
      <x:c r="C98" s="102" t="str">
        <x:v>MedPort Tangier marine interface</x:v>
      </x:c>
      <x:c r="D98" s="102" t="n">
        <x:v>3</x:v>
      </x:c>
      <x:c r="E98" s="102" t="n">
        <x:v>2000</x:v>
      </x:c>
      <x:c r="F98" s="102" t="n">
        <x:v>18</x:v>
      </x:c>
      <x:c r="G98" s="102" t="str">
        <x:v>Containers / terminal cargo</x:v>
      </x:c>
      <x:c r="H98" s="102" t="str">
        <x:v>Operating</x:v>
      </x:c>
      <x:c r="I98" s="102" t="str">
        <x:v>APM Terminals</x:v>
      </x:c>
      <x:c r="J98" s="102" t="str">
        <x:v>https://www2.apmterminals.com/en/medport-tangier/about/our-terminal</x:v>
      </x:c>
      <x:c r="K98" s="102" t="str">
        <x:v>APM-MEDPORT-TANGIER</x:v>
      </x:c>
    </x:row>
    <x:row r="99">
      <x:c r="A99" s="102" t="str">
        <x:v>BERTH00098</x:v>
      </x:c>
      <x:c r="B99" s="102" t="str">
        <x:v>TERM0202</x:v>
      </x:c>
      <x:c r="C99" s="102" t="str">
        <x:v>Tangier marine interface</x:v>
      </x:c>
      <x:c r="D99" s="102"/>
      <x:c r="E99" s="102"/>
      <x:c r="F99" s="102" t="n">
        <x:v>16</x:v>
      </x:c>
      <x:c r="G99" s="102" t="str">
        <x:v>Containers / terminal cargo</x:v>
      </x:c>
      <x:c r="H99" s="102" t="str">
        <x:v>Operating</x:v>
      </x:c>
      <x:c r="I99" s="102" t="str">
        <x:v>APM Terminals</x:v>
      </x:c>
      <x:c r="J99" s="102" t="str">
        <x:v>https://akamai.apmterminals.com/en/tangier/about/our-terminal</x:v>
      </x:c>
      <x:c r="K99" s="102" t="str">
        <x:v>APM-TANGIER</x:v>
      </x:c>
    </x:row>
    <x:row r="100">
      <x:c r="A100" s="102" t="str">
        <x:v>BERTH00099</x:v>
      </x:c>
      <x:c r="B100" s="102" t="str">
        <x:v>TERM0203</x:v>
      </x:c>
      <x:c r="C100" s="102" t="str">
        <x:v>Apapa marine interface</x:v>
      </x:c>
      <x:c r="D100" s="102"/>
      <x:c r="E100" s="102" t="n">
        <x:v>1005</x:v>
      </x:c>
      <x:c r="F100" s="102" t="n">
        <x:v>13.5</x:v>
      </x:c>
      <x:c r="G100" s="102" t="str">
        <x:v>Containers / terminal cargo</x:v>
      </x:c>
      <x:c r="H100" s="102" t="str">
        <x:v>Operating</x:v>
      </x:c>
      <x:c r="I100" s="102" t="str">
        <x:v>APM Terminals</x:v>
      </x:c>
      <x:c r="J100" s="102" t="str">
        <x:v>https://www2.apmterminals.com/en/apapa/about/our-terminal</x:v>
      </x:c>
      <x:c r="K100" s="102" t="str">
        <x:v>APM-APAPA</x:v>
      </x:c>
    </x:row>
    <x:row r="101">
      <x:c r="A101" s="102" t="str">
        <x:v>BERTH00100</x:v>
      </x:c>
      <x:c r="B101" s="102" t="str">
        <x:v>TERM0204</x:v>
      </x:c>
      <x:c r="C101" s="102" t="str">
        <x:v>Onne marine interface</x:v>
      </x:c>
      <x:c r="D101" s="102"/>
      <x:c r="E101" s="102" t="n">
        <x:v>570</x:v>
      </x:c>
      <x:c r="F101" s="102" t="n">
        <x:v>11.3</x:v>
      </x:c>
      <x:c r="G101" s="102" t="str">
        <x:v>Containers / terminal cargo</x:v>
      </x:c>
      <x:c r="H101" s="102" t="str">
        <x:v>Operating</x:v>
      </x:c>
      <x:c r="I101" s="102" t="str">
        <x:v>APM Terminals</x:v>
      </x:c>
      <x:c r="J101" s="102" t="str">
        <x:v>https://www2.apmterminals.com/en/onne/about/our-terminal</x:v>
      </x:c>
      <x:c r="K101" s="102" t="str">
        <x:v>APM-ONNE</x:v>
      </x:c>
    </x:row>
    <x:row r="102">
      <x:c r="A102" s="102" t="str">
        <x:v>BERTH00101</x:v>
      </x:c>
      <x:c r="B102" s="102" t="str">
        <x:v>TERM0205</x:v>
      </x:c>
      <x:c r="C102" s="102" t="str">
        <x:v>Salalah marine interface</x:v>
      </x:c>
      <x:c r="D102" s="102" t="n">
        <x:v>7</x:v>
      </x:c>
      <x:c r="E102" s="102" t="n">
        <x:v>2400</x:v>
      </x:c>
      <x:c r="F102" s="102" t="n">
        <x:v>18</x:v>
      </x:c>
      <x:c r="G102" s="102" t="str">
        <x:v>Containers / terminal cargo</x:v>
      </x:c>
      <x:c r="H102" s="102" t="str">
        <x:v>Operating</x:v>
      </x:c>
      <x:c r="I102" s="102" t="str">
        <x:v>APM Terminals</x:v>
      </x:c>
      <x:c r="J102" s="102" t="str">
        <x:v>https://www2.apmterminals.com/en/salalah/about/our-terminal</x:v>
      </x:c>
      <x:c r="K102" s="102" t="str">
        <x:v>APM-SALALAH</x:v>
      </x:c>
    </x:row>
    <x:row r="103">
      <x:c r="A103" s="102" t="str">
        <x:v>BERTH00102</x:v>
      </x:c>
      <x:c r="B103" s="102" t="str">
        <x:v>TERM0208</x:v>
      </x:c>
      <x:c r="C103" s="102" t="str">
        <x:v>Shanghai marine interface</x:v>
      </x:c>
      <x:c r="D103" s="102"/>
      <x:c r="E103" s="102" t="n">
        <x:v>1437</x:v>
      </x:c>
      <x:c r="F103" s="102" t="n">
        <x:v>14.2</x:v>
      </x:c>
      <x:c r="G103" s="102" t="str">
        <x:v>Containers / terminal cargo</x:v>
      </x:c>
      <x:c r="H103" s="102" t="str">
        <x:v>Operating</x:v>
      </x:c>
      <x:c r="I103" s="102" t="str">
        <x:v>APM Terminals</x:v>
      </x:c>
      <x:c r="J103" s="102" t="str">
        <x:v>https://www2.apmterminals.com/en/shanghai/about/our-terminal</x:v>
      </x:c>
      <x:c r="K103" s="102" t="str">
        <x:v>APM-SHANGHAI</x:v>
      </x:c>
    </x:row>
    <x:row r="104">
      <x:c r="A104" s="102" t="str">
        <x:v>BERTH00103</x:v>
      </x:c>
      <x:c r="B104" s="102" t="str">
        <x:v>TERM0209</x:v>
      </x:c>
      <x:c r="C104" s="102" t="str">
        <x:v>Tianjin marine interface</x:v>
      </x:c>
      <x:c r="D104" s="102" t="n">
        <x:v>4</x:v>
      </x:c>
      <x:c r="E104" s="102" t="n">
        <x:v>1100</x:v>
      </x:c>
      <x:c r="F104" s="102" t="n">
        <x:v>15.5</x:v>
      </x:c>
      <x:c r="G104" s="102" t="str">
        <x:v>Containers / terminal cargo</x:v>
      </x:c>
      <x:c r="H104" s="102" t="str">
        <x:v>Operating</x:v>
      </x:c>
      <x:c r="I104" s="102" t="str">
        <x:v>APM Terminals</x:v>
      </x:c>
      <x:c r="J104" s="102" t="str">
        <x:v>https://www2.apmterminals.com/en/tianjin/about/our-terminal</x:v>
      </x:c>
      <x:c r="K104" s="102" t="str">
        <x:v>APM-TIANJIN</x:v>
      </x:c>
    </x:row>
    <x:row r="105">
      <x:c r="A105" s="102" t="str">
        <x:v>BERTH00104</x:v>
      </x:c>
      <x:c r="B105" s="102" t="str">
        <x:v>TERM0211</x:v>
      </x:c>
      <x:c r="C105" s="102" t="str">
        <x:v>Mumbai marine interface</x:v>
      </x:c>
      <x:c r="D105" s="102"/>
      <x:c r="E105" s="102" t="n">
        <x:v>712</x:v>
      </x:c>
      <x:c r="F105" s="102" t="n">
        <x:v>16.5</x:v>
      </x:c>
      <x:c r="G105" s="102" t="str">
        <x:v>Containers / terminal cargo</x:v>
      </x:c>
      <x:c r="H105" s="102" t="str">
        <x:v>Operating / transformation</x:v>
      </x:c>
      <x:c r="I105" s="102" t="str">
        <x:v>APM Terminals</x:v>
      </x:c>
      <x:c r="J105" s="102" t="str">
        <x:v>https://www2.apmterminals.com/en/mumbai/about/our-terminal</x:v>
      </x:c>
      <x:c r="K105" s="102" t="str">
        <x:v>APM-MUMBAI</x:v>
      </x:c>
    </x:row>
    <x:row r="106">
      <x:c r="A106" s="102" t="str">
        <x:v>BERTH00105</x:v>
      </x:c>
      <x:c r="B106" s="102" t="str">
        <x:v>TERM0212</x:v>
      </x:c>
      <x:c r="C106" s="102" t="str">
        <x:v>Pipavav marine interface</x:v>
      </x:c>
      <x:c r="D106" s="102"/>
      <x:c r="E106" s="102" t="n">
        <x:v>735</x:v>
      </x:c>
      <x:c r="F106" s="102" t="n">
        <x:v>14.5</x:v>
      </x:c>
      <x:c r="G106" s="102" t="str">
        <x:v>Containers / terminal cargo</x:v>
      </x:c>
      <x:c r="H106" s="102" t="str">
        <x:v>Operating</x:v>
      </x:c>
      <x:c r="I106" s="102" t="str">
        <x:v>APM Terminals</x:v>
      </x:c>
      <x:c r="J106" s="102" t="str">
        <x:v>https://www2.apmterminals.com/en/pipavav/about/our-terminal</x:v>
      </x:c>
      <x:c r="K106" s="102" t="str">
        <x:v>APM-PIPAVAV</x:v>
      </x:c>
    </x:row>
    <x:row r="107">
      <x:c r="A107" s="102" t="str">
        <x:v>BERTH00106</x:v>
      </x:c>
      <x:c r="B107" s="102" t="str">
        <x:v>TERM0214</x:v>
      </x:c>
      <x:c r="C107" s="102" t="str">
        <x:v>Tanjung Pelepas marine interface</x:v>
      </x:c>
      <x:c r="D107" s="102" t="n">
        <x:v>14</x:v>
      </x:c>
      <x:c r="E107" s="102" t="n">
        <x:v>5040</x:v>
      </x:c>
      <x:c r="F107" s="102" t="n">
        <x:v>19</x:v>
      </x:c>
      <x:c r="G107" s="102" t="str">
        <x:v>Containers / terminal cargo</x:v>
      </x:c>
      <x:c r="H107" s="102" t="str">
        <x:v>Operating</x:v>
      </x:c>
      <x:c r="I107" s="102" t="str">
        <x:v>APM Terminals</x:v>
      </x:c>
      <x:c r="J107" s="102" t="str">
        <x:v>https://akamai.apmterminals.com/en/tanjung-pelepas/about/our-terminal</x:v>
      </x:c>
      <x:c r="K107" s="102" t="str">
        <x:v>APM-TANJUNG-PELEPAS</x:v>
      </x:c>
    </x:row>
    <x:row r="108">
      <x:c r="A108" s="102" t="str">
        <x:v>BERTH00107</x:v>
      </x:c>
      <x:c r="B108" s="102" t="str">
        <x:v>TERM0216</x:v>
      </x:c>
      <x:c r="C108" s="102" t="str">
        <x:v>Cai Mep marine interface</x:v>
      </x:c>
      <x:c r="D108" s="102"/>
      <x:c r="E108" s="102" t="n">
        <x:v>600</x:v>
      </x:c>
      <x:c r="F108" s="102" t="n">
        <x:v>16.5</x:v>
      </x:c>
      <x:c r="G108" s="102" t="str">
        <x:v>Containers / terminal cargo</x:v>
      </x:c>
      <x:c r="H108" s="102" t="str">
        <x:v>Operating</x:v>
      </x:c>
      <x:c r="I108" s="102" t="str">
        <x:v>APM Terminals</x:v>
      </x:c>
      <x:c r="J108" s="102" t="str">
        <x:v>https://akamai.apmterminals.com/en/cai-mep/about/our-terminal</x:v>
      </x:c>
      <x:c r="K108" s="102" t="str">
        <x:v>APM-CAI-MEP</x:v>
      </x:c>
    </x:row>
    <x:row r="109">
      <x:c r="A109" s="102" t="str">
        <x:v>BERTH00108</x:v>
      </x:c>
      <x:c r="B109" s="102" t="str">
        <x:v>TERM0217</x:v>
      </x:c>
      <x:c r="C109" s="102" t="str">
        <x:v>Rijeka Gateway marine interface</x:v>
      </x:c>
      <x:c r="D109" s="102"/>
      <x:c r="E109" s="102" t="n">
        <x:v>400</x:v>
      </x:c>
      <x:c r="F109" s="102" t="n">
        <x:v>20</x:v>
      </x:c>
      <x:c r="G109" s="102" t="str">
        <x:v>Containers / terminal cargo</x:v>
      </x:c>
      <x:c r="H109" s="102" t="str">
        <x:v>Operating / Phase 2 planned</x:v>
      </x:c>
      <x:c r="I109" s="102" t="str">
        <x:v>APM Terminals</x:v>
      </x:c>
      <x:c r="J109" s="102" t="str">
        <x:v>https://www2.apmterminals.com/en/rijeka/about/our-terminal</x:v>
      </x:c>
      <x:c r="K109" s="102" t="str">
        <x:v>APM-RIJEKA-GATEWAY</x:v>
      </x:c>
    </x:row>
    <x:row r="110">
      <x:c r="A110" s="102" t="str">
        <x:v>BERTH00109</x:v>
      </x:c>
      <x:c r="B110" s="102" t="str">
        <x:v>TERM0218</x:v>
      </x:c>
      <x:c r="C110" s="102" t="str">
        <x:v>Aarhus marine interface</x:v>
      </x:c>
      <x:c r="D110" s="102"/>
      <x:c r="E110" s="102" t="n">
        <x:v>1300</x:v>
      </x:c>
      <x:c r="F110" s="102" t="n">
        <x:v>15</x:v>
      </x:c>
      <x:c r="G110" s="102" t="str">
        <x:v>Containers / terminal cargo</x:v>
      </x:c>
      <x:c r="H110" s="102" t="str">
        <x:v>Operating</x:v>
      </x:c>
      <x:c r="I110" s="102" t="str">
        <x:v>APM Terminals</x:v>
      </x:c>
      <x:c r="J110" s="102" t="str">
        <x:v>https://www2.apmterminals.com/en/aarhus/about/our-terminal</x:v>
      </x:c>
      <x:c r="K110" s="102" t="str">
        <x:v>APM-AARHUS</x:v>
      </x:c>
    </x:row>
    <x:row r="111">
      <x:c r="A111" s="102" t="str">
        <x:v>BERTH00110</x:v>
      </x:c>
      <x:c r="B111" s="102" t="str">
        <x:v>TERM0223</x:v>
      </x:c>
      <x:c r="C111" s="102" t="str">
        <x:v>Vado Ligure marine interface</x:v>
      </x:c>
      <x:c r="D111" s="102" t="n">
        <x:v>3</x:v>
      </x:c>
      <x:c r="E111" s="102" t="n">
        <x:v>470</x:v>
      </x:c>
      <x:c r="F111" s="102" t="n">
        <x:v>14.1</x:v>
      </x:c>
      <x:c r="G111" s="102" t="str">
        <x:v>Containers / terminal cargo</x:v>
      </x:c>
      <x:c r="H111" s="102" t="str">
        <x:v>Operating</x:v>
      </x:c>
      <x:c r="I111" s="102" t="str">
        <x:v>APM Terminals</x:v>
      </x:c>
      <x:c r="J111" s="102" t="str">
        <x:v>https://akamai.apmterminals.com/en/vado-ligure/about/our-terminal</x:v>
      </x:c>
      <x:c r="K111" s="102" t="str">
        <x:v>APM-VADO-LIGURE</x:v>
      </x:c>
    </x:row>
    <x:row r="112">
      <x:c r="A112" s="102" t="str">
        <x:v>BERTH00111</x:v>
      </x:c>
      <x:c r="B112" s="102" t="str">
        <x:v>TERM0224</x:v>
      </x:c>
      <x:c r="C112" s="102" t="str">
        <x:v>Rotterdam Maasvlakte II marine interface</x:v>
      </x:c>
      <x:c r="D112" s="102"/>
      <x:c r="E112" s="102" t="n">
        <x:v>2000</x:v>
      </x:c>
      <x:c r="F112" s="102"/>
      <x:c r="G112" s="102" t="str">
        <x:v>Containers / terminal cargo</x:v>
      </x:c>
      <x:c r="H112" s="102" t="str">
        <x:v>Operating / major expansion</x:v>
      </x:c>
      <x:c r="I112" s="102" t="str">
        <x:v>APM Terminals</x:v>
      </x:c>
      <x:c r="J112" s="102" t="str">
        <x:v>https://www2.apmterminals.com/en/news/news-releases/2026/260819-APMTerminals-and-Hapag-Lloyd-partner-at-Maasvlakte-II</x:v>
      </x:c>
      <x:c r="K112" s="102" t="str">
        <x:v>APM-ROTTERDAM-MAASVLAKTE-II</x:v>
      </x:c>
    </x:row>
    <x:row r="113">
      <x:c r="A113" s="102" t="str">
        <x:v>BERTH00112</x:v>
      </x:c>
      <x:c r="B113" s="102" t="str">
        <x:v>TERM0228</x:v>
      </x:c>
      <x:c r="C113" s="102" t="str">
        <x:v>Valencia marine interface</x:v>
      </x:c>
      <x:c r="D113" s="102"/>
      <x:c r="E113" s="102"/>
      <x:c r="F113" s="102" t="n">
        <x:v>16.5</x:v>
      </x:c>
      <x:c r="G113" s="102" t="str">
        <x:v>Containers / terminal cargo</x:v>
      </x:c>
      <x:c r="H113" s="102" t="str">
        <x:v>Operating / electrification upgrade</x:v>
      </x:c>
      <x:c r="I113" s="102" t="str">
        <x:v>APM Terminals</x:v>
      </x:c>
      <x:c r="J113" s="102" t="str">
        <x:v>https://www2.apmterminals.com/en/news/news-releases/2026/260422-APM-Terminals-invests-in-upgrade-and-extends-partnership</x:v>
      </x:c>
      <x:c r="K113" s="102" t="str">
        <x:v>APM-VALENCIA</x:v>
      </x:c>
    </x:row>
    <x:row r="114">
      <x:c r="A114" s="102" t="str">
        <x:v>BERTH00113</x:v>
      </x:c>
      <x:c r="B114" s="102" t="str">
        <x:v>TERM0229</x:v>
      </x:c>
      <x:c r="C114" s="102" t="str">
        <x:v>Gothenburg marine interface</x:v>
      </x:c>
      <x:c r="D114" s="102"/>
      <x:c r="E114" s="102" t="n">
        <x:v>1800</x:v>
      </x:c>
      <x:c r="F114" s="102" t="n">
        <x:v>14.2</x:v>
      </x:c>
      <x:c r="G114" s="102" t="str">
        <x:v>Containers / terminal cargo</x:v>
      </x:c>
      <x:c r="H114" s="102" t="str">
        <x:v>Operating</x:v>
      </x:c>
      <x:c r="I114" s="102" t="str">
        <x:v>APM Terminals</x:v>
      </x:c>
      <x:c r="J114" s="102" t="str">
        <x:v>https://www2.apmterminals.com/en/gothenburg/about/our-terminal</x:v>
      </x:c>
      <x:c r="K114" s="102" t="str">
        <x:v>APM-GOTHENBURG</x:v>
      </x:c>
    </x:row>
    <x:row r="115">
      <x:c r="A115" s="102" t="str">
        <x:v>BERTH00114</x:v>
      </x:c>
      <x:c r="B115" s="102" t="str">
        <x:v>TERM0230</x:v>
      </x:c>
      <x:c r="C115" s="102" t="str">
        <x:v>Izmir marine interface</x:v>
      </x:c>
      <x:c r="D115" s="102"/>
      <x:c r="E115" s="102" t="n">
        <x:v>700</x:v>
      </x:c>
      <x:c r="F115" s="102" t="n">
        <x:v>18</x:v>
      </x:c>
      <x:c r="G115" s="102" t="str">
        <x:v>Containers / terminal cargo</x:v>
      </x:c>
      <x:c r="H115" s="102" t="str">
        <x:v>Operating / managed</x:v>
      </x:c>
      <x:c r="I115" s="102" t="str">
        <x:v>APM Terminals</x:v>
      </x:c>
      <x:c r="J115" s="102" t="str">
        <x:v>https://www2.apmterminals.com/en/izmir/about/our-terminal</x:v>
      </x:c>
      <x:c r="K115" s="102" t="str">
        <x:v>APM-IZMIR</x:v>
      </x:c>
    </x:row>
    <x:row r="116">
      <x:c r="A116" s="102" t="str">
        <x:v>BERTH00115</x:v>
      </x:c>
      <x:c r="B116" s="102" t="str">
        <x:v>TERM0231</x:v>
      </x:c>
      <x:c r="C116" s="102" t="str">
        <x:v>Buenos Aires marine interface</x:v>
      </x:c>
      <x:c r="D116" s="102" t="n">
        <x:v>2</x:v>
      </x:c>
      <x:c r="E116" s="102" t="n">
        <x:v>495</x:v>
      </x:c>
      <x:c r="F116" s="102" t="n">
        <x:v>10.3</x:v>
      </x:c>
      <x:c r="G116" s="102" t="str">
        <x:v>Containers / terminal cargo</x:v>
      </x:c>
      <x:c r="H116" s="102" t="str">
        <x:v>Operating</x:v>
      </x:c>
      <x:c r="I116" s="102" t="str">
        <x:v>APM Terminals</x:v>
      </x:c>
      <x:c r="J116" s="102" t="str">
        <x:v>https://akamai.apmterminals.com/en/buenos-aires/about/our-terminal</x:v>
      </x:c>
      <x:c r="K116" s="102" t="str">
        <x:v>APM-BUENOS-AIRES</x:v>
      </x:c>
    </x:row>
    <x:row r="117">
      <x:c r="A117" s="102" t="str">
        <x:v>BERTH00116</x:v>
      </x:c>
      <x:c r="B117" s="102" t="str">
        <x:v>TERM0233</x:v>
      </x:c>
      <x:c r="C117" s="102" t="str">
        <x:v>Pecém marine interface</x:v>
      </x:c>
      <x:c r="D117" s="102" t="n">
        <x:v>2</x:v>
      </x:c>
      <x:c r="E117" s="102" t="n">
        <x:v>760</x:v>
      </x:c>
      <x:c r="F117" s="102" t="n">
        <x:v>15.3</x:v>
      </x:c>
      <x:c r="G117" s="102" t="str">
        <x:v>Containers / terminal cargo</x:v>
      </x:c>
      <x:c r="H117" s="102" t="str">
        <x:v>Operating</x:v>
      </x:c>
      <x:c r="I117" s="102" t="str">
        <x:v>APM Terminals</x:v>
      </x:c>
      <x:c r="J117" s="102" t="str">
        <x:v>https://www2.apmterminals.com/en/pecem/about/our-terminal</x:v>
      </x:c>
      <x:c r="K117" s="102" t="str">
        <x:v>APM-PECÉM</x:v>
      </x:c>
    </x:row>
    <x:row r="118">
      <x:c r="A118" s="102" t="str">
        <x:v>BERTH00117</x:v>
      </x:c>
      <x:c r="B118" s="102" t="str">
        <x:v>TERM0235</x:v>
      </x:c>
      <x:c r="C118" s="102" t="str">
        <x:v>Moín marine interface</x:v>
      </x:c>
      <x:c r="D118" s="102"/>
      <x:c r="E118" s="102" t="n">
        <x:v>650</x:v>
      </x:c>
      <x:c r="F118" s="102" t="n">
        <x:v>14.5</x:v>
      </x:c>
      <x:c r="G118" s="102" t="str">
        <x:v>Containers / terminal cargo</x:v>
      </x:c>
      <x:c r="H118" s="102" t="str">
        <x:v>Operating</x:v>
      </x:c>
      <x:c r="I118" s="102" t="str">
        <x:v>APM Terminals</x:v>
      </x:c>
      <x:c r="J118" s="102" t="str">
        <x:v>https://www2.apmterminals.com/en/moin/about/our-terminal</x:v>
      </x:c>
      <x:c r="K118" s="102" t="str">
        <x:v>APM-MOÍN</x:v>
      </x:c>
    </x:row>
    <x:row r="119">
      <x:c r="A119" s="102" t="str">
        <x:v>BERTH00118</x:v>
      </x:c>
      <x:c r="B119" s="102" t="str">
        <x:v>TERM0236</x:v>
      </x:c>
      <x:c r="C119" s="102" t="str">
        <x:v>Puerto Quetzal marine interface</x:v>
      </x:c>
      <x:c r="D119" s="102"/>
      <x:c r="E119" s="102" t="n">
        <x:v>350</x:v>
      </x:c>
      <x:c r="F119" s="102" t="n">
        <x:v>14.5</x:v>
      </x:c>
      <x:c r="G119" s="102" t="str">
        <x:v>Containers / terminal cargo</x:v>
      </x:c>
      <x:c r="H119" s="102" t="str">
        <x:v>Operating</x:v>
      </x:c>
      <x:c r="I119" s="102" t="str">
        <x:v>APM Terminals</x:v>
      </x:c>
      <x:c r="J119" s="102" t="str">
        <x:v>https://www2.apmterminals.com/en/puerto-quetzal/about/our-terminal</x:v>
      </x:c>
      <x:c r="K119" s="102" t="str">
        <x:v>APM-PUERTO-QUETZAL</x:v>
      </x:c>
    </x:row>
    <x:row r="120">
      <x:c r="A120" s="102" t="str">
        <x:v>BERTH00119</x:v>
      </x:c>
      <x:c r="B120" s="102" t="str">
        <x:v>TERM0238</x:v>
      </x:c>
      <x:c r="C120" s="102" t="str">
        <x:v>Callao marine interface</x:v>
      </x:c>
      <x:c r="D120" s="102"/>
      <x:c r="E120" s="102" t="n">
        <x:v>1835</x:v>
      </x:c>
      <x:c r="F120" s="102" t="n">
        <x:v>16</x:v>
      </x:c>
      <x:c r="G120" s="102" t="str">
        <x:v>Containers / terminal cargo</x:v>
      </x:c>
      <x:c r="H120" s="102" t="str">
        <x:v>Operating</x:v>
      </x:c>
      <x:c r="I120" s="102" t="str">
        <x:v>APM Terminals</x:v>
      </x:c>
      <x:c r="J120" s="102" t="str">
        <x:v>https://www2.apmterminals.com/en/callao/about/our-terminal</x:v>
      </x:c>
      <x:c r="K120" s="102" t="str">
        <x:v>APM-CALLAO</x:v>
      </x:c>
    </x:row>
    <x:row r="121">
      <x:c r="A121" s="102" t="str">
        <x:v>BERTH00120</x:v>
      </x:c>
      <x:c r="B121" s="102" t="str">
        <x:v>TERM0239</x:v>
      </x:c>
      <x:c r="C121" s="102" t="str">
        <x:v>Los Angeles, CA marine interface</x:v>
      </x:c>
      <x:c r="D121" s="102" t="n">
        <x:v>5</x:v>
      </x:c>
      <x:c r="E121" s="102" t="n">
        <x:v>2200</x:v>
      </x:c>
      <x:c r="F121" s="102"/>
      <x:c r="G121" s="102" t="str">
        <x:v>Containers / terminal cargo</x:v>
      </x:c>
      <x:c r="H121" s="102" t="str">
        <x:v>Operating</x:v>
      </x:c>
      <x:c r="I121" s="102" t="str">
        <x:v>APM Terminals</x:v>
      </x:c>
      <x:c r="J121" s="102" t="str">
        <x:v>https://www2.apmterminals.com/en/los-angeles/about/our-terminal</x:v>
      </x:c>
      <x:c r="K121" s="102" t="str">
        <x:v>APM-LOS-ANGELES-CA</x:v>
      </x:c>
    </x:row>
    <x:row r="122">
      <x:c r="A122" s="102" t="str">
        <x:v>BERTH00121</x:v>
      </x:c>
      <x:c r="B122" s="102" t="str">
        <x:v>TERM0155</x:v>
      </x:c>
      <x:c r="C122" s="102" t="str">
        <x:v>Miami, FL marine interface</x:v>
      </x:c>
      <x:c r="D122" s="102"/>
      <x:c r="E122" s="102"/>
      <x:c r="F122" s="102" t="n">
        <x:v>15</x:v>
      </x:c>
      <x:c r="G122" s="102" t="str">
        <x:v>Containers / terminal cargo</x:v>
      </x:c>
      <x:c r="H122" s="102" t="str">
        <x:v>Operating</x:v>
      </x:c>
      <x:c r="I122" s="102" t="str">
        <x:v>APM Terminals</x:v>
      </x:c>
      <x:c r="J122" s="102" t="str">
        <x:v>https://www2.apmterminals.com/en/miami/about/our-terminal</x:v>
      </x:c>
      <x:c r="K122" s="102" t="str">
        <x:v>APM-MIAMI-FL</x:v>
      </x:c>
    </x:row>
    <x:row r="123">
      <x:c r="A123" s="102" t="str">
        <x:v>BERTH00122</x:v>
      </x:c>
      <x:c r="B123" s="102" t="str">
        <x:v>TERM0240</x:v>
      </x:c>
      <x:c r="C123" s="102" t="str">
        <x:v>Mobile, AL marine interface</x:v>
      </x:c>
      <x:c r="D123" s="102"/>
      <x:c r="E123" s="102" t="n">
        <x:v>732</x:v>
      </x:c>
      <x:c r="F123" s="102" t="n">
        <x:v>15.24</x:v>
      </x:c>
      <x:c r="G123" s="102" t="str">
        <x:v>Containers / terminal cargo</x:v>
      </x:c>
      <x:c r="H123" s="102" t="str">
        <x:v>Operating / expansion</x:v>
      </x:c>
      <x:c r="I123" s="102" t="str">
        <x:v>APM Terminals</x:v>
      </x:c>
      <x:c r="J123" s="102" t="str">
        <x:v>https://www2.apmterminals.com/en/mobile/about/our-terminal</x:v>
      </x:c>
      <x:c r="K123" s="102" t="str">
        <x:v>APM-MOBILE-AL</x:v>
      </x:c>
    </x:row>
    <x:row r="124">
      <x:c r="A124" s="102" t="str">
        <x:v>BERTH00123</x:v>
      </x:c>
      <x:c r="B124" s="102" t="str">
        <x:v>TERM0241</x:v>
      </x:c>
      <x:c r="C124" s="102" t="str">
        <x:v>Elizabeth, NJ marine interface</x:v>
      </x:c>
      <x:c r="D124" s="102"/>
      <x:c r="E124" s="102" t="n">
        <x:v>1829</x:v>
      </x:c>
      <x:c r="F124" s="102" t="n">
        <x:v>15.2</x:v>
      </x:c>
      <x:c r="G124" s="102" t="str">
        <x:v>Containers / terminal cargo</x:v>
      </x:c>
      <x:c r="H124" s="102" t="str">
        <x:v>Operating</x:v>
      </x:c>
      <x:c r="I124" s="102" t="str">
        <x:v>APM Terminals</x:v>
      </x:c>
      <x:c r="J124" s="102" t="str">
        <x:v>https://www2.apmterminals.com/en/port-elizabeth/about/our-terminal</x:v>
      </x:c>
      <x:c r="K124" s="102" t="str">
        <x:v>APM-ELIZABETH-NJ</x:v>
      </x:c>
    </x:row>
    <x:row r="125">
      <x:c r="A125" s="102" t="str">
        <x:v>BERTH00124</x:v>
      </x:c>
      <x:c r="B125" s="102" t="str">
        <x:v>TERM0243</x:v>
      </x:c>
      <x:c r="C125" s="102" t="str">
        <x:v>Lien Chieu Container Port / APM Terminals Da Nang marine interface</x:v>
      </x:c>
      <x:c r="D125" s="102" t="n">
        <x:v>8</x:v>
      </x:c>
      <x:c r="E125" s="102"/>
      <x:c r="F125" s="102"/>
      <x:c r="G125" s="102" t="str">
        <x:v>Containers / terminal cargo</x:v>
      </x:c>
      <x:c r="H125" s="102" t="str">
        <x:v>Under development</x:v>
      </x:c>
      <x:c r="I125" s="102" t="str">
        <x:v>APM Terminals</x:v>
      </x:c>
      <x:c r="J125" s="102" t="str">
        <x:v>https://akamai.apmterminals.com/en/news/news-releases/2026/260425-APM-Terminals-and-Hateco-partner-in-Da-Nang</x:v>
      </x:c>
      <x:c r="K125" s="102" t="str">
        <x:v>APM-VN-DANANG</x:v>
      </x:c>
    </x:row>
    <x:row r="126">
      <x:c r="A126" s="102" t="str">
        <x:v>BERTH00125</x:v>
      </x:c>
      <x:c r="B126" s="102" t="str">
        <x:v>TERM0040</x:v>
      </x:c>
      <x:c r="C126" s="102" t="str">
        <x:v>South Container Terminal – APM minority investment marine interface</x:v>
      </x:c>
      <x:c r="D126" s="102" t="n">
        <x:v>5</x:v>
      </x:c>
      <x:c r="E126" s="102" t="n">
        <x:v>2550</x:v>
      </x:c>
      <x:c r="F126" s="102" t="n">
        <x:v>18</x:v>
      </x:c>
      <x:c r="G126" s="102" t="str">
        <x:v>Containers / terminal cargo</x:v>
      </x:c>
      <x:c r="H126" s="102" t="str">
        <x:v>Agreement announced / transaction completion to verify</x:v>
      </x:c>
      <x:c r="I126" s="102" t="str">
        <x:v>APM Terminals</x:v>
      </x:c>
      <x:c r="J126" s="102" t="str">
        <x:v>https://www2.apmterminals.com/en/news/news-releases/2026/260218-APM-Terminals-DPWorld-strategic-partnership-Jeddah-Islamic-Port</x:v>
      </x:c>
      <x:c r="K126" s="102" t="str">
        <x:v>APM-SA-JEDDAH-SCT</x:v>
      </x:c>
    </x:row>
  </x:sheetData>
  <x:pageMargins left="0.7" right="0.7" top="0.75" bottom="0.75" header="0.3" footer="0.3"/>
</x:worksheet>
</file>

<file path=xl/worksheets/sheet80.xml><?xml version="1.0" encoding="utf-8"?>
<x:worksheet xmlns:x="http://schemas.openxmlformats.org/spreadsheetml/2006/main">
  <x:sheetFormatPr defaultRowHeight="15"/>
  <x:cols>
    <x:col min="1" max="1" width="16" hidden="0" customWidth="1"/>
    <x:col min="2" max="2" width="14" hidden="0" customWidth="1"/>
    <x:col min="3" max="3" width="28" hidden="0" customWidth="1"/>
    <x:col min="4" max="4" width="12" hidden="0" customWidth="1"/>
    <x:col min="5" max="5" width="42" hidden="0" customWidth="1"/>
    <x:col min="6" max="6" width="24" hidden="0" customWidth="1"/>
    <x:col min="7" max="7" width="24" hidden="0" customWidth="1"/>
    <x:col min="8" max="8" width="65" hidden="0" customWidth="1"/>
    <x:col min="9" max="9" width="20" hidden="0" customWidth="1"/>
  </x:cols>
  <x:sheetData>
    <x:row r="1" ht="34" customHeight="1">
      <x:c r="A1" s="223" t="str">
        <x:v>Equipment Record ID</x:v>
      </x:c>
      <x:c r="B1" s="223" t="str">
        <x:v>Terminal ID</x:v>
      </x:c>
      <x:c r="C1" s="223" t="str">
        <x:v>Equipment Type</x:v>
      </x:c>
      <x:c r="D1" s="223" t="str">
        <x:v>Quantity</x:v>
      </x:c>
      <x:c r="E1" s="223" t="str">
        <x:v>Specification</x:v>
      </x:c>
      <x:c r="F1" s="223" t="str">
        <x:v>Status</x:v>
      </x:c>
      <x:c r="G1" s="223" t="str">
        <x:v>Source Operator</x:v>
      </x:c>
      <x:c r="H1" s="223" t="str">
        <x:v>Source URL</x:v>
      </x:c>
      <x:c r="I1" s="223" t="str">
        <x:v>Source Asset ID</x:v>
      </x:c>
    </x:row>
    <x:row r="2">
      <x:c r="A2" s="102" t="str">
        <x:v>EQ00001</x:v>
      </x:c>
      <x:c r="B2" s="102" t="str">
        <x:v>TERM0001</x:v>
      </x:c>
      <x:c r="C2" s="102" t="str">
        <x:v>RTG</x:v>
      </x:c>
      <x:c r="D2" s="102" t="n">
        <x:v>10</x:v>
      </x:c>
      <x:c r="E2" s="102" t="str">
        <x:v>2023 investment doubled fleet to 10; verify subsequent changes.</x:v>
      </x:c>
      <x:c r="F2" s="102" t="str"/>
      <x:c r="G2" s="102" t="str">
        <x:v>DP World</x:v>
      </x:c>
      <x:c r="H2" s="102" t="str">
        <x:v>https://www.dpworld.com/en/news/dp-world-invests-in-new-rubber-tyred-gantry-cranes-at-sydney</x:v>
      </x:c>
      <x:c r="I2" s="102" t="str">
        <x:v>DPW-AUS-SYD</x:v>
      </x:c>
    </x:row>
    <x:row r="3">
      <x:c r="A3" s="102" t="str">
        <x:v>EQ00002</x:v>
      </x:c>
      <x:c r="B3" s="102" t="str">
        <x:v>TERM0012</x:v>
      </x:c>
      <x:c r="C3" s="102" t="str">
        <x:v>STS quay crane</x:v>
      </x:c>
      <x:c r="D3" s="102" t="n">
        <x:v>2</x:v>
      </x:c>
      <x:c r="E3" s="102" t="str">
        <x:v>Two new STS cranes added in 2025; not total fleet.</x:v>
      </x:c>
      <x:c r="F3" s="102" t="str"/>
      <x:c r="G3" s="102" t="str">
        <x:v>DP World</x:v>
      </x:c>
      <x:c r="H3" s="102" t="str">
        <x:v>https://www.dpworld.com/en/news/dp-world-and-asian-terminals-inc-invest-us100-million-to-boost-capacity-at-manila-south-harbour</x:v>
      </x:c>
      <x:c r="I3" s="102" t="str">
        <x:v>DPW-PHL-MSH</x:v>
      </x:c>
    </x:row>
    <x:row r="4">
      <x:c r="A4" s="102" t="str">
        <x:v>EQ00003</x:v>
      </x:c>
      <x:c r="B4" s="102" t="str">
        <x:v>TERM0014</x:v>
      </x:c>
      <x:c r="C4" s="102" t="str">
        <x:v>Fixed harbour crane</x:v>
      </x:c>
      <x:c r="D4" s="102" t="n">
        <x:v>2</x:v>
      </x:c>
      <x:c r="E4" s="102" t="str"/>
      <x:c r="F4" s="102" t="str"/>
      <x:c r="G4" s="102" t="str">
        <x:v>DP World</x:v>
      </x:c>
      <x:c r="H4" s="102" t="str">
        <x:v>https://www.dpworld.com/en/ports-terminals/philippines/cavite-port</x:v>
      </x:c>
      <x:c r="I4" s="102" t="str">
        <x:v>DPW-PHL-CAV</x:v>
      </x:c>
    </x:row>
    <x:row r="5">
      <x:c r="A5" s="102" t="str">
        <x:v>EQ00004</x:v>
      </x:c>
      <x:c r="B5" s="102" t="str">
        <x:v>TERM0014</x:v>
      </x:c>
      <x:c r="C5" s="102" t="str">
        <x:v>Reach stacker</x:v>
      </x:c>
      <x:c r="D5" s="102" t="n">
        <x:v>2</x:v>
      </x:c>
      <x:c r="E5" s="102" t="str"/>
      <x:c r="F5" s="102" t="str"/>
      <x:c r="G5" s="102" t="str">
        <x:v>DP World</x:v>
      </x:c>
      <x:c r="H5" s="102" t="str">
        <x:v>https://www.dpworld.com/en/ports-terminals/philippines/cavite-port</x:v>
      </x:c>
      <x:c r="I5" s="102" t="str">
        <x:v>DPW-PHL-CAV</x:v>
      </x:c>
    </x:row>
    <x:row r="6">
      <x:c r="A6" s="102" t="str">
        <x:v>EQ00005</x:v>
      </x:c>
      <x:c r="B6" s="102" t="str">
        <x:v>TERM0014</x:v>
      </x:c>
      <x:c r="C6" s="102" t="str">
        <x:v>Internal transfer vehicle</x:v>
      </x:c>
      <x:c r="D6" s="102" t="n">
        <x:v>4</x:v>
      </x:c>
      <x:c r="E6" s="102" t="str"/>
      <x:c r="F6" s="102" t="str"/>
      <x:c r="G6" s="102" t="str">
        <x:v>DP World</x:v>
      </x:c>
      <x:c r="H6" s="102" t="str">
        <x:v>https://www.dpworld.com/en/ports-terminals/philippines/cavite-port</x:v>
      </x:c>
      <x:c r="I6" s="102" t="str">
        <x:v>DPW-PHL-CAV</x:v>
      </x:c>
    </x:row>
    <x:row r="7">
      <x:c r="A7" s="102" t="str">
        <x:v>EQ00006</x:v>
      </x:c>
      <x:c r="B7" s="102" t="str">
        <x:v>TERM0018</x:v>
      </x:c>
      <x:c r="C7" s="102" t="str">
        <x:v>STS quay crane</x:v>
      </x:c>
      <x:c r="D7" s="102" t="n">
        <x:v>15</x:v>
      </x:c>
      <x:c r="E7" s="102" t="str"/>
      <x:c r="F7" s="102" t="str"/>
      <x:c r="G7" s="102" t="str">
        <x:v>DP World</x:v>
      </x:c>
      <x:c r="H7" s="102" t="str">
        <x:v>https://www.dpworld.com/en/ports-terminals/belgium/antwerp</x:v>
      </x:c>
      <x:c r="I7" s="102" t="str">
        <x:v>DPW-BEL-ANT</x:v>
      </x:c>
    </x:row>
    <x:row r="8">
      <x:c r="A8" s="102" t="str">
        <x:v>EQ00007</x:v>
      </x:c>
      <x:c r="B8" s="102" t="str">
        <x:v>TERM0018</x:v>
      </x:c>
      <x:c r="C8" s="102" t="str">
        <x:v>Automated stacking crane (ASC)</x:v>
      </x:c>
      <x:c r="D8" s="102" t="n">
        <x:v>38</x:v>
      </x:c>
      <x:c r="E8" s="102" t="str"/>
      <x:c r="F8" s="102" t="str">
        <x:v>Automated</x:v>
      </x:c>
      <x:c r="G8" s="102" t="str">
        <x:v>DP World</x:v>
      </x:c>
      <x:c r="H8" s="102" t="str">
        <x:v>https://www.dpworld.com/en/ports-terminals/belgium/antwerp</x:v>
      </x:c>
      <x:c r="I8" s="102" t="str">
        <x:v>DPW-BEL-ANT</x:v>
      </x:c>
    </x:row>
    <x:row r="9">
      <x:c r="A9" s="102" t="str">
        <x:v>EQ00008</x:v>
      </x:c>
      <x:c r="B9" s="102" t="str">
        <x:v>TERM0018</x:v>
      </x:c>
      <x:c r="C9" s="102" t="str">
        <x:v>Straddle carrier</x:v>
      </x:c>
      <x:c r="D9" s="102" t="n">
        <x:v>65</x:v>
      </x:c>
      <x:c r="E9" s="102" t="str"/>
      <x:c r="F9" s="102" t="str"/>
      <x:c r="G9" s="102" t="str">
        <x:v>DP World</x:v>
      </x:c>
      <x:c r="H9" s="102" t="str">
        <x:v>https://www.dpworld.com/en/ports-terminals/belgium/antwerp</x:v>
      </x:c>
      <x:c r="I9" s="102" t="str">
        <x:v>DPW-BEL-ANT</x:v>
      </x:c>
    </x:row>
    <x:row r="10">
      <x:c r="A10" s="102" t="str">
        <x:v>EQ00009</x:v>
      </x:c>
      <x:c r="B10" s="102" t="str">
        <x:v>TERM0018</x:v>
      </x:c>
      <x:c r="C10" s="102" t="str">
        <x:v>Rail-mounted gantry (RMG)</x:v>
      </x:c>
      <x:c r="D10" s="102" t="n">
        <x:v>2</x:v>
      </x:c>
      <x:c r="E10" s="102" t="str"/>
      <x:c r="F10" s="102" t="str"/>
      <x:c r="G10" s="102" t="str">
        <x:v>DP World</x:v>
      </x:c>
      <x:c r="H10" s="102" t="str">
        <x:v>https://www.dpworld.com/en/ports-terminals/belgium/antwerp</x:v>
      </x:c>
      <x:c r="I10" s="102" t="str">
        <x:v>DPW-BEL-ANT</x:v>
      </x:c>
    </x:row>
    <x:row r="11">
      <x:c r="A11" s="102" t="str">
        <x:v>EQ00010</x:v>
      </x:c>
      <x:c r="B11" s="102" t="str">
        <x:v>TERM0018</x:v>
      </x:c>
      <x:c r="C11" s="102" t="str">
        <x:v>Mobile harbour crane</x:v>
      </x:c>
      <x:c r="D11" s="102" t="n">
        <x:v>1</x:v>
      </x:c>
      <x:c r="E11" s="102" t="str"/>
      <x:c r="F11" s="102" t="str"/>
      <x:c r="G11" s="102" t="str">
        <x:v>DP World</x:v>
      </x:c>
      <x:c r="H11" s="102" t="str">
        <x:v>https://www.dpworld.com/en/ports-terminals/belgium/antwerp</x:v>
      </x:c>
      <x:c r="I11" s="102" t="str">
        <x:v>DPW-BEL-ANT</x:v>
      </x:c>
    </x:row>
    <x:row r="12">
      <x:c r="A12" s="102" t="str">
        <x:v>EQ00011</x:v>
      </x:c>
      <x:c r="B12" s="102" t="str">
        <x:v>TERM0021</x:v>
      </x:c>
      <x:c r="C12" s="102" t="str">
        <x:v>Rail-mounted gantry (RMG)</x:v>
      </x:c>
      <x:c r="D12" s="102" t="n">
        <x:v>2</x:v>
      </x:c>
      <x:c r="E12" s="102" t="str"/>
      <x:c r="F12" s="102" t="str"/>
      <x:c r="G12" s="102" t="str">
        <x:v>DP World</x:v>
      </x:c>
      <x:c r="H12" s="102" t="str">
        <x:v>https://www.dpworld.com/en/ports-terminals/romania/constanta</x:v>
      </x:c>
      <x:c r="I12" s="102" t="str">
        <x:v>DPW-ROU-CTA</x:v>
      </x:c>
    </x:row>
    <x:row r="13">
      <x:c r="A13" s="102" t="str">
        <x:v>EQ00012</x:v>
      </x:c>
      <x:c r="B13" s="102" t="str">
        <x:v>TERM0021</x:v>
      </x:c>
      <x:c r="C13" s="102" t="str">
        <x:v>Quay / mobile cranes</x:v>
      </x:c>
      <x:c r="D13" s="102" t="n">
        <x:v>8</x:v>
      </x:c>
      <x:c r="E13" s="102" t="str">
        <x:v>Mix of QGC and mobile/electric mobile harbour cranes.</x:v>
      </x:c>
      <x:c r="F13" s="102" t="str"/>
      <x:c r="G13" s="102" t="str">
        <x:v>DP World</x:v>
      </x:c>
      <x:c r="H13" s="102" t="str">
        <x:v>https://www.dpworld.com/en/ports-terminals/romania/constanta</x:v>
      </x:c>
      <x:c r="I13" s="102" t="str">
        <x:v>DPW-ROU-CTA</x:v>
      </x:c>
    </x:row>
    <x:row r="14">
      <x:c r="A14" s="102" t="str">
        <x:v>EQ00013</x:v>
      </x:c>
      <x:c r="B14" s="102" t="str">
        <x:v>TERM0026</x:v>
      </x:c>
      <x:c r="C14" s="102" t="str">
        <x:v>STS quay crane</x:v>
      </x:c>
      <x:c r="D14" s="102" t="n">
        <x:v>16</x:v>
      </x:c>
      <x:c r="E14" s="102" t="str"/>
      <x:c r="F14" s="102" t="str"/>
      <x:c r="G14" s="102" t="str">
        <x:v>DP World</x:v>
      </x:c>
      <x:c r="H14" s="102" t="str">
        <x:v>https://www.dpworld.com/en/ports-terminals/united-kingdom/london-gateway/infrastructure-facts</x:v>
      </x:c>
      <x:c r="I14" s="102" t="str">
        <x:v>DPW-GBR-LGW</x:v>
      </x:c>
    </x:row>
    <x:row r="15">
      <x:c r="A15" s="102" t="str">
        <x:v>EQ00014</x:v>
      </x:c>
      <x:c r="B15" s="102" t="str">
        <x:v>TERM0026</x:v>
      </x:c>
      <x:c r="C15" s="102" t="str">
        <x:v>Automated stacking crane (ASC)</x:v>
      </x:c>
      <x:c r="D15" s="102" t="n">
        <x:v>78</x:v>
      </x:c>
      <x:c r="E15" s="102" t="str"/>
      <x:c r="F15" s="102" t="str">
        <x:v>Automated</x:v>
      </x:c>
      <x:c r="G15" s="102" t="str">
        <x:v>DP World</x:v>
      </x:c>
      <x:c r="H15" s="102" t="str">
        <x:v>https://www.dpworld.com/en/ports-terminals/united-kingdom/london-gateway/infrastructure-facts</x:v>
      </x:c>
      <x:c r="I15" s="102" t="str">
        <x:v>DPW-GBR-LGW</x:v>
      </x:c>
    </x:row>
    <x:row r="16">
      <x:c r="A16" s="102" t="str">
        <x:v>EQ00015</x:v>
      </x:c>
      <x:c r="B16" s="102" t="str">
        <x:v>TERM0026</x:v>
      </x:c>
      <x:c r="C16" s="102" t="str">
        <x:v>Straddle carrier</x:v>
      </x:c>
      <x:c r="D16" s="102" t="n">
        <x:v>60</x:v>
      </x:c>
      <x:c r="E16" s="102" t="str"/>
      <x:c r="F16" s="102" t="str"/>
      <x:c r="G16" s="102" t="str">
        <x:v>DP World</x:v>
      </x:c>
      <x:c r="H16" s="102" t="str">
        <x:v>https://www.dpworld.com/en/ports-terminals/united-kingdom/london-gateway/infrastructure-facts</x:v>
      </x:c>
      <x:c r="I16" s="102" t="str">
        <x:v>DPW-GBR-LGW</x:v>
      </x:c>
    </x:row>
    <x:row r="17">
      <x:c r="A17" s="102" t="str">
        <x:v>EQ00016</x:v>
      </x:c>
      <x:c r="B17" s="102" t="str">
        <x:v>TERM0026</x:v>
      </x:c>
      <x:c r="C17" s="102" t="str">
        <x:v>Rail-mounted gantry (RMG)</x:v>
      </x:c>
      <x:c r="D17" s="102" t="n">
        <x:v>5</x:v>
      </x:c>
      <x:c r="E17" s="102" t="str"/>
      <x:c r="F17" s="102" t="str"/>
      <x:c r="G17" s="102" t="str">
        <x:v>DP World</x:v>
      </x:c>
      <x:c r="H17" s="102" t="str">
        <x:v>https://www.dpworld.com/en/ports-terminals/united-kingdom/london-gateway/infrastructure-facts</x:v>
      </x:c>
      <x:c r="I17" s="102" t="str">
        <x:v>DPW-GBR-LGW</x:v>
      </x:c>
    </x:row>
    <x:row r="18">
      <x:c r="A18" s="102" t="str">
        <x:v>EQ00017</x:v>
      </x:c>
      <x:c r="B18" s="102" t="str">
        <x:v>TERM0026</x:v>
      </x:c>
      <x:c r="C18" s="102" t="str">
        <x:v>Reach stacker</x:v>
      </x:c>
      <x:c r="D18" s="102" t="n">
        <x:v>4</x:v>
      </x:c>
      <x:c r="E18" s="102" t="str"/>
      <x:c r="F18" s="102" t="str"/>
      <x:c r="G18" s="102" t="str">
        <x:v>DP World</x:v>
      </x:c>
      <x:c r="H18" s="102" t="str">
        <x:v>https://www.dpworld.com/en/ports-terminals/united-kingdom/london-gateway/infrastructure-facts</x:v>
      </x:c>
      <x:c r="I18" s="102" t="str">
        <x:v>DPW-GBR-LGW</x:v>
      </x:c>
    </x:row>
    <x:row r="19">
      <x:c r="A19" s="102" t="str">
        <x:v>EQ00018</x:v>
      </x:c>
      <x:c r="B19" s="102" t="str">
        <x:v>TERM0027</x:v>
      </x:c>
      <x:c r="C19" s="102" t="str">
        <x:v>STS quay crane</x:v>
      </x:c>
      <x:c r="D19" s="102" t="n">
        <x:v>14</x:v>
      </x:c>
      <x:c r="E19" s="102" t="str"/>
      <x:c r="F19" s="102" t="str"/>
      <x:c r="G19" s="102" t="str">
        <x:v>DP World</x:v>
      </x:c>
      <x:c r="H19" s="102" t="str">
        <x:v>https://www.dpworld.com/en/ports-terminals/united-kingdom/southampton/infrastructure-facts</x:v>
      </x:c>
      <x:c r="I19" s="102" t="str">
        <x:v>DPW-GBR-SOU</x:v>
      </x:c>
    </x:row>
    <x:row r="20">
      <x:c r="A20" s="102" t="str">
        <x:v>EQ00019</x:v>
      </x:c>
      <x:c r="B20" s="102" t="str">
        <x:v>TERM0030</x:v>
      </x:c>
      <x:c r="C20" s="102" t="str">
        <x:v>Super-post-Panamax STS</x:v>
      </x:c>
      <x:c r="D20" s="102" t="n">
        <x:v>12</x:v>
      </x:c>
      <x:c r="E20" s="102" t="str"/>
      <x:c r="F20" s="102" t="str"/>
      <x:c r="G20" s="102" t="str">
        <x:v>DP World</x:v>
      </x:c>
      <x:c r="H20" s="102" t="str">
        <x:v>https://www.dpworld.com/en/ports-terminals/algeria/djendjen</x:v>
      </x:c>
      <x:c r="I20" s="102" t="str">
        <x:v>DPW-DZA-DJD</x:v>
      </x:c>
    </x:row>
    <x:row r="21">
      <x:c r="A21" s="102" t="str">
        <x:v>EQ00020</x:v>
      </x:c>
      <x:c r="B21" s="102" t="str">
        <x:v>TERM0030</x:v>
      </x:c>
      <x:c r="C21" s="102" t="str">
        <x:v>Feeder STS</x:v>
      </x:c>
      <x:c r="D21" s="102" t="n">
        <x:v>2</x:v>
      </x:c>
      <x:c r="E21" s="102" t="str"/>
      <x:c r="F21" s="102" t="str"/>
      <x:c r="G21" s="102" t="str">
        <x:v>DP World</x:v>
      </x:c>
      <x:c r="H21" s="102" t="str">
        <x:v>https://www.dpworld.com/en/ports-terminals/algeria/djendjen</x:v>
      </x:c>
      <x:c r="I21" s="102" t="str">
        <x:v>DPW-DZA-DJD</x:v>
      </x:c>
    </x:row>
    <x:row r="22">
      <x:c r="A22" s="102" t="str">
        <x:v>EQ00021</x:v>
      </x:c>
      <x:c r="B22" s="102" t="str">
        <x:v>TERM0030</x:v>
      </x:c>
      <x:c r="C22" s="102" t="str">
        <x:v>RTG</x:v>
      </x:c>
      <x:c r="D22" s="102" t="n">
        <x:v>35</x:v>
      </x:c>
      <x:c r="E22" s="102" t="str"/>
      <x:c r="F22" s="102" t="str"/>
      <x:c r="G22" s="102" t="str">
        <x:v>DP World</x:v>
      </x:c>
      <x:c r="H22" s="102" t="str">
        <x:v>https://www.dpworld.com/en/ports-terminals/algeria/djendjen</x:v>
      </x:c>
      <x:c r="I22" s="102" t="str">
        <x:v>DPW-DZA-DJD</x:v>
      </x:c>
    </x:row>
    <x:row r="23">
      <x:c r="A23" s="102" t="str">
        <x:v>EQ00022</x:v>
      </x:c>
      <x:c r="B23" s="102" t="str">
        <x:v>TERM0030</x:v>
      </x:c>
      <x:c r="C23" s="102" t="str">
        <x:v>Mobile harbour crane</x:v>
      </x:c>
      <x:c r="D23" s="102" t="n">
        <x:v>1</x:v>
      </x:c>
      <x:c r="E23" s="102" t="str"/>
      <x:c r="F23" s="102" t="str"/>
      <x:c r="G23" s="102" t="str">
        <x:v>DP World</x:v>
      </x:c>
      <x:c r="H23" s="102" t="str">
        <x:v>https://www.dpworld.com/en/ports-terminals/algeria/djendjen</x:v>
      </x:c>
      <x:c r="I23" s="102" t="str">
        <x:v>DPW-DZA-DJD</x:v>
      </x:c>
    </x:row>
    <x:row r="24">
      <x:c r="A24" s="102" t="str">
        <x:v>EQ00023</x:v>
      </x:c>
      <x:c r="B24" s="102" t="str">
        <x:v>TERM0030</x:v>
      </x:c>
      <x:c r="C24" s="102" t="str">
        <x:v>Internal transfer vehicle</x:v>
      </x:c>
      <x:c r="D24" s="102" t="n">
        <x:v>6</x:v>
      </x:c>
      <x:c r="E24" s="102" t="str"/>
      <x:c r="F24" s="102" t="str"/>
      <x:c r="G24" s="102" t="str">
        <x:v>DP World</x:v>
      </x:c>
      <x:c r="H24" s="102" t="str">
        <x:v>https://www.dpworld.com/en/ports-terminals/algeria/djendjen</x:v>
      </x:c>
      <x:c r="I24" s="102" t="str">
        <x:v>DPW-DZA-DJD</x:v>
      </x:c>
    </x:row>
    <x:row r="25">
      <x:c r="A25" s="102" t="str">
        <x:v>EQ00024</x:v>
      </x:c>
      <x:c r="B25" s="102" t="str">
        <x:v>TERM0030</x:v>
      </x:c>
      <x:c r="C25" s="102" t="str">
        <x:v>Reach stacker</x:v>
      </x:c>
      <x:c r="D25" s="102" t="n">
        <x:v>4</x:v>
      </x:c>
      <x:c r="E25" s="102" t="str"/>
      <x:c r="F25" s="102" t="str"/>
      <x:c r="G25" s="102" t="str">
        <x:v>DP World</x:v>
      </x:c>
      <x:c r="H25" s="102" t="str">
        <x:v>https://www.dpworld.com/en/ports-terminals/algeria/djendjen</x:v>
      </x:c>
      <x:c r="I25" s="102" t="str">
        <x:v>DPW-DZA-DJD</x:v>
      </x:c>
    </x:row>
    <x:row r="26">
      <x:c r="A26" s="102" t="str">
        <x:v>EQ00025</x:v>
      </x:c>
      <x:c r="B26" s="102" t="str">
        <x:v>TERM0030</x:v>
      </x:c>
      <x:c r="C26" s="102" t="str">
        <x:v>Empty container handler</x:v>
      </x:c>
      <x:c r="D26" s="102" t="n">
        <x:v>2</x:v>
      </x:c>
      <x:c r="E26" s="102" t="str"/>
      <x:c r="F26" s="102" t="str"/>
      <x:c r="G26" s="102" t="str">
        <x:v>DP World</x:v>
      </x:c>
      <x:c r="H26" s="102" t="str">
        <x:v>https://www.dpworld.com/en/ports-terminals/algeria/djendjen</x:v>
      </x:c>
      <x:c r="I26" s="102" t="str">
        <x:v>DPW-DZA-DJD</x:v>
      </x:c>
    </x:row>
    <x:row r="27">
      <x:c r="A27" s="102" t="str">
        <x:v>EQ00026</x:v>
      </x:c>
      <x:c r="B27" s="102" t="str">
        <x:v>TERM0031</x:v>
      </x:c>
      <x:c r="C27" s="102" t="str">
        <x:v>Mobile harbour crane</x:v>
      </x:c>
      <x:c r="D27" s="102" t="n">
        <x:v>6</x:v>
      </x:c>
      <x:c r="E27" s="102" t="str">
        <x:v>2 Gottwald + 2 Gottwald + 2 Liebherr across berth equipment listings.</x:v>
      </x:c>
      <x:c r="F27" s="102" t="str"/>
      <x:c r="G27" s="102" t="str">
        <x:v>DP World</x:v>
      </x:c>
      <x:c r="H27" s="102" t="str">
        <x:v>https://www.dpworld.com/en/ports-terminals/egypt/sokhna/infrastructure-facts</x:v>
      </x:c>
      <x:c r="I27" s="102" t="str">
        <x:v>DPW-EGY-SOK</x:v>
      </x:c>
    </x:row>
    <x:row r="28">
      <x:c r="A28" s="102" t="str">
        <x:v>EQ00027</x:v>
      </x:c>
      <x:c r="B28" s="102" t="str">
        <x:v>TERM0032</x:v>
      </x:c>
      <x:c r="C28" s="102" t="str">
        <x:v>Quay crane</x:v>
      </x:c>
      <x:c r="D28" s="102" t="n">
        <x:v>8</x:v>
      </x:c>
      <x:c r="E28" s="102" t="str"/>
      <x:c r="F28" s="102" t="str"/>
      <x:c r="G28" s="102" t="str">
        <x:v>DP World</x:v>
      </x:c>
      <x:c r="H28" s="102" t="str">
        <x:v>https://www.dpworld.com/en/ports-terminals/india/nsict/infrastructure</x:v>
      </x:c>
      <x:c r="I28" s="102" t="str">
        <x:v>DPW-IND-NSI</x:v>
      </x:c>
    </x:row>
    <x:row r="29">
      <x:c r="A29" s="102" t="str">
        <x:v>EQ00028</x:v>
      </x:c>
      <x:c r="B29" s="102" t="str">
        <x:v>TERM0032</x:v>
      </x:c>
      <x:c r="C29" s="102" t="str">
        <x:v>RTG</x:v>
      </x:c>
      <x:c r="D29" s="102" t="n">
        <x:v>26</x:v>
      </x:c>
      <x:c r="E29" s="102" t="str"/>
      <x:c r="F29" s="102" t="str"/>
      <x:c r="G29" s="102" t="str">
        <x:v>DP World</x:v>
      </x:c>
      <x:c r="H29" s="102" t="str">
        <x:v>https://www.dpworld.com/en/ports-terminals/india/nsict/infrastructure</x:v>
      </x:c>
      <x:c r="I29" s="102" t="str">
        <x:v>DPW-IND-NSI</x:v>
      </x:c>
    </x:row>
    <x:row r="30">
      <x:c r="A30" s="102" t="str">
        <x:v>EQ00029</x:v>
      </x:c>
      <x:c r="B30" s="102" t="str">
        <x:v>TERM0032</x:v>
      </x:c>
      <x:c r="C30" s="102" t="str">
        <x:v>Reach stacker</x:v>
      </x:c>
      <x:c r="D30" s="102" t="n">
        <x:v>2</x:v>
      </x:c>
      <x:c r="E30" s="102" t="str"/>
      <x:c r="F30" s="102" t="str"/>
      <x:c r="G30" s="102" t="str">
        <x:v>DP World</x:v>
      </x:c>
      <x:c r="H30" s="102" t="str">
        <x:v>https://www.dpworld.com/en/ports-terminals/india/nsict/infrastructure</x:v>
      </x:c>
      <x:c r="I30" s="102" t="str">
        <x:v>DPW-IND-NSI</x:v>
      </x:c>
    </x:row>
    <x:row r="31">
      <x:c r="A31" s="102" t="str">
        <x:v>EQ00030</x:v>
      </x:c>
      <x:c r="B31" s="102" t="str">
        <x:v>TERM0032</x:v>
      </x:c>
      <x:c r="C31" s="102" t="str">
        <x:v>Empty container handler</x:v>
      </x:c>
      <x:c r="D31" s="102" t="n">
        <x:v>2</x:v>
      </x:c>
      <x:c r="E31" s="102" t="str"/>
      <x:c r="F31" s="102" t="str"/>
      <x:c r="G31" s="102" t="str">
        <x:v>DP World</x:v>
      </x:c>
      <x:c r="H31" s="102" t="str">
        <x:v>https://www.dpworld.com/en/ports-terminals/india/nsict/infrastructure</x:v>
      </x:c>
      <x:c r="I31" s="102" t="str">
        <x:v>DPW-IND-NSI</x:v>
      </x:c>
    </x:row>
    <x:row r="32">
      <x:c r="A32" s="102" t="str">
        <x:v>EQ00031</x:v>
      </x:c>
      <x:c r="B32" s="102" t="str">
        <x:v>TERM0032</x:v>
      </x:c>
      <x:c r="C32" s="102" t="str">
        <x:v>Forklift</x:v>
      </x:c>
      <x:c r="D32" s="102" t="n">
        <x:v>2</x:v>
      </x:c>
      <x:c r="E32" s="102" t="str"/>
      <x:c r="F32" s="102" t="str"/>
      <x:c r="G32" s="102" t="str">
        <x:v>DP World</x:v>
      </x:c>
      <x:c r="H32" s="102" t="str">
        <x:v>https://www.dpworld.com/en/ports-terminals/india/nsict/infrastructure</x:v>
      </x:c>
      <x:c r="I32" s="102" t="str">
        <x:v>DPW-IND-NSI</x:v>
      </x:c>
    </x:row>
    <x:row r="33">
      <x:c r="A33" s="102" t="str">
        <x:v>EQ00032</x:v>
      </x:c>
      <x:c r="B33" s="102" t="str">
        <x:v>TERM0033</x:v>
      </x:c>
      <x:c r="C33" s="102" t="str">
        <x:v>Quay crane</x:v>
      </x:c>
      <x:c r="D33" s="102" t="n">
        <x:v>8</x:v>
      </x:c>
      <x:c r="E33" s="102" t="str"/>
      <x:c r="F33" s="102" t="str"/>
      <x:c r="G33" s="102" t="str">
        <x:v>DP World</x:v>
      </x:c>
      <x:c r="H33" s="102" t="str">
        <x:v>https://www.dpworld.com/en/ports-terminals/india/nsigt/infrastructure</x:v>
      </x:c>
      <x:c r="I33" s="102" t="str">
        <x:v>DPW-IND-NSG</x:v>
      </x:c>
    </x:row>
    <x:row r="34">
      <x:c r="A34" s="102" t="str">
        <x:v>EQ00033</x:v>
      </x:c>
      <x:c r="B34" s="102" t="str">
        <x:v>TERM0033</x:v>
      </x:c>
      <x:c r="C34" s="102" t="str">
        <x:v>RTG</x:v>
      </x:c>
      <x:c r="D34" s="102" t="n">
        <x:v>26</x:v>
      </x:c>
      <x:c r="E34" s="102" t="str"/>
      <x:c r="F34" s="102" t="str"/>
      <x:c r="G34" s="102" t="str">
        <x:v>DP World</x:v>
      </x:c>
      <x:c r="H34" s="102" t="str">
        <x:v>https://www.dpworld.com/en/ports-terminals/india/nsigt/infrastructure</x:v>
      </x:c>
      <x:c r="I34" s="102" t="str">
        <x:v>DPW-IND-NSG</x:v>
      </x:c>
    </x:row>
    <x:row r="35">
      <x:c r="A35" s="102" t="str">
        <x:v>EQ00034</x:v>
      </x:c>
      <x:c r="B35" s="102" t="str">
        <x:v>TERM0033</x:v>
      </x:c>
      <x:c r="C35" s="102" t="str">
        <x:v>Reach stacker</x:v>
      </x:c>
      <x:c r="D35" s="102" t="n">
        <x:v>2</x:v>
      </x:c>
      <x:c r="E35" s="102" t="str"/>
      <x:c r="F35" s="102" t="str"/>
      <x:c r="G35" s="102" t="str">
        <x:v>DP World</x:v>
      </x:c>
      <x:c r="H35" s="102" t="str">
        <x:v>https://www.dpworld.com/en/ports-terminals/india/nsigt/infrastructure</x:v>
      </x:c>
      <x:c r="I35" s="102" t="str">
        <x:v>DPW-IND-NSG</x:v>
      </x:c>
    </x:row>
    <x:row r="36">
      <x:c r="A36" s="102" t="str">
        <x:v>EQ00035</x:v>
      </x:c>
      <x:c r="B36" s="102" t="str">
        <x:v>TERM0033</x:v>
      </x:c>
      <x:c r="C36" s="102" t="str">
        <x:v>Empty container handler</x:v>
      </x:c>
      <x:c r="D36" s="102" t="n">
        <x:v>2</x:v>
      </x:c>
      <x:c r="E36" s="102" t="str"/>
      <x:c r="F36" s="102" t="str"/>
      <x:c r="G36" s="102" t="str">
        <x:v>DP World</x:v>
      </x:c>
      <x:c r="H36" s="102" t="str">
        <x:v>https://www.dpworld.com/en/ports-terminals/india/nsigt/infrastructure</x:v>
      </x:c>
      <x:c r="I36" s="102" t="str">
        <x:v>DPW-IND-NSG</x:v>
      </x:c>
    </x:row>
    <x:row r="37">
      <x:c r="A37" s="102" t="str">
        <x:v>EQ00036</x:v>
      </x:c>
      <x:c r="B37" s="102" t="str">
        <x:v>TERM0033</x:v>
      </x:c>
      <x:c r="C37" s="102" t="str">
        <x:v>Forklift</x:v>
      </x:c>
      <x:c r="D37" s="102" t="n">
        <x:v>2</x:v>
      </x:c>
      <x:c r="E37" s="102" t="str"/>
      <x:c r="F37" s="102" t="str"/>
      <x:c r="G37" s="102" t="str">
        <x:v>DP World</x:v>
      </x:c>
      <x:c r="H37" s="102" t="str">
        <x:v>https://www.dpworld.com/en/ports-terminals/india/nsigt/infrastructure</x:v>
      </x:c>
      <x:c r="I37" s="102" t="str">
        <x:v>DPW-IND-NSG</x:v>
      </x:c>
    </x:row>
    <x:row r="38">
      <x:c r="A38" s="102" t="str">
        <x:v>EQ00037</x:v>
      </x:c>
      <x:c r="B38" s="102" t="str">
        <x:v>TERM0034</x:v>
      </x:c>
      <x:c r="C38" s="102" t="str">
        <x:v>Quay crane</x:v>
      </x:c>
      <x:c r="D38" s="102" t="n">
        <x:v>8</x:v>
      </x:c>
      <x:c r="E38" s="102" t="str">
        <x:v>After new crane addition in 2025.</x:v>
      </x:c>
      <x:c r="F38" s="102" t="str"/>
      <x:c r="G38" s="102" t="str">
        <x:v>DP World</x:v>
      </x:c>
      <x:c r="H38" s="102" t="str">
        <x:v>https://www.dpworld.com/en/news/india/dp-world-mundra-boosts-capacity-sustainability</x:v>
      </x:c>
      <x:c r="I38" s="102" t="str">
        <x:v>DPW-IND-MUN</x:v>
      </x:c>
    </x:row>
    <x:row r="39">
      <x:c r="A39" s="102" t="str">
        <x:v>EQ00038</x:v>
      </x:c>
      <x:c r="B39" s="102" t="str">
        <x:v>TERM0034</x:v>
      </x:c>
      <x:c r="C39" s="102" t="str">
        <x:v>RTG</x:v>
      </x:c>
      <x:c r="D39" s="102" t="n">
        <x:v>29</x:v>
      </x:c>
      <x:c r="E39" s="102" t="str">
        <x:v>Conflicts with another DP World page showing 27 RTGCs.</x:v>
      </x:c>
      <x:c r="F39" s="102" t="str"/>
      <x:c r="G39" s="102" t="str">
        <x:v>DP World</x:v>
      </x:c>
      <x:c r="H39" s="102" t="str">
        <x:v>https://www.dpworld.com/en/ports-terminals/india/mict/infrastructure</x:v>
      </x:c>
      <x:c r="I39" s="102" t="str">
        <x:v>DPW-IND-MUN</x:v>
      </x:c>
    </x:row>
    <x:row r="40">
      <x:c r="A40" s="102" t="str">
        <x:v>EQ00039</x:v>
      </x:c>
      <x:c r="B40" s="102" t="str">
        <x:v>TERM0034</x:v>
      </x:c>
      <x:c r="C40" s="102" t="str">
        <x:v>Rail-mounted gantry (RMG)</x:v>
      </x:c>
      <x:c r="D40" s="102" t="n">
        <x:v>3</x:v>
      </x:c>
      <x:c r="E40" s="102" t="str"/>
      <x:c r="F40" s="102" t="str"/>
      <x:c r="G40" s="102" t="str">
        <x:v>DP World</x:v>
      </x:c>
      <x:c r="H40" s="102" t="str">
        <x:v>https://www.dpworld.com/en/ports-terminals/india/mict/infrastructure</x:v>
      </x:c>
      <x:c r="I40" s="102" t="str">
        <x:v>DPW-IND-MUN</x:v>
      </x:c>
    </x:row>
    <x:row r="41">
      <x:c r="A41" s="102" t="str">
        <x:v>EQ00040</x:v>
      </x:c>
      <x:c r="B41" s="102" t="str">
        <x:v>TERM0034</x:v>
      </x:c>
      <x:c r="C41" s="102" t="str">
        <x:v>Reach stacker</x:v>
      </x:c>
      <x:c r="D41" s="102" t="n">
        <x:v>1</x:v>
      </x:c>
      <x:c r="E41" s="102" t="str"/>
      <x:c r="F41" s="102" t="str"/>
      <x:c r="G41" s="102" t="str">
        <x:v>DP World</x:v>
      </x:c>
      <x:c r="H41" s="102" t="str">
        <x:v>https://www.dpworld.com/en/ports-terminals/india/mict/infrastructure</x:v>
      </x:c>
      <x:c r="I41" s="102" t="str">
        <x:v>DPW-IND-MUN</x:v>
      </x:c>
    </x:row>
    <x:row r="42">
      <x:c r="A42" s="102" t="str">
        <x:v>EQ00041</x:v>
      </x:c>
      <x:c r="B42" s="102" t="str">
        <x:v>TERM0034</x:v>
      </x:c>
      <x:c r="C42" s="102" t="str">
        <x:v>Empty container handler</x:v>
      </x:c>
      <x:c r="D42" s="102" t="n">
        <x:v>1</x:v>
      </x:c>
      <x:c r="E42" s="102" t="str"/>
      <x:c r="F42" s="102" t="str"/>
      <x:c r="G42" s="102" t="str">
        <x:v>DP World</x:v>
      </x:c>
      <x:c r="H42" s="102" t="str">
        <x:v>https://www.dpworld.com/en/ports-terminals/india/mict/infrastructure</x:v>
      </x:c>
      <x:c r="I42" s="102" t="str">
        <x:v>DPW-IND-MUN</x:v>
      </x:c>
    </x:row>
    <x:row r="43">
      <x:c r="A43" s="102" t="str">
        <x:v>EQ00042</x:v>
      </x:c>
      <x:c r="B43" s="102" t="str">
        <x:v>TERM0035</x:v>
      </x:c>
      <x:c r="C43" s="102" t="str">
        <x:v>Gantry / quay crane</x:v>
      </x:c>
      <x:c r="D43" s="102" t="n">
        <x:v>7</x:v>
      </x:c>
      <x:c r="E43" s="102" t="str"/>
      <x:c r="F43" s="102" t="str"/>
      <x:c r="G43" s="102" t="str">
        <x:v>DP World</x:v>
      </x:c>
      <x:c r="H43" s="102" t="str">
        <x:v>https://www.dpworld.com/en/ports-terminals/india/cct/infrastructure</x:v>
      </x:c>
      <x:c r="I43" s="102" t="str">
        <x:v>DPW-IND-CCT</x:v>
      </x:c>
    </x:row>
    <x:row r="44">
      <x:c r="A44" s="102" t="str">
        <x:v>EQ00043</x:v>
      </x:c>
      <x:c r="B44" s="102" t="str">
        <x:v>TERM0035</x:v>
      </x:c>
      <x:c r="C44" s="102" t="str">
        <x:v>RTG</x:v>
      </x:c>
      <x:c r="D44" s="102" t="n">
        <x:v>15</x:v>
      </x:c>
      <x:c r="E44" s="102" t="str"/>
      <x:c r="F44" s="102" t="str"/>
      <x:c r="G44" s="102" t="str">
        <x:v>DP World</x:v>
      </x:c>
      <x:c r="H44" s="102" t="str">
        <x:v>https://www.dpworld.com/en/ports-terminals/india/cct</x:v>
      </x:c>
      <x:c r="I44" s="102" t="str">
        <x:v>DPW-IND-CCT</x:v>
      </x:c>
    </x:row>
    <x:row r="45">
      <x:c r="A45" s="102" t="str">
        <x:v>EQ00044</x:v>
      </x:c>
      <x:c r="B45" s="102" t="str">
        <x:v>TERM0035</x:v>
      </x:c>
      <x:c r="C45" s="102" t="str">
        <x:v>Reach stacker</x:v>
      </x:c>
      <x:c r="D45" s="102" t="n">
        <x:v>3</x:v>
      </x:c>
      <x:c r="E45" s="102" t="str"/>
      <x:c r="F45" s="102" t="str"/>
      <x:c r="G45" s="102" t="str">
        <x:v>DP World</x:v>
      </x:c>
      <x:c r="H45" s="102" t="str">
        <x:v>https://www.dpworld.com/en/ports-terminals/india/cct</x:v>
      </x:c>
      <x:c r="I45" s="102" t="str">
        <x:v>DPW-IND-CCT</x:v>
      </x:c>
    </x:row>
    <x:row r="46">
      <x:c r="A46" s="102" t="str">
        <x:v>EQ00045</x:v>
      </x:c>
      <x:c r="B46" s="102" t="str">
        <x:v>TERM0036</x:v>
      </x:c>
      <x:c r="C46" s="102" t="str">
        <x:v>Quay crane</x:v>
      </x:c>
      <x:c r="D46" s="102" t="n">
        <x:v>7</x:v>
      </x:c>
      <x:c r="E46" s="102" t="str"/>
      <x:c r="F46" s="102" t="str"/>
      <x:c r="G46" s="102" t="str">
        <x:v>DP World</x:v>
      </x:c>
      <x:c r="H46" s="102" t="str">
        <x:v>https://www.dpworld.com/en/ports-terminals/india/ictt/infrastructure</x:v>
      </x:c>
      <x:c r="I46" s="102" t="str">
        <x:v>DPW-IND-COK</x:v>
      </x:c>
    </x:row>
    <x:row r="47">
      <x:c r="A47" s="102" t="str">
        <x:v>EQ00046</x:v>
      </x:c>
      <x:c r="B47" s="102" t="str">
        <x:v>TERM0036</x:v>
      </x:c>
      <x:c r="C47" s="102" t="str">
        <x:v>RTG</x:v>
      </x:c>
      <x:c r="D47" s="102" t="n">
        <x:v>21</x:v>
      </x:c>
      <x:c r="E47" s="102" t="str"/>
      <x:c r="F47" s="102" t="str"/>
      <x:c r="G47" s="102" t="str">
        <x:v>DP World</x:v>
      </x:c>
      <x:c r="H47" s="102" t="str">
        <x:v>https://www.dpworld.com/en/ports-terminals/india/ictt/infrastructure</x:v>
      </x:c>
      <x:c r="I47" s="102" t="str">
        <x:v>DPW-IND-COK</x:v>
      </x:c>
    </x:row>
    <x:row r="48">
      <x:c r="A48" s="102" t="str">
        <x:v>EQ00047</x:v>
      </x:c>
      <x:c r="B48" s="102" t="str">
        <x:v>TERM0038</x:v>
      </x:c>
      <x:c r="C48" s="102" t="str">
        <x:v>Mobile harbour crane</x:v>
      </x:c>
      <x:c r="D48" s="102" t="n">
        <x:v>3</x:v>
      </x:c>
      <x:c r="E48" s="102" t="str"/>
      <x:c r="F48" s="102" t="str"/>
      <x:c r="G48" s="102" t="str">
        <x:v>DP World</x:v>
      </x:c>
      <x:c r="H48" s="102" t="str">
        <x:v>https://www.dpworld.com/en/ports-terminals/mozambique/maputo</x:v>
      </x:c>
      <x:c r="I48" s="102" t="str">
        <x:v>DPW-MOZ-MAP</x:v>
      </x:c>
    </x:row>
    <x:row r="49">
      <x:c r="A49" s="102" t="str">
        <x:v>EQ00048</x:v>
      </x:c>
      <x:c r="B49" s="102" t="str">
        <x:v>TERM0038</x:v>
      </x:c>
      <x:c r="C49" s="102" t="str">
        <x:v>RTG</x:v>
      </x:c>
      <x:c r="D49" s="102" t="n">
        <x:v>6</x:v>
      </x:c>
      <x:c r="E49" s="102" t="str"/>
      <x:c r="F49" s="102" t="str"/>
      <x:c r="G49" s="102" t="str">
        <x:v>DP World</x:v>
      </x:c>
      <x:c r="H49" s="102" t="str">
        <x:v>https://www.dpworld.com/en/ports-terminals/mozambique/maputo</x:v>
      </x:c>
      <x:c r="I49" s="102" t="str">
        <x:v>DPW-MOZ-MAP</x:v>
      </x:c>
    </x:row>
    <x:row r="50">
      <x:c r="A50" s="102" t="str">
        <x:v>EQ00049</x:v>
      </x:c>
      <x:c r="B50" s="102" t="str">
        <x:v>TERM0039</x:v>
      </x:c>
      <x:c r="C50" s="102" t="str">
        <x:v>RTG</x:v>
      </x:c>
      <x:c r="D50" s="102" t="n">
        <x:v>45</x:v>
      </x:c>
      <x:c r="E50" s="102" t="str"/>
      <x:c r="F50" s="102" t="str"/>
      <x:c r="G50" s="102" t="str">
        <x:v>DP World</x:v>
      </x:c>
      <x:c r="H50" s="102" t="str">
        <x:v>https://www.dpworld.com/en/ports-terminals/pakistan/qasim</x:v>
      </x:c>
      <x:c r="I50" s="102" t="str">
        <x:v>DPW-PAK-QAS</x:v>
      </x:c>
    </x:row>
    <x:row r="51">
      <x:c r="A51" s="102" t="str">
        <x:v>EQ00050</x:v>
      </x:c>
      <x:c r="B51" s="102" t="str">
        <x:v>TERM0039</x:v>
      </x:c>
      <x:c r="C51" s="102" t="str">
        <x:v>Reach stacker</x:v>
      </x:c>
      <x:c r="D51" s="102" t="n">
        <x:v>7</x:v>
      </x:c>
      <x:c r="E51" s="102" t="str"/>
      <x:c r="F51" s="102" t="str"/>
      <x:c r="G51" s="102" t="str">
        <x:v>DP World</x:v>
      </x:c>
      <x:c r="H51" s="102" t="str">
        <x:v>https://www.dpworld.com/en/ports-terminals/pakistan/qasim</x:v>
      </x:c>
      <x:c r="I51" s="102" t="str">
        <x:v>DPW-PAK-QAS</x:v>
      </x:c>
    </x:row>
    <x:row r="52">
      <x:c r="A52" s="102" t="str">
        <x:v>EQ00051</x:v>
      </x:c>
      <x:c r="B52" s="102" t="str">
        <x:v>TERM0039</x:v>
      </x:c>
      <x:c r="C52" s="102" t="str">
        <x:v>Empty container handler</x:v>
      </x:c>
      <x:c r="D52" s="102" t="n">
        <x:v>3</x:v>
      </x:c>
      <x:c r="E52" s="102" t="str"/>
      <x:c r="F52" s="102" t="str"/>
      <x:c r="G52" s="102" t="str">
        <x:v>DP World</x:v>
      </x:c>
      <x:c r="H52" s="102" t="str">
        <x:v>https://www.dpworld.com/en/ports-terminals/pakistan/qasim</x:v>
      </x:c>
      <x:c r="I52" s="102" t="str">
        <x:v>DPW-PAK-QAS</x:v>
      </x:c>
    </x:row>
    <x:row r="53">
      <x:c r="A53" s="102" t="str">
        <x:v>EQ00052</x:v>
      </x:c>
      <x:c r="B53" s="102" t="str">
        <x:v>TERM0039</x:v>
      </x:c>
      <x:c r="C53" s="102" t="str">
        <x:v>Internal transfer vehicle</x:v>
      </x:c>
      <x:c r="D53" s="102" t="n">
        <x:v>82</x:v>
      </x:c>
      <x:c r="E53" s="102" t="str"/>
      <x:c r="F53" s="102" t="str"/>
      <x:c r="G53" s="102" t="str">
        <x:v>DP World</x:v>
      </x:c>
      <x:c r="H53" s="102" t="str">
        <x:v>https://www.dpworld.com/en/ports-terminals/pakistan/qasim</x:v>
      </x:c>
      <x:c r="I53" s="102" t="str">
        <x:v>DPW-PAK-QAS</x:v>
      </x:c>
    </x:row>
    <x:row r="54">
      <x:c r="A54" s="102" t="str">
        <x:v>EQ00053</x:v>
      </x:c>
      <x:c r="B54" s="102" t="str">
        <x:v>TERM0040</x:v>
      </x:c>
      <x:c r="C54" s="102" t="str">
        <x:v>Quay crane</x:v>
      </x:c>
      <x:c r="D54" s="102" t="n">
        <x:v>14</x:v>
      </x:c>
      <x:c r="E54" s="102" t="str">
        <x:v>Narrative on same public page references a larger fleet; flagged for refresh.</x:v>
      </x:c>
      <x:c r="F54" s="102" t="str"/>
      <x:c r="G54" s="102" t="str">
        <x:v>DP World</x:v>
      </x:c>
      <x:c r="H54" s="102" t="str">
        <x:v>https://www.dpworld.com/en/ports-terminals/saudi-arabia/jeddah</x:v>
      </x:c>
      <x:c r="I54" s="102" t="str">
        <x:v>DPW-SAU-JED</x:v>
      </x:c>
    </x:row>
    <x:row r="55">
      <x:c r="A55" s="102" t="str">
        <x:v>EQ00054</x:v>
      </x:c>
      <x:c r="B55" s="102" t="str">
        <x:v>TERM0040</x:v>
      </x:c>
      <x:c r="C55" s="102" t="str">
        <x:v>RTG</x:v>
      </x:c>
      <x:c r="D55" s="102" t="n">
        <x:v>61</x:v>
      </x:c>
      <x:c r="E55" s="102" t="str"/>
      <x:c r="F55" s="102" t="str"/>
      <x:c r="G55" s="102" t="str">
        <x:v>DP World</x:v>
      </x:c>
      <x:c r="H55" s="102" t="str">
        <x:v>https://www.dpworld.com/en/ports-terminals/saudi-arabia/jeddah</x:v>
      </x:c>
      <x:c r="I55" s="102" t="str">
        <x:v>DPW-SAU-JED</x:v>
      </x:c>
    </x:row>
    <x:row r="56">
      <x:c r="A56" s="102" t="str">
        <x:v>EQ00055</x:v>
      </x:c>
      <x:c r="B56" s="102" t="str">
        <x:v>TERM0040</x:v>
      </x:c>
      <x:c r="C56" s="102" t="str">
        <x:v>Internal transfer vehicle</x:v>
      </x:c>
      <x:c r="D56" s="102" t="n">
        <x:v>191</x:v>
      </x:c>
      <x:c r="E56" s="102" t="str"/>
      <x:c r="F56" s="102" t="str"/>
      <x:c r="G56" s="102" t="str">
        <x:v>DP World</x:v>
      </x:c>
      <x:c r="H56" s="102" t="str">
        <x:v>https://www.dpworld.com/en/ports-terminals/saudi-arabia/jeddah</x:v>
      </x:c>
      <x:c r="I56" s="102" t="str">
        <x:v>DPW-SAU-JED</x:v>
      </x:c>
    </x:row>
    <x:row r="57">
      <x:c r="A57" s="102" t="str">
        <x:v>EQ00056</x:v>
      </x:c>
      <x:c r="B57" s="102" t="str">
        <x:v>TERM0040</x:v>
      </x:c>
      <x:c r="C57" s="102" t="str">
        <x:v>Empty container handler</x:v>
      </x:c>
      <x:c r="D57" s="102" t="n">
        <x:v>9</x:v>
      </x:c>
      <x:c r="E57" s="102" t="str"/>
      <x:c r="F57" s="102" t="str"/>
      <x:c r="G57" s="102" t="str">
        <x:v>DP World</x:v>
      </x:c>
      <x:c r="H57" s="102" t="str">
        <x:v>https://www.dpworld.com/en/ports-terminals/saudi-arabia/jeddah</x:v>
      </x:c>
      <x:c r="I57" s="102" t="str">
        <x:v>DPW-SAU-JED</x:v>
      </x:c>
    </x:row>
    <x:row r="58">
      <x:c r="A58" s="102" t="str">
        <x:v>EQ00057</x:v>
      </x:c>
      <x:c r="B58" s="102" t="str">
        <x:v>TERM0040</x:v>
      </x:c>
      <x:c r="C58" s="102" t="str">
        <x:v>Reach stacker</x:v>
      </x:c>
      <x:c r="D58" s="102" t="n">
        <x:v>6</x:v>
      </x:c>
      <x:c r="E58" s="102" t="str"/>
      <x:c r="F58" s="102" t="str"/>
      <x:c r="G58" s="102" t="str">
        <x:v>DP World</x:v>
      </x:c>
      <x:c r="H58" s="102" t="str">
        <x:v>https://www.dpworld.com/en/ports-terminals/saudi-arabia/jeddah</x:v>
      </x:c>
      <x:c r="I58" s="102" t="str">
        <x:v>DPW-SAU-JED</x:v>
      </x:c>
    </x:row>
    <x:row r="59">
      <x:c r="A59" s="102" t="str">
        <x:v>EQ00058</x:v>
      </x:c>
      <x:c r="B59" s="102" t="str">
        <x:v>TERM0041</x:v>
      </x:c>
      <x:c r="C59" s="102" t="str">
        <x:v>STS quay crane</x:v>
      </x:c>
      <x:c r="D59" s="102" t="n">
        <x:v>6</x:v>
      </x:c>
      <x:c r="E59" s="102" t="str"/>
      <x:c r="F59" s="102" t="str"/>
      <x:c r="G59" s="102" t="str">
        <x:v>DP World</x:v>
      </x:c>
      <x:c r="H59" s="102" t="str">
        <x:v>https://dpw-prod-cd-1.dpworld.com/senegal/ports-and-terminals</x:v>
      </x:c>
      <x:c r="I59" s="102" t="str">
        <x:v>DPW-SEN-DKR</x:v>
      </x:c>
    </x:row>
    <x:row r="60">
      <x:c r="A60" s="102" t="str">
        <x:v>EQ00059</x:v>
      </x:c>
      <x:c r="B60" s="102" t="str">
        <x:v>TERM0041</x:v>
      </x:c>
      <x:c r="C60" s="102" t="str">
        <x:v>RTG</x:v>
      </x:c>
      <x:c r="D60" s="102" t="n">
        <x:v>20</x:v>
      </x:c>
      <x:c r="E60" s="102" t="str"/>
      <x:c r="F60" s="102" t="str"/>
      <x:c r="G60" s="102" t="str">
        <x:v>DP World</x:v>
      </x:c>
      <x:c r="H60" s="102" t="str">
        <x:v>https://dpw-prod-cd-1.dpworld.com/senegal/ports-and-terminals</x:v>
      </x:c>
      <x:c r="I60" s="102" t="str">
        <x:v>DPW-SEN-DKR</x:v>
      </x:c>
    </x:row>
    <x:row r="61">
      <x:c r="A61" s="102" t="str">
        <x:v>EQ00060</x:v>
      </x:c>
      <x:c r="B61" s="102" t="str">
        <x:v>TERM0042</x:v>
      </x:c>
      <x:c r="C61" s="102" t="str">
        <x:v>STS quay crane</x:v>
      </x:c>
      <x:c r="D61" s="102" t="n">
        <x:v>6</x:v>
      </x:c>
      <x:c r="E61" s="102" t="str">
        <x:v>Includes 2 relocated from Dakar in plan.</x:v>
      </x:c>
      <x:c r="F61" s="102" t="str"/>
      <x:c r="G61" s="102" t="str">
        <x:v>DP World</x:v>
      </x:c>
      <x:c r="H61" s="102" t="str">
        <x:v>https://dpw-prod-cd-1.dpworld.com/senegal/ports-and-terminals</x:v>
      </x:c>
      <x:c r="I61" s="102" t="str">
        <x:v>DPW-SEN-NDY</x:v>
      </x:c>
    </x:row>
    <x:row r="62">
      <x:c r="A62" s="102" t="str">
        <x:v>EQ00061</x:v>
      </x:c>
      <x:c r="B62" s="102" t="str">
        <x:v>TERM0042</x:v>
      </x:c>
      <x:c r="C62" s="102" t="str">
        <x:v>RTG</x:v>
      </x:c>
      <x:c r="D62" s="102" t="n">
        <x:v>20</x:v>
      </x:c>
      <x:c r="E62" s="102" t="str"/>
      <x:c r="F62" s="102" t="str"/>
      <x:c r="G62" s="102" t="str">
        <x:v>DP World</x:v>
      </x:c>
      <x:c r="H62" s="102" t="str">
        <x:v>https://dpw-prod-cd-1.dpworld.com/senegal/ports-and-terminals</x:v>
      </x:c>
      <x:c r="I62" s="102" t="str">
        <x:v>DPW-SEN-NDY</x:v>
      </x:c>
    </x:row>
    <x:row r="63">
      <x:c r="A63" s="102" t="str">
        <x:v>EQ00062</x:v>
      </x:c>
      <x:c r="B63" s="102" t="str">
        <x:v>TERM0043</x:v>
      </x:c>
      <x:c r="C63" s="102" t="str">
        <x:v>STS quay crane</x:v>
      </x:c>
      <x:c r="D63" s="102" t="n">
        <x:v>3</x:v>
      </x:c>
      <x:c r="E63" s="102" t="str"/>
      <x:c r="F63" s="102" t="str"/>
      <x:c r="G63" s="102" t="str">
        <x:v>DP World</x:v>
      </x:c>
      <x:c r="H63" s="102" t="str">
        <x:v>https://www.dpworld.com/en/ports-terminals/somaliland/berbera</x:v>
      </x:c>
      <x:c r="I63" s="102" t="str">
        <x:v>DPW-SML-BER</x:v>
      </x:c>
    </x:row>
    <x:row r="64">
      <x:c r="A64" s="102" t="str">
        <x:v>EQ00063</x:v>
      </x:c>
      <x:c r="B64" s="102" t="str">
        <x:v>TERM0043</x:v>
      </x:c>
      <x:c r="C64" s="102" t="str">
        <x:v>RTG</x:v>
      </x:c>
      <x:c r="D64" s="102" t="n">
        <x:v>8</x:v>
      </x:c>
      <x:c r="E64" s="102" t="str"/>
      <x:c r="F64" s="102" t="str"/>
      <x:c r="G64" s="102" t="str">
        <x:v>DP World</x:v>
      </x:c>
      <x:c r="H64" s="102" t="str">
        <x:v>https://www.dpworld.com/en/ports-terminals/somaliland/berbera</x:v>
      </x:c>
      <x:c r="I64" s="102" t="str">
        <x:v>DPW-SML-BER</x:v>
      </x:c>
    </x:row>
    <x:row r="65">
      <x:c r="A65" s="102" t="str">
        <x:v>EQ00064</x:v>
      </x:c>
      <x:c r="B65" s="102" t="str">
        <x:v>TERM0043</x:v>
      </x:c>
      <x:c r="C65" s="102" t="str">
        <x:v>Forklift</x:v>
      </x:c>
      <x:c r="D65" s="102" t="n">
        <x:v>8</x:v>
      </x:c>
      <x:c r="E65" s="102" t="str"/>
      <x:c r="F65" s="102" t="str"/>
      <x:c r="G65" s="102" t="str">
        <x:v>DP World</x:v>
      </x:c>
      <x:c r="H65" s="102" t="str">
        <x:v>https://www.dpworld.com/en/ports-terminals/somaliland/berbera</x:v>
      </x:c>
      <x:c r="I65" s="102" t="str">
        <x:v>DPW-SML-BER</x:v>
      </x:c>
    </x:row>
    <x:row r="66">
      <x:c r="A66" s="102" t="str">
        <x:v>EQ00065</x:v>
      </x:c>
      <x:c r="B66" s="102" t="str">
        <x:v>TERM0043</x:v>
      </x:c>
      <x:c r="C66" s="102" t="str">
        <x:v>Empty container handler</x:v>
      </x:c>
      <x:c r="D66" s="102" t="n">
        <x:v>6</x:v>
      </x:c>
      <x:c r="E66" s="102" t="str"/>
      <x:c r="F66" s="102" t="str"/>
      <x:c r="G66" s="102" t="str">
        <x:v>DP World</x:v>
      </x:c>
      <x:c r="H66" s="102" t="str">
        <x:v>https://www.dpworld.com/en/ports-terminals/somaliland/berbera</x:v>
      </x:c>
      <x:c r="I66" s="102" t="str">
        <x:v>DPW-SML-BER</x:v>
      </x:c>
    </x:row>
    <x:row r="67">
      <x:c r="A67" s="102" t="str">
        <x:v>EQ00066</x:v>
      </x:c>
      <x:c r="B67" s="102" t="str">
        <x:v>TERM0056</x:v>
      </x:c>
      <x:c r="C67" s="102" t="str">
        <x:v>STS quay crane</x:v>
      </x:c>
      <x:c r="D67" s="102" t="n">
        <x:v>10</x:v>
      </x:c>
      <x:c r="E67" s="102" t="str"/>
      <x:c r="F67" s="102" t="str"/>
      <x:c r="G67" s="102" t="str">
        <x:v>DP World</x:v>
      </x:c>
      <x:c r="H67" s="102" t="str">
        <x:v>https://www.dpworld.com/en/ports-terminals/dominican-republic/caucedo-port</x:v>
      </x:c>
      <x:c r="I67" s="102" t="str">
        <x:v>DPW-DOM-CAU</x:v>
      </x:c>
    </x:row>
    <x:row r="68">
      <x:c r="A68" s="102" t="str">
        <x:v>EQ00067</x:v>
      </x:c>
      <x:c r="B68" s="102" t="str">
        <x:v>TERM0056</x:v>
      </x:c>
      <x:c r="C68" s="102" t="str">
        <x:v>Mobile harbour crane</x:v>
      </x:c>
      <x:c r="D68" s="102" t="n">
        <x:v>3</x:v>
      </x:c>
      <x:c r="E68" s="102" t="str"/>
      <x:c r="F68" s="102" t="str"/>
      <x:c r="G68" s="102" t="str">
        <x:v>DP World</x:v>
      </x:c>
      <x:c r="H68" s="102" t="str">
        <x:v>https://www.dpworld.com/en/ports-terminals/dominican-republic/caucedo-port</x:v>
      </x:c>
      <x:c r="I68" s="102" t="str">
        <x:v>DPW-DOM-CAU</x:v>
      </x:c>
    </x:row>
    <x:row r="69">
      <x:c r="A69" s="102" t="str">
        <x:v>EQ00068</x:v>
      </x:c>
      <x:c r="B69" s="102" t="str">
        <x:v>TERM0056</x:v>
      </x:c>
      <x:c r="C69" s="102" t="str">
        <x:v>RTG</x:v>
      </x:c>
      <x:c r="D69" s="102" t="n">
        <x:v>32</x:v>
      </x:c>
      <x:c r="E69" s="102" t="str"/>
      <x:c r="F69" s="102" t="str"/>
      <x:c r="G69" s="102" t="str">
        <x:v>DP World</x:v>
      </x:c>
      <x:c r="H69" s="102" t="str">
        <x:v>https://www.dpworld.com/en/ports-terminals/dominican-republic/caucedo-port</x:v>
      </x:c>
      <x:c r="I69" s="102" t="str">
        <x:v>DPW-DOM-CAU</x:v>
      </x:c>
    </x:row>
    <x:row r="70">
      <x:c r="A70" s="102" t="str">
        <x:v>EQ00069</x:v>
      </x:c>
      <x:c r="B70" s="102" t="str">
        <x:v>TERM0056</x:v>
      </x:c>
      <x:c r="C70" s="102" t="str">
        <x:v>Terminal tractor</x:v>
      </x:c>
      <x:c r="D70" s="102" t="n">
        <x:v>90</x:v>
      </x:c>
      <x:c r="E70" s="102" t="str"/>
      <x:c r="F70" s="102" t="str"/>
      <x:c r="G70" s="102" t="str">
        <x:v>DP World</x:v>
      </x:c>
      <x:c r="H70" s="102" t="str">
        <x:v>https://www.dpworld.com/en/ports-terminals/dominican-republic/caucedo-port</x:v>
      </x:c>
      <x:c r="I70" s="102" t="str">
        <x:v>DPW-DOM-CAU</x:v>
      </x:c>
    </x:row>
    <x:row r="71">
      <x:c r="A71" s="102" t="str">
        <x:v>EQ00070</x:v>
      </x:c>
      <x:c r="B71" s="102" t="str">
        <x:v>TERM0057</x:v>
      </x:c>
      <x:c r="C71" s="102" t="str">
        <x:v>Super Post-Panamax STS</x:v>
      </x:c>
      <x:c r="D71" s="102" t="n">
        <x:v>2</x:v>
      </x:c>
      <x:c r="E71" s="102" t="str">
        <x:v>Two new cranes delivered in 2025 and operational by 2026.</x:v>
      </x:c>
      <x:c r="F71" s="102" t="str"/>
      <x:c r="G71" s="102" t="str">
        <x:v>DP World</x:v>
      </x:c>
      <x:c r="H71" s="102" t="str">
        <x:v>https://www.dpworld.com/en/news/dp-world-inaugurates-posorja-terminal-expansion-boosting-ecuadors-global-trade-capacity</x:v>
      </x:c>
      <x:c r="I71" s="102" t="str">
        <x:v>DPW-ECU-POS</x:v>
      </x:c>
    </x:row>
    <x:row r="72">
      <x:c r="A72" s="102" t="str">
        <x:v>EQ00071</x:v>
      </x:c>
      <x:c r="B72" s="102" t="str">
        <x:v>TERM0057</x:v>
      </x:c>
      <x:c r="C72" s="102" t="str">
        <x:v>RTG</x:v>
      </x:c>
      <x:c r="D72" s="102" t="n">
        <x:v>3</x:v>
      </x:c>
      <x:c r="E72" s="102" t="str">
        <x:v>Announced as part of expansion; not total fleet.</x:v>
      </x:c>
      <x:c r="F72" s="102" t="str"/>
      <x:c r="G72" s="102" t="str">
        <x:v>DP World</x:v>
      </x:c>
      <x:c r="H72" s="102" t="str">
        <x:v>https://www.dpworld.com/en/news/usa/posorja-named-latin-america-and-caribbean-most-efficient-port-by-world-bank</x:v>
      </x:c>
      <x:c r="I72" s="102" t="str">
        <x:v>DPW-ECU-POS</x:v>
      </x:c>
    </x:row>
    <x:row r="73">
      <x:c r="A73" s="102" t="str">
        <x:v>EQ00072</x:v>
      </x:c>
      <x:c r="B73" s="102" t="str">
        <x:v>TERM0058</x:v>
      </x:c>
      <x:c r="C73" s="102" t="str">
        <x:v>Quay gantry crane</x:v>
      </x:c>
      <x:c r="D73" s="102" t="n">
        <x:v>10</x:v>
      </x:c>
      <x:c r="E73" s="102" t="str">
        <x:v>3 identified as electric on current page.</x:v>
      </x:c>
      <x:c r="F73" s="102" t="str"/>
      <x:c r="G73" s="102" t="str">
        <x:v>DP World</x:v>
      </x:c>
      <x:c r="H73" s="102" t="str">
        <x:v>https://www.dpworld.com/en/ports-terminals/peru/callao</x:v>
      </x:c>
      <x:c r="I73" s="102" t="str">
        <x:v>DPW-PER-CAL</x:v>
      </x:c>
    </x:row>
    <x:row r="74">
      <x:c r="A74" s="102" t="str">
        <x:v>EQ00073</x:v>
      </x:c>
      <x:c r="B74" s="102" t="str">
        <x:v>TERM0058</x:v>
      </x:c>
      <x:c r="C74" s="102" t="str">
        <x:v>Yard crane</x:v>
      </x:c>
      <x:c r="D74" s="102" t="n">
        <x:v>7</x:v>
      </x:c>
      <x:c r="E74" s="102" t="str">
        <x:v>2 identified as electric on current page.</x:v>
      </x:c>
      <x:c r="F74" s="102" t="str"/>
      <x:c r="G74" s="102" t="str">
        <x:v>DP World</x:v>
      </x:c>
      <x:c r="H74" s="102" t="str">
        <x:v>https://www.dpworld.com/en/ports-terminals/peru/callao</x:v>
      </x:c>
      <x:c r="I74" s="102" t="str">
        <x:v>DPW-PER-CAL</x:v>
      </x:c>
    </x:row>
    <x:row r="75">
      <x:c r="A75" s="102" t="str">
        <x:v>EQ00074</x:v>
      </x:c>
      <x:c r="B75" s="102" t="str">
        <x:v>TERM0062</x:v>
      </x:c>
      <x:c r="C75" s="102" t="str">
        <x:v>RTG</x:v>
      </x:c>
      <x:c r="D75" s="102" t="n">
        <x:v>19</x:v>
      </x:c>
      <x:c r="E75" s="102" t="str"/>
      <x:c r="F75" s="102" t="str"/>
      <x:c r="G75" s="102" t="str">
        <x:v>DP World</x:v>
      </x:c>
      <x:c r="H75" s="102" t="str">
        <x:v>https://www.dpworld.com/en/ports-terminals/canada/vancouver</x:v>
      </x:c>
      <x:c r="I75" s="102" t="str">
        <x:v>DPW-CAN-VAN</x:v>
      </x:c>
    </x:row>
    <x:row r="76">
      <x:c r="A76" s="102" t="str">
        <x:v>EQ00075</x:v>
      </x:c>
      <x:c r="B76" s="102" t="str">
        <x:v>TERM0062</x:v>
      </x:c>
      <x:c r="C76" s="102" t="str">
        <x:v>Rail-mounted gantry (RMG)</x:v>
      </x:c>
      <x:c r="D76" s="102" t="n">
        <x:v>5</x:v>
      </x:c>
      <x:c r="E76" s="102" t="str"/>
      <x:c r="F76" s="102" t="str"/>
      <x:c r="G76" s="102" t="str">
        <x:v>DP World</x:v>
      </x:c>
      <x:c r="H76" s="102" t="str">
        <x:v>https://www.dpworld.com/en/ports-terminals/canada/vancouver</x:v>
      </x:c>
      <x:c r="I76" s="102" t="str">
        <x:v>DPW-CAN-VAN</x:v>
      </x:c>
    </x:row>
    <x:row r="77">
      <x:c r="A77" s="102" t="str">
        <x:v>EQ00076</x:v>
      </x:c>
      <x:c r="B77" s="102" t="str">
        <x:v>TERM0064</x:v>
      </x:c>
      <x:c r="C77" s="102" t="str">
        <x:v>Gantry crane</x:v>
      </x:c>
      <x:c r="D77" s="102" t="n">
        <x:v>1</x:v>
      </x:c>
      <x:c r="E77" s="102" t="str"/>
      <x:c r="F77" s="102" t="str"/>
      <x:c r="G77" s="102" t="str">
        <x:v>DP World</x:v>
      </x:c>
      <x:c r="H77" s="102" t="str">
        <x:v>https://www.dpworld.com/en/ports-terminals/canada/nanaimo</x:v>
      </x:c>
      <x:c r="I77" s="102" t="str">
        <x:v>DPW-CAN-NAN</x:v>
      </x:c>
    </x:row>
    <x:row r="78">
      <x:c r="A78" s="102" t="str">
        <x:v>EQ00077</x:v>
      </x:c>
      <x:c r="B78" s="102" t="str">
        <x:v>TERM0064</x:v>
      </x:c>
      <x:c r="C78" s="102" t="str">
        <x:v>Mobile harbour crane</x:v>
      </x:c>
      <x:c r="D78" s="102" t="n">
        <x:v>1</x:v>
      </x:c>
      <x:c r="E78" s="102" t="str"/>
      <x:c r="F78" s="102" t="str"/>
      <x:c r="G78" s="102" t="str">
        <x:v>DP World</x:v>
      </x:c>
      <x:c r="H78" s="102" t="str">
        <x:v>https://www.dpworld.com/en/ports-terminals/canada/nanaimo</x:v>
      </x:c>
      <x:c r="I78" s="102" t="str">
        <x:v>DPW-CAN-NAN</x:v>
      </x:c>
    </x:row>
    <x:row r="79">
      <x:c r="A79" s="102" t="str">
        <x:v>EQ00078</x:v>
      </x:c>
      <x:c r="B79" s="102" t="str">
        <x:v>TERM0064</x:v>
      </x:c>
      <x:c r="C79" s="102" t="str">
        <x:v>Quay crane</x:v>
      </x:c>
      <x:c r="D79" s="102" t="n">
        <x:v>2</x:v>
      </x:c>
      <x:c r="E79" s="102" t="str">
        <x:v>Planned replacement/addition under 2027 expansion.</x:v>
      </x:c>
      <x:c r="F79" s="102" t="str"/>
      <x:c r="G79" s="102" t="str">
        <x:v>DP World</x:v>
      </x:c>
      <x:c r="H79" s="102" t="str">
        <x:v>https://www.dpworld.com/en/news/canada/03302026_canada_20th_anniversary</x:v>
      </x:c>
      <x:c r="I79" s="102" t="str">
        <x:v>DPW-CAN-NAN</x:v>
      </x:c>
    </x:row>
    <x:row r="80">
      <x:c r="A80" s="102" t="str">
        <x:v>EQ00079</x:v>
      </x:c>
      <x:c r="B80" s="102" t="str">
        <x:v>TERM0065</x:v>
      </x:c>
      <x:c r="C80" s="102" t="str">
        <x:v>Super-post-Panamax quay crane</x:v>
      </x:c>
      <x:c r="D80" s="102" t="n">
        <x:v>8</x:v>
      </x:c>
      <x:c r="E80" s="102" t="str"/>
      <x:c r="F80" s="102" t="str"/>
      <x:c r="G80" s="102" t="str">
        <x:v>DP World</x:v>
      </x:c>
      <x:c r="H80" s="102" t="str">
        <x:v>https://www.dpworld.com/en/ports-terminals/canada/prince-rupert</x:v>
      </x:c>
      <x:c r="I80" s="102" t="str">
        <x:v>DPW-CAN-PRR</x:v>
      </x:c>
    </x:row>
    <x:row r="81">
      <x:c r="A81" s="102" t="str">
        <x:v>EQ00080</x:v>
      </x:c>
      <x:c r="B81" s="102" t="str">
        <x:v>TERM0065</x:v>
      </x:c>
      <x:c r="C81" s="102" t="str">
        <x:v>RTG</x:v>
      </x:c>
      <x:c r="D81" s="102" t="n">
        <x:v>6</x:v>
      </x:c>
      <x:c r="E81" s="102" t="str"/>
      <x:c r="F81" s="102" t="str"/>
      <x:c r="G81" s="102" t="str">
        <x:v>DP World</x:v>
      </x:c>
      <x:c r="H81" s="102" t="str">
        <x:v>https://www.dpworld.com/en/ports-terminals/canada/prince-rupert</x:v>
      </x:c>
      <x:c r="I81" s="102" t="str">
        <x:v>DPW-CAN-PRR</x:v>
      </x:c>
    </x:row>
    <x:row r="82">
      <x:c r="A82" s="102" t="str">
        <x:v>EQ00081</x:v>
      </x:c>
      <x:c r="B82" s="102" t="str">
        <x:v>TERM0063</x:v>
      </x:c>
      <x:c r="C82" s="102" t="str">
        <x:v>Quay crane</x:v>
      </x:c>
      <x:c r="D82" s="102" t="n">
        <x:v>3</x:v>
      </x:c>
      <x:c r="E82" s="102" t="str"/>
      <x:c r="F82" s="102" t="str"/>
      <x:c r="G82" s="102" t="str">
        <x:v>DP World</x:v>
      </x:c>
      <x:c r="H82" s="102" t="str">
        <x:v>https://www.dpworld.com/en/ports-terminals/canada/fraser-surrey-docks</x:v>
      </x:c>
      <x:c r="I82" s="102" t="str">
        <x:v>DPW-CAN-FSD</x:v>
      </x:c>
    </x:row>
    <x:row r="83">
      <x:c r="A83" s="102" t="str">
        <x:v>EQ00082</x:v>
      </x:c>
      <x:c r="B83" s="102" t="str">
        <x:v>TERM0082</x:v>
      </x:c>
      <x:c r="C83" s="102" t="str">
        <x:v>STS crane</x:v>
      </x:c>
      <x:c r="D83" s="102" t="n">
        <x:v>8</x:v>
      </x:c>
      <x:c r="E83" s="102" t="str">
        <x:v>Next-generation STS cranes</x:v>
      </x:c>
      <x:c r="F83" s="102" t="str">
        <x:v>Operating</x:v>
      </x:c>
      <x:c r="G83" s="102" t="str">
        <x:v>AD Ports / Noatum</x:v>
      </x:c>
      <x:c r="H83" s="102" t="str">
        <x:v>https://www.adportsgroup.com/en/news-and-media/2025/03/14/the-cma-cgm-iron-the-first-dual-fuel-methanol-vessel-to-visit-abu-dhabi-at-khalifa-port</x:v>
      </x:c>
      <x:c r="I83" s="102" t="str">
        <x:v>ADP-UAE-CMA</x:v>
      </x:c>
    </x:row>
    <x:row r="84">
      <x:c r="A84" s="102" t="str">
        <x:v>EQ00083</x:v>
      </x:c>
      <x:c r="B84" s="102" t="str">
        <x:v>TERM0082</x:v>
      </x:c>
      <x:c r="C84" s="102" t="str">
        <x:v>RTG</x:v>
      </x:c>
      <x:c r="D84" s="102" t="n">
        <x:v>20</x:v>
      </x:c>
      <x:c r="E84" s="102" t="str">
        <x:v>Electric RTGs</x:v>
      </x:c>
      <x:c r="F84" s="102" t="str">
        <x:v>Operating</x:v>
      </x:c>
      <x:c r="G84" s="102" t="str">
        <x:v>AD Ports / Noatum</x:v>
      </x:c>
      <x:c r="H84" s="102" t="str">
        <x:v>https://www.adportsgroup.com/en/news-and-media/2025/03/14/the-cma-cgm-iron-the-first-dual-fuel-methanol-vessel-to-visit-abu-dhabi-at-khalifa-port</x:v>
      </x:c>
      <x:c r="I84" s="102" t="str">
        <x:v>ADP-UAE-CMA</x:v>
      </x:c>
    </x:row>
    <x:row r="85">
      <x:c r="A85" s="102" t="str">
        <x:v>EQ00084</x:v>
      </x:c>
      <x:c r="B85" s="102" t="str">
        <x:v>TERM0092</x:v>
      </x:c>
      <x:c r="C85" s="102" t="str">
        <x:v>STS crane</x:v>
      </x:c>
      <x:c r="D85" s="102" t="n">
        <x:v>3</x:v>
      </x:c>
      <x:c r="E85" s="102" t="str">
        <x:v>Super Post-Panamax ZPMC</x:v>
      </x:c>
      <x:c r="F85" s="102" t="str">
        <x:v>Delivered 2026</x:v>
      </x:c>
      <x:c r="G85" s="102" t="str">
        <x:v>AD Ports / Noatum</x:v>
      </x:c>
      <x:c r="H85" s="102" t="str">
        <x:v>https://wpvip.adportsgroup.com/adportsgroup/news-and-media/2026/04/06/noatum-ports-safaga-terminal-egypt/</x:v>
      </x:c>
      <x:c r="I85" s="102" t="str">
        <x:v>ADP-EGY-SAFAGA</x:v>
      </x:c>
    </x:row>
    <x:row r="86">
      <x:c r="A86" s="102" t="str">
        <x:v>EQ00085</x:v>
      </x:c>
      <x:c r="B86" s="102" t="str">
        <x:v>TERM0092</x:v>
      </x:c>
      <x:c r="C86" s="102" t="str">
        <x:v>RTG</x:v>
      </x:c>
      <x:c r="D86" s="102" t="n">
        <x:v>6</x:v>
      </x:c>
      <x:c r="E86" s="102" t="str">
        <x:v>ZPMC RTGs</x:v>
      </x:c>
      <x:c r="F86" s="102" t="str">
        <x:v>Delivered 2026</x:v>
      </x:c>
      <x:c r="G86" s="102" t="str">
        <x:v>AD Ports / Noatum</x:v>
      </x:c>
      <x:c r="H86" s="102" t="str">
        <x:v>https://wpvip.adportsgroup.com/adportsgroup/news-and-media/2026/04/06/noatum-ports-safaga-terminal-egypt/</x:v>
      </x:c>
      <x:c r="I86" s="102" t="str">
        <x:v>ADP-EGY-SAFAGA</x:v>
      </x:c>
    </x:row>
    <x:row r="87">
      <x:c r="A87" s="102" t="str">
        <x:v>EQ00086</x:v>
      </x:c>
      <x:c r="B87" s="102" t="str">
        <x:v>TERM0097</x:v>
      </x:c>
      <x:c r="C87" s="102" t="str">
        <x:v>STS crane</x:v>
      </x:c>
      <x:c r="D87" s="102" t="n">
        <x:v>3</x:v>
      </x:c>
      <x:c r="E87" s="102" t="str">
        <x:v>ZPMC</x:v>
      </x:c>
      <x:c r="F87" s="102" t="str">
        <x:v>Ordered / development</x:v>
      </x:c>
      <x:c r="G87" s="102" t="str">
        <x:v>AD Ports / Noatum</x:v>
      </x:c>
      <x:c r="H87" s="102" t="str">
        <x:v>https://www.adportsgroup.com/en/news-and-media/2026/05/18/ad-ports-group-awards-three-contracts-for-noatum-ports-pointe-noire-terminal</x:v>
      </x:c>
      <x:c r="I87" s="102" t="str">
        <x:v>ADP-COG-POINTE</x:v>
      </x:c>
    </x:row>
    <x:row r="88">
      <x:c r="A88" s="102" t="str">
        <x:v>EQ00087</x:v>
      </x:c>
      <x:c r="B88" s="102" t="str">
        <x:v>TERM0097</x:v>
      </x:c>
      <x:c r="C88" s="102" t="str">
        <x:v>RTG</x:v>
      </x:c>
      <x:c r="D88" s="102" t="n">
        <x:v>9</x:v>
      </x:c>
      <x:c r="E88" s="102" t="str">
        <x:v>ZPMC</x:v>
      </x:c>
      <x:c r="F88" s="102" t="str">
        <x:v>Ordered / development</x:v>
      </x:c>
      <x:c r="G88" s="102" t="str">
        <x:v>AD Ports / Noatum</x:v>
      </x:c>
      <x:c r="H88" s="102" t="str">
        <x:v>https://www.adportsgroup.com/en/news-and-media/2026/05/18/ad-ports-group-awards-three-contracts-for-noatum-ports-pointe-noire-terminal</x:v>
      </x:c>
      <x:c r="I88" s="102" t="str">
        <x:v>ADP-COG-POINTE</x:v>
      </x:c>
    </x:row>
    <x:row r="89">
      <x:c r="A89" s="102" t="str">
        <x:v>EQ00088</x:v>
      </x:c>
      <x:c r="B89" s="102" t="str">
        <x:v>TERM0096</x:v>
      </x:c>
      <x:c r="C89" s="102" t="str">
        <x:v>STS crane</x:v>
      </x:c>
      <x:c r="D89" s="102" t="n">
        <x:v>3</x:v>
      </x:c>
      <x:c r="E89" s="102" t="str">
        <x:v>Super Post-Panamax</x:v>
      </x:c>
      <x:c r="F89" s="102" t="str">
        <x:v>Planned for upgraded terminal</x:v>
      </x:c>
      <x:c r="G89" s="102" t="str">
        <x:v>AD Ports / Noatum</x:v>
      </x:c>
      <x:c r="H89" s="102" t="str">
        <x:v>https://www.adportsgroup.com/en/news-and-media/2025/09/19/ad-ports-group-breaks-ground-on-noatum-ports-luanda-terminal</x:v>
      </x:c>
      <x:c r="I89" s="102" t="str">
        <x:v>ADP-AGO-LUANDA</x:v>
      </x:c>
    </x:row>
    <x:row r="90">
      <x:c r="A90" s="102" t="str">
        <x:v>EQ00089</x:v>
      </x:c>
      <x:c r="B90" s="102" t="str">
        <x:v>TERM0096</x:v>
      </x:c>
      <x:c r="C90" s="102" t="str">
        <x:v>RTG</x:v>
      </x:c>
      <x:c r="D90" s="102" t="n">
        <x:v>8</x:v>
      </x:c>
      <x:c r="E90" s="102" t="str">
        <x:v>Hybrid RTG</x:v>
      </x:c>
      <x:c r="F90" s="102" t="str">
        <x:v>Planned for upgraded terminal</x:v>
      </x:c>
      <x:c r="G90" s="102" t="str">
        <x:v>AD Ports / Noatum</x:v>
      </x:c>
      <x:c r="H90" s="102" t="str">
        <x:v>https://www.adportsgroup.com/en/news-and-media/2025/09/19/ad-ports-group-breaks-ground-on-noatum-ports-luanda-terminal</x:v>
      </x:c>
      <x:c r="I90" s="102" t="str">
        <x:v>ADP-AGO-LUANDA</x:v>
      </x:c>
    </x:row>
    <x:row r="91">
      <x:c r="A91" s="102" t="str">
        <x:v>EQ00090</x:v>
      </x:c>
      <x:c r="B91" s="102" t="str">
        <x:v>TERM0099</x:v>
      </x:c>
      <x:c r="C91" s="102" t="str">
        <x:v>Reach stacker</x:v>
      </x:c>
      <x:c r="D91" s="102" t="n">
        <x:v>3</x:v>
      </x:c>
      <x:c r="E91" s="102" t="str">
        <x:v>New units</x:v>
      </x:c>
      <x:c r="F91" s="102" t="str">
        <x:v>Operating phase 1</x:v>
      </x:c>
      <x:c r="G91" s="102" t="str">
        <x:v>AD Ports / Noatum</x:v>
      </x:c>
      <x:c r="H91" s="102" t="str">
        <x:v>https://www.adportsgroup.com/en/news-and-media/2025/06/03/ad-ports-group-inaugurates-tbilisi-intermodal-hub-in-georgia</x:v>
      </x:c>
      <x:c r="I91" s="102" t="str">
        <x:v>ADP-GEO-TBILISI</x:v>
      </x:c>
    </x:row>
    <x:row r="92">
      <x:c r="A92" s="102" t="str">
        <x:v>EQ00091</x:v>
      </x:c>
      <x:c r="B92" s="102" t="str">
        <x:v>TERM0099</x:v>
      </x:c>
      <x:c r="C92" s="102" t="str">
        <x:v>Locomotive</x:v>
      </x:c>
      <x:c r="D92" s="102" t="n">
        <x:v>2</x:v>
      </x:c>
      <x:c r="E92" s="102" t="str">
        <x:v>Shunting locomotives</x:v>
      </x:c>
      <x:c r="F92" s="102" t="str">
        <x:v>Operating phase 1</x:v>
      </x:c>
      <x:c r="G92" s="102" t="str">
        <x:v>AD Ports / Noatum</x:v>
      </x:c>
      <x:c r="H92" s="102" t="str">
        <x:v>https://www.adportsgroup.com/en/news-and-media/2025/06/03/ad-ports-group-inaugurates-tbilisi-intermodal-hub-in-georgia</x:v>
      </x:c>
      <x:c r="I92" s="102" t="str">
        <x:v>ADP-GEO-TBILISI</x:v>
      </x:c>
    </x:row>
    <x:row r="93">
      <x:c r="A93" s="102" t="str">
        <x:v>EQ00092</x:v>
      </x:c>
      <x:c r="B93" s="102" t="str">
        <x:v>TERM0104</x:v>
      </x:c>
      <x:c r="C93" s="102" t="str">
        <x:v>STS crane</x:v>
      </x:c>
      <x:c r="D93" s="102" t="n">
        <x:v>5</x:v>
      </x:c>
      <x:c r="E93" s="102" t="str"/>
      <x:c r="F93" s="102" t="str">
        <x:v>Operating</x:v>
      </x:c>
      <x:c r="G93" s="102" t="str">
        <x:v>AD Ports / Noatum</x:v>
      </x:c>
      <x:c r="H93" s="102" t="str">
        <x:v>https://www.noatum.com/en/terminals-port-operations/noatum-ports-castellon-terminal/</x:v>
      </x:c>
      <x:c r="I93" s="102" t="str">
        <x:v>ADP-ESP-CAST</x:v>
      </x:c>
    </x:row>
    <x:row r="94">
      <x:c r="A94" s="102" t="str">
        <x:v>EQ00093</x:v>
      </x:c>
      <x:c r="B94" s="102" t="str">
        <x:v>TERM0104</x:v>
      </x:c>
      <x:c r="C94" s="102" t="str">
        <x:v>Reach stacker</x:v>
      </x:c>
      <x:c r="D94" s="102" t="n">
        <x:v>11</x:v>
      </x:c>
      <x:c r="E94" s="102" t="str"/>
      <x:c r="F94" s="102" t="str">
        <x:v>Operating</x:v>
      </x:c>
      <x:c r="G94" s="102" t="str">
        <x:v>AD Ports / Noatum</x:v>
      </x:c>
      <x:c r="H94" s="102" t="str">
        <x:v>https://www.noatum.com/en/terminals-port-operations/noatum-ports-castellon-terminal/</x:v>
      </x:c>
      <x:c r="I94" s="102" t="str">
        <x:v>ADP-ESP-CAST</x:v>
      </x:c>
    </x:row>
    <x:row r="95">
      <x:c r="A95" s="102" t="str">
        <x:v>EQ00094</x:v>
      </x:c>
      <x:c r="B95" s="102" t="str">
        <x:v>TERM0104</x:v>
      </x:c>
      <x:c r="C95" s="102" t="str">
        <x:v>Mobile crane</x:v>
      </x:c>
      <x:c r="D95" s="102" t="n">
        <x:v>4</x:v>
      </x:c>
      <x:c r="E95" s="102" t="str"/>
      <x:c r="F95" s="102" t="str">
        <x:v>Operating</x:v>
      </x:c>
      <x:c r="G95" s="102" t="str">
        <x:v>AD Ports / Noatum</x:v>
      </x:c>
      <x:c r="H95" s="102" t="str">
        <x:v>https://www.noatum.com/en/terminals-port-operations/noatum-ports-castellon-terminal/</x:v>
      </x:c>
      <x:c r="I95" s="102" t="str">
        <x:v>ADP-ESP-CAST</x:v>
      </x:c>
    </x:row>
    <x:row r="96">
      <x:c r="A96" s="102" t="str">
        <x:v>EQ00095</x:v>
      </x:c>
      <x:c r="B96" s="102" t="str">
        <x:v>TERM0107</x:v>
      </x:c>
      <x:c r="C96" s="102" t="str">
        <x:v>Super Post-Panamax portainer</x:v>
      </x:c>
      <x:c r="D96" s="102" t="n">
        <x:v>3</x:v>
      </x:c>
      <x:c r="E96" s="102" t="str"/>
      <x:c r="F96" s="102" t="str">
        <x:v>Operating</x:v>
      </x:c>
      <x:c r="G96" s="102" t="str">
        <x:v>AD Ports / Noatum</x:v>
      </x:c>
      <x:c r="H96" s="102" t="str">
        <x:v>https://www.noatum.com/en/terminals-port-operations/noatum-ports-malaga-terminal/</x:v>
      </x:c>
      <x:c r="I96" s="102" t="str">
        <x:v>ADP-ESP-MAL</x:v>
      </x:c>
    </x:row>
    <x:row r="97">
      <x:c r="A97" s="102" t="str">
        <x:v>EQ00096</x:v>
      </x:c>
      <x:c r="B97" s="102" t="str">
        <x:v>TERM0107</x:v>
      </x:c>
      <x:c r="C97" s="102" t="str">
        <x:v>Panamax portainer</x:v>
      </x:c>
      <x:c r="D97" s="102" t="n">
        <x:v>2</x:v>
      </x:c>
      <x:c r="E97" s="102" t="str">
        <x:v>Mixed</x:v>
      </x:c>
      <x:c r="F97" s="102" t="str">
        <x:v>Operating</x:v>
      </x:c>
      <x:c r="G97" s="102" t="str">
        <x:v>AD Ports / Noatum</x:v>
      </x:c>
      <x:c r="H97" s="102" t="str">
        <x:v>https://www.noatum.com/en/terminals-port-operations/noatum-ports-malaga-terminal/</x:v>
      </x:c>
      <x:c r="I97" s="102" t="str">
        <x:v>ADP-ESP-MAL</x:v>
      </x:c>
    </x:row>
    <x:row r="98">
      <x:c r="A98" s="102" t="str">
        <x:v>EQ00097</x:v>
      </x:c>
      <x:c r="B98" s="102" t="str">
        <x:v>TERM0107</x:v>
      </x:c>
      <x:c r="C98" s="102" t="str">
        <x:v>RTG</x:v>
      </x:c>
      <x:c r="D98" s="102" t="n">
        <x:v>5</x:v>
      </x:c>
      <x:c r="E98" s="102" t="str"/>
      <x:c r="F98" s="102" t="str">
        <x:v>Operating</x:v>
      </x:c>
      <x:c r="G98" s="102" t="str">
        <x:v>AD Ports / Noatum</x:v>
      </x:c>
      <x:c r="H98" s="102" t="str">
        <x:v>https://www.noatum.com/en/terminals-port-operations/noatum-ports-malaga-terminal/</x:v>
      </x:c>
      <x:c r="I98" s="102" t="str">
        <x:v>ADP-ESP-MAL</x:v>
      </x:c>
    </x:row>
    <x:row r="99">
      <x:c r="A99" s="102" t="str">
        <x:v>EQ00098</x:v>
      </x:c>
      <x:c r="B99" s="102" t="str">
        <x:v>TERM0107</x:v>
      </x:c>
      <x:c r="C99" s="102" t="str">
        <x:v>Reach stacker</x:v>
      </x:c>
      <x:c r="D99" s="102" t="n">
        <x:v>4</x:v>
      </x:c>
      <x:c r="E99" s="102" t="str"/>
      <x:c r="F99" s="102" t="str">
        <x:v>Operating</x:v>
      </x:c>
      <x:c r="G99" s="102" t="str">
        <x:v>AD Ports / Noatum</x:v>
      </x:c>
      <x:c r="H99" s="102" t="str">
        <x:v>https://www.noatum.com/en/terminals-port-operations/noatum-ports-malaga-terminal/</x:v>
      </x:c>
      <x:c r="I99" s="102" t="str">
        <x:v>ADP-ESP-MAL</x:v>
      </x:c>
    </x:row>
    <x:row r="100">
      <x:c r="A100" s="102" t="str">
        <x:v>EQ00099</x:v>
      </x:c>
      <x:c r="B100" s="102" t="str">
        <x:v>TERM0105</x:v>
      </x:c>
      <x:c r="C100" s="102" t="str">
        <x:v>Mobile crane</x:v>
      </x:c>
      <x:c r="D100" s="102" t="n">
        <x:v>6</x:v>
      </x:c>
      <x:c r="E100" s="102" t="str"/>
      <x:c r="F100" s="102" t="str">
        <x:v>Operating</x:v>
      </x:c>
      <x:c r="G100" s="102" t="str">
        <x:v>AD Ports / Noatum</x:v>
      </x:c>
      <x:c r="H100" s="102" t="str">
        <x:v>https://www.noatum.com/en/terminals-port-operations/noatum-ports-sagunto-terminal/</x:v>
      </x:c>
      <x:c r="I100" s="102" t="str">
        <x:v>ADP-ESP-SAG</x:v>
      </x:c>
    </x:row>
    <x:row r="101">
      <x:c r="A101" s="102" t="str">
        <x:v>EQ00100</x:v>
      </x:c>
      <x:c r="B101" s="102" t="str">
        <x:v>TERM0105</x:v>
      </x:c>
      <x:c r="C101" s="102" t="str">
        <x:v>Forklift</x:v>
      </x:c>
      <x:c r="D101" s="102" t="n">
        <x:v>45</x:v>
      </x:c>
      <x:c r="E101" s="102" t="str"/>
      <x:c r="F101" s="102" t="str">
        <x:v>Operating</x:v>
      </x:c>
      <x:c r="G101" s="102" t="str">
        <x:v>AD Ports / Noatum</x:v>
      </x:c>
      <x:c r="H101" s="102" t="str">
        <x:v>https://www.noatum.com/en/terminals-port-operations/noatum-ports-sagunto-terminal/</x:v>
      </x:c>
      <x:c r="I101" s="102" t="str">
        <x:v>ADP-ESP-SAG</x:v>
      </x:c>
    </x:row>
    <x:row r="102">
      <x:c r="A102" s="102" t="str">
        <x:v>EQ00101</x:v>
      </x:c>
      <x:c r="B102" s="102" t="str">
        <x:v>TERM0105</x:v>
      </x:c>
      <x:c r="C102" s="102" t="str">
        <x:v>Reach stacker</x:v>
      </x:c>
      <x:c r="D102" s="102" t="n">
        <x:v>6</x:v>
      </x:c>
      <x:c r="E102" s="102" t="str"/>
      <x:c r="F102" s="102" t="str">
        <x:v>Operating</x:v>
      </x:c>
      <x:c r="G102" s="102" t="str">
        <x:v>AD Ports / Noatum</x:v>
      </x:c>
      <x:c r="H102" s="102" t="str">
        <x:v>https://www.noatum.com/en/terminals-port-operations/noatum-ports-sagunto-terminal/</x:v>
      </x:c>
      <x:c r="I102" s="102" t="str">
        <x:v>ADP-ESP-SAG</x:v>
      </x:c>
    </x:row>
    <x:row r="103">
      <x:c r="A103" s="102" t="str">
        <x:v>EQ00102</x:v>
      </x:c>
      <x:c r="B103" s="102" t="str">
        <x:v>TERM0103</x:v>
      </x:c>
      <x:c r="C103" s="102" t="str">
        <x:v>Mobile crane</x:v>
      </x:c>
      <x:c r="D103" s="102" t="n">
        <x:v>3</x:v>
      </x:c>
      <x:c r="E103" s="102" t="str"/>
      <x:c r="F103" s="102" t="str">
        <x:v>Operating</x:v>
      </x:c>
      <x:c r="G103" s="102" t="str">
        <x:v>AD Ports / Noatum</x:v>
      </x:c>
      <x:c r="H103" s="102" t="str">
        <x:v>https://www.noatum.com/en/terminals-port-operations/noatum-ports-tarragona-terminal/</x:v>
      </x:c>
      <x:c r="I103" s="102" t="str">
        <x:v>ADP-ESP-TARR</x:v>
      </x:c>
    </x:row>
    <x:row r="104">
      <x:c r="A104" s="102" t="str">
        <x:v>EQ00103</x:v>
      </x:c>
      <x:c r="B104" s="102" t="str">
        <x:v>TERM0103</x:v>
      </x:c>
      <x:c r="C104" s="102" t="str">
        <x:v>RTG</x:v>
      </x:c>
      <x:c r="D104" s="102" t="n">
        <x:v>1</x:v>
      </x:c>
      <x:c r="E104" s="102" t="str"/>
      <x:c r="F104" s="102" t="str">
        <x:v>Operating</x:v>
      </x:c>
      <x:c r="G104" s="102" t="str">
        <x:v>AD Ports / Noatum</x:v>
      </x:c>
      <x:c r="H104" s="102" t="str">
        <x:v>https://www.noatum.com/en/terminals-port-operations/noatum-ports-tarragona-terminal/</x:v>
      </x:c>
      <x:c r="I104" s="102" t="str">
        <x:v>ADP-ESP-TARR</x:v>
      </x:c>
    </x:row>
    <x:row r="105">
      <x:c r="A105" s="102" t="str">
        <x:v>EQ00104</x:v>
      </x:c>
      <x:c r="B105" s="102" t="str">
        <x:v>TERM0103</x:v>
      </x:c>
      <x:c r="C105" s="102" t="str">
        <x:v>Forklift</x:v>
      </x:c>
      <x:c r="D105" s="102" t="n">
        <x:v>6</x:v>
      </x:c>
      <x:c r="E105" s="102" t="str"/>
      <x:c r="F105" s="102" t="str">
        <x:v>Operating</x:v>
      </x:c>
      <x:c r="G105" s="102" t="str">
        <x:v>AD Ports / Noatum</x:v>
      </x:c>
      <x:c r="H105" s="102" t="str">
        <x:v>https://www.noatum.com/en/terminals-port-operations/noatum-ports-tarragona-terminal/</x:v>
      </x:c>
      <x:c r="I105" s="102" t="str">
        <x:v>ADP-ESP-TARR</x:v>
      </x:c>
    </x:row>
    <x:row r="106">
      <x:c r="A106" s="102" t="str">
        <x:v>EQ00105</x:v>
      </x:c>
      <x:c r="B106" s="102" t="str">
        <x:v>TERM0115</x:v>
      </x:c>
      <x:c r="C106" s="102" t="str">
        <x:v>STS / quay crane</x:v>
      </x:c>
      <x:c r="D106" s="102" t="n">
        <x:v>16</x:v>
      </x:c>
      <x:c r="E106" s="102" t="str">
        <x:v>8 capable of serving very large container vessels</x:v>
      </x:c>
      <x:c r="F106" s="102" t="str">
        <x:v>Operating</x:v>
      </x:c>
      <x:c r="G106" s="102" t="str">
        <x:v>CMA Terminals / Terminal Link</x:v>
      </x:c>
      <x:c r="H106" s="102" t="str">
        <x:v>https://www.cma-cgm.com/news/4028/cma-cgm-completes-the-acquisition-of-fenix-marine-services-one-of-the-largest-container-terminals-in-the-port-of-los-angeles</x:v>
      </x:c>
      <x:c r="I106" s="102" t="str">
        <x:v>CMA-US-FENIX</x:v>
      </x:c>
    </x:row>
    <x:row r="107">
      <x:c r="A107" s="102" t="str">
        <x:v>EQ00106</x:v>
      </x:c>
      <x:c r="B107" s="102" t="str">
        <x:v>TERM0082</x:v>
      </x:c>
      <x:c r="C107" s="102" t="str">
        <x:v>STS crane</x:v>
      </x:c>
      <x:c r="D107" s="102" t="n">
        <x:v>8</x:v>
      </x:c>
      <x:c r="E107" s="102" t="str">
        <x:v>Next-generation STS</x:v>
      </x:c>
      <x:c r="F107" s="102" t="str">
        <x:v>Operating</x:v>
      </x:c>
      <x:c r="G107" s="102" t="str">
        <x:v>CMA Terminals / Terminal Link</x:v>
      </x:c>
      <x:c r="H107" s="102" t="str">
        <x:v>https://www.adportsgroup.com/en/news-and-media/2025/03/14/the-cma-cgm-iron-the-first-dual-fuel-methanol-vessel-to-visit-abu-dhabi-at-khalifa-port</x:v>
      </x:c>
      <x:c r="I107" s="102" t="str">
        <x:v>CMA-AE-KHAL</x:v>
      </x:c>
    </x:row>
    <x:row r="108">
      <x:c r="A108" s="102" t="str">
        <x:v>EQ00107</x:v>
      </x:c>
      <x:c r="B108" s="102" t="str">
        <x:v>TERM0082</x:v>
      </x:c>
      <x:c r="C108" s="102" t="str">
        <x:v>RTG</x:v>
      </x:c>
      <x:c r="D108" s="102" t="n">
        <x:v>20</x:v>
      </x:c>
      <x:c r="E108" s="102" t="str">
        <x:v>Electric RTGs</x:v>
      </x:c>
      <x:c r="F108" s="102" t="str">
        <x:v>Operating</x:v>
      </x:c>
      <x:c r="G108" s="102" t="str">
        <x:v>CMA Terminals / Terminal Link</x:v>
      </x:c>
      <x:c r="H108" s="102" t="str">
        <x:v>https://www.adportsgroup.com/en/news-and-media/2025/03/14/the-cma-cgm-iron-the-first-dual-fuel-methanol-vessel-to-visit-abu-dhabi-at-khalifa-port</x:v>
      </x:c>
      <x:c r="I108" s="102" t="str">
        <x:v>CMA-AE-KHAL</x:v>
      </x:c>
    </x:row>
    <x:row r="109">
      <x:c r="A109" s="102" t="str">
        <x:v>EQ00108</x:v>
      </x:c>
      <x:c r="B109" s="102" t="str">
        <x:v>TERM0127</x:v>
      </x:c>
      <x:c r="C109" s="102" t="str">
        <x:v>STS crane</x:v>
      </x:c>
      <x:c r="D109" s="102" t="n">
        <x:v>5</x:v>
      </x:c>
      <x:c r="E109" s="102" t="str">
        <x:v>First African terminal cited by CMA as equipped with STS cranes</x:v>
      </x:c>
      <x:c r="F109" s="102" t="str">
        <x:v>Operating</x:v>
      </x:c>
      <x:c r="G109" s="102" t="str">
        <x:v>CMA Terminals / Terminal Link</x:v>
      </x:c>
      <x:c r="H109" s="102" t="str">
        <x:v>https://www.cma-cgm.com/assets/public/pdf/LEKKI%20FREEPORT%20TERMINAL%20Q3%202022.pdf</x:v>
      </x:c>
      <x:c r="I109" s="102" t="str">
        <x:v>CMA-NG-LEKKI</x:v>
      </x:c>
    </x:row>
    <x:row r="110">
      <x:c r="A110" s="102" t="str">
        <x:v>EQ00109</x:v>
      </x:c>
      <x:c r="B110" s="102" t="str">
        <x:v>TERM0129</x:v>
      </x:c>
      <x:c r="C110" s="102" t="str">
        <x:v>STS crane</x:v>
      </x:c>
      <x:c r="D110" s="102" t="n">
        <x:v>8</x:v>
      </x:c>
      <x:c r="E110" s="102" t="str">
        <x:v>Target configuration</x:v>
      </x:c>
      <x:c r="F110" s="102" t="str">
        <x:v>Planned</x:v>
      </x:c>
      <x:c r="G110" s="102" t="str">
        <x:v>CMA Terminals / Terminal Link</x:v>
      </x:c>
      <x:c r="H110" s="102" t="str">
        <x:v>https://www.cma-cgm.com/news/4902/cma-cgm-and-marsa-maroc-join-forces-in-a-joint-venture-to-equip-and-operate-half-of-the-nador-west-med-container-terminal</x:v>
      </x:c>
      <x:c r="I110" s="102" t="str">
        <x:v>CMA-MA-NADOR</x:v>
      </x:c>
    </x:row>
    <x:row r="111">
      <x:c r="A111" s="102" t="str">
        <x:v>EQ00110</x:v>
      </x:c>
      <x:c r="B111" s="102" t="str">
        <x:v>TERM0129</x:v>
      </x:c>
      <x:c r="C111" s="102" t="str">
        <x:v>RTG</x:v>
      </x:c>
      <x:c r="D111" s="102" t="n">
        <x:v>24</x:v>
      </x:c>
      <x:c r="E111" s="102" t="str">
        <x:v>Electric RTGs target configuration</x:v>
      </x:c>
      <x:c r="F111" s="102" t="str">
        <x:v>Planned</x:v>
      </x:c>
      <x:c r="G111" s="102" t="str">
        <x:v>CMA Terminals / Terminal Link</x:v>
      </x:c>
      <x:c r="H111" s="102" t="str">
        <x:v>https://www.cma-cgm.com/news/4902/cma-cgm-and-marsa-maroc-join-forces-in-a-joint-venture-to-equip-and-operate-half-of-the-nador-west-med-container-terminal</x:v>
      </x:c>
      <x:c r="I111" s="102" t="str">
        <x:v>CMA-MA-NADOR</x:v>
      </x:c>
    </x:row>
    <x:row r="112">
      <x:c r="A112" s="102" t="str">
        <x:v>EQ00111</x:v>
      </x:c>
      <x:c r="B112" s="102" t="str">
        <x:v>TERM0097</x:v>
      </x:c>
      <x:c r="C112" s="102" t="str">
        <x:v>STS crane</x:v>
      </x:c>
      <x:c r="D112" s="102" t="n">
        <x:v>3</x:v>
      </x:c>
      <x:c r="E112" s="102" t="str">
        <x:v>ZPMC</x:v>
      </x:c>
      <x:c r="F112" s="102" t="str">
        <x:v>Ordered / under development</x:v>
      </x:c>
      <x:c r="G112" s="102" t="str">
        <x:v>CMA Terminals / Terminal Link</x:v>
      </x:c>
      <x:c r="H112" s="102" t="str">
        <x:v>https://www.adportsgroup.com/en/news-and-media/2026/05/18/ad-ports-group-awards-three-contracts-for-noatum-ports-pointe-noire-terminal</x:v>
      </x:c>
      <x:c r="I112" s="102" t="str">
        <x:v>CMA-CG-PNR</x:v>
      </x:c>
    </x:row>
    <x:row r="113">
      <x:c r="A113" s="102" t="str">
        <x:v>EQ00112</x:v>
      </x:c>
      <x:c r="B113" s="102" t="str">
        <x:v>TERM0097</x:v>
      </x:c>
      <x:c r="C113" s="102" t="str">
        <x:v>RTG</x:v>
      </x:c>
      <x:c r="D113" s="102" t="n">
        <x:v>9</x:v>
      </x:c>
      <x:c r="E113" s="102" t="str">
        <x:v>ZPMC</x:v>
      </x:c>
      <x:c r="F113" s="102" t="str">
        <x:v>Ordered / under development</x:v>
      </x:c>
      <x:c r="G113" s="102" t="str">
        <x:v>CMA Terminals / Terminal Link</x:v>
      </x:c>
      <x:c r="H113" s="102" t="str">
        <x:v>https://www.adportsgroup.com/en/news-and-media/2026/05/18/ad-ports-group-awards-three-contracts-for-noatum-ports-pointe-noire-terminal</x:v>
      </x:c>
      <x:c r="I113" s="102" t="str">
        <x:v>CMA-CG-PNR</x:v>
      </x:c>
    </x:row>
    <x:row r="114">
      <x:c r="A114" s="102" t="str">
        <x:v>EQ00113</x:v>
      </x:c>
      <x:c r="B114" s="102" t="str">
        <x:v>TERM0130</x:v>
      </x:c>
      <x:c r="C114" s="102" t="str">
        <x:v>STS crane</x:v>
      </x:c>
      <x:c r="D114" s="102" t="n">
        <x:v>10</x:v>
      </x:c>
      <x:c r="E114" s="102" t="str">
        <x:v>New cranes announced with T4 investment</x:v>
      </x:c>
      <x:c r="F114" s="102" t="str">
        <x:v>Planned</x:v>
      </x:c>
      <x:c r="G114" s="102" t="str">
        <x:v>CMA Terminals / Terminal Link</x:v>
      </x:c>
      <x:c r="H114" s="102" t="str">
        <x:v>https://rsgt.com.sa/news/rsgt-and-cma-cgm-announce-usd-434-million-initial-investment-sar-1-6-billion-to-develop-terminal-4-and-add-up-to-2-6-million-teus-of-capacity-at-jeddah-islamic-port/</x:v>
      </x:c>
      <x:c r="I114" s="102" t="str">
        <x:v>CMA-SA-JED4</x:v>
      </x:c>
    </x:row>
    <x:row r="115">
      <x:c r="A115" s="102" t="str">
        <x:v>EQ00114</x:v>
      </x:c>
      <x:c r="B115" s="102" t="str">
        <x:v>TERM0125</x:v>
      </x:c>
      <x:c r="C115" s="102" t="str">
        <x:v>STS crane</x:v>
      </x:c>
      <x:c r="D115" s="102" t="n">
        <x:v>13</x:v>
      </x:c>
      <x:c r="E115" s="102" t="str">
        <x:v>Phase 2 target; up from 8</x:v>
      </x:c>
      <x:c r="F115" s="102" t="str">
        <x:v>Planned/expanding</x:v>
      </x:c>
      <x:c r="G115" s="102" t="str">
        <x:v>CMA Terminals / Terminal Link</x:v>
      </x:c>
      <x:c r="H115" s="102" t="str">
        <x:v>https://www.cmacgm-group.com/en/news-media/cma-cgm-launches-phase-2-expansion-works-gemalink-container-terminal</x:v>
      </x:c>
      <x:c r="I115" s="102" t="str">
        <x:v>CMA-VN-GEMA</x:v>
      </x:c>
    </x:row>
    <x:row r="116">
      <x:c r="A116" s="102" t="str">
        <x:v>EQ00115</x:v>
      </x:c>
      <x:c r="B116" s="102" t="str">
        <x:v>TERM0136</x:v>
      </x:c>
      <x:c r="C116" s="102" t="str">
        <x:v>Straddle carrier</x:v>
      </x:c>
      <x:c r="D116" s="102" t="n">
        <x:v>3</x:v>
      </x:c>
      <x:c r="E116" s="102" t="str">
        <x:v>Kalmar hybrid</x:v>
      </x:c>
      <x:c r="F116" s="102" t="str">
        <x:v>Delivered/operating after 2024 order</x:v>
      </x:c>
      <x:c r="G116" s="102" t="str">
        <x:v>CMA Terminals / Terminal Link</x:v>
      </x:c>
      <x:c r="H116" s="102" t="str">
        <x:v>https://www.kalmarglobal.com/news--insights/press_releases/2024/kalmar-concluded-an-agreement-to/</x:v>
      </x:c>
      <x:c r="I116" s="102" t="str">
        <x:v>CMA-FR-REU</x:v>
      </x:c>
    </x:row>
    <x:row r="117">
      <x:c r="A117" s="102" t="str">
        <x:v>EQ00116</x:v>
      </x:c>
      <x:c r="B117" s="102" t="str">
        <x:v>TERM0158</x:v>
      </x:c>
      <x:c r="C117" s="102" t="str">
        <x:v>Quay crane</x:v>
      </x:c>
      <x:c r="D117" s="102" t="n">
        <x:v>38</x:v>
      </x:c>
      <x:c r="E117" s="102" t="str"/>
      <x:c r="F117" s="102" t="str">
        <x:v>Operating</x:v>
      </x:c>
      <x:c r="G117" s="102" t="str">
        <x:v>TiL</x:v>
      </x:c>
      <x:c r="H117" s="102" t="str">
        <x:v>https://www.tilgroup.com/our-terminals/antwerp.html</x:v>
      </x:c>
      <x:c r="I117" s="102" t="str">
        <x:v>TIL-BE-MPET</x:v>
      </x:c>
    </x:row>
    <x:row r="118">
      <x:c r="A118" s="102" t="str">
        <x:v>EQ00117</x:v>
      </x:c>
      <x:c r="B118" s="102" t="str">
        <x:v>TERM0158</x:v>
      </x:c>
      <x:c r="C118" s="102" t="str">
        <x:v>Yard crane</x:v>
      </x:c>
      <x:c r="D118" s="102" t="n">
        <x:v>228</x:v>
      </x:c>
      <x:c r="E118" s="102" t="str"/>
      <x:c r="F118" s="102" t="str">
        <x:v>Operating</x:v>
      </x:c>
      <x:c r="G118" s="102" t="str">
        <x:v>TiL</x:v>
      </x:c>
      <x:c r="H118" s="102" t="str">
        <x:v>https://www.tilgroup.com/our-terminals/antwerp.html</x:v>
      </x:c>
      <x:c r="I118" s="102" t="str">
        <x:v>TIL-BE-MPET</x:v>
      </x:c>
    </x:row>
    <x:row r="119">
      <x:c r="A119" s="102" t="str">
        <x:v>EQ00118</x:v>
      </x:c>
      <x:c r="B119" s="102" t="str">
        <x:v>TERM0159</x:v>
      </x:c>
      <x:c r="C119" s="102" t="str">
        <x:v>Quay crane</x:v>
      </x:c>
      <x:c r="D119" s="102" t="n">
        <x:v>16</x:v>
      </x:c>
      <x:c r="E119" s="102" t="str">
        <x:v>Up to 14 can work three ULCVs simultaneously</x:v>
      </x:c>
      <x:c r="F119" s="102" t="str">
        <x:v>Operating</x:v>
      </x:c>
      <x:c r="G119" s="102" t="str">
        <x:v>TiL</x:v>
      </x:c>
      <x:c r="H119" s="102" t="str">
        <x:v>https://www.tilgroup.com/our-terminals/long-beach.html</x:v>
      </x:c>
      <x:c r="I119" s="102" t="str">
        <x:v>TIL-US-TTI</x:v>
      </x:c>
    </x:row>
    <x:row r="120">
      <x:c r="A120" s="102" t="str">
        <x:v>EQ00119</x:v>
      </x:c>
      <x:c r="B120" s="102" t="str">
        <x:v>TERM0159</x:v>
      </x:c>
      <x:c r="C120" s="102" t="str">
        <x:v>Yard crane</x:v>
      </x:c>
      <x:c r="D120" s="102" t="n">
        <x:v>28</x:v>
      </x:c>
      <x:c r="E120" s="102" t="str">
        <x:v>RTG/top-handler mix in yard</x:v>
      </x:c>
      <x:c r="F120" s="102" t="str">
        <x:v>Operating</x:v>
      </x:c>
      <x:c r="G120" s="102" t="str">
        <x:v>TiL</x:v>
      </x:c>
      <x:c r="H120" s="102" t="str">
        <x:v>https://www.tilgroup.com/our-terminals/long-beach.html</x:v>
      </x:c>
      <x:c r="I120" s="102" t="str">
        <x:v>TIL-US-TTI</x:v>
      </x:c>
    </x:row>
    <x:row r="121">
      <x:c r="A121" s="102" t="str">
        <x:v>EQ00120</x:v>
      </x:c>
      <x:c r="B121" s="102" t="str">
        <x:v>TERM0160</x:v>
      </x:c>
      <x:c r="C121" s="102" t="str">
        <x:v>Quay crane</x:v>
      </x:c>
      <x:c r="D121" s="102" t="n">
        <x:v>35</x:v>
      </x:c>
      <x:c r="E121" s="102" t="str"/>
      <x:c r="F121" s="102" t="str">
        <x:v>Operating</x:v>
      </x:c>
      <x:c r="G121" s="102" t="str">
        <x:v>TiL</x:v>
      </x:c>
      <x:c r="H121" s="102" t="str">
        <x:v>https://www.tilgroup.com/our-terminals/pasir.html</x:v>
      </x:c>
      <x:c r="I121" s="102" t="str">
        <x:v>TIL-SG-MPAT</x:v>
      </x:c>
    </x:row>
    <x:row r="122">
      <x:c r="A122" s="102" t="str">
        <x:v>EQ00121</x:v>
      </x:c>
      <x:c r="B122" s="102" t="str">
        <x:v>TERM0160</x:v>
      </x:c>
      <x:c r="C122" s="102" t="str">
        <x:v>Yard crane</x:v>
      </x:c>
      <x:c r="D122" s="102" t="n">
        <x:v>106</x:v>
      </x:c>
      <x:c r="E122" s="102" t="str"/>
      <x:c r="F122" s="102" t="str">
        <x:v>Operating</x:v>
      </x:c>
      <x:c r="G122" s="102" t="str">
        <x:v>TiL</x:v>
      </x:c>
      <x:c r="H122" s="102" t="str">
        <x:v>https://www.tilgroup.com/our-terminals/pasir.html</x:v>
      </x:c>
      <x:c r="I122" s="102" t="str">
        <x:v>TIL-SG-MPAT</x:v>
      </x:c>
    </x:row>
    <x:row r="123">
      <x:c r="A123" s="102" t="str">
        <x:v>EQ00122</x:v>
      </x:c>
      <x:c r="B123" s="102" t="str">
        <x:v>TERM0161</x:v>
      </x:c>
      <x:c r="C123" s="102" t="str">
        <x:v>Quay crane</x:v>
      </x:c>
      <x:c r="D123" s="102" t="n">
        <x:v>20</x:v>
      </x:c>
      <x:c r="E123" s="102" t="str"/>
      <x:c r="F123" s="102" t="str">
        <x:v>Operating</x:v>
      </x:c>
      <x:c r="G123" s="102" t="str">
        <x:v>TiL</x:v>
      </x:c>
      <x:c r="H123" s="102" t="str">
        <x:v>https://tilgroup.com/our-terminals/king-abdullah.html</x:v>
      </x:c>
      <x:c r="I123" s="102" t="str">
        <x:v>TIL-SA-NCT</x:v>
      </x:c>
    </x:row>
    <x:row r="124">
      <x:c r="A124" s="102" t="str">
        <x:v>EQ00123</x:v>
      </x:c>
      <x:c r="B124" s="102" t="str">
        <x:v>TERM0161</x:v>
      </x:c>
      <x:c r="C124" s="102" t="str">
        <x:v>Yard crane</x:v>
      </x:c>
      <x:c r="D124" s="102" t="n">
        <x:v>68</x:v>
      </x:c>
      <x:c r="E124" s="102" t="str"/>
      <x:c r="F124" s="102" t="str">
        <x:v>Operating</x:v>
      </x:c>
      <x:c r="G124" s="102" t="str">
        <x:v>TiL</x:v>
      </x:c>
      <x:c r="H124" s="102" t="str">
        <x:v>https://tilgroup.com/our-terminals/king-abdullah.html</x:v>
      </x:c>
      <x:c r="I124" s="102" t="str">
        <x:v>TIL-SA-NCT</x:v>
      </x:c>
    </x:row>
    <x:row r="125">
      <x:c r="A125" s="102" t="str">
        <x:v>EQ00124</x:v>
      </x:c>
      <x:c r="B125" s="102" t="str">
        <x:v>TERM0162</x:v>
      </x:c>
      <x:c r="C125" s="102" t="str">
        <x:v>Quay crane</x:v>
      </x:c>
      <x:c r="D125" s="102" t="n">
        <x:v>6</x:v>
      </x:c>
      <x:c r="E125" s="102" t="str">
        <x:v>Legacy TiL key figure; current upgrade program is adding capability</x:v>
      </x:c>
      <x:c r="F125" s="102" t="str">
        <x:v>Operating / upgrading</x:v>
      </x:c>
      <x:c r="G125" s="102" t="str">
        <x:v>TiL</x:v>
      </x:c>
      <x:c r="H125" s="102" t="str">
        <x:v>https://www.tilgroup.com/our-terminals/navegantes.html</x:v>
      </x:c>
      <x:c r="I125" s="102" t="str">
        <x:v>TIL-BR-PORTO</x:v>
      </x:c>
    </x:row>
    <x:row r="126">
      <x:c r="A126" s="102" t="str">
        <x:v>EQ00125</x:v>
      </x:c>
      <x:c r="B126" s="102" t="str">
        <x:v>TERM0162</x:v>
      </x:c>
      <x:c r="C126" s="102" t="str">
        <x:v>Yard crane</x:v>
      </x:c>
      <x:c r="D126" s="102" t="n">
        <x:v>5</x:v>
      </x:c>
      <x:c r="E126" s="102" t="str">
        <x:v>Legacy TiL key figure</x:v>
      </x:c>
      <x:c r="F126" s="102" t="str">
        <x:v>Operating / upgrading</x:v>
      </x:c>
      <x:c r="G126" s="102" t="str">
        <x:v>TiL</x:v>
      </x:c>
      <x:c r="H126" s="102" t="str">
        <x:v>https://www.tilgroup.com/our-terminals/navegantes.html</x:v>
      </x:c>
      <x:c r="I126" s="102" t="str">
        <x:v>TIL-BR-PORTO</x:v>
      </x:c>
    </x:row>
    <x:row r="127">
      <x:c r="A127" s="102" t="str">
        <x:v>EQ00126</x:v>
      </x:c>
      <x:c r="B127" s="102" t="str">
        <x:v>TERM0163</x:v>
      </x:c>
      <x:c r="C127" s="102" t="str">
        <x:v>Quay crane</x:v>
      </x:c>
      <x:c r="D127" s="102" t="n">
        <x:v>20</x:v>
      </x:c>
      <x:c r="E127" s="102" t="str">
        <x:v>8 Malaccamax-capable STS cited by TiL</x:v>
      </x:c>
      <x:c r="F127" s="102" t="str">
        <x:v>Operating</x:v>
      </x:c>
      <x:c r="G127" s="102" t="str">
        <x:v>TiL</x:v>
      </x:c>
      <x:c r="H127" s="102" t="str">
        <x:v>https://www.tilgroup.com/our-terminals/valencia.html</x:v>
      </x:c>
      <x:c r="I127" s="102" t="str">
        <x:v>TIL-ES-VAL</x:v>
      </x:c>
    </x:row>
    <x:row r="128">
      <x:c r="A128" s="102" t="str">
        <x:v>EQ00127</x:v>
      </x:c>
      <x:c r="B128" s="102" t="str">
        <x:v>TERM0163</x:v>
      </x:c>
      <x:c r="C128" s="102" t="str">
        <x:v>Yard crane</x:v>
      </x:c>
      <x:c r="D128" s="102" t="n">
        <x:v>28</x:v>
      </x:c>
      <x:c r="E128" s="102" t="str">
        <x:v>77% yard-crane fleet electrified per TiL</x:v>
      </x:c>
      <x:c r="F128" s="102" t="str">
        <x:v>Operating</x:v>
      </x:c>
      <x:c r="G128" s="102" t="str">
        <x:v>TiL</x:v>
      </x:c>
      <x:c r="H128" s="102" t="str">
        <x:v>https://www.tilgroup.com/our-terminals/valencia.html</x:v>
      </x:c>
      <x:c r="I128" s="102" t="str">
        <x:v>TIL-ES-VAL</x:v>
      </x:c>
    </x:row>
    <x:row r="129">
      <x:c r="A129" s="102" t="str">
        <x:v>EQ00128</x:v>
      </x:c>
      <x:c r="B129" s="102" t="str">
        <x:v>TERM0163</x:v>
      </x:c>
      <x:c r="C129" s="102" t="str">
        <x:v>STS crane</x:v>
      </x:c>
      <x:c r="D129" s="102" t="n">
        <x:v>22</x:v>
      </x:c>
      <x:c r="E129" s="102" t="str">
        <x:v>Future automated terminal target</x:v>
      </x:c>
      <x:c r="F129" s="102" t="str">
        <x:v>Planned</x:v>
      </x:c>
      <x:c r="G129" s="102" t="str">
        <x:v>TiL</x:v>
      </x:c>
      <x:c r="H129" s="102" t="str">
        <x:v>https://www.tilgroup.com/our-terminals/valencia.html</x:v>
      </x:c>
      <x:c r="I129" s="102" t="str">
        <x:v>TIL-ES-VAL</x:v>
      </x:c>
    </x:row>
    <x:row r="130">
      <x:c r="A130" s="102" t="str">
        <x:v>EQ00129</x:v>
      </x:c>
      <x:c r="B130" s="102" t="str">
        <x:v>TERM0163</x:v>
      </x:c>
      <x:c r="C130" s="102" t="str">
        <x:v>Automated stacking crane</x:v>
      </x:c>
      <x:c r="D130" s="102" t="n">
        <x:v>50</x:v>
      </x:c>
      <x:c r="E130" s="102" t="str">
        <x:v>Future automated terminal target</x:v>
      </x:c>
      <x:c r="F130" s="102" t="str">
        <x:v>Planned</x:v>
      </x:c>
      <x:c r="G130" s="102" t="str">
        <x:v>TiL</x:v>
      </x:c>
      <x:c r="H130" s="102" t="str">
        <x:v>https://www.tilgroup.com/our-terminals/valencia.html</x:v>
      </x:c>
      <x:c r="I130" s="102" t="str">
        <x:v>TIL-ES-VAL</x:v>
      </x:c>
    </x:row>
    <x:row r="131">
      <x:c r="A131" s="102" t="str">
        <x:v>EQ00130</x:v>
      </x:c>
      <x:c r="B131" s="102" t="str">
        <x:v>TERM0163</x:v>
      </x:c>
      <x:c r="C131" s="102" t="str">
        <x:v>AGV</x:v>
      </x:c>
      <x:c r="D131" s="102" t="n">
        <x:v>160</x:v>
      </x:c>
      <x:c r="E131" s="102" t="str">
        <x:v>Future automated terminal target</x:v>
      </x:c>
      <x:c r="F131" s="102" t="str">
        <x:v>Planned</x:v>
      </x:c>
      <x:c r="G131" s="102" t="str">
        <x:v>TiL</x:v>
      </x:c>
      <x:c r="H131" s="102" t="str">
        <x:v>https://www.tilgroup.com/our-terminals/valencia.html</x:v>
      </x:c>
      <x:c r="I131" s="102" t="str">
        <x:v>TIL-ES-VAL</x:v>
      </x:c>
    </x:row>
    <x:row r="132">
      <x:c r="A132" s="102" t="str">
        <x:v>EQ00131</x:v>
      </x:c>
      <x:c r="B132" s="102" t="str">
        <x:v>TERM0164</x:v>
      </x:c>
      <x:c r="C132" s="102" t="str">
        <x:v>Quay crane</x:v>
      </x:c>
      <x:c r="D132" s="102" t="n">
        <x:v>11</x:v>
      </x:c>
      <x:c r="E132" s="102" t="str">
        <x:v>Expansion target 20</x:v>
      </x:c>
      <x:c r="F132" s="102" t="str">
        <x:v>Operating</x:v>
      </x:c>
      <x:c r="G132" s="102" t="str">
        <x:v>TiL</x:v>
      </x:c>
      <x:c r="H132" s="102" t="str">
        <x:v>https://tilgroup.com/our-terminals/havre.html</x:v>
      </x:c>
      <x:c r="I132" s="102" t="str">
        <x:v>TIL-FR-TN</x:v>
      </x:c>
    </x:row>
    <x:row r="133">
      <x:c r="A133" s="102" t="str">
        <x:v>EQ00132</x:v>
      </x:c>
      <x:c r="B133" s="102" t="str">
        <x:v>TERM0164</x:v>
      </x:c>
      <x:c r="C133" s="102" t="str">
        <x:v>Yard crane</x:v>
      </x:c>
      <x:c r="D133" s="102" t="n">
        <x:v>68</x:v>
      </x:c>
      <x:c r="E133" s="102" t="str"/>
      <x:c r="F133" s="102" t="str">
        <x:v>Operating</x:v>
      </x:c>
      <x:c r="G133" s="102" t="str">
        <x:v>TiL</x:v>
      </x:c>
      <x:c r="H133" s="102" t="str">
        <x:v>https://tilgroup.com/our-terminals/havre.html</x:v>
      </x:c>
      <x:c r="I133" s="102" t="str">
        <x:v>TIL-FR-TN</x:v>
      </x:c>
    </x:row>
    <x:row r="134">
      <x:c r="A134" s="102" t="str">
        <x:v>EQ00133</x:v>
      </x:c>
      <x:c r="B134" s="102" t="str">
        <x:v>TERM0165</x:v>
      </x:c>
      <x:c r="C134" s="102" t="str">
        <x:v>Quay crane</x:v>
      </x:c>
      <x:c r="D134" s="102" t="n">
        <x:v>9</x:v>
      </x:c>
      <x:c r="E134" s="102" t="str"/>
      <x:c r="F134" s="102" t="str">
        <x:v>Operating</x:v>
      </x:c>
      <x:c r="G134" s="102" t="str">
        <x:v>TiL</x:v>
      </x:c>
      <x:c r="H134" s="102" t="str">
        <x:v>https://www.tilgroup.com/our-terminals/lome.html</x:v>
      </x:c>
      <x:c r="I134" s="102" t="str">
        <x:v>TIL-TG-LCT</x:v>
      </x:c>
    </x:row>
    <x:row r="135">
      <x:c r="A135" s="102" t="str">
        <x:v>EQ00134</x:v>
      </x:c>
      <x:c r="B135" s="102" t="str">
        <x:v>TERM0165</x:v>
      </x:c>
      <x:c r="C135" s="102" t="str">
        <x:v>Yard crane</x:v>
      </x:c>
      <x:c r="D135" s="102" t="n">
        <x:v>27</x:v>
      </x:c>
      <x:c r="E135" s="102" t="str"/>
      <x:c r="F135" s="102" t="str">
        <x:v>Operating</x:v>
      </x:c>
      <x:c r="G135" s="102" t="str">
        <x:v>TiL</x:v>
      </x:c>
      <x:c r="H135" s="102" t="str">
        <x:v>https://www.tilgroup.com/our-terminals/lome.html</x:v>
      </x:c>
      <x:c r="I135" s="102" t="str">
        <x:v>TIL-TG-LCT</x:v>
      </x:c>
    </x:row>
    <x:row r="136">
      <x:c r="A136" s="102" t="str">
        <x:v>EQ00135</x:v>
      </x:c>
      <x:c r="B136" s="102" t="str">
        <x:v>TERM0176</x:v>
      </x:c>
      <x:c r="C136" s="102" t="str">
        <x:v>Quay crane</x:v>
      </x:c>
      <x:c r="D136" s="102" t="n">
        <x:v>4</x:v>
      </x:c>
      <x:c r="E136" s="102" t="str">
        <x:v>65m outreach / 22 rows across</x:v>
      </x:c>
      <x:c r="F136" s="102" t="str">
        <x:v>Operating</x:v>
      </x:c>
      <x:c r="G136" s="102" t="str">
        <x:v>TiL</x:v>
      </x:c>
      <x:c r="H136" s="102" t="str">
        <x:v>https://www.adaniports.com/Ports-and-Terminals/Ennore-Terminal</x:v>
      </x:c>
      <x:c r="I136" s="102" t="str">
        <x:v>TIL-IN-ENN</x:v>
      </x:c>
    </x:row>
    <x:row r="137">
      <x:c r="A137" s="102" t="str">
        <x:v>EQ00136</x:v>
      </x:c>
      <x:c r="B137" s="102" t="str">
        <x:v>TERM0176</x:v>
      </x:c>
      <x:c r="C137" s="102" t="str">
        <x:v>e-RTG</x:v>
      </x:c>
      <x:c r="D137" s="102" t="n">
        <x:v>12</x:v>
      </x:c>
      <x:c r="E137" s="102" t="str">
        <x:v>Electric RTGs</x:v>
      </x:c>
      <x:c r="F137" s="102" t="str">
        <x:v>Operating</x:v>
      </x:c>
      <x:c r="G137" s="102" t="str">
        <x:v>TiL</x:v>
      </x:c>
      <x:c r="H137" s="102" t="str">
        <x:v>https://www.adaniports.com/Ports-and-Terminals/Ennore-Terminal</x:v>
      </x:c>
      <x:c r="I137" s="102" t="str">
        <x:v>TIL-IN-ENN</x:v>
      </x:c>
    </x:row>
    <x:row r="138">
      <x:c r="A138" s="102" t="str">
        <x:v>EQ00137</x:v>
      </x:c>
      <x:c r="B138" s="102" t="str">
        <x:v>TERM0191</x:v>
      </x:c>
      <x:c r="C138" s="102" t="str">
        <x:v>STS crane</x:v>
      </x:c>
      <x:c r="D138" s="102" t="n">
        <x:v>8</x:v>
      </x:c>
      <x:c r="E138" s="102" t="str">
        <x:v>Large automated/electrified gateway cranes</x:v>
      </x:c>
      <x:c r="F138" s="102" t="str">
        <x:v>Operating</x:v>
      </x:c>
      <x:c r="G138" s="102" t="str">
        <x:v>APM Terminals</x:v>
      </x:c>
      <x:c r="H138" s="102" t="str">
        <x:v>https://www2.apmterminals.com/en/lazaro-cardenas/about/our-terminal</x:v>
      </x:c>
      <x:c r="I138" s="102" t="str">
        <x:v>APM-LÁZARO-CÁRDENAS-TERMINAL</x:v>
      </x:c>
    </x:row>
    <x:row r="139">
      <x:c r="A139" s="102" t="str">
        <x:v>EQ00138</x:v>
      </x:c>
      <x:c r="B139" s="102" t="str">
        <x:v>TERM0192</x:v>
      </x:c>
      <x:c r="C139" s="102" t="str">
        <x:v>STS crane</x:v>
      </x:c>
      <x:c r="D139" s="102" t="n">
        <x:v>2</x:v>
      </x:c>
      <x:c r="E139" s="102" t="str">
        <x:v>Fully electric terminal</x:v>
      </x:c>
      <x:c r="F139" s="102" t="str">
        <x:v>Operating</x:v>
      </x:c>
      <x:c r="G139" s="102" t="str">
        <x:v>APM Terminals</x:v>
      </x:c>
      <x:c r="H139" s="102" t="str">
        <x:v>https://www2.apmterminals.com/en/suape/about/our-terminal</x:v>
      </x:c>
      <x:c r="I139" s="102" t="str">
        <x:v>APM-SUAPE-TERMINAL</x:v>
      </x:c>
    </x:row>
    <x:row r="140">
      <x:c r="A140" s="102" t="str">
        <x:v>EQ00139</x:v>
      </x:c>
      <x:c r="B140" s="102" t="str">
        <x:v>TERM0192</x:v>
      </x:c>
      <x:c r="C140" s="102" t="str">
        <x:v>eRTG</x:v>
      </x:c>
      <x:c r="D140" s="102" t="n">
        <x:v>7</x:v>
      </x:c>
      <x:c r="E140" s="102" t="str">
        <x:v>Remote-operation capable</x:v>
      </x:c>
      <x:c r="F140" s="102" t="str">
        <x:v>Operating</x:v>
      </x:c>
      <x:c r="G140" s="102" t="str">
        <x:v>APM Terminals</x:v>
      </x:c>
      <x:c r="H140" s="102" t="str">
        <x:v>https://www2.apmterminals.com/en/suape/about/our-terminal</x:v>
      </x:c>
      <x:c r="I140" s="102" t="str">
        <x:v>APM-SUAPE-TERMINAL</x:v>
      </x:c>
    </x:row>
    <x:row r="141">
      <x:c r="A141" s="102" t="str">
        <x:v>EQ00140</x:v>
      </x:c>
      <x:c r="B141" s="102" t="str">
        <x:v>TERM0192</x:v>
      </x:c>
      <x:c r="C141" s="102" t="str">
        <x:v>Electric terminal tractor</x:v>
      </x:c>
      <x:c r="D141" s="102" t="n">
        <x:v>14</x:v>
      </x:c>
      <x:c r="E141" s="102" t="str"/>
      <x:c r="F141" s="102" t="str">
        <x:v>Operating</x:v>
      </x:c>
      <x:c r="G141" s="102" t="str">
        <x:v>APM Terminals</x:v>
      </x:c>
      <x:c r="H141" s="102" t="str">
        <x:v>https://www2.apmterminals.com/en/suape/about/our-terminal</x:v>
      </x:c>
      <x:c r="I141" s="102" t="str">
        <x:v>APM-SUAPE-TERMINAL</x:v>
      </x:c>
    </x:row>
    <x:row r="142">
      <x:c r="A142" s="102" t="str">
        <x:v>EQ00141</x:v>
      </x:c>
      <x:c r="B142" s="102" t="str">
        <x:v>TERM0192</x:v>
      </x:c>
      <x:c r="C142" s="102" t="str">
        <x:v>Electric reach stacker</x:v>
      </x:c>
      <x:c r="D142" s="102" t="n">
        <x:v>2</x:v>
      </x:c>
      <x:c r="E142" s="102" t="str"/>
      <x:c r="F142" s="102" t="str">
        <x:v>Operating</x:v>
      </x:c>
      <x:c r="G142" s="102" t="str">
        <x:v>APM Terminals</x:v>
      </x:c>
      <x:c r="H142" s="102" t="str">
        <x:v>https://www2.apmterminals.com/en/suape/about/our-terminal</x:v>
      </x:c>
      <x:c r="I142" s="102" t="str">
        <x:v>APM-SUAPE-TERMINAL</x:v>
      </x:c>
    </x:row>
    <x:row r="143">
      <x:c r="A143" s="102" t="str">
        <x:v>EQ00142</x:v>
      </x:c>
      <x:c r="B143" s="102" t="str">
        <x:v>TERM0192</x:v>
      </x:c>
      <x:c r="C143" s="102" t="str">
        <x:v>Electric empty handler</x:v>
      </x:c>
      <x:c r="D143" s="102" t="n">
        <x:v>1</x:v>
      </x:c>
      <x:c r="E143" s="102" t="str"/>
      <x:c r="F143" s="102" t="str">
        <x:v>Operating</x:v>
      </x:c>
      <x:c r="G143" s="102" t="str">
        <x:v>APM Terminals</x:v>
      </x:c>
      <x:c r="H143" s="102" t="str">
        <x:v>https://www2.apmterminals.com/en/suape/about/our-terminal</x:v>
      </x:c>
      <x:c r="I143" s="102" t="str">
        <x:v>APM-SUAPE-TERMINAL</x:v>
      </x:c>
    </x:row>
    <x:row r="144">
      <x:c r="A144" s="102" t="str">
        <x:v>EQ00143</x:v>
      </x:c>
      <x:c r="B144" s="102" t="str">
        <x:v>TERM0195</x:v>
      </x:c>
      <x:c r="C144" s="102" t="str">
        <x:v>Electric STS crane</x:v>
      </x:c>
      <x:c r="D144" s="102" t="n">
        <x:v>6</x:v>
      </x:c>
      <x:c r="E144" s="102" t="str">
        <x:v>Post-Panamax</x:v>
      </x:c>
      <x:c r="F144" s="102" t="str">
        <x:v>Operating</x:v>
      </x:c>
      <x:c r="G144" s="102" t="str">
        <x:v>APM Terminals</x:v>
      </x:c>
      <x:c r="H144" s="102" t="str">
        <x:v>https://www2.apmterminals.com/en/cit/about/our-terminal</x:v>
      </x:c>
      <x:c r="I144" s="102" t="str">
        <x:v>APM-ABIDJAN-CÔTE-D-IVOIRE-TERMINAL-CIT</x:v>
      </x:c>
    </x:row>
    <x:row r="145">
      <x:c r="A145" s="102" t="str">
        <x:v>EQ00144</x:v>
      </x:c>
      <x:c r="B145" s="102" t="str">
        <x:v>TERM0195</x:v>
      </x:c>
      <x:c r="C145" s="102" t="str">
        <x:v>Electric RTG</x:v>
      </x:c>
      <x:c r="D145" s="102" t="n">
        <x:v>13</x:v>
      </x:c>
      <x:c r="E145" s="102" t="str"/>
      <x:c r="F145" s="102" t="str">
        <x:v>Operating</x:v>
      </x:c>
      <x:c r="G145" s="102" t="str">
        <x:v>APM Terminals</x:v>
      </x:c>
      <x:c r="H145" s="102" t="str">
        <x:v>https://www2.apmterminals.com/en/cit/about/our-terminal</x:v>
      </x:c>
      <x:c r="I145" s="102" t="str">
        <x:v>APM-ABIDJAN-CÔTE-D-IVOIRE-TERMINAL-CIT</x:v>
      </x:c>
    </x:row>
    <x:row r="146">
      <x:c r="A146" s="102" t="str">
        <x:v>EQ00145</x:v>
      </x:c>
      <x:c r="B146" s="102" t="str">
        <x:v>TERM0197</x:v>
      </x:c>
      <x:c r="C146" s="102" t="str">
        <x:v>STS crane</x:v>
      </x:c>
      <x:c r="D146" s="102" t="n">
        <x:v>18</x:v>
      </x:c>
      <x:c r="E146" s="102" t="str"/>
      <x:c r="F146" s="102" t="str">
        <x:v>Operating</x:v>
      </x:c>
      <x:c r="G146" s="102" t="str">
        <x:v>APM Terminals</x:v>
      </x:c>
      <x:c r="H146" s="102" t="str">
        <x:v>https://www2.apmterminals.com/en/scct/about/our-terminal</x:v>
      </x:c>
      <x:c r="I146" s="102" t="str">
        <x:v>APM-SUEZ-CANAL-CONTAINER-TERMINAL-SCCT</x:v>
      </x:c>
    </x:row>
    <x:row r="147">
      <x:c r="A147" s="102" t="str">
        <x:v>EQ00146</x:v>
      </x:c>
      <x:c r="B147" s="102" t="str">
        <x:v>TERM0197</x:v>
      </x:c>
      <x:c r="C147" s="102" t="str">
        <x:v>RTG</x:v>
      </x:c>
      <x:c r="D147" s="102" t="n">
        <x:v>60</x:v>
      </x:c>
      <x:c r="E147" s="102" t="str"/>
      <x:c r="F147" s="102" t="str">
        <x:v>Operating</x:v>
      </x:c>
      <x:c r="G147" s="102" t="str">
        <x:v>APM Terminals</x:v>
      </x:c>
      <x:c r="H147" s="102" t="str">
        <x:v>https://www2.apmterminals.com/en/scct/about/our-terminal</x:v>
      </x:c>
      <x:c r="I147" s="102" t="str">
        <x:v>APM-SUEZ-CANAL-CONTAINER-TERMINAL-SCCT</x:v>
      </x:c>
    </x:row>
    <x:row r="148">
      <x:c r="A148" s="102" t="str">
        <x:v>EQ00147</x:v>
      </x:c>
      <x:c r="B148" s="102" t="str">
        <x:v>TERM0199</x:v>
      </x:c>
      <x:c r="C148" s="102" t="str">
        <x:v>STS crane</x:v>
      </x:c>
      <x:c r="D148" s="102" t="n">
        <x:v>7</x:v>
      </x:c>
      <x:c r="E148" s="102" t="str"/>
      <x:c r="F148" s="102" t="str">
        <x:v>Operating</x:v>
      </x:c>
      <x:c r="G148" s="102" t="str">
        <x:v>APM Terminals</x:v>
      </x:c>
      <x:c r="H148" s="102" t="str">
        <x:v>https://akamai.apmterminals.com/en/aqaba/about/our-terminal</x:v>
      </x:c>
      <x:c r="I148" s="102" t="str">
        <x:v>APM-AQABA</x:v>
      </x:c>
    </x:row>
    <x:row r="149">
      <x:c r="A149" s="102" t="str">
        <x:v>EQ00148</x:v>
      </x:c>
      <x:c r="B149" s="102" t="str">
        <x:v>TERM0199</x:v>
      </x:c>
      <x:c r="C149" s="102" t="str">
        <x:v>RTG</x:v>
      </x:c>
      <x:c r="D149" s="102" t="n">
        <x:v>22</x:v>
      </x:c>
      <x:c r="E149" s="102" t="str"/>
      <x:c r="F149" s="102" t="str">
        <x:v>Operating</x:v>
      </x:c>
      <x:c r="G149" s="102" t="str">
        <x:v>APM Terminals</x:v>
      </x:c>
      <x:c r="H149" s="102" t="str">
        <x:v>https://akamai.apmterminals.com/en/aqaba/about/our-terminal</x:v>
      </x:c>
      <x:c r="I149" s="102" t="str">
        <x:v>APM-AQABA</x:v>
      </x:c>
    </x:row>
    <x:row r="150">
      <x:c r="A150" s="102" t="str">
        <x:v>EQ00149</x:v>
      </x:c>
      <x:c r="B150" s="102" t="str">
        <x:v>TERM0199</x:v>
      </x:c>
      <x:c r="C150" s="102" t="str">
        <x:v>Reach stacker</x:v>
      </x:c>
      <x:c r="D150" s="102" t="n">
        <x:v>9</x:v>
      </x:c>
      <x:c r="E150" s="102" t="str"/>
      <x:c r="F150" s="102" t="str">
        <x:v>Operating</x:v>
      </x:c>
      <x:c r="G150" s="102" t="str">
        <x:v>APM Terminals</x:v>
      </x:c>
      <x:c r="H150" s="102" t="str">
        <x:v>https://akamai.apmterminals.com/en/aqaba/about/our-terminal</x:v>
      </x:c>
      <x:c r="I150" s="102" t="str">
        <x:v>APM-AQABA</x:v>
      </x:c>
    </x:row>
    <x:row r="151">
      <x:c r="A151" s="102" t="str">
        <x:v>EQ00150</x:v>
      </x:c>
      <x:c r="B151" s="102" t="str">
        <x:v>TERM0199</x:v>
      </x:c>
      <x:c r="C151" s="102" t="str">
        <x:v>Empty handler</x:v>
      </x:c>
      <x:c r="D151" s="102" t="n">
        <x:v>12</x:v>
      </x:c>
      <x:c r="E151" s="102" t="str"/>
      <x:c r="F151" s="102" t="str">
        <x:v>Operating</x:v>
      </x:c>
      <x:c r="G151" s="102" t="str">
        <x:v>APM Terminals</x:v>
      </x:c>
      <x:c r="H151" s="102" t="str">
        <x:v>https://akamai.apmterminals.com/en/aqaba/about/our-terminal</x:v>
      </x:c>
      <x:c r="I151" s="102" t="str">
        <x:v>APM-AQABA</x:v>
      </x:c>
    </x:row>
    <x:row r="152">
      <x:c r="A152" s="102" t="str">
        <x:v>EQ00151</x:v>
      </x:c>
      <x:c r="B152" s="102" t="str">
        <x:v>TERM0199</x:v>
      </x:c>
      <x:c r="C152" s="102" t="str">
        <x:v>Terminal truck</x:v>
      </x:c>
      <x:c r="D152" s="102" t="n">
        <x:v>46</x:v>
      </x:c>
      <x:c r="E152" s="102" t="str"/>
      <x:c r="F152" s="102" t="str">
        <x:v>Operating</x:v>
      </x:c>
      <x:c r="G152" s="102" t="str">
        <x:v>APM Terminals</x:v>
      </x:c>
      <x:c r="H152" s="102" t="str">
        <x:v>https://akamai.apmterminals.com/en/aqaba/about/our-terminal</x:v>
      </x:c>
      <x:c r="I152" s="102" t="str">
        <x:v>APM-AQABA</x:v>
      </x:c>
    </x:row>
    <x:row r="153">
      <x:c r="A153" s="102" t="str">
        <x:v>EQ00152</x:v>
      </x:c>
      <x:c r="B153" s="102" t="str">
        <x:v>TERM0201</x:v>
      </x:c>
      <x:c r="C153" s="102" t="str">
        <x:v>STS crane</x:v>
      </x:c>
      <x:c r="D153" s="102" t="n">
        <x:v>20</x:v>
      </x:c>
      <x:c r="E153" s="102" t="str">
        <x:v>Dual-trolley</x:v>
      </x:c>
      <x:c r="F153" s="102" t="str">
        <x:v>Operating</x:v>
      </x:c>
      <x:c r="G153" s="102" t="str">
        <x:v>APM Terminals</x:v>
      </x:c>
      <x:c r="H153" s="102" t="str">
        <x:v>https://www2.apmterminals.com/en/medport-tangier/about/our-terminal</x:v>
      </x:c>
      <x:c r="I153" s="102" t="str">
        <x:v>APM-MEDPORT-TANGIER</x:v>
      </x:c>
    </x:row>
    <x:row r="154">
      <x:c r="A154" s="102" t="str">
        <x:v>EQ00153</x:v>
      </x:c>
      <x:c r="B154" s="102" t="str">
        <x:v>TERM0201</x:v>
      </x:c>
      <x:c r="C154" s="102" t="str">
        <x:v>ARMG</x:v>
      </x:c>
      <x:c r="D154" s="102" t="n">
        <x:v>70</x:v>
      </x:c>
      <x:c r="E154" s="102" t="str">
        <x:v>Automated rail-mounted gantry</x:v>
      </x:c>
      <x:c r="F154" s="102" t="str">
        <x:v>Operating</x:v>
      </x:c>
      <x:c r="G154" s="102" t="str">
        <x:v>APM Terminals</x:v>
      </x:c>
      <x:c r="H154" s="102" t="str">
        <x:v>https://www2.apmterminals.com/en/medport-tangier/about/our-terminal</x:v>
      </x:c>
      <x:c r="I154" s="102" t="str">
        <x:v>APM-MEDPORT-TANGIER</x:v>
      </x:c>
    </x:row>
    <x:row r="155">
      <x:c r="A155" s="102" t="str">
        <x:v>EQ00154</x:v>
      </x:c>
      <x:c r="B155" s="102" t="str">
        <x:v>TERM0201</x:v>
      </x:c>
      <x:c r="C155" s="102" t="str">
        <x:v>Shuttle carrier</x:v>
      </x:c>
      <x:c r="D155" s="102" t="n">
        <x:v>65</x:v>
      </x:c>
      <x:c r="E155" s="102" t="str"/>
      <x:c r="F155" s="102" t="str">
        <x:v>Operating</x:v>
      </x:c>
      <x:c r="G155" s="102" t="str">
        <x:v>APM Terminals</x:v>
      </x:c>
      <x:c r="H155" s="102" t="str">
        <x:v>https://www2.apmterminals.com/en/medport-tangier/about/our-terminal</x:v>
      </x:c>
      <x:c r="I155" s="102" t="str">
        <x:v>APM-MEDPORT-TANGIER</x:v>
      </x:c>
    </x:row>
    <x:row r="156">
      <x:c r="A156" s="102" t="str">
        <x:v>EQ00155</x:v>
      </x:c>
      <x:c r="B156" s="102" t="str">
        <x:v>TERM0203</x:v>
      </x:c>
      <x:c r="C156" s="102" t="str">
        <x:v>RTG</x:v>
      </x:c>
      <x:c r="D156" s="102" t="n">
        <x:v>27</x:v>
      </x:c>
      <x:c r="E156" s="102" t="str"/>
      <x:c r="F156" s="102" t="str">
        <x:v>Operating</x:v>
      </x:c>
      <x:c r="G156" s="102" t="str">
        <x:v>APM Terminals</x:v>
      </x:c>
      <x:c r="H156" s="102" t="str">
        <x:v>https://www2.apmterminals.com/en/apapa/about/our-terminal</x:v>
      </x:c>
      <x:c r="I156" s="102" t="str">
        <x:v>APM-APAPA</x:v>
      </x:c>
    </x:row>
    <x:row r="157">
      <x:c r="A157" s="102" t="str">
        <x:v>EQ00156</x:v>
      </x:c>
      <x:c r="B157" s="102" t="str">
        <x:v>TERM0203</x:v>
      </x:c>
      <x:c r="C157" s="102" t="str">
        <x:v>Mobile harbour crane</x:v>
      </x:c>
      <x:c r="D157" s="102" t="n">
        <x:v>13</x:v>
      </x:c>
      <x:c r="E157" s="102" t="str"/>
      <x:c r="F157" s="102" t="str">
        <x:v>Operating</x:v>
      </x:c>
      <x:c r="G157" s="102" t="str">
        <x:v>APM Terminals</x:v>
      </x:c>
      <x:c r="H157" s="102" t="str">
        <x:v>https://www2.apmterminals.com/en/apapa/about/our-terminal</x:v>
      </x:c>
      <x:c r="I157" s="102" t="str">
        <x:v>APM-APAPA</x:v>
      </x:c>
    </x:row>
    <x:row r="158">
      <x:c r="A158" s="102" t="str">
        <x:v>EQ00157</x:v>
      </x:c>
      <x:c r="B158" s="102" t="str">
        <x:v>TERM0203</x:v>
      </x:c>
      <x:c r="C158" s="102" t="str">
        <x:v>Reach stacker</x:v>
      </x:c>
      <x:c r="D158" s="102" t="n">
        <x:v>7</x:v>
      </x:c>
      <x:c r="E158" s="102" t="str"/>
      <x:c r="F158" s="102" t="str">
        <x:v>Operating</x:v>
      </x:c>
      <x:c r="G158" s="102" t="str">
        <x:v>APM Terminals</x:v>
      </x:c>
      <x:c r="H158" s="102" t="str">
        <x:v>https://www2.apmterminals.com/en/apapa/about/our-terminal</x:v>
      </x:c>
      <x:c r="I158" s="102" t="str">
        <x:v>APM-APAPA</x:v>
      </x:c>
    </x:row>
    <x:row r="159">
      <x:c r="A159" s="102" t="str">
        <x:v>EQ00158</x:v>
      </x:c>
      <x:c r="B159" s="102" t="str">
        <x:v>TERM0203</x:v>
      </x:c>
      <x:c r="C159" s="102" t="str">
        <x:v>Empty handler</x:v>
      </x:c>
      <x:c r="D159" s="102" t="n">
        <x:v>6</x:v>
      </x:c>
      <x:c r="E159" s="102" t="str"/>
      <x:c r="F159" s="102" t="str">
        <x:v>Operating</x:v>
      </x:c>
      <x:c r="G159" s="102" t="str">
        <x:v>APM Terminals</x:v>
      </x:c>
      <x:c r="H159" s="102" t="str">
        <x:v>https://www2.apmterminals.com/en/apapa/about/our-terminal</x:v>
      </x:c>
      <x:c r="I159" s="102" t="str">
        <x:v>APM-APAPA</x:v>
      </x:c>
    </x:row>
    <x:row r="160">
      <x:c r="A160" s="102" t="str">
        <x:v>EQ00159</x:v>
      </x:c>
      <x:c r="B160" s="102" t="str">
        <x:v>TERM0203</x:v>
      </x:c>
      <x:c r="C160" s="102" t="str">
        <x:v>Terminal truck</x:v>
      </x:c>
      <x:c r="D160" s="102" t="n">
        <x:v>65</x:v>
      </x:c>
      <x:c r="E160" s="102" t="str"/>
      <x:c r="F160" s="102" t="str">
        <x:v>Operating</x:v>
      </x:c>
      <x:c r="G160" s="102" t="str">
        <x:v>APM Terminals</x:v>
      </x:c>
      <x:c r="H160" s="102" t="str">
        <x:v>https://www2.apmterminals.com/en/apapa/about/our-terminal</x:v>
      </x:c>
      <x:c r="I160" s="102" t="str">
        <x:v>APM-APAPA</x:v>
      </x:c>
    </x:row>
    <x:row r="161">
      <x:c r="A161" s="102" t="str">
        <x:v>EQ00160</x:v>
      </x:c>
      <x:c r="B161" s="102" t="str">
        <x:v>TERM0204</x:v>
      </x:c>
      <x:c r="C161" s="102" t="str">
        <x:v>RTG</x:v>
      </x:c>
      <x:c r="D161" s="102" t="n">
        <x:v>20</x:v>
      </x:c>
      <x:c r="E161" s="102" t="str"/>
      <x:c r="F161" s="102" t="str">
        <x:v>Operating</x:v>
      </x:c>
      <x:c r="G161" s="102" t="str">
        <x:v>APM Terminals</x:v>
      </x:c>
      <x:c r="H161" s="102" t="str">
        <x:v>https://www2.apmterminals.com/en/onne/about/our-terminal</x:v>
      </x:c>
      <x:c r="I161" s="102" t="str">
        <x:v>APM-ONNE</x:v>
      </x:c>
    </x:row>
    <x:row r="162">
      <x:c r="A162" s="102" t="str">
        <x:v>EQ00161</x:v>
      </x:c>
      <x:c r="B162" s="102" t="str">
        <x:v>TERM0204</x:v>
      </x:c>
      <x:c r="C162" s="102" t="str">
        <x:v>Mobile harbour crane</x:v>
      </x:c>
      <x:c r="D162" s="102" t="n">
        <x:v>5</x:v>
      </x:c>
      <x:c r="E162" s="102" t="str"/>
      <x:c r="F162" s="102" t="str">
        <x:v>Operating</x:v>
      </x:c>
      <x:c r="G162" s="102" t="str">
        <x:v>APM Terminals</x:v>
      </x:c>
      <x:c r="H162" s="102" t="str">
        <x:v>https://www2.apmterminals.com/en/onne/about/our-terminal</x:v>
      </x:c>
      <x:c r="I162" s="102" t="str">
        <x:v>APM-ONNE</x:v>
      </x:c>
    </x:row>
    <x:row r="163">
      <x:c r="A163" s="102" t="str">
        <x:v>EQ00162</x:v>
      </x:c>
      <x:c r="B163" s="102" t="str">
        <x:v>TERM0204</x:v>
      </x:c>
      <x:c r="C163" s="102" t="str">
        <x:v>Reach stacker</x:v>
      </x:c>
      <x:c r="D163" s="102" t="n">
        <x:v>7</x:v>
      </x:c>
      <x:c r="E163" s="102" t="str"/>
      <x:c r="F163" s="102" t="str">
        <x:v>Operating</x:v>
      </x:c>
      <x:c r="G163" s="102" t="str">
        <x:v>APM Terminals</x:v>
      </x:c>
      <x:c r="H163" s="102" t="str">
        <x:v>https://www2.apmterminals.com/en/onne/about/our-terminal</x:v>
      </x:c>
      <x:c r="I163" s="102" t="str">
        <x:v>APM-ONNE</x:v>
      </x:c>
    </x:row>
    <x:row r="164">
      <x:c r="A164" s="102" t="str">
        <x:v>EQ00163</x:v>
      </x:c>
      <x:c r="B164" s="102" t="str">
        <x:v>TERM0204</x:v>
      </x:c>
      <x:c r="C164" s="102" t="str">
        <x:v>Empty handler</x:v>
      </x:c>
      <x:c r="D164" s="102" t="n">
        <x:v>6</x:v>
      </x:c>
      <x:c r="E164" s="102" t="str"/>
      <x:c r="F164" s="102" t="str">
        <x:v>Operating</x:v>
      </x:c>
      <x:c r="G164" s="102" t="str">
        <x:v>APM Terminals</x:v>
      </x:c>
      <x:c r="H164" s="102" t="str">
        <x:v>https://www2.apmterminals.com/en/onne/about/our-terminal</x:v>
      </x:c>
      <x:c r="I164" s="102" t="str">
        <x:v>APM-ONNE</x:v>
      </x:c>
    </x:row>
    <x:row r="165">
      <x:c r="A165" s="102" t="str">
        <x:v>EQ00164</x:v>
      </x:c>
      <x:c r="B165" s="102" t="str">
        <x:v>TERM0204</x:v>
      </x:c>
      <x:c r="C165" s="102" t="str">
        <x:v>Terminal truck</x:v>
      </x:c>
      <x:c r="D165" s="102" t="n">
        <x:v>37</x:v>
      </x:c>
      <x:c r="E165" s="102" t="str"/>
      <x:c r="F165" s="102" t="str">
        <x:v>Operating</x:v>
      </x:c>
      <x:c r="G165" s="102" t="str">
        <x:v>APM Terminals</x:v>
      </x:c>
      <x:c r="H165" s="102" t="str">
        <x:v>https://www2.apmterminals.com/en/onne/about/our-terminal</x:v>
      </x:c>
      <x:c r="I165" s="102" t="str">
        <x:v>APM-ONNE</x:v>
      </x:c>
    </x:row>
    <x:row r="166">
      <x:c r="A166" s="102" t="str">
        <x:v>EQ00165</x:v>
      </x:c>
      <x:c r="B166" s="102" t="str">
        <x:v>TERM0208</x:v>
      </x:c>
      <x:c r="C166" s="102" t="str">
        <x:v>STS crane</x:v>
      </x:c>
      <x:c r="D166" s="102" t="n">
        <x:v>15</x:v>
      </x:c>
      <x:c r="E166" s="102" t="str">
        <x:v>Super-Panamax</x:v>
      </x:c>
      <x:c r="F166" s="102" t="str">
        <x:v>Operating</x:v>
      </x:c>
      <x:c r="G166" s="102" t="str">
        <x:v>APM Terminals</x:v>
      </x:c>
      <x:c r="H166" s="102" t="str">
        <x:v>https://www2.apmterminals.com/en/shanghai/about/our-terminal</x:v>
      </x:c>
      <x:c r="I166" s="102" t="str">
        <x:v>APM-SHANGHAI</x:v>
      </x:c>
    </x:row>
    <x:row r="167">
      <x:c r="A167" s="102" t="str">
        <x:v>EQ00166</x:v>
      </x:c>
      <x:c r="B167" s="102" t="str">
        <x:v>TERM0208</x:v>
      </x:c>
      <x:c r="C167" s="102" t="str">
        <x:v>Additional quay crane</x:v>
      </x:c>
      <x:c r="D167" s="102" t="n">
        <x:v>2</x:v>
      </x:c>
      <x:c r="E167" s="102" t="str"/>
      <x:c r="F167" s="102" t="str">
        <x:v>Operating</x:v>
      </x:c>
      <x:c r="G167" s="102" t="str">
        <x:v>APM Terminals</x:v>
      </x:c>
      <x:c r="H167" s="102" t="str">
        <x:v>https://www2.apmterminals.com/en/shanghai/about/our-terminal</x:v>
      </x:c>
      <x:c r="I167" s="102" t="str">
        <x:v>APM-SHANGHAI</x:v>
      </x:c>
    </x:row>
    <x:row r="168">
      <x:c r="A168" s="102" t="str">
        <x:v>EQ00167</x:v>
      </x:c>
      <x:c r="B168" s="102" t="str">
        <x:v>TERM0211</x:v>
      </x:c>
      <x:c r="C168" s="102" t="str">
        <x:v>STS crane</x:v>
      </x:c>
      <x:c r="D168" s="102" t="n">
        <x:v>11</x:v>
      </x:c>
      <x:c r="E168" s="102" t="str">
        <x:v>Twin-lift; 6 new + 5 legacy</x:v>
      </x:c>
      <x:c r="F168" s="102" t="str">
        <x:v>Operating</x:v>
      </x:c>
      <x:c r="G168" s="102" t="str">
        <x:v>APM Terminals</x:v>
      </x:c>
      <x:c r="H168" s="102" t="str">
        <x:v>https://www2.apmterminals.com/en/mumbai/about/our-terminal</x:v>
      </x:c>
      <x:c r="I168" s="102" t="str">
        <x:v>APM-MUMBAI</x:v>
      </x:c>
    </x:row>
    <x:row r="169">
      <x:c r="A169" s="102" t="str">
        <x:v>EQ00168</x:v>
      </x:c>
      <x:c r="B169" s="102" t="str">
        <x:v>TERM0211</x:v>
      </x:c>
      <x:c r="C169" s="102" t="str">
        <x:v>RTG</x:v>
      </x:c>
      <x:c r="D169" s="102" t="n">
        <x:v>40</x:v>
      </x:c>
      <x:c r="E169" s="102" t="str">
        <x:v>GPS-assisted</x:v>
      </x:c>
      <x:c r="F169" s="102" t="str">
        <x:v>Operating</x:v>
      </x:c>
      <x:c r="G169" s="102" t="str">
        <x:v>APM Terminals</x:v>
      </x:c>
      <x:c r="H169" s="102" t="str">
        <x:v>https://www2.apmterminals.com/en/mumbai/about/our-terminal</x:v>
      </x:c>
      <x:c r="I169" s="102" t="str">
        <x:v>APM-MUMBAI</x:v>
      </x:c>
    </x:row>
    <x:row r="170">
      <x:c r="A170" s="102" t="str">
        <x:v>EQ00169</x:v>
      </x:c>
      <x:c r="B170" s="102" t="str">
        <x:v>TERM0211</x:v>
      </x:c>
      <x:c r="C170" s="102" t="str">
        <x:v>RMG</x:v>
      </x:c>
      <x:c r="D170" s="102" t="n">
        <x:v>3</x:v>
      </x:c>
      <x:c r="E170" s="102" t="str">
        <x:v>Rail mounted gantry</x:v>
      </x:c>
      <x:c r="F170" s="102" t="str">
        <x:v>Operating</x:v>
      </x:c>
      <x:c r="G170" s="102" t="str">
        <x:v>APM Terminals</x:v>
      </x:c>
      <x:c r="H170" s="102" t="str">
        <x:v>https://www2.apmterminals.com/en/mumbai/about/our-terminal</x:v>
      </x:c>
      <x:c r="I170" s="102" t="str">
        <x:v>APM-MUMBAI</x:v>
      </x:c>
    </x:row>
    <x:row r="171">
      <x:c r="A171" s="102" t="str">
        <x:v>EQ00170</x:v>
      </x:c>
      <x:c r="B171" s="102" t="str">
        <x:v>TERM0212</x:v>
      </x:c>
      <x:c r="C171" s="102" t="str">
        <x:v>Post-Panamax crane</x:v>
      </x:c>
      <x:c r="D171" s="102" t="n">
        <x:v>8</x:v>
      </x:c>
      <x:c r="E171" s="102" t="str"/>
      <x:c r="F171" s="102" t="str">
        <x:v>Operating</x:v>
      </x:c>
      <x:c r="G171" s="102" t="str">
        <x:v>APM Terminals</x:v>
      </x:c>
      <x:c r="H171" s="102" t="str">
        <x:v>https://www2.apmterminals.com/en/pipavav/about/our-terminal</x:v>
      </x:c>
      <x:c r="I171" s="102" t="str">
        <x:v>APM-PIPAVAV</x:v>
      </x:c>
    </x:row>
    <x:row r="172">
      <x:c r="A172" s="102" t="str">
        <x:v>EQ00171</x:v>
      </x:c>
      <x:c r="B172" s="102" t="str">
        <x:v>TERM0212</x:v>
      </x:c>
      <x:c r="C172" s="102" t="str">
        <x:v>RTG</x:v>
      </x:c>
      <x:c r="D172" s="102" t="n">
        <x:v>20</x:v>
      </x:c>
      <x:c r="E172" s="102" t="str"/>
      <x:c r="F172" s="102" t="str">
        <x:v>Operating</x:v>
      </x:c>
      <x:c r="G172" s="102" t="str">
        <x:v>APM Terminals</x:v>
      </x:c>
      <x:c r="H172" s="102" t="str">
        <x:v>https://www2.apmterminals.com/en/pipavav/about/our-terminal</x:v>
      </x:c>
      <x:c r="I172" s="102" t="str">
        <x:v>APM-PIPAVAV</x:v>
      </x:c>
    </x:row>
    <x:row r="173">
      <x:c r="A173" s="102" t="str">
        <x:v>EQ00172</x:v>
      </x:c>
      <x:c r="B173" s="102" t="str">
        <x:v>TERM0212</x:v>
      </x:c>
      <x:c r="C173" s="102" t="str">
        <x:v>RMG</x:v>
      </x:c>
      <x:c r="D173" s="102" t="n">
        <x:v>4</x:v>
      </x:c>
      <x:c r="E173" s="102" t="str"/>
      <x:c r="F173" s="102" t="str">
        <x:v>Operating</x:v>
      </x:c>
      <x:c r="G173" s="102" t="str">
        <x:v>APM Terminals</x:v>
      </x:c>
      <x:c r="H173" s="102" t="str">
        <x:v>https://www2.apmterminals.com/en/pipavav/about/our-terminal</x:v>
      </x:c>
      <x:c r="I173" s="102" t="str">
        <x:v>APM-PIPAVAV</x:v>
      </x:c>
    </x:row>
    <x:row r="174">
      <x:c r="A174" s="102" t="str">
        <x:v>EQ00173</x:v>
      </x:c>
      <x:c r="B174" s="102" t="str">
        <x:v>TERM0214</x:v>
      </x:c>
      <x:c r="C174" s="102" t="str">
        <x:v>Super Post-Panamax STS</x:v>
      </x:c>
      <x:c r="D174" s="102" t="n">
        <x:v>66</x:v>
      </x:c>
      <x:c r="E174" s="102" t="str">
        <x:v>24 with 24-box outreach</x:v>
      </x:c>
      <x:c r="F174" s="102" t="str">
        <x:v>Operating</x:v>
      </x:c>
      <x:c r="G174" s="102" t="str">
        <x:v>APM Terminals</x:v>
      </x:c>
      <x:c r="H174" s="102" t="str">
        <x:v>https://akamai.apmterminals.com/en/tanjung-pelepas/about/our-terminal</x:v>
      </x:c>
      <x:c r="I174" s="102" t="str">
        <x:v>APM-TANJUNG-PELEPAS</x:v>
      </x:c>
    </x:row>
    <x:row r="175">
      <x:c r="A175" s="102" t="str">
        <x:v>EQ00174</x:v>
      </x:c>
      <x:c r="B175" s="102" t="str">
        <x:v>TERM0214</x:v>
      </x:c>
      <x:c r="C175" s="102" t="str">
        <x:v>RTG</x:v>
      </x:c>
      <x:c r="D175" s="102" t="n">
        <x:v>172</x:v>
      </x:c>
      <x:c r="E175" s="102" t="str">
        <x:v>Electrified/automated steering support</x:v>
      </x:c>
      <x:c r="F175" s="102" t="str">
        <x:v>Operating</x:v>
      </x:c>
      <x:c r="G175" s="102" t="str">
        <x:v>APM Terminals</x:v>
      </x:c>
      <x:c r="H175" s="102" t="str">
        <x:v>https://akamai.apmterminals.com/en/tanjung-pelepas/about/our-terminal</x:v>
      </x:c>
      <x:c r="I175" s="102" t="str">
        <x:v>APM-TANJUNG-PELEPAS</x:v>
      </x:c>
    </x:row>
    <x:row r="176">
      <x:c r="A176" s="102" t="str">
        <x:v>EQ00175</x:v>
      </x:c>
      <x:c r="B176" s="102" t="str">
        <x:v>TERM0216</x:v>
      </x:c>
      <x:c r="C176" s="102" t="str">
        <x:v>Super Post-Panamax STS</x:v>
      </x:c>
      <x:c r="D176" s="102" t="n">
        <x:v>6</x:v>
      </x:c>
      <x:c r="E176" s="102" t="str"/>
      <x:c r="F176" s="102" t="str">
        <x:v>Operating</x:v>
      </x:c>
      <x:c r="G176" s="102" t="str">
        <x:v>APM Terminals</x:v>
      </x:c>
      <x:c r="H176" s="102" t="str">
        <x:v>https://akamai.apmterminals.com/en/cai-mep/about/our-terminal</x:v>
      </x:c>
      <x:c r="I176" s="102" t="str">
        <x:v>APM-CAI-MEP</x:v>
      </x:c>
    </x:row>
    <x:row r="177">
      <x:c r="A177" s="102" t="str">
        <x:v>EQ00176</x:v>
      </x:c>
      <x:c r="B177" s="102" t="str">
        <x:v>TERM0216</x:v>
      </x:c>
      <x:c r="C177" s="102" t="str">
        <x:v>RTG</x:v>
      </x:c>
      <x:c r="D177" s="102" t="n">
        <x:v>15</x:v>
      </x:c>
      <x:c r="E177" s="102" t="str"/>
      <x:c r="F177" s="102" t="str">
        <x:v>Operating</x:v>
      </x:c>
      <x:c r="G177" s="102" t="str">
        <x:v>APM Terminals</x:v>
      </x:c>
      <x:c r="H177" s="102" t="str">
        <x:v>https://akamai.apmterminals.com/en/cai-mep/about/our-terminal</x:v>
      </x:c>
      <x:c r="I177" s="102" t="str">
        <x:v>APM-CAI-MEP</x:v>
      </x:c>
    </x:row>
    <x:row r="178">
      <x:c r="A178" s="102" t="str">
        <x:v>EQ00177</x:v>
      </x:c>
      <x:c r="B178" s="102" t="str">
        <x:v>TERM0216</x:v>
      </x:c>
      <x:c r="C178" s="102" t="str">
        <x:v>Reach stacker</x:v>
      </x:c>
      <x:c r="D178" s="102" t="n">
        <x:v>3</x:v>
      </x:c>
      <x:c r="E178" s="102" t="str"/>
      <x:c r="F178" s="102" t="str">
        <x:v>Operating</x:v>
      </x:c>
      <x:c r="G178" s="102" t="str">
        <x:v>APM Terminals</x:v>
      </x:c>
      <x:c r="H178" s="102" t="str">
        <x:v>https://akamai.apmterminals.com/en/cai-mep/about/our-terminal</x:v>
      </x:c>
      <x:c r="I178" s="102" t="str">
        <x:v>APM-CAI-MEP</x:v>
      </x:c>
    </x:row>
    <x:row r="179">
      <x:c r="A179" s="102" t="str">
        <x:v>EQ00178</x:v>
      </x:c>
      <x:c r="B179" s="102" t="str">
        <x:v>TERM0216</x:v>
      </x:c>
      <x:c r="C179" s="102" t="str">
        <x:v>Empty handler</x:v>
      </x:c>
      <x:c r="D179" s="102" t="n">
        <x:v>2</x:v>
      </x:c>
      <x:c r="E179" s="102" t="str"/>
      <x:c r="F179" s="102" t="str">
        <x:v>Operating</x:v>
      </x:c>
      <x:c r="G179" s="102" t="str">
        <x:v>APM Terminals</x:v>
      </x:c>
      <x:c r="H179" s="102" t="str">
        <x:v>https://akamai.apmterminals.com/en/cai-mep/about/our-terminal</x:v>
      </x:c>
      <x:c r="I179" s="102" t="str">
        <x:v>APM-CAI-MEP</x:v>
      </x:c>
    </x:row>
    <x:row r="180">
      <x:c r="A180" s="102" t="str">
        <x:v>EQ00179</x:v>
      </x:c>
      <x:c r="B180" s="102" t="str">
        <x:v>TERM0233</x:v>
      </x:c>
      <x:c r="C180" s="102" t="str">
        <x:v>STS crane</x:v>
      </x:c>
      <x:c r="D180" s="102" t="n">
        <x:v>3</x:v>
      </x:c>
      <x:c r="E180" s="102" t="str">
        <x:v>22-container outreach</x:v>
      </x:c>
      <x:c r="F180" s="102" t="str">
        <x:v>Operating</x:v>
      </x:c>
      <x:c r="G180" s="102" t="str">
        <x:v>APM Terminals</x:v>
      </x:c>
      <x:c r="H180" s="102" t="str">
        <x:v>https://www2.apmterminals.com/en/pecem/about/our-terminal</x:v>
      </x:c>
      <x:c r="I180" s="102" t="str">
        <x:v>APM-PECÉM</x:v>
      </x:c>
    </x:row>
    <x:row r="181">
      <x:c r="A181" s="102" t="str">
        <x:v>EQ00180</x:v>
      </x:c>
      <x:c r="B181" s="102" t="str">
        <x:v>TERM0233</x:v>
      </x:c>
      <x:c r="C181" s="102" t="str">
        <x:v>Reach stacker</x:v>
      </x:c>
      <x:c r="D181" s="102" t="n">
        <x:v>14</x:v>
      </x:c>
      <x:c r="E181" s="102" t="str"/>
      <x:c r="F181" s="102" t="str">
        <x:v>Operating</x:v>
      </x:c>
      <x:c r="G181" s="102" t="str">
        <x:v>APM Terminals</x:v>
      </x:c>
      <x:c r="H181" s="102" t="str">
        <x:v>https://www2.apmterminals.com/en/pecem/about/our-terminal</x:v>
      </x:c>
      <x:c r="I181" s="102" t="str">
        <x:v>APM-PECÉM</x:v>
      </x:c>
    </x:row>
    <x:row r="182">
      <x:c r="A182" s="102" t="str">
        <x:v>EQ00181</x:v>
      </x:c>
      <x:c r="B182" s="102" t="str">
        <x:v>TERM0235</x:v>
      </x:c>
      <x:c r="C182" s="102" t="str">
        <x:v>Super Post-Panamax STS</x:v>
      </x:c>
      <x:c r="D182" s="102" t="n">
        <x:v>6</x:v>
      </x:c>
      <x:c r="E182" s="102" t="str"/>
      <x:c r="F182" s="102" t="str">
        <x:v>Operating</x:v>
      </x:c>
      <x:c r="G182" s="102" t="str">
        <x:v>APM Terminals</x:v>
      </x:c>
      <x:c r="H182" s="102" t="str">
        <x:v>https://www2.apmterminals.com/en/moin/about/our-terminal</x:v>
      </x:c>
      <x:c r="I182" s="102" t="str">
        <x:v>APM-MOÍN</x:v>
      </x:c>
    </x:row>
    <x:row r="183">
      <x:c r="A183" s="102" t="str">
        <x:v>EQ00182</x:v>
      </x:c>
      <x:c r="B183" s="102" t="str">
        <x:v>TERM0235</x:v>
      </x:c>
      <x:c r="C183" s="102" t="str">
        <x:v>eRTG</x:v>
      </x:c>
      <x:c r="D183" s="102" t="n">
        <x:v>29</x:v>
      </x:c>
      <x:c r="E183" s="102" t="str"/>
      <x:c r="F183" s="102" t="str">
        <x:v>Operating</x:v>
      </x:c>
      <x:c r="G183" s="102" t="str">
        <x:v>APM Terminals</x:v>
      </x:c>
      <x:c r="H183" s="102" t="str">
        <x:v>https://www2.apmterminals.com/en/moin/about/our-terminal</x:v>
      </x:c>
      <x:c r="I183" s="102" t="str">
        <x:v>APM-MOÍN</x:v>
      </x:c>
    </x:row>
    <x:row r="184">
      <x:c r="A184" s="102" t="str">
        <x:v>EQ00183</x:v>
      </x:c>
      <x:c r="B184" s="102" t="str">
        <x:v>TERM0236</x:v>
      </x:c>
      <x:c r="C184" s="102" t="str">
        <x:v>Super Post-Panamax STS</x:v>
      </x:c>
      <x:c r="D184" s="102" t="n">
        <x:v>3</x:v>
      </x:c>
      <x:c r="E184" s="102" t="str"/>
      <x:c r="F184" s="102" t="str">
        <x:v>Operating</x:v>
      </x:c>
      <x:c r="G184" s="102" t="str">
        <x:v>APM Terminals</x:v>
      </x:c>
      <x:c r="H184" s="102" t="str">
        <x:v>https://www2.apmterminals.com/en/puerto-quetzal/about/our-terminal</x:v>
      </x:c>
      <x:c r="I184" s="102" t="str">
        <x:v>APM-PUERTO-QUETZAL</x:v>
      </x:c>
    </x:row>
    <x:row r="185">
      <x:c r="A185" s="102" t="str">
        <x:v>EQ00184</x:v>
      </x:c>
      <x:c r="B185" s="102" t="str">
        <x:v>TERM0238</x:v>
      </x:c>
      <x:c r="C185" s="102" t="str">
        <x:v>Super Post-Panamax STS</x:v>
      </x:c>
      <x:c r="D185" s="102" t="n">
        <x:v>4</x:v>
      </x:c>
      <x:c r="E185" s="102" t="str"/>
      <x:c r="F185" s="102" t="str">
        <x:v>Operating</x:v>
      </x:c>
      <x:c r="G185" s="102" t="str">
        <x:v>APM Terminals</x:v>
      </x:c>
      <x:c r="H185" s="102" t="str">
        <x:v>https://www2.apmterminals.com/en/callao/about/our-terminal</x:v>
      </x:c>
      <x:c r="I185" s="102" t="str">
        <x:v>APM-CALLAO</x:v>
      </x:c>
    </x:row>
    <x:row r="186">
      <x:c r="A186" s="102" t="str">
        <x:v>EQ00185</x:v>
      </x:c>
      <x:c r="B186" s="102" t="str">
        <x:v>TERM0238</x:v>
      </x:c>
      <x:c r="C186" s="102" t="str">
        <x:v>Panamax STS</x:v>
      </x:c>
      <x:c r="D186" s="102" t="n">
        <x:v>2</x:v>
      </x:c>
      <x:c r="E186" s="102" t="str"/>
      <x:c r="F186" s="102" t="str">
        <x:v>Operating</x:v>
      </x:c>
      <x:c r="G186" s="102" t="str">
        <x:v>APM Terminals</x:v>
      </x:c>
      <x:c r="H186" s="102" t="str">
        <x:v>https://www2.apmterminals.com/en/callao/about/our-terminal</x:v>
      </x:c>
      <x:c r="I186" s="102" t="str">
        <x:v>APM-CALLAO</x:v>
      </x:c>
    </x:row>
    <x:row r="187">
      <x:c r="A187" s="102" t="str">
        <x:v>EQ00186</x:v>
      </x:c>
      <x:c r="B187" s="102" t="str">
        <x:v>TERM0238</x:v>
      </x:c>
      <x:c r="C187" s="102" t="str">
        <x:v>Mobile harbour crane</x:v>
      </x:c>
      <x:c r="D187" s="102" t="n">
        <x:v>4</x:v>
      </x:c>
      <x:c r="E187" s="102" t="str"/>
      <x:c r="F187" s="102" t="str">
        <x:v>Operating</x:v>
      </x:c>
      <x:c r="G187" s="102" t="str">
        <x:v>APM Terminals</x:v>
      </x:c>
      <x:c r="H187" s="102" t="str">
        <x:v>https://www2.apmterminals.com/en/callao/about/our-terminal</x:v>
      </x:c>
      <x:c r="I187" s="102" t="str">
        <x:v>APM-CALLAO</x:v>
      </x:c>
    </x:row>
    <x:row r="188">
      <x:c r="A188" s="102" t="str">
        <x:v>EQ00187</x:v>
      </x:c>
      <x:c r="B188" s="102" t="str">
        <x:v>TERM0238</x:v>
      </x:c>
      <x:c r="C188" s="102" t="str">
        <x:v>eRTG</x:v>
      </x:c>
      <x:c r="D188" s="102" t="n">
        <x:v>12</x:v>
      </x:c>
      <x:c r="E188" s="102" t="str"/>
      <x:c r="F188" s="102" t="str">
        <x:v>Operating</x:v>
      </x:c>
      <x:c r="G188" s="102" t="str">
        <x:v>APM Terminals</x:v>
      </x:c>
      <x:c r="H188" s="102" t="str">
        <x:v>https://www2.apmterminals.com/en/callao/about/our-terminal</x:v>
      </x:c>
      <x:c r="I188" s="102" t="str">
        <x:v>APM-CALLAO</x:v>
      </x:c>
    </x:row>
    <x:row r="189">
      <x:c r="A189" s="102" t="str">
        <x:v>EQ00188</x:v>
      </x:c>
      <x:c r="B189" s="102" t="str">
        <x:v>TERM0238</x:v>
      </x:c>
      <x:c r="C189" s="102" t="str">
        <x:v>RTG</x:v>
      </x:c>
      <x:c r="D189" s="102" t="n">
        <x:v>2</x:v>
      </x:c>
      <x:c r="E189" s="102" t="str">
        <x:v>Diesel</x:v>
      </x:c>
      <x:c r="F189" s="102" t="str">
        <x:v>Operating</x:v>
      </x:c>
      <x:c r="G189" s="102" t="str">
        <x:v>APM Terminals</x:v>
      </x:c>
      <x:c r="H189" s="102" t="str">
        <x:v>https://www2.apmterminals.com/en/callao/about/our-terminal</x:v>
      </x:c>
      <x:c r="I189" s="102" t="str">
        <x:v>APM-CALLAO</x:v>
      </x:c>
    </x:row>
    <x:row r="190">
      <x:c r="A190" s="102" t="str">
        <x:v>EQ00189</x:v>
      </x:c>
      <x:c r="B190" s="102" t="str">
        <x:v>TERM0239</x:v>
      </x:c>
      <x:c r="C190" s="102" t="str">
        <x:v>STS crane</x:v>
      </x:c>
      <x:c r="D190" s="102" t="n">
        <x:v>19</x:v>
      </x:c>
      <x:c r="E190" s="102" t="str">
        <x:v>Tallest cranes in Port of Los Angeles</x:v>
      </x:c>
      <x:c r="F190" s="102" t="str">
        <x:v>Operating</x:v>
      </x:c>
      <x:c r="G190" s="102" t="str">
        <x:v>APM Terminals</x:v>
      </x:c>
      <x:c r="H190" s="102" t="str">
        <x:v>https://www2.apmterminals.com/en/los-angeles/about/our-terminal</x:v>
      </x:c>
      <x:c r="I190" s="102" t="str">
        <x:v>APM-LOS-ANGELES-CA</x:v>
      </x:c>
    </x:row>
    <x:row r="191">
      <x:c r="A191" s="102" t="str">
        <x:v>EQ00190</x:v>
      </x:c>
      <x:c r="B191" s="102" t="str">
        <x:v>TERM0155</x:v>
      </x:c>
      <x:c r="C191" s="102" t="str">
        <x:v>eRTG</x:v>
      </x:c>
      <x:c r="D191" s="102" t="n">
        <x:v>18</x:v>
      </x:c>
      <x:c r="E191" s="102" t="str"/>
      <x:c r="F191" s="102" t="str">
        <x:v>Operating</x:v>
      </x:c>
      <x:c r="G191" s="102" t="str">
        <x:v>APM Terminals</x:v>
      </x:c>
      <x:c r="H191" s="102" t="str">
        <x:v>https://www2.apmterminals.com/en/miami/about/our-terminal</x:v>
      </x:c>
      <x:c r="I191" s="102" t="str">
        <x:v>APM-MIAMI-FL</x:v>
      </x:c>
    </x:row>
    <x:row r="192">
      <x:c r="A192" s="102" t="str">
        <x:v>EQ00191</x:v>
      </x:c>
      <x:c r="B192" s="102" t="str">
        <x:v>TERM0240</x:v>
      </x:c>
      <x:c r="C192" s="102" t="str">
        <x:v>Super Post-Panamax STS</x:v>
      </x:c>
      <x:c r="D192" s="102" t="n">
        <x:v>6</x:v>
      </x:c>
      <x:c r="E192" s="102" t="str">
        <x:v>23-container reach</x:v>
      </x:c>
      <x:c r="F192" s="102" t="str">
        <x:v>Operating</x:v>
      </x:c>
      <x:c r="G192" s="102" t="str">
        <x:v>APM Terminals</x:v>
      </x:c>
      <x:c r="H192" s="102" t="str">
        <x:v>https://www2.apmterminals.com/en/mobile/about/our-terminal</x:v>
      </x:c>
      <x:c r="I192" s="102" t="str">
        <x:v>APM-MOBILE-AL</x:v>
      </x:c>
    </x:row>
    <x:row r="193">
      <x:c r="A193" s="102" t="str">
        <x:v>EQ00192</x:v>
      </x:c>
      <x:c r="B193" s="102" t="str">
        <x:v>TERM0241</x:v>
      </x:c>
      <x:c r="C193" s="102" t="str">
        <x:v>STS crane</x:v>
      </x:c>
      <x:c r="D193" s="102" t="n">
        <x:v>14</x:v>
      </x:c>
      <x:c r="E193" s="102" t="str"/>
      <x:c r="F193" s="102" t="str">
        <x:v>Operating</x:v>
      </x:c>
      <x:c r="G193" s="102" t="str">
        <x:v>APM Terminals</x:v>
      </x:c>
      <x:c r="H193" s="102" t="str">
        <x:v>https://www2.apmterminals.com/en/port-elizabeth/about/our-terminal</x:v>
      </x:c>
      <x:c r="I193" s="102" t="str">
        <x:v>APM-ELIZABETH-NJ</x:v>
      </x:c>
    </x:row>
  </x:sheetData>
  <x:pageMargins left="0.7" right="0.7" top="0.75" bottom="0.75" header="0.3" footer="0.3"/>
</x:worksheet>
</file>

<file path=xl/worksheets/sheet81.xml><?xml version="1.0" encoding="utf-8"?>
<x:worksheet xmlns:x="http://schemas.openxmlformats.org/spreadsheetml/2006/main">
  <x:sheetFormatPr defaultRowHeight="15"/>
  <x:cols>
    <x:col min="1" max="1" width="16" hidden="0" customWidth="1"/>
    <x:col min="2" max="2" width="14" hidden="0" customWidth="1"/>
    <x:col min="3" max="3" width="22" hidden="0" customWidth="1"/>
    <x:col min="4" max="4" width="30" hidden="0" customWidth="1"/>
    <x:col min="5" max="5" width="30" hidden="0" customWidth="1"/>
    <x:col min="6" max="6" width="12" hidden="0" customWidth="1"/>
    <x:col min="7" max="7" width="20" hidden="0" customWidth="1"/>
    <x:col min="8" max="8" width="24" hidden="0" customWidth="1"/>
    <x:col min="9" max="9" width="55" hidden="0" customWidth="1"/>
    <x:col min="10" max="10" width="65" hidden="0" customWidth="1"/>
  </x:cols>
  <x:sheetData>
    <x:row r="1" ht="34" customHeight="1">
      <x:c r="A1" s="223" t="str">
        <x:v>Ownership ID</x:v>
      </x:c>
      <x:c r="B1" s="223" t="str">
        <x:v>Terminal ID</x:v>
      </x:c>
      <x:c r="C1" s="223" t="str">
        <x:v>Company ID</x:v>
      </x:c>
      <x:c r="D1" s="223" t="str">
        <x:v>Company / Partner</x:v>
      </x:c>
      <x:c r="E1" s="223" t="str">
        <x:v>Relationship</x:v>
      </x:c>
      <x:c r="F1" s="223" t="str">
        <x:v>Equity %</x:v>
      </x:c>
      <x:c r="G1" s="223" t="str">
        <x:v>Operating Control</x:v>
      </x:c>
      <x:c r="H1" s="223" t="str">
        <x:v>Status</x:v>
      </x:c>
      <x:c r="I1" s="223" t="str">
        <x:v>Details</x:v>
      </x:c>
      <x:c r="J1" s="223" t="str">
        <x:v>Source URL</x:v>
      </x:c>
    </x:row>
    <x:row r="2">
      <x:c r="A2" s="102" t="str">
        <x:v>OWN00001</x:v>
      </x:c>
      <x:c r="B2" s="102" t="str">
        <x:v>TERM0001</x:v>
      </x:c>
      <x:c r="C2" s="102" t="str">
        <x:v>COMP_DPW</x:v>
      </x:c>
      <x:c r="D2" s="102" t="str">
        <x:v>DP World</x:v>
      </x:c>
      <x:c r="E2" s="102" t="str">
        <x:v>Operator / portfolio relationship</x:v>
      </x:c>
      <x:c r="F2" s="102"/>
      <x:c r="G2" s="102" t="str">
        <x:v>Yes</x:v>
      </x:c>
      <x:c r="H2" s="102" t="str">
        <x:v>Current / see source</x:v>
      </x:c>
      <x:c r="I2" s="102" t="str">
        <x:v>DP World operating/ownership structure; see source notes</x:v>
      </x:c>
      <x:c r="J2" s="102" t="str">
        <x:v>https://dpw-prod-cd-1.dpworld.com/australia/ports-and-terminals/dp-world-sydney</x:v>
      </x:c>
    </x:row>
    <x:row r="3">
      <x:c r="A3" s="102" t="str">
        <x:v>OWN00002</x:v>
      </x:c>
      <x:c r="B3" s="102" t="str">
        <x:v>TERM0002</x:v>
      </x:c>
      <x:c r="C3" s="102" t="str">
        <x:v>COMP_DPW</x:v>
      </x:c>
      <x:c r="D3" s="102" t="str">
        <x:v>DP World</x:v>
      </x:c>
      <x:c r="E3" s="102" t="str">
        <x:v>Operator / portfolio relationship</x:v>
      </x:c>
      <x:c r="F3" s="102"/>
      <x:c r="G3" s="102" t="str">
        <x:v>Yes</x:v>
      </x:c>
      <x:c r="H3" s="102" t="str">
        <x:v>Current / see source</x:v>
      </x:c>
      <x:c r="I3" s="102" t="str">
        <x:v>DP World operating/ownership structure; see source notes</x:v>
      </x:c>
      <x:c r="J3" s="102" t="str">
        <x:v>https://dpw-prod-cd-1.dpworld.com/australia/ports-and-terminals/dp-world-brisbane</x:v>
      </x:c>
    </x:row>
    <x:row r="4">
      <x:c r="A4" s="102" t="str">
        <x:v>OWN00003</x:v>
      </x:c>
      <x:c r="B4" s="102" t="str">
        <x:v>TERM0003</x:v>
      </x:c>
      <x:c r="C4" s="102" t="str">
        <x:v>COMP_DPW</x:v>
      </x:c>
      <x:c r="D4" s="102" t="str">
        <x:v>DP World</x:v>
      </x:c>
      <x:c r="E4" s="102" t="str">
        <x:v>Operator / portfolio relationship</x:v>
      </x:c>
      <x:c r="F4" s="102"/>
      <x:c r="G4" s="102" t="str">
        <x:v>Yes</x:v>
      </x:c>
      <x:c r="H4" s="102" t="str">
        <x:v>Current / see source</x:v>
      </x:c>
      <x:c r="I4" s="102" t="str">
        <x:v>DP World operating/ownership structure; see source notes</x:v>
      </x:c>
      <x:c r="J4" s="102" t="str">
        <x:v>https://dpw-prod-cd-1.dpworld.com/australia/ports-and-terminals/dp-world-melbourne</x:v>
      </x:c>
    </x:row>
    <x:row r="5">
      <x:c r="A5" s="102" t="str">
        <x:v>OWN00004</x:v>
      </x:c>
      <x:c r="B5" s="102" t="str">
        <x:v>TERM0004</x:v>
      </x:c>
      <x:c r="C5" s="102" t="str">
        <x:v>COMP_DPW</x:v>
      </x:c>
      <x:c r="D5" s="102" t="str">
        <x:v>DP World</x:v>
      </x:c>
      <x:c r="E5" s="102" t="str">
        <x:v>Operator / portfolio relationship</x:v>
      </x:c>
      <x:c r="F5" s="102"/>
      <x:c r="G5" s="102" t="str">
        <x:v>Yes</x:v>
      </x:c>
      <x:c r="H5" s="102" t="str">
        <x:v>Current / see source</x:v>
      </x:c>
      <x:c r="I5" s="102" t="str">
        <x:v>DP World operating/ownership structure; see source notes</x:v>
      </x:c>
      <x:c r="J5" s="102" t="str">
        <x:v>https://dpw-prod-cd-1.dpworld.com/australia/ports-and-terminals/dp-world-fremantle</x:v>
      </x:c>
    </x:row>
    <x:row r="6">
      <x:c r="A6" s="102" t="str">
        <x:v>OWN00005</x:v>
      </x:c>
      <x:c r="B6" s="102" t="str">
        <x:v>TERM0005</x:v>
      </x:c>
      <x:c r="C6" s="102" t="str">
        <x:v>COMP_DPW</x:v>
      </x:c>
      <x:c r="D6" s="102" t="str">
        <x:v>DP World</x:v>
      </x:c>
      <x:c r="E6" s="102" t="str">
        <x:v>Operator / portfolio relationship</x:v>
      </x:c>
      <x:c r="F6" s="102"/>
      <x:c r="G6" s="102" t="str">
        <x:v>Yes</x:v>
      </x:c>
      <x:c r="H6" s="102" t="str">
        <x:v>Current / see source</x:v>
      </x:c>
      <x:c r="I6" s="102" t="str">
        <x:v>DP World operating/ownership structure; see source notes</x:v>
      </x:c>
      <x:c r="J6" s="102" t="str">
        <x:v>https://www.dpworld.com/en/ports-terminals/china/qingdao-port</x:v>
      </x:c>
    </x:row>
    <x:row r="7">
      <x:c r="A7" s="102" t="str">
        <x:v>OWN00006</x:v>
      </x:c>
      <x:c r="B7" s="102" t="str">
        <x:v>TERM0006</x:v>
      </x:c>
      <x:c r="C7" s="102" t="str">
        <x:v>COMP_DPW</x:v>
      </x:c>
      <x:c r="D7" s="102" t="str">
        <x:v>DP World</x:v>
      </x:c>
      <x:c r="E7" s="102" t="str">
        <x:v>Operator / portfolio relationship</x:v>
      </x:c>
      <x:c r="F7" s="102"/>
      <x:c r="G7" s="102" t="str">
        <x:v>Yes</x:v>
      </x:c>
      <x:c r="H7" s="102" t="str">
        <x:v>Current / see source</x:v>
      </x:c>
      <x:c r="I7" s="102" t="str">
        <x:v>DP World operating/ownership structure; see source notes</x:v>
      </x:c>
      <x:c r="J7" s="102" t="str">
        <x:v>https://www.dpworld.com/en/ports-terminals/china/yantai-port</x:v>
      </x:c>
    </x:row>
    <x:row r="8">
      <x:c r="A8" s="102" t="str">
        <x:v>OWN00007</x:v>
      </x:c>
      <x:c r="B8" s="102" t="str">
        <x:v>TERM0007</x:v>
      </x:c>
      <x:c r="C8" s="102" t="str">
        <x:v>COMP_DPW</x:v>
      </x:c>
      <x:c r="D8" s="102" t="str">
        <x:v>DP World</x:v>
      </x:c>
      <x:c r="E8" s="102" t="str">
        <x:v>Operator / portfolio relationship</x:v>
      </x:c>
      <x:c r="F8" s="102"/>
      <x:c r="G8" s="102" t="str">
        <x:v>Yes</x:v>
      </x:c>
      <x:c r="H8" s="102" t="str">
        <x:v>Current / see source</x:v>
      </x:c>
      <x:c r="I8" s="102" t="str">
        <x:v>DP World operating/ownership structure; see source notes</x:v>
      </x:c>
      <x:c r="J8" s="102" t="str">
        <x:v>https://www.dpworld.com/en/ports-terminals/china/hong-kong-port/contact-us</x:v>
      </x:c>
    </x:row>
    <x:row r="9">
      <x:c r="A9" s="102" t="str">
        <x:v>OWN00008</x:v>
      </x:c>
      <x:c r="B9" s="102" t="str">
        <x:v>TERM0008</x:v>
      </x:c>
      <x:c r="C9" s="102" t="str">
        <x:v>COMP_DPW</x:v>
      </x:c>
      <x:c r="D9" s="102" t="str">
        <x:v>DP World</x:v>
      </x:c>
      <x:c r="E9" s="102" t="str">
        <x:v>Operator / portfolio relationship</x:v>
      </x:c>
      <x:c r="F9" s="102"/>
      <x:c r="G9" s="102" t="str">
        <x:v>Yes</x:v>
      </x:c>
      <x:c r="H9" s="102" t="str">
        <x:v>Current / see source</x:v>
      </x:c>
      <x:c r="I9" s="102" t="str">
        <x:v>DP World operating/ownership structure; see source notes</x:v>
      </x:c>
      <x:c r="J9" s="102" t="str">
        <x:v>https://www.dpworld.com/en/ports-terminals/china/yiwu-port</x:v>
      </x:c>
    </x:row>
    <x:row r="10">
      <x:c r="A10" s="102" t="str">
        <x:v>OWN00009</x:v>
      </x:c>
      <x:c r="B10" s="102" t="str">
        <x:v>TERM0009</x:v>
      </x:c>
      <x:c r="C10" s="102" t="str">
        <x:v>COMP_DPW</x:v>
      </x:c>
      <x:c r="D10" s="102" t="str">
        <x:v>DP World</x:v>
      </x:c>
      <x:c r="E10" s="102" t="str">
        <x:v>Operator / portfolio relationship</x:v>
      </x:c>
      <x:c r="F10" s="102"/>
      <x:c r="G10" s="102" t="str">
        <x:v>Yes</x:v>
      </x:c>
      <x:c r="H10" s="102" t="str">
        <x:v>Current / see source</x:v>
      </x:c>
      <x:c r="I10" s="102" t="str">
        <x:v>DP World operating/ownership structure; see source notes</x:v>
      </x:c>
      <x:c r="J10" s="102" t="str">
        <x:v>https://www.dpworld.com/en/ports-terminals/indonesia/belawan-port</x:v>
      </x:c>
    </x:row>
    <x:row r="11">
      <x:c r="A11" s="102" t="str">
        <x:v>OWN00010</x:v>
      </x:c>
      <x:c r="B11" s="102" t="str">
        <x:v>TERM0010</x:v>
      </x:c>
      <x:c r="C11" s="102" t="str">
        <x:v>COMP_DPW</x:v>
      </x:c>
      <x:c r="D11" s="102" t="str">
        <x:v>DP World</x:v>
      </x:c>
      <x:c r="E11" s="102" t="str">
        <x:v>Operator / portfolio relationship</x:v>
      </x:c>
      <x:c r="F11" s="102"/>
      <x:c r="G11" s="102" t="str">
        <x:v>Yes</x:v>
      </x:c>
      <x:c r="H11" s="102" t="str">
        <x:v>Current / see source</x:v>
      </x:c>
      <x:c r="I11" s="102" t="str">
        <x:v>DP World operating/ownership structure; see source notes</x:v>
      </x:c>
      <x:c r="J11" s="102" t="str">
        <x:v>https://www.dpworld.com/en/news/dp-world-breaks-ground-on-new-container-terminal-in-east-java</x:v>
      </x:c>
    </x:row>
    <x:row r="12">
      <x:c r="A12" s="102" t="str">
        <x:v>OWN00011</x:v>
      </x:c>
      <x:c r="B12" s="102" t="str">
        <x:v>TERM0011</x:v>
      </x:c>
      <x:c r="C12" s="102" t="str">
        <x:v>COMP_DPW</x:v>
      </x:c>
      <x:c r="D12" s="102" t="str">
        <x:v>DP World</x:v>
      </x:c>
      <x:c r="E12" s="102" t="str">
        <x:v>Operator / portfolio relationship</x:v>
      </x:c>
      <x:c r="F12" s="102"/>
      <x:c r="G12" s="102" t="str">
        <x:v>Yes</x:v>
      </x:c>
      <x:c r="H12" s="102" t="str">
        <x:v>Current / see source</x:v>
      </x:c>
      <x:c r="I12" s="102" t="str">
        <x:v>DP World operating/ownership structure; see source notes</x:v>
      </x:c>
      <x:c r="J12" s="102" t="str">
        <x:v>https://www.dpworld.com/en/ports-terminals/malaysia/sapangar-bay-port</x:v>
      </x:c>
    </x:row>
    <x:row r="13">
      <x:c r="A13" s="102" t="str">
        <x:v>OWN00012</x:v>
      </x:c>
      <x:c r="B13" s="102" t="str">
        <x:v>TERM0012</x:v>
      </x:c>
      <x:c r="C13" s="102" t="str">
        <x:v>COMP_DPW</x:v>
      </x:c>
      <x:c r="D13" s="102" t="str">
        <x:v>DP World</x:v>
      </x:c>
      <x:c r="E13" s="102" t="str">
        <x:v>Operator / portfolio relationship</x:v>
      </x:c>
      <x:c r="F13" s="102"/>
      <x:c r="G13" s="102" t="str">
        <x:v>Yes</x:v>
      </x:c>
      <x:c r="H13" s="102" t="str">
        <x:v>Current / see source</x:v>
      </x:c>
      <x:c r="I13" s="102" t="str">
        <x:v>DP World operating/ownership structure; see source notes</x:v>
      </x:c>
      <x:c r="J13" s="102" t="str">
        <x:v>https://www.dpworld.com/en/news/dp-world-and-asian-terminals-inc-invest-us100-million-to-boost-capacity-at-manila-south-harbour</x:v>
      </x:c>
    </x:row>
    <x:row r="14">
      <x:c r="A14" s="102" t="str">
        <x:v>OWN00013</x:v>
      </x:c>
      <x:c r="B14" s="102" t="str">
        <x:v>TERM0013</x:v>
      </x:c>
      <x:c r="C14" s="102" t="str">
        <x:v>COMP_DPW</x:v>
      </x:c>
      <x:c r="D14" s="102" t="str">
        <x:v>DP World</x:v>
      </x:c>
      <x:c r="E14" s="102" t="str">
        <x:v>Operator / portfolio relationship</x:v>
      </x:c>
      <x:c r="F14" s="102"/>
      <x:c r="G14" s="102" t="str">
        <x:v>Yes</x:v>
      </x:c>
      <x:c r="H14" s="102" t="str">
        <x:v>Current / see source</x:v>
      </x:c>
      <x:c r="I14" s="102" t="str">
        <x:v>DP World operating/ownership structure; see source notes</x:v>
      </x:c>
      <x:c r="J14" s="102" t="str">
        <x:v>https://www.dpworld.com/en/ports-terminals/philippines/batangas-port</x:v>
      </x:c>
    </x:row>
    <x:row r="15">
      <x:c r="A15" s="102" t="str">
        <x:v>OWN00014</x:v>
      </x:c>
      <x:c r="B15" s="102" t="str">
        <x:v>TERM0014</x:v>
      </x:c>
      <x:c r="C15" s="102" t="str">
        <x:v>COMP_DPW</x:v>
      </x:c>
      <x:c r="D15" s="102" t="str">
        <x:v>DP World</x:v>
      </x:c>
      <x:c r="E15" s="102" t="str">
        <x:v>Operator / portfolio relationship</x:v>
      </x:c>
      <x:c r="F15" s="102"/>
      <x:c r="G15" s="102" t="str">
        <x:v>Yes</x:v>
      </x:c>
      <x:c r="H15" s="102" t="str">
        <x:v>Current / see source</x:v>
      </x:c>
      <x:c r="I15" s="102" t="str">
        <x:v>DP World operating/ownership structure; see source notes</x:v>
      </x:c>
      <x:c r="J15" s="102" t="str">
        <x:v>https://www.dpworld.com/en/ports-terminals/philippines/cavite-port</x:v>
      </x:c>
    </x:row>
    <x:row r="16">
      <x:c r="A16" s="102" t="str">
        <x:v>OWN00015</x:v>
      </x:c>
      <x:c r="B16" s="102" t="str">
        <x:v>TERM0015</x:v>
      </x:c>
      <x:c r="C16" s="102" t="str">
        <x:v>COMP_DPW</x:v>
      </x:c>
      <x:c r="D16" s="102" t="str">
        <x:v>DP World</x:v>
      </x:c>
      <x:c r="E16" s="102" t="str">
        <x:v>Operator / portfolio relationship</x:v>
      </x:c>
      <x:c r="F16" s="102"/>
      <x:c r="G16" s="102" t="str">
        <x:v>Yes</x:v>
      </x:c>
      <x:c r="H16" s="102" t="str">
        <x:v>Current / see source</x:v>
      </x:c>
      <x:c r="I16" s="102" t="str">
        <x:v>DP World operating/ownership structure; see source notes</x:v>
      </x:c>
      <x:c r="J16" s="102" t="str">
        <x:v>https://www.dpworld.com/en/ports-terminals/south-korea/pnc-port</x:v>
      </x:c>
    </x:row>
    <x:row r="17">
      <x:c r="A17" s="102" t="str">
        <x:v>OWN00016</x:v>
      </x:c>
      <x:c r="B17" s="102" t="str">
        <x:v>TERM0016</x:v>
      </x:c>
      <x:c r="C17" s="102" t="str">
        <x:v>COMP_DPW</x:v>
      </x:c>
      <x:c r="D17" s="102" t="str">
        <x:v>DP World</x:v>
      </x:c>
      <x:c r="E17" s="102" t="str">
        <x:v>Operator / portfolio relationship</x:v>
      </x:c>
      <x:c r="F17" s="102"/>
      <x:c r="G17" s="102" t="str">
        <x:v>Yes</x:v>
      </x:c>
      <x:c r="H17" s="102" t="str">
        <x:v>Current / see source</x:v>
      </x:c>
      <x:c r="I17" s="102" t="str">
        <x:v>DP World operating/ownership structure; see source notes</x:v>
      </x:c>
      <x:c r="J17" s="102" t="str">
        <x:v>https://www.dpworld.com/en/news/dp-world-secures-laem-chabang-concession-extension-amid-rising-intra-asia-trade</x:v>
      </x:c>
    </x:row>
    <x:row r="18">
      <x:c r="A18" s="102" t="str">
        <x:v>OWN00017</x:v>
      </x:c>
      <x:c r="B18" s="102" t="str">
        <x:v>TERM0017</x:v>
      </x:c>
      <x:c r="C18" s="102" t="str">
        <x:v>COMP_DPW</x:v>
      </x:c>
      <x:c r="D18" s="102" t="str">
        <x:v>DP World</x:v>
      </x:c>
      <x:c r="E18" s="102" t="str">
        <x:v>Operator / portfolio relationship</x:v>
      </x:c>
      <x:c r="F18" s="102"/>
      <x:c r="G18" s="102" t="str">
        <x:v>Yes</x:v>
      </x:c>
      <x:c r="H18" s="102" t="str">
        <x:v>Current / see source</x:v>
      </x:c>
      <x:c r="I18" s="102" t="str">
        <x:v>DP World operating/ownership structure; see source notes</x:v>
      </x:c>
      <x:c r="J18" s="102" t="str">
        <x:v>https://www.dpworld.com/en/ports-terminals/vietnam/spct-port</x:v>
      </x:c>
    </x:row>
    <x:row r="19">
      <x:c r="A19" s="102" t="str">
        <x:v>OWN00018</x:v>
      </x:c>
      <x:c r="B19" s="102" t="str">
        <x:v>TERM0018</x:v>
      </x:c>
      <x:c r="C19" s="102" t="str">
        <x:v>COMP_DPW</x:v>
      </x:c>
      <x:c r="D19" s="102" t="str">
        <x:v>DP World</x:v>
      </x:c>
      <x:c r="E19" s="102" t="str">
        <x:v>Operator / portfolio relationship</x:v>
      </x:c>
      <x:c r="F19" s="102"/>
      <x:c r="G19" s="102" t="str">
        <x:v>Yes</x:v>
      </x:c>
      <x:c r="H19" s="102" t="str">
        <x:v>Current / see source</x:v>
      </x:c>
      <x:c r="I19" s="102" t="str">
        <x:v>DP World operating/ownership structure; see source notes</x:v>
      </x:c>
      <x:c r="J19" s="102" t="str">
        <x:v>https://www.dpworld.com/en/ports-terminals/belgium/antwerp</x:v>
      </x:c>
    </x:row>
    <x:row r="20">
      <x:c r="A20" s="102" t="str">
        <x:v>OWN00019</x:v>
      </x:c>
      <x:c r="B20" s="102" t="str">
        <x:v>TERM0018</x:v>
      </x:c>
      <x:c r="C20" s="102" t="str">
        <x:v>COMP_TERMINAL_LINK</x:v>
      </x:c>
      <x:c r="D20" s="102" t="str">
        <x:v>Terminal Link</x:v>
      </x:c>
      <x:c r="E20" s="102" t="str">
        <x:v>Operator / portfolio relationship</x:v>
      </x:c>
      <x:c r="F20" s="102"/>
      <x:c r="G20" s="102"/>
      <x:c r="H20" s="102" t="str">
        <x:v>Current / see source</x:v>
      </x:c>
      <x:c r="I20" s="102" t="str">
        <x:v>51% CMA Terminals Holding / 49% CM Port (portfolio-level structure)</x:v>
      </x:c>
      <x:c r="J20" s="102" t="str">
        <x:v>https://www.terminal-link.com/ports/location</x:v>
      </x:c>
    </x:row>
    <x:row r="21">
      <x:c r="A21" s="102" t="str">
        <x:v>OWN00020</x:v>
      </x:c>
      <x:c r="B21" s="102" t="str">
        <x:v>TERM0019</x:v>
      </x:c>
      <x:c r="C21" s="102" t="str">
        <x:v>COMP_DPW</x:v>
      </x:c>
      <x:c r="D21" s="102" t="str">
        <x:v>DP World</x:v>
      </x:c>
      <x:c r="E21" s="102" t="str">
        <x:v>Operator / portfolio relationship</x:v>
      </x:c>
      <x:c r="F21" s="102"/>
      <x:c r="G21" s="102" t="str">
        <x:v>Yes</x:v>
      </x:c>
      <x:c r="H21" s="102" t="str">
        <x:v>Current / see source</x:v>
      </x:c>
      <x:c r="I21" s="102" t="str">
        <x:v>DP World operating/ownership structure; see source notes</x:v>
      </x:c>
      <x:c r="J21" s="102" t="str">
        <x:v>https://www.dpworld.com/en/ports-terminals/cyprus/limassol</x:v>
      </x:c>
    </x:row>
    <x:row r="22">
      <x:c r="A22" s="102" t="str">
        <x:v>OWN00021</x:v>
      </x:c>
      <x:c r="B22" s="102" t="str">
        <x:v>TERM0020</x:v>
      </x:c>
      <x:c r="C22" s="102" t="str">
        <x:v>COMP_DPW</x:v>
      </x:c>
      <x:c r="D22" s="102" t="str">
        <x:v>DP World</x:v>
      </x:c>
      <x:c r="E22" s="102" t="str">
        <x:v>Operator / portfolio relationship</x:v>
      </x:c>
      <x:c r="F22" s="102"/>
      <x:c r="G22" s="102" t="str">
        <x:v>Yes</x:v>
      </x:c>
      <x:c r="H22" s="102" t="str">
        <x:v>Current / see source</x:v>
      </x:c>
      <x:c r="I22" s="102" t="str">
        <x:v>DP World operating/ownership structure; see source notes</x:v>
      </x:c>
      <x:c r="J22" s="102" t="str">
        <x:v>https://www.dpworld.com/en/ports-terminals/netherlands/rotterdam-world</x:v>
      </x:c>
    </x:row>
    <x:row r="23">
      <x:c r="A23" s="102" t="str">
        <x:v>OWN00022</x:v>
      </x:c>
      <x:c r="B23" s="102" t="str">
        <x:v>TERM0021</x:v>
      </x:c>
      <x:c r="C23" s="102" t="str">
        <x:v>COMP_DPW</x:v>
      </x:c>
      <x:c r="D23" s="102" t="str">
        <x:v>DP World</x:v>
      </x:c>
      <x:c r="E23" s="102" t="str">
        <x:v>Operator / portfolio relationship</x:v>
      </x:c>
      <x:c r="F23" s="102"/>
      <x:c r="G23" s="102" t="str">
        <x:v>Yes</x:v>
      </x:c>
      <x:c r="H23" s="102" t="str">
        <x:v>Current / see source</x:v>
      </x:c>
      <x:c r="I23" s="102" t="str">
        <x:v>DP World operating/ownership structure; see source notes</x:v>
      </x:c>
      <x:c r="J23" s="102" t="str">
        <x:v>https://www.dpworld.com/en/ports-terminals/romania/constanta</x:v>
      </x:c>
    </x:row>
    <x:row r="24">
      <x:c r="A24" s="102" t="str">
        <x:v>OWN00023</x:v>
      </x:c>
      <x:c r="B24" s="102" t="str">
        <x:v>TERM0022</x:v>
      </x:c>
      <x:c r="C24" s="102" t="str">
        <x:v>COMP_DPW</x:v>
      </x:c>
      <x:c r="D24" s="102" t="str">
        <x:v>DP World</x:v>
      </x:c>
      <x:c r="E24" s="102" t="str">
        <x:v>Operator / portfolio relationship</x:v>
      </x:c>
      <x:c r="F24" s="102"/>
      <x:c r="G24" s="102" t="str">
        <x:v>Yes</x:v>
      </x:c>
      <x:c r="H24" s="102" t="str">
        <x:v>Current / see source</x:v>
      </x:c>
      <x:c r="I24" s="102" t="str">
        <x:v>DP World operating/ownership structure; see source notes</x:v>
      </x:c>
      <x:c r="J24" s="102" t="str">
        <x:v>https://www.dpworld.com/en/ports-terminals/eu-intermodal/novi-sad</x:v>
      </x:c>
    </x:row>
    <x:row r="25">
      <x:c r="A25" s="102" t="str">
        <x:v>OWN00024</x:v>
      </x:c>
      <x:c r="B25" s="102" t="str">
        <x:v>TERM0023</x:v>
      </x:c>
      <x:c r="C25" s="102" t="str">
        <x:v>COMP_DPW</x:v>
      </x:c>
      <x:c r="D25" s="102" t="str">
        <x:v>DP World</x:v>
      </x:c>
      <x:c r="E25" s="102" t="str">
        <x:v>Operator / portfolio relationship</x:v>
      </x:c>
      <x:c r="F25" s="102"/>
      <x:c r="G25" s="102" t="str">
        <x:v>Yes</x:v>
      </x:c>
      <x:c r="H25" s="102" t="str">
        <x:v>Current / see source</x:v>
      </x:c>
      <x:c r="I25" s="102" t="str">
        <x:v>DP World operating/ownership structure; see source notes</x:v>
      </x:c>
      <x:c r="J25" s="102" t="str">
        <x:v>https://www.dpworld.com/en/ports-terminals/turkiye/yarimca</x:v>
      </x:c>
    </x:row>
    <x:row r="26">
      <x:c r="A26" s="102" t="str">
        <x:v>OWN00025</x:v>
      </x:c>
      <x:c r="B26" s="102" t="str">
        <x:v>TERM0024</x:v>
      </x:c>
      <x:c r="C26" s="102" t="str">
        <x:v>COMP_DPW</x:v>
      </x:c>
      <x:c r="D26" s="102" t="str">
        <x:v>DP World</x:v>
      </x:c>
      <x:c r="E26" s="102" t="str">
        <x:v>Operator / portfolio relationship</x:v>
      </x:c>
      <x:c r="F26" s="102"/>
      <x:c r="G26" s="102" t="str">
        <x:v>Yes</x:v>
      </x:c>
      <x:c r="H26" s="102" t="str">
        <x:v>Current / see source</x:v>
      </x:c>
      <x:c r="I26" s="102" t="str">
        <x:v>DP World operating/ownership structure; see source notes</x:v>
      </x:c>
      <x:c r="J26" s="102" t="str">
        <x:v>https://www.dpworld.com/en/ports-terminals/turkiye/korfez</x:v>
      </x:c>
    </x:row>
    <x:row r="27">
      <x:c r="A27" s="102" t="str">
        <x:v>OWN00026</x:v>
      </x:c>
      <x:c r="B27" s="102" t="str">
        <x:v>TERM0025</x:v>
      </x:c>
      <x:c r="C27" s="102" t="str">
        <x:v>COMP_DPW</x:v>
      </x:c>
      <x:c r="D27" s="102" t="str">
        <x:v>DP World</x:v>
      </x:c>
      <x:c r="E27" s="102" t="str">
        <x:v>Operator / portfolio relationship</x:v>
      </x:c>
      <x:c r="F27" s="102"/>
      <x:c r="G27" s="102" t="str">
        <x:v>Yes</x:v>
      </x:c>
      <x:c r="H27" s="102" t="str">
        <x:v>Current / see source</x:v>
      </x:c>
      <x:c r="I27" s="102" t="str">
        <x:v>DP World operating/ownership structure; see source notes</x:v>
      </x:c>
      <x:c r="J27" s="102" t="str">
        <x:v>https://www.dpworld.com/en/ports-terminals/ukraine/pivdennyi</x:v>
      </x:c>
    </x:row>
    <x:row r="28">
      <x:c r="A28" s="102" t="str">
        <x:v>OWN00027</x:v>
      </x:c>
      <x:c r="B28" s="102" t="str">
        <x:v>TERM0026</x:v>
      </x:c>
      <x:c r="C28" s="102" t="str">
        <x:v>COMP_DPW</x:v>
      </x:c>
      <x:c r="D28" s="102" t="str">
        <x:v>DP World</x:v>
      </x:c>
      <x:c r="E28" s="102" t="str">
        <x:v>Operator / portfolio relationship</x:v>
      </x:c>
      <x:c r="F28" s="102"/>
      <x:c r="G28" s="102" t="str">
        <x:v>Yes</x:v>
      </x:c>
      <x:c r="H28" s="102" t="str">
        <x:v>Current / see source</x:v>
      </x:c>
      <x:c r="I28" s="102" t="str">
        <x:v>DP World operating/ownership structure; see source notes</x:v>
      </x:c>
      <x:c r="J28" s="102" t="str">
        <x:v>https://www.dpworld.com/en/ports-terminals/united-kingdom/london-gateway/infrastructure-facts</x:v>
      </x:c>
    </x:row>
    <x:row r="29">
      <x:c r="A29" s="102" t="str">
        <x:v>OWN00028</x:v>
      </x:c>
      <x:c r="B29" s="102" t="str">
        <x:v>TERM0027</x:v>
      </x:c>
      <x:c r="C29" s="102" t="str">
        <x:v>COMP_DPW</x:v>
      </x:c>
      <x:c r="D29" s="102" t="str">
        <x:v>DP World</x:v>
      </x:c>
      <x:c r="E29" s="102" t="str">
        <x:v>Operator / portfolio relationship</x:v>
      </x:c>
      <x:c r="F29" s="102"/>
      <x:c r="G29" s="102" t="str">
        <x:v>Yes</x:v>
      </x:c>
      <x:c r="H29" s="102" t="str">
        <x:v>Current / see source</x:v>
      </x:c>
      <x:c r="I29" s="102" t="str">
        <x:v>DP World operating/ownership structure; see source notes</x:v>
      </x:c>
      <x:c r="J29" s="102" t="str">
        <x:v>https://www.dpworld.com/en/ports-terminals/united-kingdom/southampton/infrastructure-facts</x:v>
      </x:c>
    </x:row>
    <x:row r="30">
      <x:c r="A30" s="102" t="str">
        <x:v>OWN00029</x:v>
      </x:c>
      <x:c r="B30" s="102" t="str">
        <x:v>TERM0028</x:v>
      </x:c>
      <x:c r="C30" s="102" t="str">
        <x:v>COMP_DPW</x:v>
      </x:c>
      <x:c r="D30" s="102" t="str">
        <x:v>DP World</x:v>
      </x:c>
      <x:c r="E30" s="102" t="str">
        <x:v>Operator / portfolio relationship</x:v>
      </x:c>
      <x:c r="F30" s="102"/>
      <x:c r="G30" s="102" t="str">
        <x:v>Yes</x:v>
      </x:c>
      <x:c r="H30" s="102" t="str">
        <x:v>Current / see source</x:v>
      </x:c>
      <x:c r="I30" s="102" t="str">
        <x:v>DP World operating/ownership structure; see source notes</x:v>
      </x:c>
      <x:c r="J30" s="102" t="str">
        <x:v>https://www.dpworld.com/en/ports-terminals/angola/luanda</x:v>
      </x:c>
    </x:row>
    <x:row r="31">
      <x:c r="A31" s="102" t="str">
        <x:v>OWN00030</x:v>
      </x:c>
      <x:c r="B31" s="102" t="str">
        <x:v>TERM0029</x:v>
      </x:c>
      <x:c r="C31" s="102" t="str">
        <x:v>COMP_DPW</x:v>
      </x:c>
      <x:c r="D31" s="102" t="str">
        <x:v>DP World</x:v>
      </x:c>
      <x:c r="E31" s="102" t="str">
        <x:v>Operator / portfolio relationship</x:v>
      </x:c>
      <x:c r="F31" s="102"/>
      <x:c r="G31" s="102" t="str">
        <x:v>Yes</x:v>
      </x:c>
      <x:c r="H31" s="102" t="str">
        <x:v>Current / see source</x:v>
      </x:c>
      <x:c r="I31" s="102" t="str">
        <x:v>DP World operating/ownership structure; see source notes</x:v>
      </x:c>
      <x:c r="J31" s="102" t="str">
        <x:v>https://www.dpworld.com/en/ports-terminals/algeria/djazair</x:v>
      </x:c>
    </x:row>
    <x:row r="32">
      <x:c r="A32" s="102" t="str">
        <x:v>OWN00031</x:v>
      </x:c>
      <x:c r="B32" s="102" t="str">
        <x:v>TERM0030</x:v>
      </x:c>
      <x:c r="C32" s="102" t="str">
        <x:v>COMP_DPW</x:v>
      </x:c>
      <x:c r="D32" s="102" t="str">
        <x:v>DP World</x:v>
      </x:c>
      <x:c r="E32" s="102" t="str">
        <x:v>Operator / portfolio relationship</x:v>
      </x:c>
      <x:c r="F32" s="102"/>
      <x:c r="G32" s="102" t="str">
        <x:v>Yes</x:v>
      </x:c>
      <x:c r="H32" s="102" t="str">
        <x:v>Current / see source</x:v>
      </x:c>
      <x:c r="I32" s="102" t="str">
        <x:v>DP World operating/ownership structure; see source notes</x:v>
      </x:c>
      <x:c r="J32" s="102" t="str">
        <x:v>https://www.dpworld.com/en/ports-terminals/algeria/djendjen</x:v>
      </x:c>
    </x:row>
    <x:row r="33">
      <x:c r="A33" s="102" t="str">
        <x:v>OWN00032</x:v>
      </x:c>
      <x:c r="B33" s="102" t="str">
        <x:v>TERM0031</x:v>
      </x:c>
      <x:c r="C33" s="102" t="str">
        <x:v>COMP_DPW</x:v>
      </x:c>
      <x:c r="D33" s="102" t="str">
        <x:v>DP World</x:v>
      </x:c>
      <x:c r="E33" s="102" t="str">
        <x:v>Operator / portfolio relationship</x:v>
      </x:c>
      <x:c r="F33" s="102"/>
      <x:c r="G33" s="102" t="str">
        <x:v>Yes</x:v>
      </x:c>
      <x:c r="H33" s="102" t="str">
        <x:v>Current / see source</x:v>
      </x:c>
      <x:c r="I33" s="102" t="str">
        <x:v>DP World operating/ownership structure; see source notes</x:v>
      </x:c>
      <x:c r="J33" s="102" t="str">
        <x:v>https://www.dpworld.com/en/ports-terminals/egypt/sokhna/infrastructure-facts</x:v>
      </x:c>
    </x:row>
    <x:row r="34">
      <x:c r="A34" s="102" t="str">
        <x:v>OWN00033</x:v>
      </x:c>
      <x:c r="B34" s="102" t="str">
        <x:v>TERM0032</x:v>
      </x:c>
      <x:c r="C34" s="102" t="str">
        <x:v>COMP_DPW</x:v>
      </x:c>
      <x:c r="D34" s="102" t="str">
        <x:v>DP World</x:v>
      </x:c>
      <x:c r="E34" s="102" t="str">
        <x:v>Operator / portfolio relationship</x:v>
      </x:c>
      <x:c r="F34" s="102"/>
      <x:c r="G34" s="102" t="str">
        <x:v>Yes</x:v>
      </x:c>
      <x:c r="H34" s="102" t="str">
        <x:v>Current / see source</x:v>
      </x:c>
      <x:c r="I34" s="102" t="str">
        <x:v>DP World operating/ownership structure; see source notes</x:v>
      </x:c>
      <x:c r="J34" s="102" t="str">
        <x:v>https://www.dpworld.com/en/ports-terminals/india/nsict/infrastructure</x:v>
      </x:c>
    </x:row>
    <x:row r="35">
      <x:c r="A35" s="102" t="str">
        <x:v>OWN00034</x:v>
      </x:c>
      <x:c r="B35" s="102" t="str">
        <x:v>TERM0033</x:v>
      </x:c>
      <x:c r="C35" s="102" t="str">
        <x:v>COMP_DPW</x:v>
      </x:c>
      <x:c r="D35" s="102" t="str">
        <x:v>DP World</x:v>
      </x:c>
      <x:c r="E35" s="102" t="str">
        <x:v>Operator / portfolio relationship</x:v>
      </x:c>
      <x:c r="F35" s="102"/>
      <x:c r="G35" s="102" t="str">
        <x:v>Yes</x:v>
      </x:c>
      <x:c r="H35" s="102" t="str">
        <x:v>Current / see source</x:v>
      </x:c>
      <x:c r="I35" s="102" t="str">
        <x:v>DP World operating/ownership structure; see source notes</x:v>
      </x:c>
      <x:c r="J35" s="102" t="str">
        <x:v>https://www.dpworld.com/en/ports-terminals/india/nsigt/infrastructure</x:v>
      </x:c>
    </x:row>
    <x:row r="36">
      <x:c r="A36" s="102" t="str">
        <x:v>OWN00035</x:v>
      </x:c>
      <x:c r="B36" s="102" t="str">
        <x:v>TERM0034</x:v>
      </x:c>
      <x:c r="C36" s="102" t="str">
        <x:v>COMP_DPW</x:v>
      </x:c>
      <x:c r="D36" s="102" t="str">
        <x:v>DP World</x:v>
      </x:c>
      <x:c r="E36" s="102" t="str">
        <x:v>Operator / portfolio relationship</x:v>
      </x:c>
      <x:c r="F36" s="102"/>
      <x:c r="G36" s="102" t="str">
        <x:v>Yes</x:v>
      </x:c>
      <x:c r="H36" s="102" t="str">
        <x:v>Current / see source</x:v>
      </x:c>
      <x:c r="I36" s="102" t="str">
        <x:v>DP World operating/ownership structure; see source notes</x:v>
      </x:c>
      <x:c r="J36" s="102" t="str">
        <x:v>https://www.dpworld.com/en/ports-terminals/india/mict/infrastructure</x:v>
      </x:c>
    </x:row>
    <x:row r="37">
      <x:c r="A37" s="102" t="str">
        <x:v>OWN00036</x:v>
      </x:c>
      <x:c r="B37" s="102" t="str">
        <x:v>TERM0035</x:v>
      </x:c>
      <x:c r="C37" s="102" t="str">
        <x:v>COMP_DPW</x:v>
      </x:c>
      <x:c r="D37" s="102" t="str">
        <x:v>DP World</x:v>
      </x:c>
      <x:c r="E37" s="102" t="str">
        <x:v>Operator / portfolio relationship</x:v>
      </x:c>
      <x:c r="F37" s="102"/>
      <x:c r="G37" s="102" t="str">
        <x:v>Yes</x:v>
      </x:c>
      <x:c r="H37" s="102" t="str">
        <x:v>Current / see source</x:v>
      </x:c>
      <x:c r="I37" s="102" t="str">
        <x:v>DP World operating/ownership structure; see source notes</x:v>
      </x:c>
      <x:c r="J37" s="102" t="str">
        <x:v>https://www.dpworld.com/en/ports-terminals/india/cct/infrastructure</x:v>
      </x:c>
    </x:row>
    <x:row r="38">
      <x:c r="A38" s="102" t="str">
        <x:v>OWN00037</x:v>
      </x:c>
      <x:c r="B38" s="102" t="str">
        <x:v>TERM0036</x:v>
      </x:c>
      <x:c r="C38" s="102" t="str">
        <x:v>COMP_DPW</x:v>
      </x:c>
      <x:c r="D38" s="102" t="str">
        <x:v>DP World</x:v>
      </x:c>
      <x:c r="E38" s="102" t="str">
        <x:v>Operator / portfolio relationship</x:v>
      </x:c>
      <x:c r="F38" s="102"/>
      <x:c r="G38" s="102" t="str">
        <x:v>Yes</x:v>
      </x:c>
      <x:c r="H38" s="102" t="str">
        <x:v>Current / see source</x:v>
      </x:c>
      <x:c r="I38" s="102" t="str">
        <x:v>DP World operating/ownership structure; see source notes</x:v>
      </x:c>
      <x:c r="J38" s="102" t="str">
        <x:v>https://www.dpworld.com/en/ports-terminals/india/ictt/infrastructure</x:v>
      </x:c>
    </x:row>
    <x:row r="39">
      <x:c r="A39" s="102" t="str">
        <x:v>OWN00038</x:v>
      </x:c>
      <x:c r="B39" s="102" t="str">
        <x:v>TERM0037</x:v>
      </x:c>
      <x:c r="C39" s="102" t="str">
        <x:v>COMP_DPW</x:v>
      </x:c>
      <x:c r="D39" s="102" t="str">
        <x:v>DP World</x:v>
      </x:c>
      <x:c r="E39" s="102" t="str">
        <x:v>Operator / portfolio relationship</x:v>
      </x:c>
      <x:c r="F39" s="102"/>
      <x:c r="G39" s="102" t="str">
        <x:v>Yes</x:v>
      </x:c>
      <x:c r="H39" s="102" t="str">
        <x:v>Current / see source</x:v>
      </x:c>
      <x:c r="I39" s="102" t="str">
        <x:v>DP World operating/ownership structure; see source notes</x:v>
      </x:c>
      <x:c r="J39" s="102" t="str">
        <x:v>https://www.dpworld.com/en/news/india/dp-world-signs-concession-to-develop-tuna-tekra-mega-container-terminal-in-india</x:v>
      </x:c>
    </x:row>
    <x:row r="40">
      <x:c r="A40" s="102" t="str">
        <x:v>OWN00039</x:v>
      </x:c>
      <x:c r="B40" s="102" t="str">
        <x:v>TERM0038</x:v>
      </x:c>
      <x:c r="C40" s="102" t="str">
        <x:v>COMP_DPW</x:v>
      </x:c>
      <x:c r="D40" s="102" t="str">
        <x:v>DP World</x:v>
      </x:c>
      <x:c r="E40" s="102" t="str">
        <x:v>Operator / portfolio relationship</x:v>
      </x:c>
      <x:c r="F40" s="102"/>
      <x:c r="G40" s="102" t="str">
        <x:v>Yes</x:v>
      </x:c>
      <x:c r="H40" s="102" t="str">
        <x:v>Current / see source</x:v>
      </x:c>
      <x:c r="I40" s="102" t="str">
        <x:v>DP World operating/ownership structure; see source notes</x:v>
      </x:c>
      <x:c r="J40" s="102" t="str">
        <x:v>https://www.dpworld.com/en/ports-terminals/mozambique/maputo</x:v>
      </x:c>
    </x:row>
    <x:row r="41">
      <x:c r="A41" s="102" t="str">
        <x:v>OWN00040</x:v>
      </x:c>
      <x:c r="B41" s="102" t="str">
        <x:v>TERM0039</x:v>
      </x:c>
      <x:c r="C41" s="102" t="str">
        <x:v>COMP_DPW</x:v>
      </x:c>
      <x:c r="D41" s="102" t="str">
        <x:v>DP World</x:v>
      </x:c>
      <x:c r="E41" s="102" t="str">
        <x:v>Operator / portfolio relationship</x:v>
      </x:c>
      <x:c r="F41" s="102"/>
      <x:c r="G41" s="102" t="str">
        <x:v>Yes</x:v>
      </x:c>
      <x:c r="H41" s="102" t="str">
        <x:v>Current / see source</x:v>
      </x:c>
      <x:c r="I41" s="102" t="str">
        <x:v>DP World operating/ownership structure; see source notes</x:v>
      </x:c>
      <x:c r="J41" s="102" t="str">
        <x:v>https://www.dpworld.com/en/ports-terminals/pakistan/qasim</x:v>
      </x:c>
    </x:row>
    <x:row r="42">
      <x:c r="A42" s="102" t="str">
        <x:v>OWN00041</x:v>
      </x:c>
      <x:c r="B42" s="102" t="str">
        <x:v>TERM0040</x:v>
      </x:c>
      <x:c r="C42" s="102" t="str">
        <x:v>COMP_DPW</x:v>
      </x:c>
      <x:c r="D42" s="102" t="str">
        <x:v>DP World</x:v>
      </x:c>
      <x:c r="E42" s="102" t="str">
        <x:v>Operator / portfolio relationship</x:v>
      </x:c>
      <x:c r="F42" s="102"/>
      <x:c r="G42" s="102"/>
      <x:c r="H42" s="102" t="str">
        <x:v>Current / see source</x:v>
      </x:c>
      <x:c r="I42" s="102" t="str">
        <x:v>DP World operating/ownership structure; see source notes</x:v>
      </x:c>
      <x:c r="J42" s="102" t="str">
        <x:v>https://www.dpworld.com/en/ports-terminals/saudi-arabia/jeddah</x:v>
      </x:c>
    </x:row>
    <x:row r="43">
      <x:c r="A43" s="102" t="str">
        <x:v>OWN00042</x:v>
      </x:c>
      <x:c r="B43" s="102" t="str">
        <x:v>TERM0040</x:v>
      </x:c>
      <x:c r="C43" s="102" t="str">
        <x:v>COMP_APMT</x:v>
      </x:c>
      <x:c r="D43" s="102" t="str">
        <x:v>DP World</x:v>
      </x:c>
      <x:c r="E43" s="102" t="str">
        <x:v>Operator / portfolio relationship</x:v>
      </x:c>
      <x:c r="F43" s="102"/>
      <x:c r="G43" s="102" t="str">
        <x:v>Yes</x:v>
      </x:c>
      <x:c r="H43" s="102" t="str">
        <x:v>Current / see source</x:v>
      </x:c>
      <x:c r="I43" s="102" t="str">
        <x:v>APM Terminals to acquire 37.5%; DP World retains 62.5% and operations</x:v>
      </x:c>
      <x:c r="J43" s="102" t="str">
        <x:v>https://www2.apmterminals.com/en/news/news-releases/2026/260218-APM-Terminals-DPWorld-strategic-partnership-Jeddah-Islamic-Port</x:v>
      </x:c>
    </x:row>
    <x:row r="44">
      <x:c r="A44" s="102" t="str">
        <x:v>OWN00043</x:v>
      </x:c>
      <x:c r="B44" s="102" t="str">
        <x:v>TERM0041</x:v>
      </x:c>
      <x:c r="C44" s="102" t="str">
        <x:v>COMP_DPW</x:v>
      </x:c>
      <x:c r="D44" s="102" t="str">
        <x:v>DP World</x:v>
      </x:c>
      <x:c r="E44" s="102" t="str">
        <x:v>Operator / portfolio relationship</x:v>
      </x:c>
      <x:c r="F44" s="102"/>
      <x:c r="G44" s="102" t="str">
        <x:v>Yes</x:v>
      </x:c>
      <x:c r="H44" s="102" t="str">
        <x:v>Current / see source</x:v>
      </x:c>
      <x:c r="I44" s="102" t="str">
        <x:v>DP World operating/ownership structure; see source notes</x:v>
      </x:c>
      <x:c r="J44" s="102" t="str">
        <x:v>https://dpw-prod-cd-1.dpworld.com/senegal/ports-and-terminals</x:v>
      </x:c>
    </x:row>
    <x:row r="45">
      <x:c r="A45" s="102" t="str">
        <x:v>OWN00044</x:v>
      </x:c>
      <x:c r="B45" s="102" t="str">
        <x:v>TERM0042</x:v>
      </x:c>
      <x:c r="C45" s="102" t="str">
        <x:v>COMP_DPW</x:v>
      </x:c>
      <x:c r="D45" s="102" t="str">
        <x:v>DP World</x:v>
      </x:c>
      <x:c r="E45" s="102" t="str">
        <x:v>Operator / portfolio relationship</x:v>
      </x:c>
      <x:c r="F45" s="102"/>
      <x:c r="G45" s="102" t="str">
        <x:v>Yes</x:v>
      </x:c>
      <x:c r="H45" s="102" t="str">
        <x:v>Current / see source</x:v>
      </x:c>
      <x:c r="I45" s="102" t="str">
        <x:v>DP World operating/ownership structure; see source notes</x:v>
      </x:c>
      <x:c r="J45" s="102" t="str">
        <x:v>https://www.dpworld.com/en/ports-terminals/senegal</x:v>
      </x:c>
    </x:row>
    <x:row r="46">
      <x:c r="A46" s="102" t="str">
        <x:v>OWN00045</x:v>
      </x:c>
      <x:c r="B46" s="102" t="str">
        <x:v>TERM0043</x:v>
      </x:c>
      <x:c r="C46" s="102" t="str">
        <x:v>COMP_DPW</x:v>
      </x:c>
      <x:c r="D46" s="102" t="str">
        <x:v>DP World</x:v>
      </x:c>
      <x:c r="E46" s="102" t="str">
        <x:v>Operator / portfolio relationship</x:v>
      </x:c>
      <x:c r="F46" s="102"/>
      <x:c r="G46" s="102" t="str">
        <x:v>Yes</x:v>
      </x:c>
      <x:c r="H46" s="102" t="str">
        <x:v>Current / see source</x:v>
      </x:c>
      <x:c r="I46" s="102" t="str">
        <x:v>DP World operating/ownership structure; see source notes</x:v>
      </x:c>
      <x:c r="J46" s="102" t="str">
        <x:v>https://www.dpworld.com/en/ports-terminals/somaliland/berbera</x:v>
      </x:c>
    </x:row>
    <x:row r="47">
      <x:c r="A47" s="102" t="str">
        <x:v>OWN00046</x:v>
      </x:c>
      <x:c r="B47" s="102" t="str">
        <x:v>TERM0044</x:v>
      </x:c>
      <x:c r="C47" s="102" t="str">
        <x:v>COMP_DPW</x:v>
      </x:c>
      <x:c r="D47" s="102" t="str">
        <x:v>DP World</x:v>
      </x:c>
      <x:c r="E47" s="102" t="str">
        <x:v>Operator / portfolio relationship</x:v>
      </x:c>
      <x:c r="F47" s="102"/>
      <x:c r="G47" s="102" t="str">
        <x:v>Yes</x:v>
      </x:c>
      <x:c r="H47" s="102" t="str">
        <x:v>Current / see source</x:v>
      </x:c>
      <x:c r="I47" s="102" t="str">
        <x:v>DP World operating/ownership structure; see source notes</x:v>
      </x:c>
      <x:c r="J47" s="102" t="str">
        <x:v>https://www.dpworld.com/en/ports-terminals/dar-es-salaam/infrastructure</x:v>
      </x:c>
    </x:row>
    <x:row r="48">
      <x:c r="A48" s="102" t="str">
        <x:v>OWN00047</x:v>
      </x:c>
      <x:c r="B48" s="102" t="str">
        <x:v>TERM0045</x:v>
      </x:c>
      <x:c r="C48" s="102" t="str">
        <x:v>COMP_DPW</x:v>
      </x:c>
      <x:c r="D48" s="102" t="str">
        <x:v>DP World</x:v>
      </x:c>
      <x:c r="E48" s="102" t="str">
        <x:v>Operator / portfolio relationship</x:v>
      </x:c>
      <x:c r="F48" s="102"/>
      <x:c r="G48" s="102" t="str">
        <x:v>Yes</x:v>
      </x:c>
      <x:c r="H48" s="102" t="str">
        <x:v>Current / see source</x:v>
      </x:c>
      <x:c r="I48" s="102" t="str">
        <x:v>DP World operating/ownership structure; see source notes</x:v>
      </x:c>
      <x:c r="J48" s="102" t="str">
        <x:v>https://www.dpworld.com/en/ports-terminals/uae/jebel-ali-port</x:v>
      </x:c>
    </x:row>
    <x:row r="49">
      <x:c r="A49" s="102" t="str">
        <x:v>OWN00048</x:v>
      </x:c>
      <x:c r="B49" s="102" t="str">
        <x:v>TERM0046</x:v>
      </x:c>
      <x:c r="C49" s="102" t="str">
        <x:v>COMP_DPW</x:v>
      </x:c>
      <x:c r="D49" s="102" t="str">
        <x:v>DP World</x:v>
      </x:c>
      <x:c r="E49" s="102" t="str">
        <x:v>Operator / portfolio relationship</x:v>
      </x:c>
      <x:c r="F49" s="102"/>
      <x:c r="G49" s="102" t="str">
        <x:v>Yes</x:v>
      </x:c>
      <x:c r="H49" s="102" t="str">
        <x:v>Current / see source</x:v>
      </x:c>
      <x:c r="I49" s="102" t="str">
        <x:v>DP World operating/ownership structure; see source notes</x:v>
      </x:c>
      <x:c r="J49" s="102" t="str">
        <x:v>https://www.dpworld.com/en/ports-terminals/uae/mina-al-hamriya</x:v>
      </x:c>
    </x:row>
    <x:row r="50">
      <x:c r="A50" s="102" t="str">
        <x:v>OWN00049</x:v>
      </x:c>
      <x:c r="B50" s="102" t="str">
        <x:v>TERM0047</x:v>
      </x:c>
      <x:c r="C50" s="102" t="str">
        <x:v>COMP_DPW</x:v>
      </x:c>
      <x:c r="D50" s="102" t="str">
        <x:v>DP World</x:v>
      </x:c>
      <x:c r="E50" s="102" t="str">
        <x:v>Operator / portfolio relationship</x:v>
      </x:c>
      <x:c r="F50" s="102"/>
      <x:c r="G50" s="102" t="str">
        <x:v>Yes</x:v>
      </x:c>
      <x:c r="H50" s="102" t="str">
        <x:v>Current / see source</x:v>
      </x:c>
      <x:c r="I50" s="102" t="str">
        <x:v>DP World operating/ownership structure; see source notes</x:v>
      </x:c>
      <x:c r="J50" s="102" t="str">
        <x:v>https://www.dpworld.com/en/ports-terminals/uae/dubai-creek-and-deira-wharfage</x:v>
      </x:c>
    </x:row>
    <x:row r="51">
      <x:c r="A51" s="102" t="str">
        <x:v>OWN00050</x:v>
      </x:c>
      <x:c r="B51" s="102" t="str">
        <x:v>TERM0048</x:v>
      </x:c>
      <x:c r="C51" s="102" t="str">
        <x:v>COMP_DPW</x:v>
      </x:c>
      <x:c r="D51" s="102" t="str">
        <x:v>DP World</x:v>
      </x:c>
      <x:c r="E51" s="102" t="str">
        <x:v>Operator / portfolio relationship</x:v>
      </x:c>
      <x:c r="F51" s="102"/>
      <x:c r="G51" s="102" t="str">
        <x:v>Yes</x:v>
      </x:c>
      <x:c r="H51" s="102" t="str">
        <x:v>Current / see source</x:v>
      </x:c>
      <x:c r="I51" s="102" t="str">
        <x:v>DP World operating/ownership structure; see source notes</x:v>
      </x:c>
      <x:c r="J51" s="102" t="str">
        <x:v>https://education.dpworld.com/educator/vr-port-tours/</x:v>
      </x:c>
    </x:row>
    <x:row r="52">
      <x:c r="A52" s="102" t="str">
        <x:v>OWN00051</x:v>
      </x:c>
      <x:c r="B52" s="102" t="str">
        <x:v>TERM0049</x:v>
      </x:c>
      <x:c r="C52" s="102" t="str">
        <x:v>COMP_DPW</x:v>
      </x:c>
      <x:c r="D52" s="102" t="str">
        <x:v>DP World</x:v>
      </x:c>
      <x:c r="E52" s="102" t="str">
        <x:v>Operator / portfolio relationship</x:v>
      </x:c>
      <x:c r="F52" s="102"/>
      <x:c r="G52" s="102" t="str">
        <x:v>Yes</x:v>
      </x:c>
      <x:c r="H52" s="102" t="str">
        <x:v>Current / see source</x:v>
      </x:c>
      <x:c r="I52" s="102" t="str">
        <x:v>DP World operating/ownership structure; see source notes</x:v>
      </x:c>
      <x:c r="J52" s="102" t="str">
        <x:v>https://www.dpworld.com/en/news/dp-world-to-expand-uae-gateway-network-with-new-fujairah-terminals</x:v>
      </x:c>
    </x:row>
    <x:row r="53">
      <x:c r="A53" s="102" t="str">
        <x:v>OWN00052</x:v>
      </x:c>
      <x:c r="B53" s="102" t="str">
        <x:v>TERM0050</x:v>
      </x:c>
      <x:c r="C53" s="102" t="str">
        <x:v>COMP_DPW</x:v>
      </x:c>
      <x:c r="D53" s="102" t="str">
        <x:v>DP World</x:v>
      </x:c>
      <x:c r="E53" s="102" t="str">
        <x:v>Operator / portfolio relationship</x:v>
      </x:c>
      <x:c r="F53" s="102"/>
      <x:c r="G53" s="102" t="str">
        <x:v>Yes</x:v>
      </x:c>
      <x:c r="H53" s="102" t="str">
        <x:v>Current / see source</x:v>
      </x:c>
      <x:c r="I53" s="102" t="str">
        <x:v>DP World operating/ownership structure; see source notes</x:v>
      </x:c>
      <x:c r="J53" s="102" t="str">
        <x:v>https://www.dpworld.com/en/news/dp-world-to-expand-uae-gateway-network-with-new-fujairah-terminals</x:v>
      </x:c>
    </x:row>
    <x:row r="54">
      <x:c r="A54" s="102" t="str">
        <x:v>OWN00053</x:v>
      </x:c>
      <x:c r="B54" s="102" t="str">
        <x:v>TERM0051</x:v>
      </x:c>
      <x:c r="C54" s="102" t="str">
        <x:v>COMP_DPW</x:v>
      </x:c>
      <x:c r="D54" s="102" t="str">
        <x:v>DP World</x:v>
      </x:c>
      <x:c r="E54" s="102" t="str">
        <x:v>Operator / portfolio relationship</x:v>
      </x:c>
      <x:c r="F54" s="102"/>
      <x:c r="G54" s="102" t="str">
        <x:v>Yes</x:v>
      </x:c>
      <x:c r="H54" s="102" t="str">
        <x:v>Current / see source</x:v>
      </x:c>
      <x:c r="I54" s="102" t="str">
        <x:v>DP World operating/ownership structure; see source notes</x:v>
      </x:c>
      <x:c r="J54" s="102" t="str">
        <x:v>https://www.dpworld.com/en/news/dp-world-and-democratic-republic-of-the-congo-sign-final-agreement-to-develop-banana-port</x:v>
      </x:c>
    </x:row>
    <x:row r="55">
      <x:c r="A55" s="102" t="str">
        <x:v>OWN00054</x:v>
      </x:c>
      <x:c r="B55" s="102" t="str">
        <x:v>TERM0052</x:v>
      </x:c>
      <x:c r="C55" s="102" t="str">
        <x:v>COMP_DPW</x:v>
      </x:c>
      <x:c r="D55" s="102" t="str">
        <x:v>DP World</x:v>
      </x:c>
      <x:c r="E55" s="102" t="str">
        <x:v>Operator / portfolio relationship</x:v>
      </x:c>
      <x:c r="F55" s="102"/>
      <x:c r="G55" s="102" t="str">
        <x:v>Yes</x:v>
      </x:c>
      <x:c r="H55" s="102" t="str">
        <x:v>Current / see source</x:v>
      </x:c>
      <x:c r="I55" s="102" t="str">
        <x:v>DP World operating/ownership structure; see source notes</x:v>
      </x:c>
      <x:c r="J55" s="102" t="str">
        <x:v>https://www.dpworld.com/en/ports-terminals/argentina/trp</x:v>
      </x:c>
    </x:row>
    <x:row r="56">
      <x:c r="A56" s="102" t="str">
        <x:v>OWN00055</x:v>
      </x:c>
      <x:c r="B56" s="102" t="str">
        <x:v>TERM0053</x:v>
      </x:c>
      <x:c r="C56" s="102" t="str">
        <x:v>COMP_DPW</x:v>
      </x:c>
      <x:c r="D56" s="102" t="str">
        <x:v>DP World</x:v>
      </x:c>
      <x:c r="E56" s="102" t="str">
        <x:v>Operator / portfolio relationship</x:v>
      </x:c>
      <x:c r="F56" s="102"/>
      <x:c r="G56" s="102" t="str">
        <x:v>Yes</x:v>
      </x:c>
      <x:c r="H56" s="102" t="str">
        <x:v>Current / see source</x:v>
      </x:c>
      <x:c r="I56" s="102" t="str">
        <x:v>DP World operating/ownership structure; see source notes</x:v>
      </x:c>
      <x:c r="J56" s="102" t="str">
        <x:v>https://www.dpworld.com/en/ports-terminals/brazil/santos</x:v>
      </x:c>
    </x:row>
    <x:row r="57">
      <x:c r="A57" s="102" t="str">
        <x:v>OWN00056</x:v>
      </x:c>
      <x:c r="B57" s="102" t="str">
        <x:v>TERM0054</x:v>
      </x:c>
      <x:c r="C57" s="102" t="str">
        <x:v>COMP_DPW</x:v>
      </x:c>
      <x:c r="D57" s="102" t="str">
        <x:v>DP World</x:v>
      </x:c>
      <x:c r="E57" s="102" t="str">
        <x:v>Operator / portfolio relationship</x:v>
      </x:c>
      <x:c r="F57" s="102"/>
      <x:c r="G57" s="102" t="str">
        <x:v>Yes</x:v>
      </x:c>
      <x:c r="H57" s="102" t="str">
        <x:v>Current / see source</x:v>
      </x:c>
      <x:c r="I57" s="102" t="str">
        <x:v>DP World operating/ownership structure; see source notes</x:v>
      </x:c>
      <x:c r="J57" s="102" t="str">
        <x:v>https://www.dpworld.com/en/ports-terminals/chile/san-antonio</x:v>
      </x:c>
    </x:row>
    <x:row r="58">
      <x:c r="A58" s="102" t="str">
        <x:v>OWN00057</x:v>
      </x:c>
      <x:c r="B58" s="102" t="str">
        <x:v>TERM0055</x:v>
      </x:c>
      <x:c r="C58" s="102" t="str">
        <x:v>COMP_DPW</x:v>
      </x:c>
      <x:c r="D58" s="102" t="str">
        <x:v>DP World</x:v>
      </x:c>
      <x:c r="E58" s="102" t="str">
        <x:v>Operator / portfolio relationship</x:v>
      </x:c>
      <x:c r="F58" s="102"/>
      <x:c r="G58" s="102" t="str">
        <x:v>Yes</x:v>
      </x:c>
      <x:c r="H58" s="102" t="str">
        <x:v>Current / see source</x:v>
      </x:c>
      <x:c r="I58" s="102" t="str">
        <x:v>DP World operating/ownership structure; see source notes</x:v>
      </x:c>
      <x:c r="J58" s="102" t="str">
        <x:v>https://www.dpworld.com/en/ports-terminals/chile/lirquen-port</x:v>
      </x:c>
    </x:row>
    <x:row r="59">
      <x:c r="A59" s="102" t="str">
        <x:v>OWN00058</x:v>
      </x:c>
      <x:c r="B59" s="102" t="str">
        <x:v>TERM0056</x:v>
      </x:c>
      <x:c r="C59" s="102" t="str">
        <x:v>COMP_DPW</x:v>
      </x:c>
      <x:c r="D59" s="102" t="str">
        <x:v>DP World</x:v>
      </x:c>
      <x:c r="E59" s="102" t="str">
        <x:v>Operator / portfolio relationship</x:v>
      </x:c>
      <x:c r="F59" s="102"/>
      <x:c r="G59" s="102" t="str">
        <x:v>Yes</x:v>
      </x:c>
      <x:c r="H59" s="102" t="str">
        <x:v>Current / see source</x:v>
      </x:c>
      <x:c r="I59" s="102" t="str">
        <x:v>DP World operating/ownership structure; see source notes</x:v>
      </x:c>
      <x:c r="J59" s="102" t="str">
        <x:v>https://www.dpworld.com/en/ports-terminals/dominican-republic/caucedo-port</x:v>
      </x:c>
    </x:row>
    <x:row r="60">
      <x:c r="A60" s="102" t="str">
        <x:v>OWN00059</x:v>
      </x:c>
      <x:c r="B60" s="102" t="str">
        <x:v>TERM0057</x:v>
      </x:c>
      <x:c r="C60" s="102" t="str">
        <x:v>COMP_DPW</x:v>
      </x:c>
      <x:c r="D60" s="102" t="str">
        <x:v>DP World</x:v>
      </x:c>
      <x:c r="E60" s="102" t="str">
        <x:v>Operator / portfolio relationship</x:v>
      </x:c>
      <x:c r="F60" s="102"/>
      <x:c r="G60" s="102" t="str">
        <x:v>Yes</x:v>
      </x:c>
      <x:c r="H60" s="102" t="str">
        <x:v>Current / see source</x:v>
      </x:c>
      <x:c r="I60" s="102" t="str">
        <x:v>DP World operating/ownership structure; see source notes</x:v>
      </x:c>
      <x:c r="J60" s="102" t="str">
        <x:v>https://www.dpworld.com/en/news/dp-world-inaugurates-posorja-terminal-expansion-boosting-ecuadors-global-trade-capacity</x:v>
      </x:c>
    </x:row>
    <x:row r="61">
      <x:c r="A61" s="102" t="str">
        <x:v>OWN00060</x:v>
      </x:c>
      <x:c r="B61" s="102" t="str">
        <x:v>TERM0058</x:v>
      </x:c>
      <x:c r="C61" s="102" t="str">
        <x:v>COMP_DPW</x:v>
      </x:c>
      <x:c r="D61" s="102" t="str">
        <x:v>DP World</x:v>
      </x:c>
      <x:c r="E61" s="102" t="str">
        <x:v>Operator / portfolio relationship</x:v>
      </x:c>
      <x:c r="F61" s="102"/>
      <x:c r="G61" s="102" t="str">
        <x:v>Yes</x:v>
      </x:c>
      <x:c r="H61" s="102" t="str">
        <x:v>Current / see source</x:v>
      </x:c>
      <x:c r="I61" s="102" t="str">
        <x:v>DP World operating/ownership structure; see source notes</x:v>
      </x:c>
      <x:c r="J61" s="102" t="str">
        <x:v>https://www.dpworld.com/en/ports-terminals/peru/callao</x:v>
      </x:c>
    </x:row>
    <x:row r="62">
      <x:c r="A62" s="102" t="str">
        <x:v>OWN00061</x:v>
      </x:c>
      <x:c r="B62" s="102" t="str">
        <x:v>TERM0059</x:v>
      </x:c>
      <x:c r="C62" s="102" t="str">
        <x:v>COMP_DPW</x:v>
      </x:c>
      <x:c r="D62" s="102" t="str">
        <x:v>DP World</x:v>
      </x:c>
      <x:c r="E62" s="102" t="str">
        <x:v>Operator / portfolio relationship</x:v>
      </x:c>
      <x:c r="F62" s="102"/>
      <x:c r="G62" s="102" t="str">
        <x:v>Yes</x:v>
      </x:c>
      <x:c r="H62" s="102" t="str">
        <x:v>Current / see source</x:v>
      </x:c>
      <x:c r="I62" s="102" t="str">
        <x:v>DP World operating/ownership structure; see source notes</x:v>
      </x:c>
      <x:c r="J62" s="102" t="str">
        <x:v>https://www.dpworld.com/en/ports-terminals/peru</x:v>
      </x:c>
    </x:row>
    <x:row r="63">
      <x:c r="A63" s="102" t="str">
        <x:v>OWN00062</x:v>
      </x:c>
      <x:c r="B63" s="102" t="str">
        <x:v>TERM0060</x:v>
      </x:c>
      <x:c r="C63" s="102" t="str">
        <x:v>COMP_DPW</x:v>
      </x:c>
      <x:c r="D63" s="102" t="str">
        <x:v>DP World</x:v>
      </x:c>
      <x:c r="E63" s="102" t="str">
        <x:v>Operator / portfolio relationship</x:v>
      </x:c>
      <x:c r="F63" s="102"/>
      <x:c r="G63" s="102" t="str">
        <x:v>Yes</x:v>
      </x:c>
      <x:c r="H63" s="102" t="str">
        <x:v>Current / see source</x:v>
      </x:c>
      <x:c r="I63" s="102" t="str">
        <x:v>DP World operating/ownership structure; see source notes</x:v>
      </x:c>
      <x:c r="J63" s="102" t="str">
        <x:v>https://www.dpworld.com/en/ports-terminals/suriname/paramaribo</x:v>
      </x:c>
    </x:row>
    <x:row r="64">
      <x:c r="A64" s="102" t="str">
        <x:v>OWN00063</x:v>
      </x:c>
      <x:c r="B64" s="102" t="str">
        <x:v>TERM0061</x:v>
      </x:c>
      <x:c r="C64" s="102" t="str">
        <x:v>COMP_DPW</x:v>
      </x:c>
      <x:c r="D64" s="102" t="str">
        <x:v>DP World</x:v>
      </x:c>
      <x:c r="E64" s="102" t="str">
        <x:v>Operator / portfolio relationship</x:v>
      </x:c>
      <x:c r="F64" s="102"/>
      <x:c r="G64" s="102" t="str">
        <x:v>Yes</x:v>
      </x:c>
      <x:c r="H64" s="102" t="str">
        <x:v>Current / see source</x:v>
      </x:c>
      <x:c r="I64" s="102" t="str">
        <x:v>DP World operating/ownership structure; see source notes</x:v>
      </x:c>
      <x:c r="J64" s="102" t="str">
        <x:v>https://www.dpworld.com/en/ports-terminals/suriname/la-vigilantia</x:v>
      </x:c>
    </x:row>
    <x:row r="65">
      <x:c r="A65" s="102" t="str">
        <x:v>OWN00064</x:v>
      </x:c>
      <x:c r="B65" s="102" t="str">
        <x:v>TERM0062</x:v>
      </x:c>
      <x:c r="C65" s="102" t="str">
        <x:v>COMP_DPW</x:v>
      </x:c>
      <x:c r="D65" s="102" t="str">
        <x:v>DP World</x:v>
      </x:c>
      <x:c r="E65" s="102" t="str">
        <x:v>Operator / portfolio relationship</x:v>
      </x:c>
      <x:c r="F65" s="102"/>
      <x:c r="G65" s="102" t="str">
        <x:v>Yes</x:v>
      </x:c>
      <x:c r="H65" s="102" t="str">
        <x:v>Current / see source</x:v>
      </x:c>
      <x:c r="I65" s="102" t="str">
        <x:v>DP World operating/ownership structure; see source notes</x:v>
      </x:c>
      <x:c r="J65" s="102" t="str">
        <x:v>https://www.dpworld.com/en/ports-terminals/canada/vancouver</x:v>
      </x:c>
    </x:row>
    <x:row r="66">
      <x:c r="A66" s="102" t="str">
        <x:v>OWN00065</x:v>
      </x:c>
      <x:c r="B66" s="102" t="str">
        <x:v>TERM0063</x:v>
      </x:c>
      <x:c r="C66" s="102" t="str">
        <x:v>COMP_DPW</x:v>
      </x:c>
      <x:c r="D66" s="102" t="str">
        <x:v>DP World</x:v>
      </x:c>
      <x:c r="E66" s="102" t="str">
        <x:v>Operator / portfolio relationship</x:v>
      </x:c>
      <x:c r="F66" s="102"/>
      <x:c r="G66" s="102" t="str">
        <x:v>Yes</x:v>
      </x:c>
      <x:c r="H66" s="102" t="str">
        <x:v>Current / see source</x:v>
      </x:c>
      <x:c r="I66" s="102" t="str">
        <x:v>DP World operating/ownership structure; see source notes</x:v>
      </x:c>
      <x:c r="J66" s="102" t="str">
        <x:v>https://www.dpworld.com/en/ports-terminals/canada/fraser-surrey-docks</x:v>
      </x:c>
    </x:row>
    <x:row r="67">
      <x:c r="A67" s="102" t="str">
        <x:v>OWN00066</x:v>
      </x:c>
      <x:c r="B67" s="102" t="str">
        <x:v>TERM0064</x:v>
      </x:c>
      <x:c r="C67" s="102" t="str">
        <x:v>COMP_DPW</x:v>
      </x:c>
      <x:c r="D67" s="102" t="str">
        <x:v>DP World</x:v>
      </x:c>
      <x:c r="E67" s="102" t="str">
        <x:v>Operator / portfolio relationship</x:v>
      </x:c>
      <x:c r="F67" s="102"/>
      <x:c r="G67" s="102" t="str">
        <x:v>Yes</x:v>
      </x:c>
      <x:c r="H67" s="102" t="str">
        <x:v>Current / see source</x:v>
      </x:c>
      <x:c r="I67" s="102" t="str">
        <x:v>DP World operating/ownership structure; see source notes</x:v>
      </x:c>
      <x:c r="J67" s="102" t="str">
        <x:v>https://www.dpworld.com/en/ports-terminals/canada/nanaimo</x:v>
      </x:c>
    </x:row>
    <x:row r="68">
      <x:c r="A68" s="102" t="str">
        <x:v>OWN00067</x:v>
      </x:c>
      <x:c r="B68" s="102" t="str">
        <x:v>TERM0065</x:v>
      </x:c>
      <x:c r="C68" s="102" t="str">
        <x:v>COMP_DPW</x:v>
      </x:c>
      <x:c r="D68" s="102" t="str">
        <x:v>DP World</x:v>
      </x:c>
      <x:c r="E68" s="102" t="str">
        <x:v>Operator / portfolio relationship</x:v>
      </x:c>
      <x:c r="F68" s="102"/>
      <x:c r="G68" s="102" t="str">
        <x:v>Yes</x:v>
      </x:c>
      <x:c r="H68" s="102" t="str">
        <x:v>Current / see source</x:v>
      </x:c>
      <x:c r="I68" s="102" t="str">
        <x:v>DP World operating/ownership structure; see source notes</x:v>
      </x:c>
      <x:c r="J68" s="102" t="str">
        <x:v>https://www.dpworld.com/en/ports-terminals/canada/prince-rupert</x:v>
      </x:c>
    </x:row>
    <x:row r="69">
      <x:c r="A69" s="102" t="str">
        <x:v>OWN00068</x:v>
      </x:c>
      <x:c r="B69" s="102" t="str">
        <x:v>TERM0066</x:v>
      </x:c>
      <x:c r="C69" s="102" t="str">
        <x:v>COMP_DPW</x:v>
      </x:c>
      <x:c r="D69" s="102" t="str">
        <x:v>DP World</x:v>
      </x:c>
      <x:c r="E69" s="102" t="str">
        <x:v>Operator / portfolio relationship</x:v>
      </x:c>
      <x:c r="F69" s="102"/>
      <x:c r="G69" s="102" t="str">
        <x:v>Yes</x:v>
      </x:c>
      <x:c r="H69" s="102" t="str">
        <x:v>Current / see source</x:v>
      </x:c>
      <x:c r="I69" s="102" t="str">
        <x:v>DP World operating/ownership structure; see source notes</x:v>
      </x:c>
      <x:c r="J69" s="102" t="str">
        <x:v>https://www.dpworld.com/en/ports-terminals/canada/saint-john</x:v>
      </x:c>
    </x:row>
    <x:row r="70">
      <x:c r="A70" s="102" t="str">
        <x:v>OWN00069</x:v>
      </x:c>
      <x:c r="B70" s="102" t="str">
        <x:v>TERM0067</x:v>
      </x:c>
      <x:c r="C70" s="102" t="str">
        <x:v>COMP_DPW</x:v>
      </x:c>
      <x:c r="D70" s="102" t="str">
        <x:v>DP World</x:v>
      </x:c>
      <x:c r="E70" s="102" t="str">
        <x:v>Operator / portfolio relationship</x:v>
      </x:c>
      <x:c r="F70" s="102"/>
      <x:c r="G70" s="102" t="str">
        <x:v>Yes</x:v>
      </x:c>
      <x:c r="H70" s="102" t="str">
        <x:v>Current / see source</x:v>
      </x:c>
      <x:c r="I70" s="102" t="str">
        <x:v>DP World operating/ownership structure; see source notes</x:v>
      </x:c>
      <x:c r="J70" s="102" t="str">
        <x:v>https://www.dpworld.com/en/news/canada/new-milestone-in-canada-with-contrecoeur-expansion-groundbreaking</x:v>
      </x:c>
    </x:row>
    <x:row r="71">
      <x:c r="A71" s="102" t="str">
        <x:v>OWN00070</x:v>
      </x:c>
      <x:c r="B71" s="102" t="str">
        <x:v>TERM0068</x:v>
      </x:c>
      <x:c r="C71" s="102" t="str">
        <x:v>COMP_DPW</x:v>
      </x:c>
      <x:c r="D71" s="102" t="str">
        <x:v>DP World</x:v>
      </x:c>
      <x:c r="E71" s="102" t="str">
        <x:v>Operator / portfolio relationship</x:v>
      </x:c>
      <x:c r="F71" s="102"/>
      <x:c r="G71" s="102" t="str">
        <x:v>Yes</x:v>
      </x:c>
      <x:c r="H71" s="102" t="str">
        <x:v>Current / see source</x:v>
      </x:c>
      <x:c r="I71" s="102" t="str">
        <x:v>DP World operating/ownership structure; see source notes</x:v>
      </x:c>
      <x:c r="J71" s="102" t="str">
        <x:v>https://www.dpworld.com/en/news/usa/container-terminal-at-port-of-corpus-christi-texas</x:v>
      </x:c>
    </x:row>
    <x:row r="72">
      <x:c r="A72" s="102" t="str">
        <x:v>OWN00071</x:v>
      </x:c>
      <x:c r="B72" s="102" t="str">
        <x:v>TERM0069</x:v>
      </x:c>
      <x:c r="C72" s="102" t="str">
        <x:v>COMP_ADPORTS</x:v>
      </x:c>
      <x:c r="D72" s="102" t="str">
        <x:v>AD Ports Group</x:v>
      </x:c>
      <x:c r="E72" s="102" t="str">
        <x:v>Operator / portfolio relationship</x:v>
      </x:c>
      <x:c r="F72" s="102"/>
      <x:c r="G72" s="102" t="str">
        <x:v>Yes</x:v>
      </x:c>
      <x:c r="H72" s="102" t="str">
        <x:v>Current / see source</x:v>
      </x:c>
      <x:c r="I72" s="102" t="str">
        <x:v>Owned/operated by AD Ports Group</x:v>
      </x:c>
      <x:c r="J72" s="102" t="str">
        <x:v>https://www.adportsgroup.com/en/news-and-media/2025/11/18/ad-ports-group-signs-agreement-with-cma-cgm-group-to-expand-terminal-at-khalifa-port</x:v>
      </x:c>
    </x:row>
    <x:row r="73">
      <x:c r="A73" s="102" t="str">
        <x:v>OWN00072</x:v>
      </x:c>
      <x:c r="B73" s="102" t="str">
        <x:v>TERM0070</x:v>
      </x:c>
      <x:c r="C73" s="102" t="str">
        <x:v>COMP_ADPORTS</x:v>
      </x:c>
      <x:c r="D73" s="102" t="str">
        <x:v>AD Ports Group</x:v>
      </x:c>
      <x:c r="E73" s="102" t="str">
        <x:v>Operator / portfolio relationship</x:v>
      </x:c>
      <x:c r="F73" s="102"/>
      <x:c r="G73" s="102" t="str">
        <x:v>Yes</x:v>
      </x:c>
      <x:c r="H73" s="102" t="str">
        <x:v>Current / see source</x:v>
      </x:c>
      <x:c r="I73" s="102" t="str">
        <x:v>Owned/operated by AD Ports Group</x:v>
      </x:c>
      <x:c r="J73" s="102" t="str">
        <x:v>https://www.adportsgroup.com/en/integrated-clusters/ports/abu-dhabi-ports</x:v>
      </x:c>
    </x:row>
    <x:row r="74">
      <x:c r="A74" s="102" t="str">
        <x:v>OWN00073</x:v>
      </x:c>
      <x:c r="B74" s="102" t="str">
        <x:v>TERM0071</x:v>
      </x:c>
      <x:c r="C74" s="102" t="str">
        <x:v>COMP_ADPORTS</x:v>
      </x:c>
      <x:c r="D74" s="102" t="str">
        <x:v>AD Ports Group</x:v>
      </x:c>
      <x:c r="E74" s="102" t="str">
        <x:v>Operator / portfolio relationship</x:v>
      </x:c>
      <x:c r="F74" s="102"/>
      <x:c r="G74" s="102" t="str">
        <x:v>Yes</x:v>
      </x:c>
      <x:c r="H74" s="102" t="str">
        <x:v>Current / see source</x:v>
      </x:c>
      <x:c r="I74" s="102" t="str">
        <x:v>Owned/operated by AD Ports Group</x:v>
      </x:c>
      <x:c r="J74" s="102" t="str">
        <x:v>https://www.adportsgroup.com/en/integrated-clusters/ports/abu-dhabi-ports</x:v>
      </x:c>
    </x:row>
    <x:row r="75">
      <x:c r="A75" s="102" t="str">
        <x:v>OWN00074</x:v>
      </x:c>
      <x:c r="B75" s="102" t="str">
        <x:v>TERM0072</x:v>
      </x:c>
      <x:c r="C75" s="102" t="str">
        <x:v>COMP_ADPORTS</x:v>
      </x:c>
      <x:c r="D75" s="102" t="str">
        <x:v>AD Ports Group</x:v>
      </x:c>
      <x:c r="E75" s="102" t="str">
        <x:v>Operator / portfolio relationship</x:v>
      </x:c>
      <x:c r="F75" s="102"/>
      <x:c r="G75" s="102" t="str">
        <x:v>Yes</x:v>
      </x:c>
      <x:c r="H75" s="102" t="str">
        <x:v>Current / see source</x:v>
      </x:c>
      <x:c r="I75" s="102" t="str">
        <x:v>Owned/operated by AD Ports Group</x:v>
      </x:c>
      <x:c r="J75" s="102" t="str">
        <x:v>https://www.adportsgroup.com/-/media/sites/adports/investors/prospectus-euro-medium-term-note-programme-may-2021-new.pdf</x:v>
      </x:c>
    </x:row>
    <x:row r="76">
      <x:c r="A76" s="102" t="str">
        <x:v>OWN00075</x:v>
      </x:c>
      <x:c r="B76" s="102" t="str">
        <x:v>TERM0073</x:v>
      </x:c>
      <x:c r="C76" s="102" t="str">
        <x:v>COMP_ADPORTS</x:v>
      </x:c>
      <x:c r="D76" s="102" t="str">
        <x:v>AD Ports Group</x:v>
      </x:c>
      <x:c r="E76" s="102" t="str">
        <x:v>Operator / portfolio relationship</x:v>
      </x:c>
      <x:c r="F76" s="102"/>
      <x:c r="G76" s="102" t="str">
        <x:v>Yes</x:v>
      </x:c>
      <x:c r="H76" s="102" t="str">
        <x:v>Current / see source</x:v>
      </x:c>
      <x:c r="I76" s="102" t="str">
        <x:v>Owned/operated by AD Ports Group</x:v>
      </x:c>
      <x:c r="J76" s="102" t="str">
        <x:v>https://www.adportsgroup.com/en/news-and-media/2022/01/23/ad-ports-group-creates-oil--gas-logistics-base-at-mugharraq-port-for-eni-abu-dhabi</x:v>
      </x:c>
    </x:row>
    <x:row r="77">
      <x:c r="A77" s="102" t="str">
        <x:v>OWN00076</x:v>
      </x:c>
      <x:c r="B77" s="102" t="str">
        <x:v>TERM0074</x:v>
      </x:c>
      <x:c r="C77" s="102" t="str">
        <x:v>COMP_ADPORTS</x:v>
      </x:c>
      <x:c r="D77" s="102" t="str">
        <x:v>AD Ports Group</x:v>
      </x:c>
      <x:c r="E77" s="102" t="str">
        <x:v>Operator / portfolio relationship</x:v>
      </x:c>
      <x:c r="F77" s="102"/>
      <x:c r="G77" s="102" t="str">
        <x:v>Yes</x:v>
      </x:c>
      <x:c r="H77" s="102" t="str">
        <x:v>Current / see source</x:v>
      </x:c>
      <x:c r="I77" s="102" t="str">
        <x:v>Owned/operated by AD Ports Group</x:v>
      </x:c>
      <x:c r="J77" s="102" t="str">
        <x:v>https://www.adportsgroup.com/en/integrated-clusters/ports/abu-dhabi-ports</x:v>
      </x:c>
    </x:row>
    <x:row r="78">
      <x:c r="A78" s="102" t="str">
        <x:v>OWN00077</x:v>
      </x:c>
      <x:c r="B78" s="102" t="str">
        <x:v>TERM0075</x:v>
      </x:c>
      <x:c r="C78" s="102" t="str">
        <x:v>COMP_ADPORTS</x:v>
      </x:c>
      <x:c r="D78" s="102" t="str">
        <x:v>AD Ports Group / Fujairah Port partnership</x:v>
      </x:c>
      <x:c r="E78" s="102" t="str">
        <x:v>Operator / portfolio relationship</x:v>
      </x:c>
      <x:c r="F78" s="102"/>
      <x:c r="G78" s="102" t="str">
        <x:v>Yes</x:v>
      </x:c>
      <x:c r="H78" s="102" t="str">
        <x:v>Current / see source</x:v>
      </x:c>
      <x:c r="I78" s="102" t="str">
        <x:v>Long-term operating/development rights</x:v>
      </x:c>
      <x:c r="J78" s="102" t="str">
        <x:v>https://www.adportsgroup.com/en/news-and-media/2026/05/22/ad-ports-group-establishes-consolidated-multimodal-inland-logistics-network</x:v>
      </x:c>
    </x:row>
    <x:row r="79">
      <x:c r="A79" s="102" t="str">
        <x:v>OWN00078</x:v>
      </x:c>
      <x:c r="B79" s="102" t="str">
        <x:v>TERM0076</x:v>
      </x:c>
      <x:c r="C79" s="102" t="str">
        <x:v>COMP_ADPORTS</x:v>
      </x:c>
      <x:c r="D79" s="102" t="str">
        <x:v>AD Ports Group</x:v>
      </x:c>
      <x:c r="E79" s="102" t="str">
        <x:v>Operator / portfolio relationship</x:v>
      </x:c>
      <x:c r="F79" s="102"/>
      <x:c r="G79" s="102" t="str">
        <x:v>Yes</x:v>
      </x:c>
      <x:c r="H79" s="102" t="str">
        <x:v>Current / see source</x:v>
      </x:c>
      <x:c r="I79" s="102" t="str">
        <x:v>Owned/operated by AD Ports Group</x:v>
      </x:c>
      <x:c r="J79" s="102" t="str">
        <x:v>https://www.adportsgroup.com/en/integrated-clusters/ports/abu-dhabi-ports</x:v>
      </x:c>
    </x:row>
    <x:row r="80">
      <x:c r="A80" s="102" t="str">
        <x:v>OWN00079</x:v>
      </x:c>
      <x:c r="B80" s="102" t="str">
        <x:v>TERM0077</x:v>
      </x:c>
      <x:c r="C80" s="102" t="str">
        <x:v>COMP_ADPORTS</x:v>
      </x:c>
      <x:c r="D80" s="102" t="str">
        <x:v>AD Ports Group</x:v>
      </x:c>
      <x:c r="E80" s="102" t="str">
        <x:v>Operator / portfolio relationship</x:v>
      </x:c>
      <x:c r="F80" s="102"/>
      <x:c r="G80" s="102" t="str">
        <x:v>Yes</x:v>
      </x:c>
      <x:c r="H80" s="102" t="str">
        <x:v>Current / see source</x:v>
      </x:c>
      <x:c r="I80" s="102" t="str">
        <x:v>Owned/operated by AD Ports Group</x:v>
      </x:c>
      <x:c r="J80" s="102" t="str">
        <x:v>https://www.adportsgroup.com/en/integrated-clusters/ports/abu-dhabi-ports</x:v>
      </x:c>
    </x:row>
    <x:row r="81">
      <x:c r="A81" s="102" t="str">
        <x:v>OWN00080</x:v>
      </x:c>
      <x:c r="B81" s="102" t="str">
        <x:v>TERM0078</x:v>
      </x:c>
      <x:c r="C81" s="102" t="str">
        <x:v>COMP_ADPORTS</x:v>
      </x:c>
      <x:c r="D81" s="102" t="str">
        <x:v>AD Ports Group</x:v>
      </x:c>
      <x:c r="E81" s="102" t="str">
        <x:v>Operator / portfolio relationship</x:v>
      </x:c>
      <x:c r="F81" s="102"/>
      <x:c r="G81" s="102" t="str">
        <x:v>Yes</x:v>
      </x:c>
      <x:c r="H81" s="102" t="str">
        <x:v>Current / see source</x:v>
      </x:c>
      <x:c r="I81" s="102" t="str">
        <x:v>Owned/operated by AD Ports Group</x:v>
      </x:c>
      <x:c r="J81" s="102" t="str">
        <x:v>https://www.adportsgroup.com/en/integrated-clusters/ports/abu-dhabi-ports</x:v>
      </x:c>
    </x:row>
    <x:row r="82">
      <x:c r="A82" s="102" t="str">
        <x:v>OWN00081</x:v>
      </x:c>
      <x:c r="B82" s="102" t="str">
        <x:v>TERM0079</x:v>
      </x:c>
      <x:c r="C82" s="102" t="str">
        <x:v>COMP_ADPORTS</x:v>
      </x:c>
      <x:c r="D82" s="102" t="str">
        <x:v>AD Ports Group</x:v>
      </x:c>
      <x:c r="E82" s="102" t="str">
        <x:v>Operator / portfolio relationship</x:v>
      </x:c>
      <x:c r="F82" s="102"/>
      <x:c r="G82" s="102" t="str">
        <x:v>Yes</x:v>
      </x:c>
      <x:c r="H82" s="102" t="str">
        <x:v>Current / see source</x:v>
      </x:c>
      <x:c r="I82" s="102" t="str">
        <x:v>Owned/operated by AD Ports Group</x:v>
      </x:c>
      <x:c r="J82" s="102" t="str">
        <x:v>https://www.adportsgroup.com/en/news-and-media/2026/06/18/ad-ports-group-enhances-al-faya-dry-ports-integration-with-the-global-trade-and-logistics-ecosystem</x:v>
      </x:c>
    </x:row>
    <x:row r="83">
      <x:c r="A83" s="102" t="str">
        <x:v>OWN00082</x:v>
      </x:c>
      <x:c r="B83" s="102" t="str">
        <x:v>TERM0080</x:v>
      </x:c>
      <x:c r="C83" s="102" t="str">
        <x:v>COMP_ADPORTS</x:v>
      </x:c>
      <x:c r="D83" s="102" t="str">
        <x:v>Abu Dhabi Terminals</x:v>
      </x:c>
      <x:c r="E83" s="102" t="str">
        <x:v>Operator / portfolio relationship</x:v>
      </x:c>
      <x:c r="F83" s="102"/>
      <x:c r="G83" s="102" t="str">
        <x:v>Yes</x:v>
      </x:c>
      <x:c r="H83" s="102" t="str">
        <x:v>Current / see source</x:v>
      </x:c>
      <x:c r="I83" s="102" t="str">
        <x:v>AD Ports Group with MSC relationship</x:v>
      </x:c>
      <x:c r="J83" s="102" t="str">
        <x:v>https://www.adportsgroup.com/en/integrated-clusters/ports/abu-dhabi-ports</x:v>
      </x:c>
    </x:row>
    <x:row r="84">
      <x:c r="A84" s="102" t="str">
        <x:v>OWN00083</x:v>
      </x:c>
      <x:c r="B84" s="102" t="str">
        <x:v>TERM0081</x:v>
      </x:c>
      <x:c r="C84" s="102" t="str">
        <x:v>COMP_ADPORTS</x:v>
      </x:c>
      <x:c r="D84" s="102" t="str">
        <x:v>CSP / COSCO Shipping Ports</x:v>
      </x:c>
      <x:c r="E84" s="102" t="str">
        <x:v>Operator / portfolio relationship</x:v>
      </x:c>
      <x:c r="F84" s="102"/>
      <x:c r="G84" s="102" t="str">
        <x:v>Yes</x:v>
      </x:c>
      <x:c r="H84" s="102" t="str">
        <x:v>Current / see source</x:v>
      </x:c>
      <x:c r="I84" s="102" t="str">
        <x:v>Joint operation/partnership with COSCO Shipping</x:v>
      </x:c>
      <x:c r="J84" s="102" t="str">
        <x:v>https://www.adportsgroup.com/en/integrated-clusters/ports/abu-dhabi-ports</x:v>
      </x:c>
    </x:row>
    <x:row r="85">
      <x:c r="A85" s="102" t="str">
        <x:v>OWN00084</x:v>
      </x:c>
      <x:c r="B85" s="102" t="str">
        <x:v>TERM0082</x:v>
      </x:c>
      <x:c r="C85" s="102" t="str">
        <x:v>COMP_ADPORTS</x:v>
      </x:c>
      <x:c r="D85" s="102" t="str">
        <x:v>CMA Terminals Khalifa Port</x:v>
      </x:c>
      <x:c r="E85" s="102" t="str">
        <x:v>Operator / portfolio relationship</x:v>
      </x:c>
      <x:c r="F85" s="102"/>
      <x:c r="G85" s="102" t="str">
        <x:v>Yes</x:v>
      </x:c>
      <x:c r="H85" s="102" t="str">
        <x:v>Current / see source</x:v>
      </x:c>
      <x:c r="I85" s="102" t="str">
        <x:v>70% CMA CGM / 30% AD Ports Group</x:v>
      </x:c>
      <x:c r="J85" s="102" t="str">
        <x:v>https://www.adportsgroup.com/en/news-and-media/2025/11/18/ad-ports-group-signs-agreement-with-cma-cgm-group-to-expand-terminal-at-khalifa-port</x:v>
      </x:c>
    </x:row>
    <x:row r="86">
      <x:c r="A86" s="102" t="str">
        <x:v>OWN00085</x:v>
      </x:c>
      <x:c r="B86" s="102" t="str">
        <x:v>TERM0082</x:v>
      </x:c>
      <x:c r="C86" s="102" t="str">
        <x:v>COMP_CMA_TERMINALS</x:v>
      </x:c>
      <x:c r="D86" s="102" t="str">
        <x:v>CMA Terminals Khalifa Port</x:v>
      </x:c>
      <x:c r="E86" s="102" t="str">
        <x:v>Operator / portfolio relationship</x:v>
      </x:c>
      <x:c r="F86" s="102"/>
      <x:c r="G86" s="102"/>
      <x:c r="H86" s="102" t="str">
        <x:v>Current / see source</x:v>
      </x:c>
      <x:c r="I86" s="102" t="str">
        <x:v>70% CMA Terminals / 30% AD Ports Group</x:v>
      </x:c>
      <x:c r="J86" s="102" t="str">
        <x:v>https://www.adportsgroup.com/en/news-and-media/2025/11/18/ad-ports-group-signs-agreement-with-cma-cgm-group-to-expand-terminal-at-khalifa-port</x:v>
      </x:c>
    </x:row>
    <x:row r="87">
      <x:c r="A87" s="102" t="str">
        <x:v>OWN00086</x:v>
      </x:c>
      <x:c r="B87" s="102" t="str">
        <x:v>TERM0083</x:v>
      </x:c>
      <x:c r="C87" s="102" t="str">
        <x:v>COMP_NOATUM</x:v>
      </x:c>
      <x:c r="D87" s="102" t="str">
        <x:v>Autoterminal Khalifa Port</x:v>
      </x:c>
      <x:c r="E87" s="102" t="str">
        <x:v>Operator / portfolio relationship</x:v>
      </x:c>
      <x:c r="F87" s="102"/>
      <x:c r="G87" s="102" t="str">
        <x:v>Yes</x:v>
      </x:c>
      <x:c r="H87" s="102" t="str">
        <x:v>Current / see source</x:v>
      </x:c>
      <x:c r="I87" s="102" t="str">
        <x:v>AD Ports Group / Noatum automotive asset</x:v>
      </x:c>
      <x:c r="J87" s="102" t="str">
        <x:v>https://www.noatum.com/en/noatum-automotive/</x:v>
      </x:c>
    </x:row>
    <x:row r="88">
      <x:c r="A88" s="102" t="str">
        <x:v>OWN00087</x:v>
      </x:c>
      <x:c r="B88" s="102" t="str">
        <x:v>TERM0084</x:v>
      </x:c>
      <x:c r="C88" s="102" t="str">
        <x:v>COMP_ADPORTS</x:v>
      </x:c>
      <x:c r="D88" s="102" t="str">
        <x:v>AD Ports Group</x:v>
      </x:c>
      <x:c r="E88" s="102" t="str">
        <x:v>Operator / portfolio relationship</x:v>
      </x:c>
      <x:c r="F88" s="102"/>
      <x:c r="G88" s="102" t="str">
        <x:v>Yes</x:v>
      </x:c>
      <x:c r="H88" s="102" t="str">
        <x:v>Current / see source</x:v>
      </x:c>
      <x:c r="I88" s="102" t="str">
        <x:v>Owned/operated by AD Ports Group</x:v>
      </x:c>
      <x:c r="J88" s="102" t="str">
        <x:v>https://www.adportsgroup.com/en/integrated-clusters/ports/abu-dhabi-ports</x:v>
      </x:c>
    </x:row>
    <x:row r="89">
      <x:c r="A89" s="102" t="str">
        <x:v>OWN00088</x:v>
      </x:c>
      <x:c r="B89" s="102" t="str">
        <x:v>TERM0085</x:v>
      </x:c>
      <x:c r="C89" s="102" t="str">
        <x:v>COMP_ADPORTS</x:v>
      </x:c>
      <x:c r="D89" s="102" t="str">
        <x:v>AD Ports Group</x:v>
      </x:c>
      <x:c r="E89" s="102" t="str">
        <x:v>Operator / portfolio relationship</x:v>
      </x:c>
      <x:c r="F89" s="102"/>
      <x:c r="G89" s="102" t="str">
        <x:v>Yes</x:v>
      </x:c>
      <x:c r="H89" s="102" t="str">
        <x:v>Current / see source</x:v>
      </x:c>
      <x:c r="I89" s="102" t="str">
        <x:v>Owned/operated by AD Ports Group</x:v>
      </x:c>
      <x:c r="J89" s="102" t="str">
        <x:v>https://www.adportsgroup.com/en/integrated-clusters/ports/abu-dhabi-ports</x:v>
      </x:c>
    </x:row>
    <x:row r="90">
      <x:c r="A90" s="102" t="str">
        <x:v>OWN00089</x:v>
      </x:c>
      <x:c r="B90" s="102" t="str">
        <x:v>TERM0086</x:v>
      </x:c>
      <x:c r="C90" s="102" t="str">
        <x:v>COMP_ADPORTS</x:v>
      </x:c>
      <x:c r="D90" s="102" t="str">
        <x:v>AD Ports Group</x:v>
      </x:c>
      <x:c r="E90" s="102" t="str">
        <x:v>Operator / portfolio relationship</x:v>
      </x:c>
      <x:c r="F90" s="102"/>
      <x:c r="G90" s="102" t="str">
        <x:v>Yes</x:v>
      </x:c>
      <x:c r="H90" s="102" t="str">
        <x:v>Current / see source</x:v>
      </x:c>
      <x:c r="I90" s="102" t="str">
        <x:v>Owned/operated</x:v>
      </x:c>
      <x:c r="J90" s="102" t="str">
        <x:v>https://www.adportsgroup.com/en/integrated-clusters/ports/abu-dhabi-ports</x:v>
      </x:c>
    </x:row>
    <x:row r="91">
      <x:c r="A91" s="102" t="str">
        <x:v>OWN00090</x:v>
      </x:c>
      <x:c r="B91" s="102" t="str">
        <x:v>TERM0087</x:v>
      </x:c>
      <x:c r="C91" s="102" t="str">
        <x:v>COMP_ADPORTS</x:v>
      </x:c>
      <x:c r="D91" s="102" t="str">
        <x:v>AD Ports Group</x:v>
      </x:c>
      <x:c r="E91" s="102" t="str">
        <x:v>Operator / portfolio relationship</x:v>
      </x:c>
      <x:c r="F91" s="102"/>
      <x:c r="G91" s="102" t="str">
        <x:v>Yes</x:v>
      </x:c>
      <x:c r="H91" s="102" t="str">
        <x:v>Current / see source</x:v>
      </x:c>
      <x:c r="I91" s="102" t="str">
        <x:v>Operated</x:v>
      </x:c>
      <x:c r="J91" s="102" t="str">
        <x:v>https://www.adportsgroup.com/en/integrated-clusters/ports/abu-dhabi-ports</x:v>
      </x:c>
    </x:row>
    <x:row r="92">
      <x:c r="A92" s="102" t="str">
        <x:v>OWN00091</x:v>
      </x:c>
      <x:c r="B92" s="102" t="str">
        <x:v>TERM0088</x:v>
      </x:c>
      <x:c r="C92" s="102" t="str">
        <x:v>COMP_NOATUM</x:v>
      </x:c>
      <x:c r="D92" s="102" t="str">
        <x:v>AD Ports Group / Aqaba Development Corporation</x:v>
      </x:c>
      <x:c r="E92" s="102" t="str">
        <x:v>Operator / portfolio relationship</x:v>
      </x:c>
      <x:c r="F92" s="102"/>
      <x:c r="G92" s="102" t="str">
        <x:v>Yes</x:v>
      </x:c>
      <x:c r="H92" s="102" t="str">
        <x:v>Current / see source</x:v>
      </x:c>
      <x:c r="I92" s="102" t="str">
        <x:v>Partnership</x:v>
      </x:c>
      <x:c r="J92" s="102" t="str">
        <x:v>https://www.adportsgroup.com/en/news-and-media/2026/06/18/ad-ports-group-launches-maqta-ayla-digital-solutions-in-jordan</x:v>
      </x:c>
    </x:row>
    <x:row r="93">
      <x:c r="A93" s="102" t="str">
        <x:v>OWN00092</x:v>
      </x:c>
      <x:c r="B93" s="102" t="str">
        <x:v>TERM0089</x:v>
      </x:c>
      <x:c r="C93" s="102" t="str">
        <x:v>COMP_ADPORTS</x:v>
      </x:c>
      <x:c r="D93" s="102" t="str">
        <x:v>AD Ports Group / Egyptian authorities</x:v>
      </x:c>
      <x:c r="E93" s="102" t="str">
        <x:v>Operator / portfolio relationship</x:v>
      </x:c>
      <x:c r="F93" s="102"/>
      <x:c r="G93" s="102" t="str">
        <x:v>Yes</x:v>
      </x:c>
      <x:c r="H93" s="102" t="str">
        <x:v>Current / see source</x:v>
      </x:c>
      <x:c r="I93" s="102" t="str">
        <x:v>Concession/management arrangement</x:v>
      </x:c>
      <x:c r="J93" s="102" t="str">
        <x:v>https://www.adportsgroup.com/en/news-and-media/2026/05/19/ad-ports-group-launches-cruise-and-ferry-terminal-services-in-egypt</x:v>
      </x:c>
    </x:row>
    <x:row r="94">
      <x:c r="A94" s="102" t="str">
        <x:v>OWN00093</x:v>
      </x:c>
      <x:c r="B94" s="102" t="str">
        <x:v>TERM0090</x:v>
      </x:c>
      <x:c r="C94" s="102" t="str">
        <x:v>COMP_ADPORTS</x:v>
      </x:c>
      <x:c r="D94" s="102" t="str">
        <x:v>AD Ports Group / Egyptian authorities</x:v>
      </x:c>
      <x:c r="E94" s="102" t="str">
        <x:v>Operator / portfolio relationship</x:v>
      </x:c>
      <x:c r="F94" s="102"/>
      <x:c r="G94" s="102" t="str">
        <x:v>Yes</x:v>
      </x:c>
      <x:c r="H94" s="102" t="str">
        <x:v>Current / see source</x:v>
      </x:c>
      <x:c r="I94" s="102" t="str">
        <x:v>Concession/management arrangement</x:v>
      </x:c>
      <x:c r="J94" s="102" t="str">
        <x:v>https://www.adportsgroup.com/en/news-and-media/2026/05/19/ad-ports-group-launches-cruise-and-ferry-terminal-services-in-egypt</x:v>
      </x:c>
    </x:row>
    <x:row r="95">
      <x:c r="A95" s="102" t="str">
        <x:v>OWN00094</x:v>
      </x:c>
      <x:c r="B95" s="102" t="str">
        <x:v>TERM0091</x:v>
      </x:c>
      <x:c r="C95" s="102" t="str">
        <x:v>COMP_ADPORTS</x:v>
      </x:c>
      <x:c r="D95" s="102" t="str">
        <x:v>AD Ports Group / Egyptian authorities</x:v>
      </x:c>
      <x:c r="E95" s="102" t="str">
        <x:v>Operator / portfolio relationship</x:v>
      </x:c>
      <x:c r="F95" s="102"/>
      <x:c r="G95" s="102" t="str">
        <x:v>Yes</x:v>
      </x:c>
      <x:c r="H95" s="102" t="str">
        <x:v>Current / see source</x:v>
      </x:c>
      <x:c r="I95" s="102" t="str">
        <x:v>Concession/management arrangement</x:v>
      </x:c>
      <x:c r="J95" s="102" t="str">
        <x:v>https://www.adportsgroup.com/en/news-and-media/2026/05/19/ad-ports-group-launches-cruise-and-ferry-terminal-services-in-egypt</x:v>
      </x:c>
    </x:row>
    <x:row r="96">
      <x:c r="A96" s="102" t="str">
        <x:v>OWN00095</x:v>
      </x:c>
      <x:c r="B96" s="102" t="str">
        <x:v>TERM0092</x:v>
      </x:c>
      <x:c r="C96" s="102" t="str">
        <x:v>COMP_NOATUM</x:v>
      </x:c>
      <x:c r="D96" s="102" t="str">
        <x:v>Noatum Ports</x:v>
      </x:c>
      <x:c r="E96" s="102" t="str">
        <x:v>Operator / portfolio relationship</x:v>
      </x:c>
      <x:c r="F96" s="102"/>
      <x:c r="G96" s="102" t="str">
        <x:v>Yes</x:v>
      </x:c>
      <x:c r="H96" s="102" t="str">
        <x:v>Current / see source</x:v>
      </x:c>
      <x:c r="I96" s="102" t="str">
        <x:v>100% AD Ports Group concession vehicle</x:v>
      </x:c>
      <x:c r="J96" s="102" t="str">
        <x:v>https://www.adportsgroup.com/en/news-and-media/2025/03/04/ad-ports-group-prepares-to-receive-state-of-the-art-panamax-class-cranes-in-safaga</x:v>
      </x:c>
    </x:row>
    <x:row r="97">
      <x:c r="A97" s="102" t="str">
        <x:v>OWN00096</x:v>
      </x:c>
      <x:c r="B97" s="102" t="str">
        <x:v>TERM0093</x:v>
      </x:c>
      <x:c r="C97" s="102" t="str">
        <x:v>COMP_NOATUM</x:v>
      </x:c>
      <x:c r="D97" s="102" t="str">
        <x:v>TCI</x:v>
      </x:c>
      <x:c r="E97" s="102" t="str">
        <x:v>Operator / portfolio relationship</x:v>
      </x:c>
      <x:c r="F97" s="102"/>
      <x:c r="G97" s="102" t="str">
        <x:v>Yes</x:v>
      </x:c>
      <x:c r="H97" s="102" t="str">
        <x:v>Current / see source</x:v>
      </x:c>
      <x:c r="I97" s="102" t="str">
        <x:v>AD Ports Group controlled through TCI</x:v>
      </x:c>
      <x:c r="J97" s="102" t="str">
        <x:v>https://www.adportsgroup.com/en/news-and-media/2025/01/03/ad-ports-group-closes-2024-with-strong-growth</x:v>
      </x:c>
    </x:row>
    <x:row r="98">
      <x:c r="A98" s="102" t="str">
        <x:v>OWN00097</x:v>
      </x:c>
      <x:c r="B98" s="102" t="str">
        <x:v>TERM0094</x:v>
      </x:c>
      <x:c r="C98" s="102" t="str">
        <x:v>COMP_NOATUM</x:v>
      </x:c>
      <x:c r="D98" s="102" t="str">
        <x:v>KGTL</x:v>
      </x:c>
      <x:c r="E98" s="102" t="str">
        <x:v>Operator / portfolio relationship</x:v>
      </x:c>
      <x:c r="F98" s="102"/>
      <x:c r="G98" s="102" t="str">
        <x:v>Yes</x:v>
      </x:c>
      <x:c r="H98" s="102" t="str">
        <x:v>Current / see source</x:v>
      </x:c>
      <x:c r="I98" s="102" t="str">
        <x:v>AD Ports Group-led JV</x:v>
      </x:c>
      <x:c r="J98" s="102" t="str">
        <x:v>https://www.adportsgroup.com/en/news-and-media/2025/09/02/ad-ports-groups-karachi-terminals-in-pakistan-sign-major-dredging-agreement</x:v>
      </x:c>
    </x:row>
    <x:row r="99">
      <x:c r="A99" s="102" t="str">
        <x:v>OWN00098</x:v>
      </x:c>
      <x:c r="B99" s="102" t="str">
        <x:v>TERM0095</x:v>
      </x:c>
      <x:c r="C99" s="102" t="str">
        <x:v>COMP_NOATUM</x:v>
      </x:c>
      <x:c r="D99" s="102" t="str">
        <x:v>KGTML</x:v>
      </x:c>
      <x:c r="E99" s="102" t="str">
        <x:v>Operator / portfolio relationship</x:v>
      </x:c>
      <x:c r="F99" s="102"/>
      <x:c r="G99" s="102" t="str">
        <x:v>Yes</x:v>
      </x:c>
      <x:c r="H99" s="102" t="str">
        <x:v>Current / see source</x:v>
      </x:c>
      <x:c r="I99" s="102" t="str">
        <x:v>AD Ports Group majority / Kaheel Terminals JV</x:v>
      </x:c>
      <x:c r="J99" s="102" t="str">
        <x:v>https://www.adportsgroup.com/en/news-and-media/2024/02/03/ad-ports-group-and-karachi-port-trust-extend-cooperation-through-25-year-concession-agreement</x:v>
      </x:c>
    </x:row>
    <x:row r="100">
      <x:c r="A100" s="102" t="str">
        <x:v>OWN00099</x:v>
      </x:c>
      <x:c r="B100" s="102" t="str">
        <x:v>TERM0096</x:v>
      </x:c>
      <x:c r="C100" s="102" t="str">
        <x:v>COMP_NOATUM</x:v>
      </x:c>
      <x:c r="D100" s="102" t="str">
        <x:v>Noatum Ports Luanda Terminal</x:v>
      </x:c>
      <x:c r="E100" s="102" t="str">
        <x:v>Operator / portfolio relationship</x:v>
      </x:c>
      <x:c r="F100" s="102"/>
      <x:c r="G100" s="102" t="str">
        <x:v>Yes</x:v>
      </x:c>
      <x:c r="H100" s="102" t="str">
        <x:v>Current / see source</x:v>
      </x:c>
      <x:c r="I100" s="102" t="str">
        <x:v>81% AD Ports Group / local partners</x:v>
      </x:c>
      <x:c r="J100" s="102" t="str">
        <x:v>https://www.adportsgroup.com/en/news-and-media/2025/09/19/ad-ports-group-breaks-ground-on-noatum-ports-luanda-terminal</x:v>
      </x:c>
    </x:row>
    <x:row r="101">
      <x:c r="A101" s="102" t="str">
        <x:v>OWN00100</x:v>
      </x:c>
      <x:c r="B101" s="102" t="str">
        <x:v>TERM0097</x:v>
      </x:c>
      <x:c r="C101" s="102" t="str">
        <x:v>COMP_NOATUM</x:v>
      </x:c>
      <x:c r="D101" s="102" t="str">
        <x:v>AD Ports Group / CMA Terminals JV</x:v>
      </x:c>
      <x:c r="E101" s="102" t="str">
        <x:v>Operator / portfolio relationship</x:v>
      </x:c>
      <x:c r="F101" s="102"/>
      <x:c r="G101" s="102" t="str">
        <x:v>Yes</x:v>
      </x:c>
      <x:c r="H101" s="102" t="str">
        <x:v>Current / see source</x:v>
      </x:c>
      <x:c r="I101" s="102" t="str">
        <x:v>51% AD Ports Group / 49% CMA CGM in terminal JV</x:v>
      </x:c>
      <x:c r="J101" s="102" t="str">
        <x:v>https://www.adportsgroup.com/en/news-and-media/2026/05/18/ad-ports-group-awards-three-contracts-for-noatum-ports-pointe-noire-terminal</x:v>
      </x:c>
    </x:row>
    <x:row r="102">
      <x:c r="A102" s="102" t="str">
        <x:v>OWN00101</x:v>
      </x:c>
      <x:c r="B102" s="102" t="str">
        <x:v>TERM0097</x:v>
      </x:c>
      <x:c r="C102" s="102" t="str">
        <x:v>COMP_CMA_TERMINALS</x:v>
      </x:c>
      <x:c r="D102" s="102" t="str">
        <x:v>Noatum Ports Pointe-Noire Terminal</x:v>
      </x:c>
      <x:c r="E102" s="102" t="str">
        <x:v>Operator / portfolio relationship</x:v>
      </x:c>
      <x:c r="F102" s="102"/>
      <x:c r="G102" s="102"/>
      <x:c r="H102" s="102" t="str">
        <x:v>Current / see source</x:v>
      </x:c>
      <x:c r="I102" s="102" t="str">
        <x:v>51% AD Ports Group / 49% CMA Terminals</x:v>
      </x:c>
      <x:c r="J102" s="102" t="str">
        <x:v>https://www.adportsgroup.com/en/news-and-media/2026/05/18/ad-ports-group-awards-three-contracts-for-noatum-ports-pointe-noire-terminal</x:v>
      </x:c>
    </x:row>
    <x:row r="103">
      <x:c r="A103" s="102" t="str">
        <x:v>OWN00102</x:v>
      </x:c>
      <x:c r="B103" s="102" t="str">
        <x:v>TERM0098</x:v>
      </x:c>
      <x:c r="C103" s="102" t="str">
        <x:v>COMP_NOATUM</x:v>
      </x:c>
      <x:c r="D103" s="102" t="str">
        <x:v>TICTS / East Africa Gateway</x:v>
      </x:c>
      <x:c r="E103" s="102" t="str">
        <x:v>Operator / portfolio relationship</x:v>
      </x:c>
      <x:c r="F103" s="102"/>
      <x:c r="G103" s="102" t="str">
        <x:v>Yes</x:v>
      </x:c>
      <x:c r="H103" s="102" t="str">
        <x:v>Current / see source</x:v>
      </x:c>
      <x:c r="I103" s="102" t="str">
        <x:v>AD Ports Group 30% stake alongside Adani and East Harbour interests</x:v>
      </x:c>
      <x:c r="J103" s="102" t="str">
        <x:v>https://www.adportsgroup.com/en/news-and-media/2025/01/03/ad-ports-group-closes-2024-with-strong-growth</x:v>
      </x:c>
    </x:row>
    <x:row r="104">
      <x:c r="A104" s="102" t="str">
        <x:v>OWN00103</x:v>
      </x:c>
      <x:c r="B104" s="102" t="str">
        <x:v>TERM0099</x:v>
      </x:c>
      <x:c r="C104" s="102" t="str">
        <x:v>COMP_NOATUM</x:v>
      </x:c>
      <x:c r="D104" s="102" t="str">
        <x:v>Tbilisi Intermodal Hub</x:v>
      </x:c>
      <x:c r="E104" s="102" t="str">
        <x:v>Operator / portfolio relationship</x:v>
      </x:c>
      <x:c r="F104" s="102"/>
      <x:c r="G104" s="102" t="str">
        <x:v>Yes</x:v>
      </x:c>
      <x:c r="H104" s="102" t="str">
        <x:v>Current / see source</x:v>
      </x:c>
      <x:c r="I104" s="102" t="str">
        <x:v>60% AD Ports Group / Inveco / Wilhelmsen</x:v>
      </x:c>
      <x:c r="J104" s="102" t="str">
        <x:v>https://www.adportsgroup.com/en/news-and-media/2025/06/03/ad-ports-group-inaugurates-tbilisi-intermodal-hub-in-georgia</x:v>
      </x:c>
    </x:row>
    <x:row r="105">
      <x:c r="A105" s="102" t="str">
        <x:v>OWN00104</x:v>
      </x:c>
      <x:c r="B105" s="102" t="str">
        <x:v>TERM0100</x:v>
      </x:c>
      <x:c r="C105" s="102" t="str">
        <x:v>COMP_ADPORTS</x:v>
      </x:c>
      <x:c r="D105" s="102" t="str">
        <x:v>Sarzha Grain Terminal JV</x:v>
      </x:c>
      <x:c r="E105" s="102" t="str">
        <x:v>Operator / portfolio relationship</x:v>
      </x:c>
      <x:c r="F105" s="102"/>
      <x:c r="G105" s="102" t="str">
        <x:v>Yes</x:v>
      </x:c>
      <x:c r="H105" s="102" t="str">
        <x:v>Current / see source</x:v>
      </x:c>
      <x:c r="I105" s="102" t="str">
        <x:v>51% AD Ports Group / 49% Semurg</x:v>
      </x:c>
      <x:c r="J105" s="102" t="str">
        <x:v>https://www.adportsgroup.com/en/news-and-media/2025/01/14/ad-ports-group-to-invest-in-greenfield-sarzha-grain-terminal-in-kuryk-port-kazakhstan</x:v>
      </x:c>
    </x:row>
    <x:row r="106">
      <x:c r="A106" s="102" t="str">
        <x:v>OWN00105</x:v>
      </x:c>
      <x:c r="B106" s="102" t="str">
        <x:v>TERM0101</x:v>
      </x:c>
      <x:c r="C106" s="102" t="str">
        <x:v>COMP_NOATUM</x:v>
      </x:c>
      <x:c r="D106" s="102" t="str">
        <x:v>Operating company with Africa Ports Development</x:v>
      </x:c>
      <x:c r="E106" s="102" t="str">
        <x:v>Operator / portfolio relationship</x:v>
      </x:c>
      <x:c r="F106" s="102"/>
      <x:c r="G106" s="102" t="str">
        <x:v>Yes</x:v>
      </x:c>
      <x:c r="H106" s="102" t="str">
        <x:v>Current / see source</x:v>
      </x:c>
      <x:c r="I106" s="102" t="str">
        <x:v>Effective economic interest 51% for AD Ports Group</x:v>
      </x:c>
      <x:c r="J106" s="102" t="str">
        <x:v>https://www.adportsgroup.com/en/news-and-media/2026/02/12/ad-ports-group-enters-into-30-year-concession-agreement-with-africa-ports-development</x:v>
      </x:c>
    </x:row>
    <x:row r="107">
      <x:c r="A107" s="102" t="str">
        <x:v>OWN00106</x:v>
      </x:c>
      <x:c r="B107" s="102" t="str">
        <x:v>TERM0102</x:v>
      </x:c>
      <x:c r="C107" s="102" t="str">
        <x:v>COMP_NOATUM</x:v>
      </x:c>
      <x:c r="D107" s="102" t="str">
        <x:v>JV with Aqaba Development Corporation</x:v>
      </x:c>
      <x:c r="E107" s="102" t="str">
        <x:v>Operator / portfolio relationship</x:v>
      </x:c>
      <x:c r="F107" s="102"/>
      <x:c r="G107" s="102" t="str">
        <x:v>Yes</x:v>
      </x:c>
      <x:c r="H107" s="102" t="str">
        <x:v>Current / see source</x:v>
      </x:c>
      <x:c r="I107" s="102" t="str">
        <x:v>70% AD Ports Group / 30% ADC</x:v>
      </x:c>
      <x:c r="J107" s="102" t="str">
        <x:v>https://wpvip.adportsgroup.com/adportsgroup/news-and-media/2026/02/05/ad-ports-group-signs-30-year-agreement-with-aqaba-development-corporation/</x:v>
      </x:c>
    </x:row>
    <x:row r="108">
      <x:c r="A108" s="102" t="str">
        <x:v>OWN00107</x:v>
      </x:c>
      <x:c r="B108" s="102" t="str">
        <x:v>TERM0103</x:v>
      </x:c>
      <x:c r="C108" s="102" t="str">
        <x:v>COMP_NOATUM</x:v>
      </x:c>
      <x:c r="D108" s="102" t="str">
        <x:v>Noatum Ports</x:v>
      </x:c>
      <x:c r="E108" s="102" t="str">
        <x:v>Operator / portfolio relationship</x:v>
      </x:c>
      <x:c r="F108" s="102"/>
      <x:c r="G108" s="102" t="str">
        <x:v>Yes</x:v>
      </x:c>
      <x:c r="H108" s="102" t="str">
        <x:v>Current / see source</x:v>
      </x:c>
      <x:c r="I108" s="102" t="str">
        <x:v>AD Ports Group / Noatum Ports</x:v>
      </x:c>
      <x:c r="J108" s="102" t="str">
        <x:v>https://www.noatum.com/en/terminals-port-operations/noatum-ports-tarragona-terminal/</x:v>
      </x:c>
    </x:row>
    <x:row r="109">
      <x:c r="A109" s="102" t="str">
        <x:v>OWN00108</x:v>
      </x:c>
      <x:c r="B109" s="102" t="str">
        <x:v>TERM0104</x:v>
      </x:c>
      <x:c r="C109" s="102" t="str">
        <x:v>COMP_NOATUM</x:v>
      </x:c>
      <x:c r="D109" s="102" t="str">
        <x:v>Noatum Ports</x:v>
      </x:c>
      <x:c r="E109" s="102" t="str">
        <x:v>Operator / portfolio relationship</x:v>
      </x:c>
      <x:c r="F109" s="102"/>
      <x:c r="G109" s="102" t="str">
        <x:v>Yes</x:v>
      </x:c>
      <x:c r="H109" s="102" t="str">
        <x:v>Current / see source</x:v>
      </x:c>
      <x:c r="I109" s="102" t="str">
        <x:v>AD Ports Group / Noatum Ports</x:v>
      </x:c>
      <x:c r="J109" s="102" t="str">
        <x:v>https://www.noatum.com/en/terminals-port-operations/noatum-ports-castellon-terminal/</x:v>
      </x:c>
    </x:row>
    <x:row r="110">
      <x:c r="A110" s="102" t="str">
        <x:v>OWN00109</x:v>
      </x:c>
      <x:c r="B110" s="102" t="str">
        <x:v>TERM0105</x:v>
      </x:c>
      <x:c r="C110" s="102" t="str">
        <x:v>COMP_NOATUM</x:v>
      </x:c>
      <x:c r="D110" s="102" t="str">
        <x:v>Noatum Ports</x:v>
      </x:c>
      <x:c r="E110" s="102" t="str">
        <x:v>Operator / portfolio relationship</x:v>
      </x:c>
      <x:c r="F110" s="102"/>
      <x:c r="G110" s="102" t="str">
        <x:v>Yes</x:v>
      </x:c>
      <x:c r="H110" s="102" t="str">
        <x:v>Current / see source</x:v>
      </x:c>
      <x:c r="I110" s="102" t="str">
        <x:v>AD Ports Group / Noatum Ports</x:v>
      </x:c>
      <x:c r="J110" s="102" t="str">
        <x:v>https://www.noatum.com/en/terminals-port-operations/noatum-ports-sagunto-terminal/</x:v>
      </x:c>
    </x:row>
    <x:row r="111">
      <x:c r="A111" s="102" t="str">
        <x:v>OWN00110</x:v>
      </x:c>
      <x:c r="B111" s="102" t="str">
        <x:v>TERM0106</x:v>
      </x:c>
      <x:c r="C111" s="102" t="str">
        <x:v>COMP_NOATUM</x:v>
      </x:c>
      <x:c r="D111" s="102" t="str">
        <x:v>Noatum Ports</x:v>
      </x:c>
      <x:c r="E111" s="102" t="str">
        <x:v>Operator / portfolio relationship</x:v>
      </x:c>
      <x:c r="F111" s="102"/>
      <x:c r="G111" s="102" t="str">
        <x:v>Yes</x:v>
      </x:c>
      <x:c r="H111" s="102" t="str">
        <x:v>Current / see source</x:v>
      </x:c>
      <x:c r="I111" s="102" t="str">
        <x:v>AD Ports Group / Noatum Ports</x:v>
      </x:c>
      <x:c r="J111" s="102" t="str">
        <x:v>https://www.noatum.com/en/terminals-port-operations/</x:v>
      </x:c>
    </x:row>
    <x:row r="112">
      <x:c r="A112" s="102" t="str">
        <x:v>OWN00111</x:v>
      </x:c>
      <x:c r="B112" s="102" t="str">
        <x:v>TERM0107</x:v>
      </x:c>
      <x:c r="C112" s="102" t="str">
        <x:v>COMP_NOATUM</x:v>
      </x:c>
      <x:c r="D112" s="102" t="str">
        <x:v>Noatum Ports</x:v>
      </x:c>
      <x:c r="E112" s="102" t="str">
        <x:v>Operator / portfolio relationship</x:v>
      </x:c>
      <x:c r="F112" s="102"/>
      <x:c r="G112" s="102" t="str">
        <x:v>Yes</x:v>
      </x:c>
      <x:c r="H112" s="102" t="str">
        <x:v>Current / see source</x:v>
      </x:c>
      <x:c r="I112" s="102" t="str">
        <x:v>AD Ports Group / Noatum Ports</x:v>
      </x:c>
      <x:c r="J112" s="102" t="str">
        <x:v>https://www.noatum.com/en/terminals-port-operations/noatum-ports-malaga-terminal/</x:v>
      </x:c>
    </x:row>
    <x:row r="113">
      <x:c r="A113" s="102" t="str">
        <x:v>OWN00112</x:v>
      </x:c>
      <x:c r="B113" s="102" t="str">
        <x:v>TERM0108</x:v>
      </x:c>
      <x:c r="C113" s="102" t="str">
        <x:v>COMP_NOATUM</x:v>
      </x:c>
      <x:c r="D113" s="102" t="str">
        <x:v>Noatum Ports</x:v>
      </x:c>
      <x:c r="E113" s="102" t="str">
        <x:v>Operator / portfolio relationship</x:v>
      </x:c>
      <x:c r="F113" s="102"/>
      <x:c r="G113" s="102" t="str">
        <x:v>Yes</x:v>
      </x:c>
      <x:c r="H113" s="102" t="str">
        <x:v>Current / see source</x:v>
      </x:c>
      <x:c r="I113" s="102" t="str">
        <x:v>AD Ports Group / Noatum Ports</x:v>
      </x:c>
      <x:c r="J113" s="102" t="str">
        <x:v>https://www.noatum.com/en/terminals-port-operations/</x:v>
      </x:c>
    </x:row>
    <x:row r="114">
      <x:c r="A114" s="102" t="str">
        <x:v>OWN00113</x:v>
      </x:c>
      <x:c r="B114" s="102" t="str">
        <x:v>TERM0109</x:v>
      </x:c>
      <x:c r="C114" s="102" t="str">
        <x:v>COMP_NOATUM</x:v>
      </x:c>
      <x:c r="D114" s="102" t="str">
        <x:v>Noatum Ports</x:v>
      </x:c>
      <x:c r="E114" s="102" t="str">
        <x:v>Operator / portfolio relationship</x:v>
      </x:c>
      <x:c r="F114" s="102"/>
      <x:c r="G114" s="102" t="str">
        <x:v>Yes</x:v>
      </x:c>
      <x:c r="H114" s="102" t="str">
        <x:v>Current / see source</x:v>
      </x:c>
      <x:c r="I114" s="102" t="str">
        <x:v>AD Ports Group / Noatum Ports</x:v>
      </x:c>
      <x:c r="J114" s="102" t="str">
        <x:v>https://www.noatum.com/en/terminals-port-operations/</x:v>
      </x:c>
    </x:row>
    <x:row r="115">
      <x:c r="A115" s="102" t="str">
        <x:v>OWN00114</x:v>
      </x:c>
      <x:c r="B115" s="102" t="str">
        <x:v>TERM0110</x:v>
      </x:c>
      <x:c r="C115" s="102" t="str">
        <x:v>COMP_NOATUM</x:v>
      </x:c>
      <x:c r="D115" s="102" t="str">
        <x:v>Noatum Ports</x:v>
      </x:c>
      <x:c r="E115" s="102" t="str">
        <x:v>Operator / portfolio relationship</x:v>
      </x:c>
      <x:c r="F115" s="102"/>
      <x:c r="G115" s="102" t="str">
        <x:v>Yes</x:v>
      </x:c>
      <x:c r="H115" s="102" t="str">
        <x:v>Current / see source</x:v>
      </x:c>
      <x:c r="I115" s="102" t="str">
        <x:v>AD Ports Group / Noatum Ports</x:v>
      </x:c>
      <x:c r="J115" s="102" t="str">
        <x:v>https://www.noatum.com/en/terminals-port-operations/noatum-ports-santander-terminal/</x:v>
      </x:c>
    </x:row>
    <x:row r="116">
      <x:c r="A116" s="102" t="str">
        <x:v>OWN00115</x:v>
      </x:c>
      <x:c r="B116" s="102" t="str">
        <x:v>TERM0111</x:v>
      </x:c>
      <x:c r="C116" s="102" t="str">
        <x:v>COMP_NOATUM</x:v>
      </x:c>
      <x:c r="D116" s="102" t="str">
        <x:v>Noatum Ports</x:v>
      </x:c>
      <x:c r="E116" s="102" t="str">
        <x:v>Operator / portfolio relationship</x:v>
      </x:c>
      <x:c r="F116" s="102"/>
      <x:c r="G116" s="102" t="str">
        <x:v>Yes</x:v>
      </x:c>
      <x:c r="H116" s="102" t="str">
        <x:v>Current / see source</x:v>
      </x:c>
      <x:c r="I116" s="102" t="str">
        <x:v>AD Ports Group / Noatum Ports</x:v>
      </x:c>
      <x:c r="J116" s="102" t="str">
        <x:v>https://www.noatum.com/en/terminals-port-operations/</x:v>
      </x:c>
    </x:row>
    <x:row r="117">
      <x:c r="A117" s="102" t="str">
        <x:v>OWN00116</x:v>
      </x:c>
      <x:c r="B117" s="102" t="str">
        <x:v>TERM0112</x:v>
      </x:c>
      <x:c r="C117" s="102" t="str">
        <x:v>COMP_NOATUM</x:v>
      </x:c>
      <x:c r="D117" s="102" t="str">
        <x:v>Noatum Ports</x:v>
      </x:c>
      <x:c r="E117" s="102" t="str">
        <x:v>Operator / portfolio relationship</x:v>
      </x:c>
      <x:c r="F117" s="102"/>
      <x:c r="G117" s="102" t="str">
        <x:v>Yes</x:v>
      </x:c>
      <x:c r="H117" s="102" t="str">
        <x:v>Current / see source</x:v>
      </x:c>
      <x:c r="I117" s="102" t="str">
        <x:v>AD Ports Group / Noatum Ports</x:v>
      </x:c>
      <x:c r="J117" s="102" t="str">
        <x:v>https://www.noatum.com/en/noatum-automotive/</x:v>
      </x:c>
    </x:row>
    <x:row r="118">
      <x:c r="A118" s="102" t="str">
        <x:v>OWN00117</x:v>
      </x:c>
      <x:c r="B118" s="102" t="str">
        <x:v>TERM0113</x:v>
      </x:c>
      <x:c r="C118" s="102" t="str">
        <x:v>COMP_NOATUM</x:v>
      </x:c>
      <x:c r="D118" s="102" t="str">
        <x:v>Autoterminal Barcelona</x:v>
      </x:c>
      <x:c r="E118" s="102" t="str">
        <x:v>Operator / portfolio relationship</x:v>
      </x:c>
      <x:c r="F118" s="102"/>
      <x:c r="G118" s="102" t="str">
        <x:v>Yes</x:v>
      </x:c>
      <x:c r="H118" s="102" t="str">
        <x:v>Current / see source</x:v>
      </x:c>
      <x:c r="I118" s="102" t="str">
        <x:v>AD Ports Group / Noatum</x:v>
      </x:c>
      <x:c r="J118" s="102" t="str">
        <x:v>https://www.noatum.com/en/noatum-automotive/automotive-ports/</x:v>
      </x:c>
    </x:row>
    <x:row r="119">
      <x:c r="A119" s="102" t="str">
        <x:v>OWN00118</x:v>
      </x:c>
      <x:c r="B119" s="102" t="str">
        <x:v>TERM0114</x:v>
      </x:c>
      <x:c r="C119" s="102" t="str">
        <x:v>COMP_NOATUM</x:v>
      </x:c>
      <x:c r="D119" s="102" t="str">
        <x:v>Noatum Ports</x:v>
      </x:c>
      <x:c r="E119" s="102" t="str">
        <x:v>Operator / portfolio relationship</x:v>
      </x:c>
      <x:c r="F119" s="102"/>
      <x:c r="G119" s="102" t="str">
        <x:v>Yes</x:v>
      </x:c>
      <x:c r="H119" s="102" t="str">
        <x:v>Current / see source</x:v>
      </x:c>
      <x:c r="I119" s="102" t="str">
        <x:v>AD Ports Group / Noatum</x:v>
      </x:c>
      <x:c r="J119" s="102" t="str">
        <x:v>https://www.noatum.com/en/noatum-automotive/automotive-ports/</x:v>
      </x:c>
    </x:row>
    <x:row r="120">
      <x:c r="A120" s="102" t="str">
        <x:v>OWN00119</x:v>
      </x:c>
      <x:c r="B120" s="102" t="str">
        <x:v>TERM0115</x:v>
      </x:c>
      <x:c r="C120" s="102" t="str">
        <x:v>COMP_CMA_TERMINALS</x:v>
      </x:c>
      <x:c r="D120" s="102" t="str">
        <x:v>Fenix Marine Services</x:v>
      </x:c>
      <x:c r="E120" s="102" t="str">
        <x:v>Operator / portfolio relationship</x:v>
      </x:c>
      <x:c r="F120" s="102"/>
      <x:c r="G120" s="102" t="str">
        <x:v>Yes</x:v>
      </x:c>
      <x:c r="H120" s="102" t="str">
        <x:v>Current / see source</x:v>
      </x:c>
      <x:c r="I120" s="102" t="str">
        <x:v>CMA CGM-operated; United Ports portfolio</x:v>
      </x:c>
      <x:c r="J120" s="102" t="str">
        <x:v>https://www.cma-cgm.com/news/4028/cma-cgm-completes-the-acquisition-of-fenix-marine-services-one-of-the-largest-container-terminals-in-the-port-of-los-angeles</x:v>
      </x:c>
    </x:row>
    <x:row r="121">
      <x:c r="A121" s="102" t="str">
        <x:v>OWN00120</x:v>
      </x:c>
      <x:c r="B121" s="102" t="str">
        <x:v>TERM0116</x:v>
      </x:c>
      <x:c r="C121" s="102" t="str">
        <x:v>COMP_CMA_TERMINALS</x:v>
      </x:c>
      <x:c r="D121" s="102" t="str">
        <x:v>Port Liberty</x:v>
      </x:c>
      <x:c r="E121" s="102" t="str">
        <x:v>Operator / portfolio relationship</x:v>
      </x:c>
      <x:c r="F121" s="102"/>
      <x:c r="G121" s="102" t="str">
        <x:v>Yes</x:v>
      </x:c>
      <x:c r="H121" s="102" t="str">
        <x:v>Current / see source</x:v>
      </x:c>
      <x:c r="I121" s="102" t="str">
        <x:v>CMA CGM-operated; United Ports portfolio</x:v>
      </x:c>
      <x:c r="J121" s="102" t="str">
        <x:v>https://www.cmacgm-group.com/en/news-media/cma-cgm-and-stonepeak-complete-formation-united-ports-llc</x:v>
      </x:c>
    </x:row>
    <x:row r="122">
      <x:c r="A122" s="102" t="str">
        <x:v>OWN00121</x:v>
      </x:c>
      <x:c r="B122" s="102" t="str">
        <x:v>TERM0117</x:v>
      </x:c>
      <x:c r="C122" s="102" t="str">
        <x:v>COMP_CMA_TERMINALS</x:v>
      </x:c>
      <x:c r="D122" s="102" t="str">
        <x:v>Port Liberty</x:v>
      </x:c>
      <x:c r="E122" s="102" t="str">
        <x:v>Operator / portfolio relationship</x:v>
      </x:c>
      <x:c r="F122" s="102"/>
      <x:c r="G122" s="102" t="str">
        <x:v>Yes</x:v>
      </x:c>
      <x:c r="H122" s="102" t="str">
        <x:v>Current / see source</x:v>
      </x:c>
      <x:c r="I122" s="102" t="str">
        <x:v>CMA CGM-operated; United Ports portfolio</x:v>
      </x:c>
      <x:c r="J122" s="102" t="str">
        <x:v>https://www.cmacgm-group.com/en/news-media/cma-cgm-and-stonepeak-complete-formation-united-ports-llc</x:v>
      </x:c>
    </x:row>
    <x:row r="123">
      <x:c r="A123" s="102" t="str">
        <x:v>OWN00122</x:v>
      </x:c>
      <x:c r="B123" s="102" t="str">
        <x:v>TERM0118</x:v>
      </x:c>
      <x:c r="C123" s="102" t="str">
        <x:v>COMP_CMA_TERMINALS</x:v>
      </x:c>
      <x:c r="D123" s="102" t="str">
        <x:v>Santos Brasil</x:v>
      </x:c>
      <x:c r="E123" s="102" t="str">
        <x:v>Operator / portfolio relationship</x:v>
      </x:c>
      <x:c r="F123" s="102"/>
      <x:c r="G123" s="102" t="str">
        <x:v>Yes</x:v>
      </x:c>
      <x:c r="H123" s="102" t="str">
        <x:v>Current / see source</x:v>
      </x:c>
      <x:c r="I123" s="102" t="str">
        <x:v>100% Santos Brasil under CMA CGM; United Ports portfolio</x:v>
      </x:c>
      <x:c r="J123" s="102" t="str">
        <x:v>https://www.santosbrasil.com.br/v2021/en/containers</x:v>
      </x:c>
    </x:row>
    <x:row r="124">
      <x:c r="A124" s="102" t="str">
        <x:v>OWN00123</x:v>
      </x:c>
      <x:c r="B124" s="102" t="str">
        <x:v>TERM0119</x:v>
      </x:c>
      <x:c r="C124" s="102" t="str">
        <x:v>COMP_CMA_TERMINALS</x:v>
      </x:c>
      <x:c r="D124" s="102" t="str">
        <x:v>Santos Brasil</x:v>
      </x:c>
      <x:c r="E124" s="102" t="str">
        <x:v>Operator / portfolio relationship</x:v>
      </x:c>
      <x:c r="F124" s="102"/>
      <x:c r="G124" s="102" t="str">
        <x:v>Yes</x:v>
      </x:c>
      <x:c r="H124" s="102" t="str">
        <x:v>Current / see source</x:v>
      </x:c>
      <x:c r="I124" s="102" t="str">
        <x:v>100% Santos Brasil under CMA CGM</x:v>
      </x:c>
      <x:c r="J124" s="102" t="str">
        <x:v>https://www.santosbrasil.com.br/v2021/conteineres</x:v>
      </x:c>
    </x:row>
    <x:row r="125">
      <x:c r="A125" s="102" t="str">
        <x:v>OWN00124</x:v>
      </x:c>
      <x:c r="B125" s="102" t="str">
        <x:v>TERM0120</x:v>
      </x:c>
      <x:c r="C125" s="102" t="str">
        <x:v>COMP_CMA_TERMINALS</x:v>
      </x:c>
      <x:c r="D125" s="102" t="str">
        <x:v>Santos Brasil</x:v>
      </x:c>
      <x:c r="E125" s="102" t="str">
        <x:v>Operator / portfolio relationship</x:v>
      </x:c>
      <x:c r="F125" s="102"/>
      <x:c r="G125" s="102" t="str">
        <x:v>Yes</x:v>
      </x:c>
      <x:c r="H125" s="102" t="str">
        <x:v>Current / see source</x:v>
      </x:c>
      <x:c r="I125" s="102" t="str">
        <x:v>100% Santos Brasil under CMA CGM</x:v>
      </x:c>
      <x:c r="J125" s="102" t="str">
        <x:v>https://www.santosbrasil.com.br/v2021/conteineres</x:v>
      </x:c>
    </x:row>
    <x:row r="126">
      <x:c r="A126" s="102" t="str">
        <x:v>OWN00125</x:v>
      </x:c>
      <x:c r="B126" s="102" t="str">
        <x:v>TERM0121</x:v>
      </x:c>
      <x:c r="C126" s="102" t="str">
        <x:v>COMP_CMA_TERMINALS</x:v>
      </x:c>
      <x:c r="D126" s="102" t="str">
        <x:v>CSP Valencia</x:v>
      </x:c>
      <x:c r="E126" s="102" t="str">
        <x:v>Operator / portfolio relationship</x:v>
      </x:c>
      <x:c r="F126" s="102"/>
      <x:c r="G126" s="102" t="str">
        <x:v>Yes</x:v>
      </x:c>
      <x:c r="H126" s="102" t="str">
        <x:v>Current / see source</x:v>
      </x:c>
      <x:c r="I126" s="102" t="str">
        <x:v>CMA CGM-operated interest; United Ports portfolio</x:v>
      </x:c>
      <x:c r="J126" s="102" t="str">
        <x:v>https://www.cmacgm-group.com/en/news-media/cma-cgm-and-stonepeak-complete-formation-united-ports-llc</x:v>
      </x:c>
    </x:row>
    <x:row r="127">
      <x:c r="A127" s="102" t="str">
        <x:v>OWN00126</x:v>
      </x:c>
      <x:c r="B127" s="102" t="str">
        <x:v>TERM0122</x:v>
      </x:c>
      <x:c r="C127" s="102" t="str">
        <x:v>COMP_CMA_TERMINALS</x:v>
      </x:c>
      <x:c r="D127" s="102" t="str">
        <x:v>CSP Bilbao</x:v>
      </x:c>
      <x:c r="E127" s="102" t="str">
        <x:v>Operator / portfolio relationship</x:v>
      </x:c>
      <x:c r="F127" s="102"/>
      <x:c r="G127" s="102" t="str">
        <x:v>Yes</x:v>
      </x:c>
      <x:c r="H127" s="102" t="str">
        <x:v>Current / see source</x:v>
      </x:c>
      <x:c r="I127" s="102" t="str">
        <x:v>CMA CGM-operated interest; United Ports portfolio</x:v>
      </x:c>
      <x:c r="J127" s="102" t="str">
        <x:v>https://www.cmacgm-group.com/en/news-media/cma-cgm-and-stonepeak-complete-formation-united-ports-llc</x:v>
      </x:c>
    </x:row>
    <x:row r="128">
      <x:c r="A128" s="102" t="str">
        <x:v>OWN00127</x:v>
      </x:c>
      <x:c r="B128" s="102" t="str">
        <x:v>TERM0123</x:v>
      </x:c>
      <x:c r="C128" s="102" t="str">
        <x:v>COMP_CMA_TERMINALS</x:v>
      </x:c>
      <x:c r="D128" s="102" t="str">
        <x:v>TTI Algeciras</x:v>
      </x:c>
      <x:c r="E128" s="102" t="str">
        <x:v>Operator / portfolio relationship</x:v>
      </x:c>
      <x:c r="F128" s="102"/>
      <x:c r="G128" s="102" t="str">
        <x:v>Yes</x:v>
      </x:c>
      <x:c r="H128" s="102" t="str">
        <x:v>Current / see source</x:v>
      </x:c>
      <x:c r="I128" s="102" t="str">
        <x:v>CMA CGM-operated interest; United Ports portfolio</x:v>
      </x:c>
      <x:c r="J128" s="102" t="str">
        <x:v>https://www.cmacgm-group.com/en/news-media/cma-cgm-and-stonepeak-complete-formation-united-ports-llc</x:v>
      </x:c>
    </x:row>
    <x:row r="129">
      <x:c r="A129" s="102" t="str">
        <x:v>OWN00128</x:v>
      </x:c>
      <x:c r="B129" s="102" t="str">
        <x:v>TERM0124</x:v>
      </x:c>
      <x:c r="C129" s="102" t="str">
        <x:v>COMP_CMA_TERMINALS</x:v>
      </x:c>
      <x:c r="D129" s="102" t="str">
        <x:v>CMA CGM Kaohsiung Terminal</x:v>
      </x:c>
      <x:c r="E129" s="102" t="str">
        <x:v>Operator / portfolio relationship</x:v>
      </x:c>
      <x:c r="F129" s="102"/>
      <x:c r="G129" s="102" t="str">
        <x:v>Yes</x:v>
      </x:c>
      <x:c r="H129" s="102" t="str">
        <x:v>Current / see source</x:v>
      </x:c>
      <x:c r="I129" s="102" t="str">
        <x:v>CMA CGM-operated; United Ports portfolio</x:v>
      </x:c>
      <x:c r="J129" s="102" t="str">
        <x:v>https://www.cmacgm-group.com/en/news-media/cma-cgm-and-stonepeak-complete-formation-united-ports-llc</x:v>
      </x:c>
    </x:row>
    <x:row r="130">
      <x:c r="A130" s="102" t="str">
        <x:v>OWN00129</x:v>
      </x:c>
      <x:c r="B130" s="102" t="str">
        <x:v>TERM0125</x:v>
      </x:c>
      <x:c r="C130" s="102" t="str">
        <x:v>COMP_CMA_TERMINALS</x:v>
      </x:c>
      <x:c r="D130" s="102" t="str">
        <x:v>Gemalink</x:v>
      </x:c>
      <x:c r="E130" s="102" t="str">
        <x:v>Operator / portfolio relationship</x:v>
      </x:c>
      <x:c r="F130" s="102"/>
      <x:c r="G130" s="102" t="str">
        <x:v>Yes</x:v>
      </x:c>
      <x:c r="H130" s="102" t="str">
        <x:v>Current / see source</x:v>
      </x:c>
      <x:c r="I130" s="102" t="str">
        <x:v>CMA CGM 25% / Gemadept partnership; United Ports portfolio</x:v>
      </x:c>
      <x:c r="J130" s="102" t="str">
        <x:v>https://www.cmacgm-group.com/en/news-media/cma-cgm-launches-phase-2-expansion-works-gemalink-container-terminal</x:v>
      </x:c>
    </x:row>
    <x:row r="131">
      <x:c r="A131" s="102" t="str">
        <x:v>OWN00130</x:v>
      </x:c>
      <x:c r="B131" s="102" t="str">
        <x:v>TERM0126</x:v>
      </x:c>
      <x:c r="C131" s="102" t="str">
        <x:v>COMP_CMA_TERMINALS</x:v>
      </x:c>
      <x:c r="D131" s="102" t="str">
        <x:v>Nhava Sheva Freeport Terminal</x:v>
      </x:c>
      <x:c r="E131" s="102" t="str">
        <x:v>Operator / portfolio relationship</x:v>
      </x:c>
      <x:c r="F131" s="102"/>
      <x:c r="G131" s="102" t="str">
        <x:v>Yes</x:v>
      </x:c>
      <x:c r="H131" s="102" t="str">
        <x:v>Current / see source</x:v>
      </x:c>
      <x:c r="I131" s="102" t="str">
        <x:v>CMA CGM interest; addition to United Ports subject to approvals</x:v>
      </x:c>
      <x:c r="J131" s="102" t="str">
        <x:v>https://www.cmacgm-group.com/en/news-media/cma-cgm-and-stonepeak-complete-formation-united-ports-llc</x:v>
      </x:c>
    </x:row>
    <x:row r="132">
      <x:c r="A132" s="102" t="str">
        <x:v>OWN00131</x:v>
      </x:c>
      <x:c r="B132" s="102" t="str">
        <x:v>TERM0127</x:v>
      </x:c>
      <x:c r="C132" s="102" t="str">
        <x:v>COMP_CMA_TERMINALS</x:v>
      </x:c>
      <x:c r="D132" s="102" t="str">
        <x:v>Lekki Freeport Terminal</x:v>
      </x:c>
      <x:c r="E132" s="102" t="str">
        <x:v>Operator / portfolio relationship</x:v>
      </x:c>
      <x:c r="F132" s="102"/>
      <x:c r="G132" s="102" t="str">
        <x:v>Yes</x:v>
      </x:c>
      <x:c r="H132" s="102" t="str">
        <x:v>Current / see source</x:v>
      </x:c>
      <x:c r="I132" s="102" t="str">
        <x:v>CMA Terminals investment/operation</x:v>
      </x:c>
      <x:c r="J132" s="102" t="str">
        <x:v>https://www.cma-cgm.com/assets/public/pdf/LEKKI%20FREEPORT%20TERMINAL%20Q3%202022.pdf</x:v>
      </x:c>
    </x:row>
    <x:row r="133">
      <x:c r="A133" s="102" t="str">
        <x:v>OWN00132</x:v>
      </x:c>
      <x:c r="B133" s="102" t="str">
        <x:v>TERM0128</x:v>
      </x:c>
      <x:c r="C133" s="102" t="str">
        <x:v>COMP_CMA_TERMINALS</x:v>
      </x:c>
      <x:c r="D133" s="102" t="str">
        <x:v>Trans Misr Terminal</x:v>
      </x:c>
      <x:c r="E133" s="102" t="str">
        <x:v>Operator / portfolio relationship</x:v>
      </x:c>
      <x:c r="F133" s="102"/>
      <x:c r="G133" s="102" t="str">
        <x:v>Yes</x:v>
      </x:c>
      <x:c r="H133" s="102" t="str">
        <x:v>Current / see source</x:v>
      </x:c>
      <x:c r="I133" s="102" t="str">
        <x:v>CMA Terminals investment/operation</x:v>
      </x:c>
      <x:c r="J133" s="102" t="str">
        <x:v>https://www.cma-cgm.com/ebusiness/schedules/terminal/detail/EGALY-MPT</x:v>
      </x:c>
    </x:row>
    <x:row r="134">
      <x:c r="A134" s="102" t="str">
        <x:v>OWN00133</x:v>
      </x:c>
      <x:c r="B134" s="102" t="str">
        <x:v>TERM0129</x:v>
      </x:c>
      <x:c r="C134" s="102" t="str">
        <x:v>COMP_CMA_TERMINALS</x:v>
      </x:c>
      <x:c r="D134" s="102" t="str">
        <x:v>JV with Marsa Maroc</x:v>
      </x:c>
      <x:c r="E134" s="102" t="str">
        <x:v>Operator / portfolio relationship</x:v>
      </x:c>
      <x:c r="F134" s="102"/>
      <x:c r="G134" s="102" t="str">
        <x:v>Yes</x:v>
      </x:c>
      <x:c r="H134" s="102" t="str">
        <x:v>Current / see source</x:v>
      </x:c>
      <x:c r="I134" s="102" t="str">
        <x:v>51% Marsa Maroc / 49% CMA Terminals</x:v>
      </x:c>
      <x:c r="J134" s="102" t="str">
        <x:v>https://www.cma-cgm.com/news/5223/marsa-maroc-and-cma-cgm-finalize-the-agreement-for-the-operation-of-a-container-terminal-at-the-port-of-nador-west-med</x:v>
      </x:c>
    </x:row>
    <x:row r="135">
      <x:c r="A135" s="102" t="str">
        <x:v>OWN00134</x:v>
      </x:c>
      <x:c r="B135" s="102" t="str">
        <x:v>TERM0130</x:v>
      </x:c>
      <x:c r="C135" s="102" t="str">
        <x:v>COMP_CMA_TERMINALS</x:v>
      </x:c>
      <x:c r="D135" s="102" t="str">
        <x:v>RSGT-CMA CGM JV</x:v>
      </x:c>
      <x:c r="E135" s="102" t="str">
        <x:v>Operator / portfolio relationship</x:v>
      </x:c>
      <x:c r="F135" s="102"/>
      <x:c r="G135" s="102" t="str">
        <x:v>Yes</x:v>
      </x:c>
      <x:c r="H135" s="102" t="str">
        <x:v>Current / see source</x:v>
      </x:c>
      <x:c r="I135" s="102" t="str">
        <x:v>Definitive JV agreements with RSGT</x:v>
      </x:c>
      <x:c r="J135" s="102" t="str">
        <x:v>https://rsgt.com.sa/news/rsgt-and-cma-cgm-announce-usd-434-million-initial-investment-sar-1-6-billion-to-develop-terminal-4-and-add-up-to-2-6-million-teus-of-capacity-at-jeddah-islamic-port/</x:v>
      </x:c>
    </x:row>
    <x:row r="136">
      <x:c r="A136" s="102" t="str">
        <x:v>OWN00135</x:v>
      </x:c>
      <x:c r="B136" s="102" t="str">
        <x:v>TERM0131</x:v>
      </x:c>
      <x:c r="C136" s="102" t="str">
        <x:v>COMP_CMA_TERMINALS</x:v>
      </x:c>
      <x:c r="D136" s="102" t="str">
        <x:v>Project JV</x:v>
      </x:c>
      <x:c r="E136" s="102" t="str">
        <x:v>Operator / portfolio relationship</x:v>
      </x:c>
      <x:c r="F136" s="102"/>
      <x:c r="G136" s="102" t="str">
        <x:v>Yes</x:v>
      </x:c>
      <x:c r="H136" s="102" t="str">
        <x:v>Current / see source</x:v>
      </x:c>
      <x:c r="I136" s="102" t="str">
        <x:v>CMA CGM partnership with Saigon Newport</x:v>
      </x:c>
      <x:c r="J136" s="102" t="str">
        <x:v>https://www.cmacgm-group.com/en/news-media/cma-cgm-and-saigon-newport-corporation-sign-strategic-partnership-to-develop-deep-water-terminal-in-vietnam</x:v>
      </x:c>
    </x:row>
    <x:row r="137">
      <x:c r="A137" s="102" t="str">
        <x:v>OWN00136</x:v>
      </x:c>
      <x:c r="B137" s="102" t="str">
        <x:v>TERM0132</x:v>
      </x:c>
      <x:c r="C137" s="102" t="str">
        <x:v>COMP_CMA_TERMINALS</x:v>
      </x:c>
      <x:c r="D137" s="102" t="str">
        <x:v>EUROGATE Container Terminal Hamburg</x:v>
      </x:c>
      <x:c r="E137" s="102" t="str">
        <x:v>Operator / portfolio relationship</x:v>
      </x:c>
      <x:c r="F137" s="102"/>
      <x:c r="G137" s="102" t="str">
        <x:v>Yes</x:v>
      </x:c>
      <x:c r="H137" s="102" t="str">
        <x:v>Current / see source</x:v>
      </x:c>
      <x:c r="I137" s="102" t="str">
        <x:v>Proposed 20% CMA Terminals minority stake</x:v>
      </x:c>
      <x:c r="J137" s="102" t="str">
        <x:v>https://www.eqs-news.com/news/ad-hoc/eurokai-gmbh-co-kgaa-gesprache-uber-mogliche-verauserung-einer-minderheitsbeteiligung-an-eurogate-container-terminal-hamburg-gmbh/7493bbee-38a3-4d68-81f2-564f67cadc7c_de</x:v>
      </x:c>
    </x:row>
    <x:row r="138">
      <x:c r="A138" s="102" t="str">
        <x:v>OWN00137</x:v>
      </x:c>
      <x:c r="B138" s="102" t="str">
        <x:v>TERM0133</x:v>
      </x:c>
      <x:c r="C138" s="102" t="str">
        <x:v>COMP_CMA_TERMINALS</x:v>
      </x:c>
      <x:c r="D138" s="102" t="str">
        <x:v>TBD JV with Kenyan authorities</x:v>
      </x:c>
      <x:c r="E138" s="102" t="str">
        <x:v>Operator / portfolio relationship</x:v>
      </x:c>
      <x:c r="F138" s="102"/>
      <x:c r="G138" s="102" t="str">
        <x:v>Yes</x:v>
      </x:c>
      <x:c r="H138" s="102" t="str">
        <x:v>Current / see source</x:v>
      </x:c>
      <x:c r="I138" s="102" t="str">
        <x:v>Strategic partnership framework; exact terminal JV structure pending</x:v>
      </x:c>
      <x:c r="J138" s="102" t="str">
        <x:v>https://cmacgm-group.com/en/news-media/africa-forward-summit-rodolphe-saade-signs-government-republic-of-kenya-strategic-partnership-agreement</x:v>
      </x:c>
    </x:row>
    <x:row r="139">
      <x:c r="A139" s="102" t="str">
        <x:v>OWN00138</x:v>
      </x:c>
      <x:c r="B139" s="102" t="str">
        <x:v>TERM0134</x:v>
      </x:c>
      <x:c r="C139" s="102" t="str">
        <x:v>COMP_CMA_TERMINALS</x:v>
      </x:c>
      <x:c r="D139" s="102" t="str">
        <x:v>October Dry Port S.A.E.</x:v>
      </x:c>
      <x:c r="E139" s="102" t="str">
        <x:v>Operator / portfolio relationship</x:v>
      </x:c>
      <x:c r="F139" s="102"/>
      <x:c r="G139" s="102" t="str">
        <x:v>Yes</x:v>
      </x:c>
      <x:c r="H139" s="102" t="str">
        <x:v>Current / see source</x:v>
      </x:c>
      <x:c r="I139" s="102" t="str">
        <x:v>35% CMA CGM stake</x:v>
      </x:c>
      <x:c r="J139" s="102" t="str">
        <x:v>https://www.cmacgm-group.com/en/news-media/annual-financial-results-2025</x:v>
      </x:c>
    </x:row>
    <x:row r="140">
      <x:c r="A140" s="102" t="str">
        <x:v>OWN00139</x:v>
      </x:c>
      <x:c r="B140" s="102" t="str">
        <x:v>TERM0135</x:v>
      </x:c>
      <x:c r="C140" s="102" t="str">
        <x:v>COMP_CMA_TERMINALS</x:v>
      </x:c>
      <x:c r="D140" s="102" t="str">
        <x:v>Lyon Rhône Terminal</x:v>
      </x:c>
      <x:c r="E140" s="102" t="str">
        <x:v>Operator / portfolio relationship</x:v>
      </x:c>
      <x:c r="F140" s="102"/>
      <x:c r="G140" s="102" t="str">
        <x:v>Yes</x:v>
      </x:c>
      <x:c r="H140" s="102" t="str">
        <x:v>Current / see source</x:v>
      </x:c>
      <x:c r="I140" s="102" t="str">
        <x:v>CMA CGM-led consortium 67%</x:v>
      </x:c>
      <x:c r="J140" s="102" t="str">
        <x:v>https://www.cmacgm-group.com/en/news-media/annual-financial-results-2025</x:v>
      </x:c>
    </x:row>
    <x:row r="141">
      <x:c r="A141" s="102" t="str">
        <x:v>OWN00140</x:v>
      </x:c>
      <x:c r="B141" s="102" t="str">
        <x:v>TERM0136</x:v>
      </x:c>
      <x:c r="C141" s="102" t="str">
        <x:v>COMP_CMA_TERMINALS</x:v>
      </x:c>
      <x:c r="D141" s="102" t="str">
        <x:v>SAMR</x:v>
      </x:c>
      <x:c r="E141" s="102" t="str">
        <x:v>Operator / portfolio relationship</x:v>
      </x:c>
      <x:c r="F141" s="102"/>
      <x:c r="G141" s="102" t="str">
        <x:v>Yes</x:v>
      </x:c>
      <x:c r="H141" s="102" t="str">
        <x:v>Current / see source</x:v>
      </x:c>
      <x:c r="I141" s="102" t="str">
        <x:v>CMA Terminals operation</x:v>
      </x:c>
      <x:c r="J141" s="102" t="str">
        <x:v>https://www.kalmarglobal.com/news--insights/press_releases/2024/kalmar-concluded-an-agreement-to/</x:v>
      </x:c>
    </x:row>
    <x:row r="142">
      <x:c r="A142" s="102" t="str">
        <x:v>OWN00141</x:v>
      </x:c>
      <x:c r="B142" s="102" t="str">
        <x:v>TERM0137</x:v>
      </x:c>
      <x:c r="C142" s="102" t="str">
        <x:v>COMP_CMA_TERMINALS</x:v>
      </x:c>
      <x:c r="D142" s="102" t="str">
        <x:v>Kribi Conteneurs Terminal</x:v>
      </x:c>
      <x:c r="E142" s="102" t="str">
        <x:v>Operator / portfolio relationship</x:v>
      </x:c>
      <x:c r="F142" s="102"/>
      <x:c r="G142" s="102" t="str">
        <x:v>Yes</x:v>
      </x:c>
      <x:c r="H142" s="102" t="str">
        <x:v>Current / see source</x:v>
      </x:c>
      <x:c r="I142" s="102" t="str">
        <x:v>CMA CGM-linked terminal interest</x:v>
      </x:c>
      <x:c r="J142" s="102" t="str">
        <x:v>https://www.cmacgm-group.com/en/group-and-vision/our-activities/terminals</x:v>
      </x:c>
    </x:row>
    <x:row r="143">
      <x:c r="A143" s="102" t="str">
        <x:v>OWN00142</x:v>
      </x:c>
      <x:c r="B143" s="102" t="str">
        <x:v>TERM0138</x:v>
      </x:c>
      <x:c r="C143" s="102" t="str">
        <x:v>COMP_TERMINAL_LINK</x:v>
      </x:c>
      <x:c r="D143" s="102" t="str">
        <x:v>Terminal Link</x:v>
      </x:c>
      <x:c r="E143" s="102" t="str">
        <x:v>Operator / portfolio relationship</x:v>
      </x:c>
      <x:c r="F143" s="102"/>
      <x:c r="G143" s="102" t="str">
        <x:v>Yes</x:v>
      </x:c>
      <x:c r="H143" s="102" t="str">
        <x:v>Current / see source</x:v>
      </x:c>
      <x:c r="I143" s="102" t="str">
        <x:v>51% CMA Terminals Holding / 49% CM Port (portfolio-level structure)</x:v>
      </x:c>
      <x:c r="J143" s="102" t="str">
        <x:v>https://www.terminal-link.com/ports/location</x:v>
      </x:c>
    </x:row>
    <x:row r="144">
      <x:c r="A144" s="102" t="str">
        <x:v>OWN00143</x:v>
      </x:c>
      <x:c r="B144" s="102" t="str">
        <x:v>TERM0139</x:v>
      </x:c>
      <x:c r="C144" s="102" t="str">
        <x:v>COMP_TERMINAL_LINK</x:v>
      </x:c>
      <x:c r="D144" s="102" t="str">
        <x:v>Terminal Link</x:v>
      </x:c>
      <x:c r="E144" s="102" t="str">
        <x:v>Operator / portfolio relationship</x:v>
      </x:c>
      <x:c r="F144" s="102"/>
      <x:c r="G144" s="102" t="str">
        <x:v>Yes</x:v>
      </x:c>
      <x:c r="H144" s="102" t="str">
        <x:v>Current / see source</x:v>
      </x:c>
      <x:c r="I144" s="102" t="str">
        <x:v>51% CMA Terminals Holding / 49% CM Port (portfolio-level structure)</x:v>
      </x:c>
      <x:c r="J144" s="102" t="str">
        <x:v>https://www.terminal-link.com/ports/location</x:v>
      </x:c>
    </x:row>
    <x:row r="145">
      <x:c r="A145" s="102" t="str">
        <x:v>OWN00144</x:v>
      </x:c>
      <x:c r="B145" s="102" t="str">
        <x:v>TERM0140</x:v>
      </x:c>
      <x:c r="C145" s="102" t="str">
        <x:v>COMP_TERMINAL_LINK</x:v>
      </x:c>
      <x:c r="D145" s="102" t="str">
        <x:v>Terminal Link</x:v>
      </x:c>
      <x:c r="E145" s="102" t="str">
        <x:v>Operator / portfolio relationship</x:v>
      </x:c>
      <x:c r="F145" s="102"/>
      <x:c r="G145" s="102" t="str">
        <x:v>Yes</x:v>
      </x:c>
      <x:c r="H145" s="102" t="str">
        <x:v>Current / see source</x:v>
      </x:c>
      <x:c r="I145" s="102" t="str">
        <x:v>51% CMA Terminals Holding / 49% CM Port (portfolio-level structure)</x:v>
      </x:c>
      <x:c r="J145" s="102" t="str">
        <x:v>https://www.terminal-link.com/ports/location</x:v>
      </x:c>
    </x:row>
    <x:row r="146">
      <x:c r="A146" s="102" t="str">
        <x:v>OWN00145</x:v>
      </x:c>
      <x:c r="B146" s="102" t="str">
        <x:v>TERM0141</x:v>
      </x:c>
      <x:c r="C146" s="102" t="str">
        <x:v>COMP_TERMINAL_LINK</x:v>
      </x:c>
      <x:c r="D146" s="102" t="str">
        <x:v>Terminal Link</x:v>
      </x:c>
      <x:c r="E146" s="102" t="str">
        <x:v>Operator / portfolio relationship</x:v>
      </x:c>
      <x:c r="F146" s="102"/>
      <x:c r="G146" s="102" t="str">
        <x:v>Yes</x:v>
      </x:c>
      <x:c r="H146" s="102" t="str">
        <x:v>Current / see source</x:v>
      </x:c>
      <x:c r="I146" s="102" t="str">
        <x:v>51% CMA Terminals Holding / 49% CM Port (portfolio-level structure)</x:v>
      </x:c>
      <x:c r="J146" s="102" t="str">
        <x:v>https://www.terminal-link.com/ports/location</x:v>
      </x:c>
    </x:row>
    <x:row r="147">
      <x:c r="A147" s="102" t="str">
        <x:v>OWN00146</x:v>
      </x:c>
      <x:c r="B147" s="102" t="str">
        <x:v>TERM0142</x:v>
      </x:c>
      <x:c r="C147" s="102" t="str">
        <x:v>COMP_TERMINAL_LINK</x:v>
      </x:c>
      <x:c r="D147" s="102" t="str">
        <x:v>Terminal Link</x:v>
      </x:c>
      <x:c r="E147" s="102" t="str">
        <x:v>Operator / portfolio relationship</x:v>
      </x:c>
      <x:c r="F147" s="102"/>
      <x:c r="G147" s="102" t="str">
        <x:v>Yes</x:v>
      </x:c>
      <x:c r="H147" s="102" t="str">
        <x:v>Current / see source</x:v>
      </x:c>
      <x:c r="I147" s="102" t="str">
        <x:v>51% CMA Terminals Holding / 49% CM Port (portfolio-level structure)</x:v>
      </x:c>
      <x:c r="J147" s="102" t="str">
        <x:v>https://www.terminal-link.com/ports/location</x:v>
      </x:c>
    </x:row>
    <x:row r="148">
      <x:c r="A148" s="102" t="str">
        <x:v>OWN00147</x:v>
      </x:c>
      <x:c r="B148" s="102" t="str">
        <x:v>TERM0143</x:v>
      </x:c>
      <x:c r="C148" s="102" t="str">
        <x:v>COMP_TERMINAL_LINK</x:v>
      </x:c>
      <x:c r="D148" s="102" t="str">
        <x:v>Terminal Link</x:v>
      </x:c>
      <x:c r="E148" s="102" t="str">
        <x:v>Operator / portfolio relationship</x:v>
      </x:c>
      <x:c r="F148" s="102"/>
      <x:c r="G148" s="102" t="str">
        <x:v>Yes</x:v>
      </x:c>
      <x:c r="H148" s="102" t="str">
        <x:v>Current / see source</x:v>
      </x:c>
      <x:c r="I148" s="102" t="str">
        <x:v>51% CMA Terminals Holding / 49% CM Port (portfolio-level structure)</x:v>
      </x:c>
      <x:c r="J148" s="102" t="str">
        <x:v>https://www.terminal-link.com/ports/location</x:v>
      </x:c>
    </x:row>
    <x:row r="149">
      <x:c r="A149" s="102" t="str">
        <x:v>OWN00148</x:v>
      </x:c>
      <x:c r="B149" s="102" t="str">
        <x:v>TERM0144</x:v>
      </x:c>
      <x:c r="C149" s="102" t="str">
        <x:v>COMP_TERMINAL_LINK</x:v>
      </x:c>
      <x:c r="D149" s="102" t="str">
        <x:v>Terminal Link</x:v>
      </x:c>
      <x:c r="E149" s="102" t="str">
        <x:v>Operator / portfolio relationship</x:v>
      </x:c>
      <x:c r="F149" s="102"/>
      <x:c r="G149" s="102" t="str">
        <x:v>Yes</x:v>
      </x:c>
      <x:c r="H149" s="102" t="str">
        <x:v>Current / see source</x:v>
      </x:c>
      <x:c r="I149" s="102" t="str">
        <x:v>51% CMA Terminals Holding / 49% CM Port (portfolio-level structure)</x:v>
      </x:c>
      <x:c r="J149" s="102" t="str">
        <x:v>https://www.terminal-link.com/ports/location</x:v>
      </x:c>
    </x:row>
    <x:row r="150">
      <x:c r="A150" s="102" t="str">
        <x:v>OWN00149</x:v>
      </x:c>
      <x:c r="B150" s="102" t="str">
        <x:v>TERM0145</x:v>
      </x:c>
      <x:c r="C150" s="102" t="str">
        <x:v>COMP_TERMINAL_LINK</x:v>
      </x:c>
      <x:c r="D150" s="102" t="str">
        <x:v>Terminal Link</x:v>
      </x:c>
      <x:c r="E150" s="102" t="str">
        <x:v>Operator / portfolio relationship</x:v>
      </x:c>
      <x:c r="F150" s="102"/>
      <x:c r="G150" s="102" t="str">
        <x:v>Yes</x:v>
      </x:c>
      <x:c r="H150" s="102" t="str">
        <x:v>Current / see source</x:v>
      </x:c>
      <x:c r="I150" s="102" t="str">
        <x:v>51% CMA Terminals Holding / 49% CM Port (portfolio-level structure)</x:v>
      </x:c>
      <x:c r="J150" s="102" t="str">
        <x:v>https://www.terminal-link.com/ports/location</x:v>
      </x:c>
    </x:row>
    <x:row r="151">
      <x:c r="A151" s="102" t="str">
        <x:v>OWN00150</x:v>
      </x:c>
      <x:c r="B151" s="102" t="str">
        <x:v>TERM0146</x:v>
      </x:c>
      <x:c r="C151" s="102" t="str">
        <x:v>COMP_TERMINAL_LINK</x:v>
      </x:c>
      <x:c r="D151" s="102" t="str">
        <x:v>Terminal Link</x:v>
      </x:c>
      <x:c r="E151" s="102" t="str">
        <x:v>Operator / portfolio relationship</x:v>
      </x:c>
      <x:c r="F151" s="102"/>
      <x:c r="G151" s="102" t="str">
        <x:v>Yes</x:v>
      </x:c>
      <x:c r="H151" s="102" t="str">
        <x:v>Current / see source</x:v>
      </x:c>
      <x:c r="I151" s="102" t="str">
        <x:v>51% CMA Terminals Holding / 49% CM Port (portfolio-level structure)</x:v>
      </x:c>
      <x:c r="J151" s="102" t="str">
        <x:v>https://www.terminal-link.com/ports/location</x:v>
      </x:c>
    </x:row>
    <x:row r="152">
      <x:c r="A152" s="102" t="str">
        <x:v>OWN00151</x:v>
      </x:c>
      <x:c r="B152" s="102" t="str">
        <x:v>TERM0147</x:v>
      </x:c>
      <x:c r="C152" s="102" t="str">
        <x:v>COMP_TERMINAL_LINK</x:v>
      </x:c>
      <x:c r="D152" s="102" t="str">
        <x:v>Terminal Link</x:v>
      </x:c>
      <x:c r="E152" s="102" t="str">
        <x:v>Operator / portfolio relationship</x:v>
      </x:c>
      <x:c r="F152" s="102"/>
      <x:c r="G152" s="102" t="str">
        <x:v>Yes</x:v>
      </x:c>
      <x:c r="H152" s="102" t="str">
        <x:v>Current / see source</x:v>
      </x:c>
      <x:c r="I152" s="102" t="str">
        <x:v>51% CMA Terminals Holding / 49% CM Port (portfolio-level structure)</x:v>
      </x:c>
      <x:c r="J152" s="102" t="str">
        <x:v>https://www.terminal-link.com/ports/location</x:v>
      </x:c>
    </x:row>
    <x:row r="153">
      <x:c r="A153" s="102" t="str">
        <x:v>OWN00152</x:v>
      </x:c>
      <x:c r="B153" s="102" t="str">
        <x:v>TERM0148</x:v>
      </x:c>
      <x:c r="C153" s="102" t="str">
        <x:v>COMP_TERMINAL_LINK</x:v>
      </x:c>
      <x:c r="D153" s="102" t="str">
        <x:v>Terminal Link</x:v>
      </x:c>
      <x:c r="E153" s="102" t="str">
        <x:v>Operator / portfolio relationship</x:v>
      </x:c>
      <x:c r="F153" s="102"/>
      <x:c r="G153" s="102" t="str">
        <x:v>Yes</x:v>
      </x:c>
      <x:c r="H153" s="102" t="str">
        <x:v>Current / see source</x:v>
      </x:c>
      <x:c r="I153" s="102" t="str">
        <x:v>51% CMA Terminals Holding / 49% CM Port (portfolio-level structure)</x:v>
      </x:c>
      <x:c r="J153" s="102" t="str">
        <x:v>https://www.terminal-link.com/ports/location</x:v>
      </x:c>
    </x:row>
    <x:row r="154">
      <x:c r="A154" s="102" t="str">
        <x:v>OWN00153</x:v>
      </x:c>
      <x:c r="B154" s="102" t="str">
        <x:v>TERM0149</x:v>
      </x:c>
      <x:c r="C154" s="102" t="str">
        <x:v>COMP_TERMINAL_LINK</x:v>
      </x:c>
      <x:c r="D154" s="102" t="str">
        <x:v>Terminal Link</x:v>
      </x:c>
      <x:c r="E154" s="102" t="str">
        <x:v>Operator / portfolio relationship</x:v>
      </x:c>
      <x:c r="F154" s="102"/>
      <x:c r="G154" s="102" t="str">
        <x:v>Yes</x:v>
      </x:c>
      <x:c r="H154" s="102" t="str">
        <x:v>Current / see source</x:v>
      </x:c>
      <x:c r="I154" s="102" t="str">
        <x:v>51% CMA Terminals Holding / 49% CM Port (portfolio-level structure)</x:v>
      </x:c>
      <x:c r="J154" s="102" t="str">
        <x:v>https://www.terminal-link.com/ports/location</x:v>
      </x:c>
    </x:row>
    <x:row r="155">
      <x:c r="A155" s="102" t="str">
        <x:v>OWN00154</x:v>
      </x:c>
      <x:c r="B155" s="102" t="str">
        <x:v>TERM0150</x:v>
      </x:c>
      <x:c r="C155" s="102" t="str">
        <x:v>COMP_TERMINAL_LINK</x:v>
      </x:c>
      <x:c r="D155" s="102" t="str">
        <x:v>Terminal Link</x:v>
      </x:c>
      <x:c r="E155" s="102" t="str">
        <x:v>Operator / portfolio relationship</x:v>
      </x:c>
      <x:c r="F155" s="102"/>
      <x:c r="G155" s="102" t="str">
        <x:v>Yes</x:v>
      </x:c>
      <x:c r="H155" s="102" t="str">
        <x:v>Current / see source</x:v>
      </x:c>
      <x:c r="I155" s="102" t="str">
        <x:v>51% CMA Terminals Holding / 49% CM Port (portfolio-level structure)</x:v>
      </x:c>
      <x:c r="J155" s="102" t="str">
        <x:v>https://www.terminal-link.com/ports/location</x:v>
      </x:c>
    </x:row>
    <x:row r="156">
      <x:c r="A156" s="102" t="str">
        <x:v>OWN00155</x:v>
      </x:c>
      <x:c r="B156" s="102" t="str">
        <x:v>TERM0151</x:v>
      </x:c>
      <x:c r="C156" s="102" t="str">
        <x:v>COMP_TERMINAL_LINK</x:v>
      </x:c>
      <x:c r="D156" s="102" t="str">
        <x:v>Terminal Link</x:v>
      </x:c>
      <x:c r="E156" s="102" t="str">
        <x:v>Operator / portfolio relationship</x:v>
      </x:c>
      <x:c r="F156" s="102"/>
      <x:c r="G156" s="102" t="str">
        <x:v>Yes</x:v>
      </x:c>
      <x:c r="H156" s="102" t="str">
        <x:v>Current / see source</x:v>
      </x:c>
      <x:c r="I156" s="102" t="str">
        <x:v>51% CMA Terminals Holding / 49% CM Port (portfolio-level structure)</x:v>
      </x:c>
      <x:c r="J156" s="102" t="str">
        <x:v>https://www.terminal-link.com/ports/location</x:v>
      </x:c>
    </x:row>
    <x:row r="157">
      <x:c r="A157" s="102" t="str">
        <x:v>OWN00156</x:v>
      </x:c>
      <x:c r="B157" s="102" t="str">
        <x:v>TERM0151</x:v>
      </x:c>
      <x:c r="C157" s="102" t="str">
        <x:v>COMP_APMT</x:v>
      </x:c>
      <x:c r="D157" s="102" t="str">
        <x:v>APM Terminals / partner operator</x:v>
      </x:c>
      <x:c r="E157" s="102" t="str">
        <x:v>Operator / portfolio relationship</x:v>
      </x:c>
      <x:c r="F157" s="102"/>
      <x:c r="G157" s="102"/>
      <x:c r="H157" s="102" t="str">
        <x:v>Current / see source</x:v>
      </x:c>
      <x:c r="I157" s="102" t="str">
        <x:v>APM Terminals network asset / partnership; detailed equity not verified in this pass</x:v>
      </x:c>
      <x:c r="J157" s="102" t="str">
        <x:v>https://www2.apmterminals.com/en/</x:v>
      </x:c>
    </x:row>
    <x:row r="158">
      <x:c r="A158" s="102" t="str">
        <x:v>OWN00157</x:v>
      </x:c>
      <x:c r="B158" s="102" t="str">
        <x:v>TERM0152</x:v>
      </x:c>
      <x:c r="C158" s="102" t="str">
        <x:v>COMP_TERMINAL_LINK</x:v>
      </x:c>
      <x:c r="D158" s="102" t="str">
        <x:v>Terminal Link</x:v>
      </x:c>
      <x:c r="E158" s="102" t="str">
        <x:v>Operator / portfolio relationship</x:v>
      </x:c>
      <x:c r="F158" s="102"/>
      <x:c r="G158" s="102" t="str">
        <x:v>Yes</x:v>
      </x:c>
      <x:c r="H158" s="102" t="str">
        <x:v>Current / see source</x:v>
      </x:c>
      <x:c r="I158" s="102" t="str">
        <x:v>51% CMA Terminals Holding / 49% CM Port (portfolio-level structure)</x:v>
      </x:c>
      <x:c r="J158" s="102" t="str">
        <x:v>https://www.terminal-link.com/ports/location</x:v>
      </x:c>
    </x:row>
    <x:row r="159">
      <x:c r="A159" s="102" t="str">
        <x:v>OWN00158</x:v>
      </x:c>
      <x:c r="B159" s="102" t="str">
        <x:v>TERM0153</x:v>
      </x:c>
      <x:c r="C159" s="102" t="str">
        <x:v>COMP_TERMINAL_LINK</x:v>
      </x:c>
      <x:c r="D159" s="102" t="str">
        <x:v>Terminal Link</x:v>
      </x:c>
      <x:c r="E159" s="102" t="str">
        <x:v>Operator / portfolio relationship</x:v>
      </x:c>
      <x:c r="F159" s="102"/>
      <x:c r="G159" s="102" t="str">
        <x:v>Yes</x:v>
      </x:c>
      <x:c r="H159" s="102" t="str">
        <x:v>Current / see source</x:v>
      </x:c>
      <x:c r="I159" s="102" t="str">
        <x:v>51% CMA Terminals Holding / 49% CM Port (portfolio-level structure)</x:v>
      </x:c>
      <x:c r="J159" s="102" t="str">
        <x:v>https://www.terminal-link.com/ports/location</x:v>
      </x:c>
    </x:row>
    <x:row r="160">
      <x:c r="A160" s="102" t="str">
        <x:v>OWN00159</x:v>
      </x:c>
      <x:c r="B160" s="102" t="str">
        <x:v>TERM0154</x:v>
      </x:c>
      <x:c r="C160" s="102" t="str">
        <x:v>COMP_TERMINAL_LINK</x:v>
      </x:c>
      <x:c r="D160" s="102" t="str">
        <x:v>Terminal Link</x:v>
      </x:c>
      <x:c r="E160" s="102" t="str">
        <x:v>Operator / portfolio relationship</x:v>
      </x:c>
      <x:c r="F160" s="102"/>
      <x:c r="G160" s="102" t="str">
        <x:v>Yes</x:v>
      </x:c>
      <x:c r="H160" s="102" t="str">
        <x:v>Current / see source</x:v>
      </x:c>
      <x:c r="I160" s="102" t="str">
        <x:v>51% CMA Terminals Holding / 49% CM Port (portfolio-level structure)</x:v>
      </x:c>
      <x:c r="J160" s="102" t="str">
        <x:v>https://www.terminal-link.com/ports/location</x:v>
      </x:c>
    </x:row>
    <x:row r="161">
      <x:c r="A161" s="102" t="str">
        <x:v>OWN00160</x:v>
      </x:c>
      <x:c r="B161" s="102" t="str">
        <x:v>TERM0155</x:v>
      </x:c>
      <x:c r="C161" s="102" t="str">
        <x:v>COMP_TERMINAL_LINK</x:v>
      </x:c>
      <x:c r="D161" s="102" t="str">
        <x:v>Terminal Link</x:v>
      </x:c>
      <x:c r="E161" s="102" t="str">
        <x:v>Operator / portfolio relationship</x:v>
      </x:c>
      <x:c r="F161" s="102"/>
      <x:c r="G161" s="102"/>
      <x:c r="H161" s="102" t="str">
        <x:v>Current / see source</x:v>
      </x:c>
      <x:c r="I161" s="102" t="str">
        <x:v>51% CMA Terminals Holding / 49% CM Port (portfolio-level structure)</x:v>
      </x:c>
      <x:c r="J161" s="102" t="str">
        <x:v>https://www.terminal-link.com/ports/location</x:v>
      </x:c>
    </x:row>
    <x:row r="162">
      <x:c r="A162" s="102" t="str">
        <x:v>OWN00161</x:v>
      </x:c>
      <x:c r="B162" s="102" t="str">
        <x:v>TERM0155</x:v>
      </x:c>
      <x:c r="C162" s="102" t="str">
        <x:v>COMP_APMT</x:v>
      </x:c>
      <x:c r="D162" s="102" t="str">
        <x:v>APM Terminals / partner operator</x:v>
      </x:c>
      <x:c r="E162" s="102" t="str">
        <x:v>Operator / portfolio relationship</x:v>
      </x:c>
      <x:c r="F162" s="102"/>
      <x:c r="G162" s="102" t="str">
        <x:v>Yes</x:v>
      </x:c>
      <x:c r="H162" s="102" t="str">
        <x:v>Current / see source</x:v>
      </x:c>
      <x:c r="I162" s="102" t="str">
        <x:v>51% Terminal Link Miami / 49% APM Terminals</x:v>
      </x:c>
      <x:c r="J162" s="102" t="str">
        <x:v>https://www2.apmterminals.com/en/miami/about/our-terminal</x:v>
      </x:c>
    </x:row>
    <x:row r="163">
      <x:c r="A163" s="102" t="str">
        <x:v>OWN00162</x:v>
      </x:c>
      <x:c r="B163" s="102" t="str">
        <x:v>TERM0156</x:v>
      </x:c>
      <x:c r="C163" s="102" t="str">
        <x:v>COMP_TERMINAL_LINK</x:v>
      </x:c>
      <x:c r="D163" s="102" t="str">
        <x:v>Terminal Link</x:v>
      </x:c>
      <x:c r="E163" s="102" t="str">
        <x:v>Operator / portfolio relationship</x:v>
      </x:c>
      <x:c r="F163" s="102"/>
      <x:c r="G163" s="102" t="str">
        <x:v>Yes</x:v>
      </x:c>
      <x:c r="H163" s="102" t="str">
        <x:v>Current / see source</x:v>
      </x:c>
      <x:c r="I163" s="102" t="str">
        <x:v>51% CMA Terminals Holding / 49% CM Port (portfolio-level structure)</x:v>
      </x:c>
      <x:c r="J163" s="102" t="str">
        <x:v>https://www.terminal-link.com/ports/location</x:v>
      </x:c>
    </x:row>
    <x:row r="164">
      <x:c r="A164" s="102" t="str">
        <x:v>OWN00163</x:v>
      </x:c>
      <x:c r="B164" s="102" t="str">
        <x:v>TERM0157</x:v>
      </x:c>
      <x:c r="C164" s="102" t="str">
        <x:v>COMP_TERMINAL_LINK</x:v>
      </x:c>
      <x:c r="D164" s="102" t="str">
        <x:v>Terminal Link</x:v>
      </x:c>
      <x:c r="E164" s="102" t="str">
        <x:v>Operator / portfolio relationship</x:v>
      </x:c>
      <x:c r="F164" s="102"/>
      <x:c r="G164" s="102" t="str">
        <x:v>Yes</x:v>
      </x:c>
      <x:c r="H164" s="102" t="str">
        <x:v>Current / see source</x:v>
      </x:c>
      <x:c r="I164" s="102" t="str">
        <x:v>51% CMA Terminals Holding / 49% CM Port (portfolio-level structure)</x:v>
      </x:c>
      <x:c r="J164" s="102" t="str">
        <x:v>https://www.terminal-link.com/ports/location</x:v>
      </x:c>
    </x:row>
    <x:row r="165">
      <x:c r="A165" s="102" t="str">
        <x:v>OWN00164</x:v>
      </x:c>
      <x:c r="B165" s="102" t="str">
        <x:v>TERM0158</x:v>
      </x:c>
      <x:c r="C165" s="102" t="str">
        <x:v>COMP_TIL</x:v>
      </x:c>
      <x:c r="D165" s="102" t="str">
        <x:v>MPET</x:v>
      </x:c>
      <x:c r="E165" s="102" t="str">
        <x:v>Operator / portfolio relationship</x:v>
      </x:c>
      <x:c r="F165" s="102"/>
      <x:c r="G165" s="102" t="str">
        <x:v>Yes</x:v>
      </x:c>
      <x:c r="H165" s="102" t="str">
        <x:v>Current / see source</x:v>
      </x:c>
      <x:c r="I165" s="102" t="str">
        <x:v>JV between PSA and TiL</x:v>
      </x:c>
      <x:c r="J165" s="102" t="str">
        <x:v>https://www.tilgroup.com/our-terminals/antwerp.html</x:v>
      </x:c>
    </x:row>
    <x:row r="166">
      <x:c r="A166" s="102" t="str">
        <x:v>OWN00165</x:v>
      </x:c>
      <x:c r="B166" s="102" t="str">
        <x:v>TERM0159</x:v>
      </x:c>
      <x:c r="C166" s="102" t="str">
        <x:v>COMP_TIL</x:v>
      </x:c>
      <x:c r="D166" s="102" t="str">
        <x:v>TTI</x:v>
      </x:c>
      <x:c r="E166" s="102" t="str">
        <x:v>Operator / portfolio relationship</x:v>
      </x:c>
      <x:c r="F166" s="102"/>
      <x:c r="G166" s="102" t="str">
        <x:v>Yes</x:v>
      </x:c>
      <x:c r="H166" s="102" t="str">
        <x:v>Current / see source</x:v>
      </x:c>
      <x:c r="I166" s="102" t="str">
        <x:v>TiL portfolio</x:v>
      </x:c>
      <x:c r="J166" s="102" t="str">
        <x:v>https://www.tilgroup.com/our-terminals/long-beach.html</x:v>
      </x:c>
    </x:row>
    <x:row r="167">
      <x:c r="A167" s="102" t="str">
        <x:v>OWN00166</x:v>
      </x:c>
      <x:c r="B167" s="102" t="str">
        <x:v>TERM0160</x:v>
      </x:c>
      <x:c r="C167" s="102" t="str">
        <x:v>COMP_TIL</x:v>
      </x:c>
      <x:c r="D167" s="102" t="str">
        <x:v>MPAT</x:v>
      </x:c>
      <x:c r="E167" s="102" t="str">
        <x:v>Operator / portfolio relationship</x:v>
      </x:c>
      <x:c r="F167" s="102"/>
      <x:c r="G167" s="102" t="str">
        <x:v>Yes</x:v>
      </x:c>
      <x:c r="H167" s="102" t="str">
        <x:v>Current / see source</x:v>
      </x:c>
      <x:c r="I167" s="102" t="str">
        <x:v>JV between PSA and TiL</x:v>
      </x:c>
      <x:c r="J167" s="102" t="str">
        <x:v>https://www.tilgroup.com/our-terminals/pasir.html</x:v>
      </x:c>
    </x:row>
    <x:row r="168">
      <x:c r="A168" s="102" t="str">
        <x:v>OWN00167</x:v>
      </x:c>
      <x:c r="B168" s="102" t="str">
        <x:v>TERM0161</x:v>
      </x:c>
      <x:c r="C168" s="102" t="str">
        <x:v>COMP_TIL</x:v>
      </x:c>
      <x:c r="D168" s="102" t="str">
        <x:v>NCT</x:v>
      </x:c>
      <x:c r="E168" s="102" t="str">
        <x:v>Operator / portfolio relationship</x:v>
      </x:c>
      <x:c r="F168" s="102"/>
      <x:c r="G168" s="102" t="str">
        <x:v>Yes</x:v>
      </x:c>
      <x:c r="H168" s="102" t="str">
        <x:v>Current / see source</x:v>
      </x:c>
      <x:c r="I168" s="102" t="str">
        <x:v>TiL portfolio</x:v>
      </x:c>
      <x:c r="J168" s="102" t="str">
        <x:v>https://tilgroup.com/our-terminals/king-abdullah.html</x:v>
      </x:c>
    </x:row>
    <x:row r="169">
      <x:c r="A169" s="102" t="str">
        <x:v>OWN00168</x:v>
      </x:c>
      <x:c r="B169" s="102" t="str">
        <x:v>TERM0162</x:v>
      </x:c>
      <x:c r="C169" s="102" t="str">
        <x:v>COMP_TIL</x:v>
      </x:c>
      <x:c r="D169" s="102" t="str">
        <x:v>Portonave</x:v>
      </x:c>
      <x:c r="E169" s="102" t="str">
        <x:v>Operator / portfolio relationship</x:v>
      </x:c>
      <x:c r="F169" s="102"/>
      <x:c r="G169" s="102" t="str">
        <x:v>Yes</x:v>
      </x:c>
      <x:c r="H169" s="102" t="str">
        <x:v>Current / see source</x:v>
      </x:c>
      <x:c r="I169" s="102" t="str">
        <x:v>Part of TiL group</x:v>
      </x:c>
      <x:c r="J169" s="102" t="str">
        <x:v>https://www.tilgroup.com/our-terminals/navegantes.html</x:v>
      </x:c>
    </x:row>
    <x:row r="170">
      <x:c r="A170" s="102" t="str">
        <x:v>OWN00169</x:v>
      </x:c>
      <x:c r="B170" s="102" t="str">
        <x:v>TERM0163</x:v>
      </x:c>
      <x:c r="C170" s="102" t="str">
        <x:v>COMP_TIL</x:v>
      </x:c>
      <x:c r="D170" s="102" t="str">
        <x:v>MSC Terminal Valencia</x:v>
      </x:c>
      <x:c r="E170" s="102" t="str">
        <x:v>Operator / portfolio relationship</x:v>
      </x:c>
      <x:c r="F170" s="102"/>
      <x:c r="G170" s="102" t="str">
        <x:v>Yes</x:v>
      </x:c>
      <x:c r="H170" s="102" t="str">
        <x:v>Current / see source</x:v>
      </x:c>
      <x:c r="I170" s="102" t="str">
        <x:v>TiL portfolio</x:v>
      </x:c>
      <x:c r="J170" s="102" t="str">
        <x:v>https://www.tilgroup.com/our-terminals/valencia.html</x:v>
      </x:c>
    </x:row>
    <x:row r="171">
      <x:c r="A171" s="102" t="str">
        <x:v>OWN00170</x:v>
      </x:c>
      <x:c r="B171" s="102" t="str">
        <x:v>TERM0164</x:v>
      </x:c>
      <x:c r="C171" s="102" t="str">
        <x:v>COMP_TIL</x:v>
      </x:c>
      <x:c r="D171" s="102" t="str">
        <x:v>Terminaux de Normandie</x:v>
      </x:c>
      <x:c r="E171" s="102" t="str">
        <x:v>Operator / portfolio relationship</x:v>
      </x:c>
      <x:c r="F171" s="102"/>
      <x:c r="G171" s="102" t="str">
        <x:v>Yes</x:v>
      </x:c>
      <x:c r="H171" s="102" t="str">
        <x:v>Current / see source</x:v>
      </x:c>
      <x:c r="I171" s="102" t="str">
        <x:v>MSC/TiL portfolio</x:v>
      </x:c>
      <x:c r="J171" s="102" t="str">
        <x:v>https://tilgroup.com/our-terminals/havre.html</x:v>
      </x:c>
    </x:row>
    <x:row r="172">
      <x:c r="A172" s="102" t="str">
        <x:v>OWN00171</x:v>
      </x:c>
      <x:c r="B172" s="102" t="str">
        <x:v>TERM0165</x:v>
      </x:c>
      <x:c r="C172" s="102" t="str">
        <x:v>COMP_TIL</x:v>
      </x:c>
      <x:c r="D172" s="102" t="str">
        <x:v>LCT</x:v>
      </x:c>
      <x:c r="E172" s="102" t="str">
        <x:v>Operator / portfolio relationship</x:v>
      </x:c>
      <x:c r="F172" s="102"/>
      <x:c r="G172" s="102" t="str">
        <x:v>Yes</x:v>
      </x:c>
      <x:c r="H172" s="102" t="str">
        <x:v>Current / see source</x:v>
      </x:c>
      <x:c r="I172" s="102" t="str">
        <x:v>TiL-developed 35-year concession</x:v>
      </x:c>
      <x:c r="J172" s="102" t="str">
        <x:v>https://www.tilgroup.com/our-terminals/lome.html</x:v>
      </x:c>
    </x:row>
    <x:row r="173">
      <x:c r="A173" s="102" t="str">
        <x:v>OWN00172</x:v>
      </x:c>
      <x:c r="B173" s="102" t="str">
        <x:v>TERM0166</x:v>
      </x:c>
      <x:c r="C173" s="102" t="str">
        <x:v>COMP_TIL</x:v>
      </x:c>
      <x:c r="D173" s="102" t="str">
        <x:v>PNCT</x:v>
      </x:c>
      <x:c r="E173" s="102" t="str">
        <x:v>Operator / portfolio relationship</x:v>
      </x:c>
      <x:c r="F173" s="102"/>
      <x:c r="G173" s="102" t="str">
        <x:v>Yes</x:v>
      </x:c>
      <x:c r="H173" s="102" t="str">
        <x:v>Current / see source</x:v>
      </x:c>
      <x:c r="I173" s="102" t="str">
        <x:v>TiL investment/operation</x:v>
      </x:c>
      <x:c r="J173" s="102" t="str">
        <x:v>https://spctmd.com/about/</x:v>
      </x:c>
    </x:row>
    <x:row r="174">
      <x:c r="A174" s="102" t="str">
        <x:v>OWN00173</x:v>
      </x:c>
      <x:c r="B174" s="102" t="str">
        <x:v>TERM0167</x:v>
      </x:c>
      <x:c r="C174" s="102" t="str">
        <x:v>COMP_TIL</x:v>
      </x:c>
      <x:c r="D174" s="102" t="str">
        <x:v>PET</x:v>
      </x:c>
      <x:c r="E174" s="102" t="str">
        <x:v>Operator / portfolio relationship</x:v>
      </x:c>
      <x:c r="F174" s="102"/>
      <x:c r="G174" s="102" t="str">
        <x:v>Yes</x:v>
      </x:c>
      <x:c r="H174" s="102" t="str">
        <x:v>Current / see source</x:v>
      </x:c>
      <x:c r="I174" s="102" t="str">
        <x:v>TiL investment/operation</x:v>
      </x:c>
      <x:c r="J174" s="102" t="str">
        <x:v>https://spctmd.com/about/</x:v>
      </x:c>
    </x:row>
    <x:row r="175">
      <x:c r="A175" s="102" t="str">
        <x:v>OWN00174</x:v>
      </x:c>
      <x:c r="B175" s="102" t="str">
        <x:v>TERM0168</x:v>
      </x:c>
      <x:c r="C175" s="102" t="str">
        <x:v>COMP_TIL</x:v>
      </x:c>
      <x:c r="D175" s="102" t="str">
        <x:v>NOT</x:v>
      </x:c>
      <x:c r="E175" s="102" t="str">
        <x:v>Operator / portfolio relationship</x:v>
      </x:c>
      <x:c r="F175" s="102"/>
      <x:c r="G175" s="102" t="str">
        <x:v>Yes</x:v>
      </x:c>
      <x:c r="H175" s="102" t="str">
        <x:v>Current / see source</x:v>
      </x:c>
      <x:c r="I175" s="102" t="str">
        <x:v>TiL investment/operation</x:v>
      </x:c>
      <x:c r="J175" s="102" t="str">
        <x:v>https://spctmd.com/about/</x:v>
      </x:c>
    </x:row>
    <x:row r="176">
      <x:c r="A176" s="102" t="str">
        <x:v>OWN00175</x:v>
      </x:c>
      <x:c r="B176" s="102" t="str">
        <x:v>TERM0169</x:v>
      </x:c>
      <x:c r="C176" s="102" t="str">
        <x:v>COMP_TIL</x:v>
      </x:c>
      <x:c r="D176" s="102" t="str">
        <x:v>Houston Terminal / Bayport</x:v>
      </x:c>
      <x:c r="E176" s="102" t="str">
        <x:v>Operator / portfolio relationship</x:v>
      </x:c>
      <x:c r="F176" s="102"/>
      <x:c r="G176" s="102" t="str">
        <x:v>Yes</x:v>
      </x:c>
      <x:c r="H176" s="102" t="str">
        <x:v>Current / see source</x:v>
      </x:c>
      <x:c r="I176" s="102" t="str">
        <x:v>TiL investment/operation</x:v>
      </x:c>
      <x:c r="J176" s="102" t="str">
        <x:v>https://spctmd.com/about/</x:v>
      </x:c>
    </x:row>
    <x:row r="177">
      <x:c r="A177" s="102" t="str">
        <x:v>OWN00176</x:v>
      </x:c>
      <x:c r="B177" s="102" t="str">
        <x:v>TERM0170</x:v>
      </x:c>
      <x:c r="C177" s="102" t="str">
        <x:v>COMP_TIL</x:v>
      </x:c>
      <x:c r="D177" s="102" t="str">
        <x:v>Houston Terminal / Barbours Cut</x:v>
      </x:c>
      <x:c r="E177" s="102" t="str">
        <x:v>Operator / portfolio relationship</x:v>
      </x:c>
      <x:c r="F177" s="102"/>
      <x:c r="G177" s="102" t="str">
        <x:v>Yes</x:v>
      </x:c>
      <x:c r="H177" s="102" t="str">
        <x:v>Current / see source</x:v>
      </x:c>
      <x:c r="I177" s="102" t="str">
        <x:v>TiL investment/operation</x:v>
      </x:c>
      <x:c r="J177" s="102" t="str">
        <x:v>https://spctmd.com/about/</x:v>
      </x:c>
    </x:row>
    <x:row r="178">
      <x:c r="A178" s="102" t="str">
        <x:v>OWN00177</x:v>
      </x:c>
      <x:c r="B178" s="102" t="str">
        <x:v>TERM0171</x:v>
      </x:c>
      <x:c r="C178" s="102" t="str">
        <x:v>COMP_TIL</x:v>
      </x:c>
      <x:c r="D178" s="102" t="str">
        <x:v>LATT</x:v>
      </x:c>
      <x:c r="E178" s="102" t="str">
        <x:v>Operator / portfolio relationship</x:v>
      </x:c>
      <x:c r="F178" s="102"/>
      <x:c r="G178" s="102" t="str">
        <x:v>Yes</x:v>
      </x:c>
      <x:c r="H178" s="102" t="str">
        <x:v>Current / see source</x:v>
      </x:c>
      <x:c r="I178" s="102" t="str">
        <x:v>TiL investment/operation</x:v>
      </x:c>
      <x:c r="J178" s="102" t="str">
        <x:v>https://spctmd.com/about/</x:v>
      </x:c>
    </x:row>
    <x:row r="179">
      <x:c r="A179" s="102" t="str">
        <x:v>OWN00178</x:v>
      </x:c>
      <x:c r="B179" s="102" t="str">
        <x:v>TERM0172</x:v>
      </x:c>
      <x:c r="C179" s="102" t="str">
        <x:v>COMP_TIL</x:v>
      </x:c>
      <x:c r="D179" s="102" t="str">
        <x:v>SSATS T18</x:v>
      </x:c>
      <x:c r="E179" s="102" t="str">
        <x:v>Operator / portfolio relationship</x:v>
      </x:c>
      <x:c r="F179" s="102"/>
      <x:c r="G179" s="102" t="str">
        <x:v>Yes</x:v>
      </x:c>
      <x:c r="H179" s="102" t="str">
        <x:v>Current / see source</x:v>
      </x:c>
      <x:c r="I179" s="102" t="str">
        <x:v>TiL investment/operation</x:v>
      </x:c>
      <x:c r="J179" s="102" t="str">
        <x:v>https://spctmd.com/about/</x:v>
      </x:c>
    </x:row>
    <x:row r="180">
      <x:c r="A180" s="102" t="str">
        <x:v>OWN00179</x:v>
      </x:c>
      <x:c r="B180" s="102" t="str">
        <x:v>TERM0173</x:v>
      </x:c>
      <x:c r="C180" s="102" t="str">
        <x:v>COMP_TIL</x:v>
      </x:c>
      <x:c r="D180" s="102" t="str">
        <x:v>SSATS T5</x:v>
      </x:c>
      <x:c r="E180" s="102" t="str">
        <x:v>Operator / portfolio relationship</x:v>
      </x:c>
      <x:c r="F180" s="102"/>
      <x:c r="G180" s="102" t="str">
        <x:v>Yes</x:v>
      </x:c>
      <x:c r="H180" s="102" t="str">
        <x:v>Current / see source</x:v>
      </x:c>
      <x:c r="I180" s="102" t="str">
        <x:v>TiL investment/operation</x:v>
      </x:c>
      <x:c r="J180" s="102" t="str">
        <x:v>https://spctmd.com/about/</x:v>
      </x:c>
    </x:row>
    <x:row r="181">
      <x:c r="A181" s="102" t="str">
        <x:v>OWN00180</x:v>
      </x:c>
      <x:c r="B181" s="102" t="str">
        <x:v>TERM0174</x:v>
      </x:c>
      <x:c r="C181" s="102" t="str">
        <x:v>COMP_TIL</x:v>
      </x:c>
      <x:c r="D181" s="102" t="str">
        <x:v>Sparrows Point Container Terminal</x:v>
      </x:c>
      <x:c r="E181" s="102" t="str">
        <x:v>Operator / portfolio relationship</x:v>
      </x:c>
      <x:c r="F181" s="102"/>
      <x:c r="G181" s="102" t="str">
        <x:v>Yes</x:v>
      </x:c>
      <x:c r="H181" s="102" t="str">
        <x:v>Current / see source</x:v>
      </x:c>
      <x:c r="I181" s="102" t="str">
        <x:v>JV Tradepoint Atlantic + TiL</x:v>
      </x:c>
      <x:c r="J181" s="102" t="str">
        <x:v>https://www.spctmd.com/</x:v>
      </x:c>
    </x:row>
    <x:row r="182">
      <x:c r="A182" s="102" t="str">
        <x:v>OWN00181</x:v>
      </x:c>
      <x:c r="B182" s="102" t="str">
        <x:v>TERM0175</x:v>
      </x:c>
      <x:c r="C182" s="102" t="str">
        <x:v>COMP_TIL</x:v>
      </x:c>
      <x:c r="D182" s="102" t="str">
        <x:v>AICTPL / CT3</x:v>
      </x:c>
      <x:c r="E182" s="102" t="str">
        <x:v>Operator / portfolio relationship</x:v>
      </x:c>
      <x:c r="F182" s="102"/>
      <x:c r="G182" s="102" t="str">
        <x:v>Yes</x:v>
      </x:c>
      <x:c r="H182" s="102" t="str">
        <x:v>Current / see source</x:v>
      </x:c>
      <x:c r="I182" s="102" t="str">
        <x:v>APSEZ-TiL JV</x:v>
      </x:c>
      <x:c r="J182" s="102" t="str">
        <x:v>https://www.adaniports.com/newsroom/media-releases/apsez-expands-strategic-partnership-with-msc</x:v>
      </x:c>
    </x:row>
    <x:row r="183">
      <x:c r="A183" s="102" t="str">
        <x:v>OWN00182</x:v>
      </x:c>
      <x:c r="B183" s="102" t="str">
        <x:v>TERM0176</x:v>
      </x:c>
      <x:c r="C183" s="102" t="str">
        <x:v>COMP_TIL</x:v>
      </x:c>
      <x:c r="D183" s="102" t="str">
        <x:v>AECTPL</x:v>
      </x:c>
      <x:c r="E183" s="102" t="str">
        <x:v>Operator / portfolio relationship</x:v>
      </x:c>
      <x:c r="F183" s="102"/>
      <x:c r="G183" s="102" t="str">
        <x:v>Yes</x:v>
      </x:c>
      <x:c r="H183" s="102" t="str">
        <x:v>Current / see source</x:v>
      </x:c>
      <x:c r="I183" s="102" t="str">
        <x:v>49% TiL / 51% APSEZ</x:v>
      </x:c>
      <x:c r="J183" s="102" t="str">
        <x:v>https://www.adaniports.com/newsroom/media-releases/apsez-expands-strategic-partnership-with-msc</x:v>
      </x:c>
    </x:row>
    <x:row r="184">
      <x:c r="A184" s="102" t="str">
        <x:v>OWN00183</x:v>
      </x:c>
      <x:c r="B184" s="102" t="str">
        <x:v>TERM0177</x:v>
      </x:c>
      <x:c r="C184" s="102" t="str">
        <x:v>COMP_TIL</x:v>
      </x:c>
      <x:c r="D184" s="102" t="str">
        <x:v>Adani Vizhinjam Port Pvt Ltd</x:v>
      </x:c>
      <x:c r="E184" s="102" t="str">
        <x:v>Operator / portfolio relationship</x:v>
      </x:c>
      <x:c r="F184" s="102"/>
      <x:c r="G184" s="102" t="str">
        <x:v>Yes</x:v>
      </x:c>
      <x:c r="H184" s="102" t="str">
        <x:v>Current / see source</x:v>
      </x:c>
      <x:c r="I184" s="102" t="str">
        <x:v>Definitive agreement: 49% TiL / 51% APSEZ</x:v>
      </x:c>
      <x:c r="J184" s="102" t="str">
        <x:v>https://www.adani.com/newsroom/media-releases/apsez-and-msc-group-deepen-long-term-partnership</x:v>
      </x:c>
    </x:row>
    <x:row r="185">
      <x:c r="A185" s="102" t="str">
        <x:v>OWN00184</x:v>
      </x:c>
      <x:c r="B185" s="102" t="str">
        <x:v>TERM0178</x:v>
      </x:c>
      <x:c r="C185" s="102" t="str">
        <x:v>COMP_TIL</x:v>
      </x:c>
      <x:c r="D185" s="102" t="str">
        <x:v>Misurata Free Zone Port</x:v>
      </x:c>
      <x:c r="E185" s="102" t="str">
        <x:v>Operator / portfolio relationship</x:v>
      </x:c>
      <x:c r="F185" s="102"/>
      <x:c r="G185" s="102" t="str">
        <x:v>Yes</x:v>
      </x:c>
      <x:c r="H185" s="102" t="str">
        <x:v>Current / see source</x:v>
      </x:c>
      <x:c r="I185" s="102" t="str">
        <x:v>Long-term PPP; TiL transaction approved by COMESA</x:v>
      </x:c>
      <x:c r="J185" s="102" t="str">
        <x:v>https://www.mfzly.com/en/post.php?id=90</x:v>
      </x:c>
    </x:row>
    <x:row r="186">
      <x:c r="A186" s="102" t="str">
        <x:v>OWN00185</x:v>
      </x:c>
      <x:c r="B186" s="102" t="str">
        <x:v>TERM0179</x:v>
      </x:c>
      <x:c r="C186" s="102" t="str">
        <x:v>COMP_TIL</x:v>
      </x:c>
      <x:c r="D186" s="102" t="str">
        <x:v>Medcenter Container Terminal</x:v>
      </x:c>
      <x:c r="E186" s="102" t="str">
        <x:v>Operator / portfolio relationship</x:v>
      </x:c>
      <x:c r="F186" s="102"/>
      <x:c r="G186" s="102" t="str">
        <x:v>Yes</x:v>
      </x:c>
      <x:c r="H186" s="102" t="str">
        <x:v>Current / see source</x:v>
      </x:c>
      <x:c r="I186" s="102" t="str">
        <x:v>TiL/MSC-linked portfolio</x:v>
      </x:c>
      <x:c r="J186" s="102" t="str">
        <x:v>https://tilgroup.com/about-us.html</x:v>
      </x:c>
    </x:row>
    <x:row r="187">
      <x:c r="A187" s="102" t="str">
        <x:v>OWN00186</x:v>
      </x:c>
      <x:c r="B187" s="102" t="str">
        <x:v>TERM0180</x:v>
      </x:c>
      <x:c r="C187" s="102" t="str">
        <x:v>COMP_TIL</x:v>
      </x:c>
      <x:c r="D187" s="102" t="str">
        <x:v>Trieste Marine Terminal</x:v>
      </x:c>
      <x:c r="E187" s="102" t="str">
        <x:v>Operator / portfolio relationship</x:v>
      </x:c>
      <x:c r="F187" s="102"/>
      <x:c r="G187" s="102" t="str">
        <x:v>Yes</x:v>
      </x:c>
      <x:c r="H187" s="102" t="str">
        <x:v>Current / see source</x:v>
      </x:c>
      <x:c r="I187" s="102" t="str">
        <x:v>TiL-linked portfolio</x:v>
      </x:c>
      <x:c r="J187" s="102" t="str">
        <x:v>https://tilgroup.com/about-us.html</x:v>
      </x:c>
    </x:row>
    <x:row r="188">
      <x:c r="A188" s="102" t="str">
        <x:v>OWN00187</x:v>
      </x:c>
      <x:c r="B188" s="102" t="str">
        <x:v>TERM0181</x:v>
      </x:c>
      <x:c r="C188" s="102" t="str">
        <x:v>COMP_TIL</x:v>
      </x:c>
      <x:c r="D188" s="102" t="str">
        <x:v>Terminal XXI</x:v>
      </x:c>
      <x:c r="E188" s="102" t="str">
        <x:v>Operator / portfolio relationship</x:v>
      </x:c>
      <x:c r="F188" s="102"/>
      <x:c r="G188" s="102" t="str">
        <x:v>Yes</x:v>
      </x:c>
      <x:c r="H188" s="102" t="str">
        <x:v>Current / see source</x:v>
      </x:c>
      <x:c r="I188" s="102" t="str">
        <x:v>TiL-linked investment</x:v>
      </x:c>
      <x:c r="J188" s="102" t="str">
        <x:v>https://tilgroup.com/about-us.html</x:v>
      </x:c>
    </x:row>
    <x:row r="189">
      <x:c r="A189" s="102" t="str">
        <x:v>OWN00188</x:v>
      </x:c>
      <x:c r="B189" s="102" t="str">
        <x:v>TERM0182</x:v>
      </x:c>
      <x:c r="C189" s="102" t="str">
        <x:v>COMP_TIL</x:v>
      </x:c>
      <x:c r="D189" s="102" t="str">
        <x:v>Asyaport</x:v>
      </x:c>
      <x:c r="E189" s="102" t="str">
        <x:v>Operator / portfolio relationship</x:v>
      </x:c>
      <x:c r="F189" s="102"/>
      <x:c r="G189" s="102" t="str">
        <x:v>Yes</x:v>
      </x:c>
      <x:c r="H189" s="102" t="str">
        <x:v>Current / see source</x:v>
      </x:c>
      <x:c r="I189" s="102" t="str">
        <x:v>TiL-controlled through Global Terminal Ltd / local partner</x:v>
      </x:c>
      <x:c r="J189" s="102" t="str">
        <x:v>https://disclosures.ifc.org/project-detail/ESRS/33999/asyaport</x:v>
      </x:c>
    </x:row>
    <x:row r="190">
      <x:c r="A190" s="102" t="str">
        <x:v>OWN00189</x:v>
      </x:c>
      <x:c r="B190" s="102" t="str">
        <x:v>TERM0183</x:v>
      </x:c>
      <x:c r="C190" s="102" t="str">
        <x:v>COMP_TIL</x:v>
      </x:c>
      <x:c r="D190" s="102" t="str">
        <x:v>BTP</x:v>
      </x:c>
      <x:c r="E190" s="102" t="str">
        <x:v>Operator / portfolio relationship</x:v>
      </x:c>
      <x:c r="F190" s="102"/>
      <x:c r="G190" s="102" t="str">
        <x:v>Yes</x:v>
      </x:c>
      <x:c r="H190" s="102" t="str">
        <x:v>Current / see source</x:v>
      </x:c>
      <x:c r="I190" s="102" t="str">
        <x:v>TiL-linked JV</x:v>
      </x:c>
      <x:c r="J190" s="102" t="str">
        <x:v>https://tilgroup.com/about-us.html</x:v>
      </x:c>
    </x:row>
    <x:row r="191">
      <x:c r="A191" s="102" t="str">
        <x:v>OWN00190</x:v>
      </x:c>
      <x:c r="B191" s="102" t="str">
        <x:v>TERM0183</x:v>
      </x:c>
      <x:c r="C191" s="102" t="str">
        <x:v>COMP_APMT</x:v>
      </x:c>
      <x:c r="D191" s="102" t="str">
        <x:v>APM Terminals / partner operator</x:v>
      </x:c>
      <x:c r="E191" s="102" t="str">
        <x:v>Operator / portfolio relationship</x:v>
      </x:c>
      <x:c r="F191" s="102"/>
      <x:c r="G191" s="102"/>
      <x:c r="H191" s="102" t="str">
        <x:v>Current / see source</x:v>
      </x:c>
      <x:c r="I191" s="102" t="str">
        <x:v>APM Terminals network asset / partnership; detailed equity not verified in this pass</x:v>
      </x:c>
      <x:c r="J191" s="102" t="str">
        <x:v>https://www2.apmterminals.com/en/</x:v>
      </x:c>
    </x:row>
    <x:row r="192">
      <x:c r="A192" s="102" t="str">
        <x:v>OWN00191</x:v>
      </x:c>
      <x:c r="B192" s="102" t="str">
        <x:v>TERM0184</x:v>
      </x:c>
      <x:c r="C192" s="102" t="str">
        <x:v>COMP_TIL</x:v>
      </x:c>
      <x:c r="D192" s="102" t="str">
        <x:v>TBD</x:v>
      </x:c>
      <x:c r="E192" s="102" t="str">
        <x:v>Operator / portfolio relationship</x:v>
      </x:c>
      <x:c r="F192" s="102"/>
      <x:c r="G192" s="102" t="str">
        <x:v>Yes</x:v>
      </x:c>
      <x:c r="H192" s="102" t="str">
        <x:v>Current / see source</x:v>
      </x:c>
      <x:c r="I192" s="102" t="str">
        <x:v>TiL-linked portfolio</x:v>
      </x:c>
      <x:c r="J192" s="102" t="str">
        <x:v>https://tilgroup.com/about-us.html</x:v>
      </x:c>
    </x:row>
    <x:row r="193">
      <x:c r="A193" s="102" t="str">
        <x:v>OWN00192</x:v>
      </x:c>
      <x:c r="B193" s="102" t="str">
        <x:v>TERM0185</x:v>
      </x:c>
      <x:c r="C193" s="102" t="str">
        <x:v>COMP_TIL</x:v>
      </x:c>
      <x:c r="D193" s="102" t="str">
        <x:v>TBD</x:v>
      </x:c>
      <x:c r="E193" s="102" t="str">
        <x:v>Operator / portfolio relationship</x:v>
      </x:c>
      <x:c r="F193" s="102"/>
      <x:c r="G193" s="102" t="str">
        <x:v>Yes</x:v>
      </x:c>
      <x:c r="H193" s="102" t="str">
        <x:v>Current / see source</x:v>
      </x:c>
      <x:c r="I193" s="102" t="str">
        <x:v>TiL-linked portfolio</x:v>
      </x:c>
      <x:c r="J193" s="102" t="str">
        <x:v>https://tilgroup.com/about-us.html</x:v>
      </x:c>
    </x:row>
    <x:row r="194">
      <x:c r="A194" s="102" t="str">
        <x:v>OWN00193</x:v>
      </x:c>
      <x:c r="B194" s="102" t="str">
        <x:v>TERM0186</x:v>
      </x:c>
      <x:c r="C194" s="102" t="str">
        <x:v>COMP_TIL</x:v>
      </x:c>
      <x:c r="D194" s="102" t="str">
        <x:v>Exolgan</x:v>
      </x:c>
      <x:c r="E194" s="102" t="str">
        <x:v>Operator / portfolio relationship</x:v>
      </x:c>
      <x:c r="F194" s="102"/>
      <x:c r="G194" s="102" t="str">
        <x:v>Yes</x:v>
      </x:c>
      <x:c r="H194" s="102" t="str">
        <x:v>Current / see source</x:v>
      </x:c>
      <x:c r="I194" s="102" t="str">
        <x:v>TiL-linked portfolio</x:v>
      </x:c>
      <x:c r="J194" s="102" t="str">
        <x:v>https://tilgroup.com/about-us.html</x:v>
      </x:c>
    </x:row>
    <x:row r="195">
      <x:c r="A195" s="102" t="str">
        <x:v>OWN00194</x:v>
      </x:c>
      <x:c r="B195" s="102" t="str">
        <x:v>TERM0187</x:v>
      </x:c>
      <x:c r="C195" s="102" t="str">
        <x:v>COMP_TIL</x:v>
      </x:c>
      <x:c r="D195" s="102" t="str">
        <x:v>TBD</x:v>
      </x:c>
      <x:c r="E195" s="102" t="str">
        <x:v>Operator / portfolio relationship</x:v>
      </x:c>
      <x:c r="F195" s="102"/>
      <x:c r="G195" s="102" t="str">
        <x:v>Yes</x:v>
      </x:c>
      <x:c r="H195" s="102" t="str">
        <x:v>Current / see source</x:v>
      </x:c>
      <x:c r="I195" s="102" t="str">
        <x:v>TiL-linked portfolio</x:v>
      </x:c>
      <x:c r="J195" s="102" t="str">
        <x:v>https://tilgroup.com/about-us.html</x:v>
      </x:c>
    </x:row>
    <x:row r="196">
      <x:c r="A196" s="102" t="str">
        <x:v>OWN00195</x:v>
      </x:c>
      <x:c r="B196" s="102" t="str">
        <x:v>TERM0188</x:v>
      </x:c>
      <x:c r="C196" s="102" t="str">
        <x:v>COMP_TIL</x:v>
      </x:c>
      <x:c r="D196" s="102" t="str">
        <x:v>TBD</x:v>
      </x:c>
      <x:c r="E196" s="102" t="str">
        <x:v>Operator / portfolio relationship</x:v>
      </x:c>
      <x:c r="F196" s="102"/>
      <x:c r="G196" s="102" t="str">
        <x:v>Yes</x:v>
      </x:c>
      <x:c r="H196" s="102" t="str">
        <x:v>Current / see source</x:v>
      </x:c>
      <x:c r="I196" s="102" t="str">
        <x:v>TiL significant presence stated by company</x:v>
      </x:c>
      <x:c r="J196" s="102" t="str">
        <x:v>https://tilgroup.com/about-us.html</x:v>
      </x:c>
    </x:row>
    <x:row r="197">
      <x:c r="A197" s="102" t="str">
        <x:v>OWN00196</x:v>
      </x:c>
      <x:c r="B197" s="102" t="str">
        <x:v>TERM0189</x:v>
      </x:c>
      <x:c r="C197" s="102" t="str">
        <x:v>COMP_TIL</x:v>
      </x:c>
      <x:c r="D197" s="102" t="str">
        <x:v>TBD</x:v>
      </x:c>
      <x:c r="E197" s="102" t="str">
        <x:v>Operator / portfolio relationship</x:v>
      </x:c>
      <x:c r="F197" s="102"/>
      <x:c r="G197" s="102" t="str">
        <x:v>Yes</x:v>
      </x:c>
      <x:c r="H197" s="102" t="str">
        <x:v>Current / see source</x:v>
      </x:c>
      <x:c r="I197" s="102" t="str">
        <x:v>TiL significant presence stated by company</x:v>
      </x:c>
      <x:c r="J197" s="102" t="str">
        <x:v>https://tilgroup.com/about-us.html</x:v>
      </x:c>
    </x:row>
    <x:row r="198">
      <x:c r="A198" s="102" t="str">
        <x:v>OWN00197</x:v>
      </x:c>
      <x:c r="B198" s="102" t="str">
        <x:v>TERM0190</x:v>
      </x:c>
      <x:c r="C198" s="102" t="str">
        <x:v>COMP_TIL</x:v>
      </x:c>
      <x:c r="D198" s="102" t="str">
        <x:v>TBD</x:v>
      </x:c>
      <x:c r="E198" s="102" t="str">
        <x:v>Operator / portfolio relationship</x:v>
      </x:c>
      <x:c r="F198" s="102"/>
      <x:c r="G198" s="102" t="str">
        <x:v>Yes</x:v>
      </x:c>
      <x:c r="H198" s="102" t="str">
        <x:v>Current / see source</x:v>
      </x:c>
      <x:c r="I198" s="102" t="str">
        <x:v>TiL significant presence stated by company</x:v>
      </x:c>
      <x:c r="J198" s="102" t="str">
        <x:v>https://tilgroup.com/about-us.html</x:v>
      </x:c>
    </x:row>
    <x:row r="199">
      <x:c r="A199" s="102" t="str">
        <x:v>OWN00198</x:v>
      </x:c>
      <x:c r="B199" s="102" t="str">
        <x:v>TERM0191</x:v>
      </x:c>
      <x:c r="C199" s="102" t="str">
        <x:v>COMP_APMT</x:v>
      </x:c>
      <x:c r="D199" s="102" t="str">
        <x:v>APM Terminals / partner operator</x:v>
      </x:c>
      <x:c r="E199" s="102" t="str">
        <x:v>Operator / portfolio relationship</x:v>
      </x:c>
      <x:c r="F199" s="102"/>
      <x:c r="G199" s="102" t="str">
        <x:v>Yes</x:v>
      </x:c>
      <x:c r="H199" s="102" t="str">
        <x:v>Current / see source</x:v>
      </x:c>
      <x:c r="I199" s="102" t="str">
        <x:v>APM Terminals concession/operation</x:v>
      </x:c>
      <x:c r="J199" s="102" t="str">
        <x:v>https://www2.apmterminals.com/en/lazaro-cardenas/about/our-terminal</x:v>
      </x:c>
    </x:row>
    <x:row r="200">
      <x:c r="A200" s="102" t="str">
        <x:v>OWN00199</x:v>
      </x:c>
      <x:c r="B200" s="102" t="str">
        <x:v>TERM0192</x:v>
      </x:c>
      <x:c r="C200" s="102" t="str">
        <x:v>COMP_APMT</x:v>
      </x:c>
      <x:c r="D200" s="102" t="str">
        <x:v>APM Terminals / partner operator</x:v>
      </x:c>
      <x:c r="E200" s="102" t="str">
        <x:v>Operator / portfolio relationship</x:v>
      </x:c>
      <x:c r="F200" s="102"/>
      <x:c r="G200" s="102" t="str">
        <x:v>Yes</x:v>
      </x:c>
      <x:c r="H200" s="102" t="str">
        <x:v>Current / see source</x:v>
      </x:c>
      <x:c r="I200" s="102" t="str">
        <x:v>APM Terminals greenfield terminal</x:v>
      </x:c>
      <x:c r="J200" s="102" t="str">
        <x:v>https://www2.apmterminals.com/en/suape/about/our-terminal</x:v>
      </x:c>
    </x:row>
    <x:row r="201">
      <x:c r="A201" s="102" t="str">
        <x:v>OWN00200</x:v>
      </x:c>
      <x:c r="B201" s="102" t="str">
        <x:v>TERM0193</x:v>
      </x:c>
      <x:c r="C201" s="102" t="str">
        <x:v>COMP_APMT</x:v>
      </x:c>
      <x:c r="D201" s="102" t="str">
        <x:v>APM Terminals / partner operator</x:v>
      </x:c>
      <x:c r="E201" s="102" t="str">
        <x:v>Operator / portfolio relationship</x:v>
      </x:c>
      <x:c r="F201" s="102"/>
      <x:c r="G201" s="102" t="str">
        <x:v>Yes</x:v>
      </x:c>
      <x:c r="H201" s="102" t="str">
        <x:v>Current / see source</x:v>
      </x:c>
      <x:c r="I201" s="102" t="str">
        <x:v>APM Terminals Bahrain operator</x:v>
      </x:c>
      <x:c r="J201" s="102" t="str">
        <x:v>https://www2.apmterminals.com/en/bahrain/about/our-terminal</x:v>
      </x:c>
    </x:row>
    <x:row r="202">
      <x:c r="A202" s="102" t="str">
        <x:v>OWN00201</x:v>
      </x:c>
      <x:c r="B202" s="102" t="str">
        <x:v>TERM0194</x:v>
      </x:c>
      <x:c r="C202" s="102" t="str">
        <x:v>COMP_APMT</x:v>
      </x:c>
      <x:c r="D202" s="102" t="str">
        <x:v>APM Terminals / partner operator</x:v>
      </x:c>
      <x:c r="E202" s="102" t="str">
        <x:v>Operator / portfolio relationship</x:v>
      </x:c>
      <x:c r="F202" s="102"/>
      <x:c r="G202" s="102" t="str">
        <x:v>Yes</x:v>
      </x:c>
      <x:c r="H202" s="102" t="str">
        <x:v>Current / see source</x:v>
      </x:c>
      <x:c r="I202" s="102" t="str">
        <x:v>APM Terminals minority interest / partner terminal</x:v>
      </x:c>
      <x:c r="J202" s="102" t="str">
        <x:v>https://akamai.apmterminals.com/en/pointe-noire/about/our-terminal</x:v>
      </x:c>
    </x:row>
    <x:row r="203">
      <x:c r="A203" s="102" t="str">
        <x:v>OWN00202</x:v>
      </x:c>
      <x:c r="B203" s="102" t="str">
        <x:v>TERM0195</x:v>
      </x:c>
      <x:c r="C203" s="102" t="str">
        <x:v>COMP_APMT</x:v>
      </x:c>
      <x:c r="D203" s="102" t="str">
        <x:v>APM Terminals / partner operator</x:v>
      </x:c>
      <x:c r="E203" s="102" t="str">
        <x:v>Operator / portfolio relationship</x:v>
      </x:c>
      <x:c r="F203" s="102"/>
      <x:c r="G203" s="102" t="str">
        <x:v>Yes</x:v>
      </x:c>
      <x:c r="H203" s="102" t="str">
        <x:v>Current / see source</x:v>
      </x:c>
      <x:c r="I203" s="102" t="str">
        <x:v>CIT partnership / APM Terminals investment</x:v>
      </x:c>
      <x:c r="J203" s="102" t="str">
        <x:v>https://www2.apmterminals.com/en/cit/about/our-terminal</x:v>
      </x:c>
    </x:row>
    <x:row r="204">
      <x:c r="A204" s="102" t="str">
        <x:v>OWN00203</x:v>
      </x:c>
      <x:c r="B204" s="102" t="str">
        <x:v>TERM0196</x:v>
      </x:c>
      <x:c r="C204" s="102" t="str">
        <x:v>COMP_APMT</x:v>
      </x:c>
      <x:c r="D204" s="102" t="str">
        <x:v>APM Terminals / partner operator</x:v>
      </x:c>
      <x:c r="E204" s="102" t="str">
        <x:v>Operator / portfolio relationship</x:v>
      </x:c>
      <x:c r="F204" s="102"/>
      <x:c r="G204" s="102" t="str">
        <x:v>Yes</x:v>
      </x:c>
      <x:c r="H204" s="102" t="str">
        <x:v>Current / see source</x:v>
      </x:c>
      <x:c r="I204" s="102" t="str">
        <x:v>APM Terminals network asset / partnership; detailed equity not verified in this pass</x:v>
      </x:c>
      <x:c r="J204" s="102" t="str">
        <x:v>https://www2.apmterminals.com/en/</x:v>
      </x:c>
    </x:row>
    <x:row r="205">
      <x:c r="A205" s="102" t="str">
        <x:v>OWN00204</x:v>
      </x:c>
      <x:c r="B205" s="102" t="str">
        <x:v>TERM0197</x:v>
      </x:c>
      <x:c r="C205" s="102" t="str">
        <x:v>COMP_APMT</x:v>
      </x:c>
      <x:c r="D205" s="102" t="str">
        <x:v>APM Terminals / partner operator</x:v>
      </x:c>
      <x:c r="E205" s="102" t="str">
        <x:v>Operator / portfolio relationship</x:v>
      </x:c>
      <x:c r="F205" s="102"/>
      <x:c r="G205" s="102" t="str">
        <x:v>Yes</x:v>
      </x:c>
      <x:c r="H205" s="102" t="str">
        <x:v>Current / see source</x:v>
      </x:c>
      <x:c r="I205" s="102" t="str">
        <x:v>SCCT JV / APM Terminals investment</x:v>
      </x:c>
      <x:c r="J205" s="102" t="str">
        <x:v>https://www2.apmterminals.com/en/scct/about/our-terminal</x:v>
      </x:c>
    </x:row>
    <x:row r="206">
      <x:c r="A206" s="102" t="str">
        <x:v>OWN00205</x:v>
      </x:c>
      <x:c r="B206" s="102" t="str">
        <x:v>TERM0198</x:v>
      </x:c>
      <x:c r="C206" s="102" t="str">
        <x:v>COMP_APMT</x:v>
      </x:c>
      <x:c r="D206" s="102" t="str">
        <x:v>APM Terminals / partner operator</x:v>
      </x:c>
      <x:c r="E206" s="102" t="str">
        <x:v>Operator / portfolio relationship</x:v>
      </x:c>
      <x:c r="F206" s="102"/>
      <x:c r="G206" s="102" t="str">
        <x:v>Yes</x:v>
      </x:c>
      <x:c r="H206" s="102" t="str">
        <x:v>Current / see source</x:v>
      </x:c>
      <x:c r="I206" s="102" t="str">
        <x:v>APM Terminals network asset / partnership; detailed equity not verified in this pass</x:v>
      </x:c>
      <x:c r="J206" s="102" t="str">
        <x:v>https://www2.apmterminals.com/en/</x:v>
      </x:c>
    </x:row>
    <x:row r="207">
      <x:c r="A207" s="102" t="str">
        <x:v>OWN00206</x:v>
      </x:c>
      <x:c r="B207" s="102" t="str">
        <x:v>TERM0199</x:v>
      </x:c>
      <x:c r="C207" s="102" t="str">
        <x:v>COMP_APMT</x:v>
      </x:c>
      <x:c r="D207" s="102" t="str">
        <x:v>APM Terminals / partner operator</x:v>
      </x:c>
      <x:c r="E207" s="102" t="str">
        <x:v>Operator / portfolio relationship</x:v>
      </x:c>
      <x:c r="F207" s="102"/>
      <x:c r="G207" s="102" t="str">
        <x:v>Yes</x:v>
      </x:c>
      <x:c r="H207" s="102" t="str">
        <x:v>Current / see source</x:v>
      </x:c>
      <x:c r="I207" s="102" t="str">
        <x:v>APM Terminals 50% + 1 under BOT with Aqaba Development Company</x:v>
      </x:c>
      <x:c r="J207" s="102" t="str">
        <x:v>https://akamai.apmterminals.com/en/aqaba/about/our-terminal</x:v>
      </x:c>
    </x:row>
    <x:row r="208">
      <x:c r="A208" s="102" t="str">
        <x:v>OWN00207</x:v>
      </x:c>
      <x:c r="B208" s="102" t="str">
        <x:v>TERM0200</x:v>
      </x:c>
      <x:c r="C208" s="102" t="str">
        <x:v>COMP_APMT</x:v>
      </x:c>
      <x:c r="D208" s="102" t="str">
        <x:v>APM Terminals / partner operator</x:v>
      </x:c>
      <x:c r="E208" s="102" t="str">
        <x:v>Operator / portfolio relationship</x:v>
      </x:c>
      <x:c r="F208" s="102"/>
      <x:c r="G208" s="102" t="str">
        <x:v>Yes</x:v>
      </x:c>
      <x:c r="H208" s="102" t="str">
        <x:v>Current / see source</x:v>
      </x:c>
      <x:c r="I208" s="102" t="str">
        <x:v>APM Terminals concession; ownership increased to 100% per APM growth update</x:v>
      </x:c>
      <x:c r="J208" s="102" t="str">
        <x:v>https://www2.apmterminals.com/en/monrovia/about/our-terminal</x:v>
      </x:c>
    </x:row>
    <x:row r="209">
      <x:c r="A209" s="102" t="str">
        <x:v>OWN00208</x:v>
      </x:c>
      <x:c r="B209" s="102" t="str">
        <x:v>TERM0201</x:v>
      </x:c>
      <x:c r="C209" s="102" t="str">
        <x:v>COMP_APMT</x:v>
      </x:c>
      <x:c r="D209" s="102" t="str">
        <x:v>APM Terminals / partner operator</x:v>
      </x:c>
      <x:c r="E209" s="102" t="str">
        <x:v>Operator / portfolio relationship</x:v>
      </x:c>
      <x:c r="F209" s="102"/>
      <x:c r="G209" s="102" t="str">
        <x:v>Yes</x:v>
      </x:c>
      <x:c r="H209" s="102" t="str">
        <x:v>Current / see source</x:v>
      </x:c>
      <x:c r="I209" s="102" t="str">
        <x:v>APM Terminals / Tanger Med partnership</x:v>
      </x:c>
      <x:c r="J209" s="102" t="str">
        <x:v>https://www2.apmterminals.com/en/medport-tangier/about/our-terminal</x:v>
      </x:c>
    </x:row>
    <x:row r="210">
      <x:c r="A210" s="102" t="str">
        <x:v>OWN00209</x:v>
      </x:c>
      <x:c r="B210" s="102" t="str">
        <x:v>TERM0202</x:v>
      </x:c>
      <x:c r="C210" s="102" t="str">
        <x:v>COMP_APMT</x:v>
      </x:c>
      <x:c r="D210" s="102" t="str">
        <x:v>APM Terminals / partner operator</x:v>
      </x:c>
      <x:c r="E210" s="102" t="str">
        <x:v>Operator / portfolio relationship</x:v>
      </x:c>
      <x:c r="F210" s="102"/>
      <x:c r="G210" s="102" t="str">
        <x:v>Yes</x:v>
      </x:c>
      <x:c r="H210" s="102" t="str">
        <x:v>Current / see source</x:v>
      </x:c>
      <x:c r="I210" s="102" t="str">
        <x:v>APM Terminals Tangier partnership</x:v>
      </x:c>
      <x:c r="J210" s="102" t="str">
        <x:v>https://akamai.apmterminals.com/en/tangier/about/our-terminal</x:v>
      </x:c>
    </x:row>
    <x:row r="211">
      <x:c r="A211" s="102" t="str">
        <x:v>OWN00210</x:v>
      </x:c>
      <x:c r="B211" s="102" t="str">
        <x:v>TERM0203</x:v>
      </x:c>
      <x:c r="C211" s="102" t="str">
        <x:v>COMP_APMT</x:v>
      </x:c>
      <x:c r="D211" s="102" t="str">
        <x:v>APM Terminals / partner operator</x:v>
      </x:c>
      <x:c r="E211" s="102" t="str">
        <x:v>Operator / portfolio relationship</x:v>
      </x:c>
      <x:c r="F211" s="102"/>
      <x:c r="G211" s="102" t="str">
        <x:v>Yes</x:v>
      </x:c>
      <x:c r="H211" s="102" t="str">
        <x:v>Current / see source</x:v>
      </x:c>
      <x:c r="I211" s="102" t="str">
        <x:v>APM Terminals concession</x:v>
      </x:c>
      <x:c r="J211" s="102" t="str">
        <x:v>https://www2.apmterminals.com/en/apapa/about/our-terminal</x:v>
      </x:c>
    </x:row>
    <x:row r="212">
      <x:c r="A212" s="102" t="str">
        <x:v>OWN00211</x:v>
      </x:c>
      <x:c r="B212" s="102" t="str">
        <x:v>TERM0204</x:v>
      </x:c>
      <x:c r="C212" s="102" t="str">
        <x:v>COMP_APMT</x:v>
      </x:c>
      <x:c r="D212" s="102" t="str">
        <x:v>APM Terminals / partner operator</x:v>
      </x:c>
      <x:c r="E212" s="102" t="str">
        <x:v>Operator / portfolio relationship</x:v>
      </x:c>
      <x:c r="F212" s="102"/>
      <x:c r="G212" s="102" t="str">
        <x:v>Yes</x:v>
      </x:c>
      <x:c r="H212" s="102" t="str">
        <x:v>Current / see source</x:v>
      </x:c>
      <x:c r="I212" s="102" t="str">
        <x:v>West Africa Container Terminal / APM Terminals</x:v>
      </x:c>
      <x:c r="J212" s="102" t="str">
        <x:v>https://www2.apmterminals.com/en/onne/about/our-terminal</x:v>
      </x:c>
    </x:row>
    <x:row r="213">
      <x:c r="A213" s="102" t="str">
        <x:v>OWN00212</x:v>
      </x:c>
      <x:c r="B213" s="102" t="str">
        <x:v>TERM0205</x:v>
      </x:c>
      <x:c r="C213" s="102" t="str">
        <x:v>COMP_APMT</x:v>
      </x:c>
      <x:c r="D213" s="102" t="str">
        <x:v>APM Terminals / partner operator</x:v>
      </x:c>
      <x:c r="E213" s="102" t="str">
        <x:v>Operator / portfolio relationship</x:v>
      </x:c>
      <x:c r="F213" s="102"/>
      <x:c r="G213" s="102" t="str">
        <x:v>Yes</x:v>
      </x:c>
      <x:c r="H213" s="102" t="str">
        <x:v>Current / see source</x:v>
      </x:c>
      <x:c r="I213" s="102" t="str">
        <x:v>APM Terminals / Port of Salalah partnership</x:v>
      </x:c>
      <x:c r="J213" s="102" t="str">
        <x:v>https://www2.apmterminals.com/en/salalah/about/our-terminal</x:v>
      </x:c>
    </x:row>
    <x:row r="214">
      <x:c r="A214" s="102" t="str">
        <x:v>OWN00213</x:v>
      </x:c>
      <x:c r="B214" s="102" t="str">
        <x:v>TERM0206</x:v>
      </x:c>
      <x:c r="C214" s="102" t="str">
        <x:v>COMP_APMT</x:v>
      </x:c>
      <x:c r="D214" s="102" t="str">
        <x:v>APM Terminals / partner operator</x:v>
      </x:c>
      <x:c r="E214" s="102" t="str">
        <x:v>Operator / portfolio relationship</x:v>
      </x:c>
      <x:c r="F214" s="102"/>
      <x:c r="G214" s="102" t="str">
        <x:v>Yes</x:v>
      </x:c>
      <x:c r="H214" s="102" t="str">
        <x:v>Current / see source</x:v>
      </x:c>
      <x:c r="I214" s="102" t="str">
        <x:v>APM Terminals network asset / partnership; detailed equity not verified in this pass</x:v>
      </x:c>
      <x:c r="J214" s="102" t="str">
        <x:v>https://www2.apmterminals.com/en/</x:v>
      </x:c>
    </x:row>
    <x:row r="215">
      <x:c r="A215" s="102" t="str">
        <x:v>OWN00214</x:v>
      </x:c>
      <x:c r="B215" s="102" t="str">
        <x:v>TERM0207</x:v>
      </x:c>
      <x:c r="C215" s="102" t="str">
        <x:v>COMP_APMT</x:v>
      </x:c>
      <x:c r="D215" s="102" t="str">
        <x:v>APM Terminals / partner operator</x:v>
      </x:c>
      <x:c r="E215" s="102" t="str">
        <x:v>Operator / portfolio relationship</x:v>
      </x:c>
      <x:c r="F215" s="102"/>
      <x:c r="G215" s="102" t="str">
        <x:v>Yes</x:v>
      </x:c>
      <x:c r="H215" s="102" t="str">
        <x:v>Current / see source</x:v>
      </x:c>
      <x:c r="I215" s="102" t="str">
        <x:v>APM Terminals network asset / partnership; detailed equity not verified in this pass</x:v>
      </x:c>
      <x:c r="J215" s="102" t="str">
        <x:v>https://www2.apmterminals.com/en/</x:v>
      </x:c>
    </x:row>
    <x:row r="216">
      <x:c r="A216" s="102" t="str">
        <x:v>OWN00215</x:v>
      </x:c>
      <x:c r="B216" s="102" t="str">
        <x:v>TERM0208</x:v>
      </x:c>
      <x:c r="C216" s="102" t="str">
        <x:v>COMP_APMT</x:v>
      </x:c>
      <x:c r="D216" s="102" t="str">
        <x:v>APM Terminals / partner operator</x:v>
      </x:c>
      <x:c r="E216" s="102" t="str">
        <x:v>Operator / portfolio relationship</x:v>
      </x:c>
      <x:c r="F216" s="102"/>
      <x:c r="G216" s="102" t="str">
        <x:v>Yes</x:v>
      </x:c>
      <x:c r="H216" s="102" t="str">
        <x:v>Current / see source</x:v>
      </x:c>
      <x:c r="I216" s="102" t="str">
        <x:v>APM Terminals 49% / SIPG joint venture</x:v>
      </x:c>
      <x:c r="J216" s="102" t="str">
        <x:v>https://www2.apmterminals.com/en/shanghai/about/our-terminal</x:v>
      </x:c>
    </x:row>
    <x:row r="217">
      <x:c r="A217" s="102" t="str">
        <x:v>OWN00216</x:v>
      </x:c>
      <x:c r="B217" s="102" t="str">
        <x:v>TERM0209</x:v>
      </x:c>
      <x:c r="C217" s="102" t="str">
        <x:v>COMP_APMT</x:v>
      </x:c>
      <x:c r="D217" s="102" t="str">
        <x:v>APM Terminals / partner operator</x:v>
      </x:c>
      <x:c r="E217" s="102" t="str">
        <x:v>Operator / portfolio relationship</x:v>
      </x:c>
      <x:c r="F217" s="102"/>
      <x:c r="G217" s="102" t="str">
        <x:v>Yes</x:v>
      </x:c>
      <x:c r="H217" s="102" t="str">
        <x:v>Current / see source</x:v>
      </x:c>
      <x:c r="I217" s="102" t="str">
        <x:v>APM Terminals 20% interest</x:v>
      </x:c>
      <x:c r="J217" s="102" t="str">
        <x:v>https://www2.apmterminals.com/en/tianjin/about/our-terminal</x:v>
      </x:c>
    </x:row>
    <x:row r="218">
      <x:c r="A218" s="102" t="str">
        <x:v>OWN00217</x:v>
      </x:c>
      <x:c r="B218" s="102" t="str">
        <x:v>TERM0210</x:v>
      </x:c>
      <x:c r="C218" s="102" t="str">
        <x:v>COMP_APMT</x:v>
      </x:c>
      <x:c r="D218" s="102" t="str">
        <x:v>APM Terminals / partner operator</x:v>
      </x:c>
      <x:c r="E218" s="102" t="str">
        <x:v>Operator / portfolio relationship</x:v>
      </x:c>
      <x:c r="F218" s="102"/>
      <x:c r="G218" s="102" t="str">
        <x:v>Yes</x:v>
      </x:c>
      <x:c r="H218" s="102" t="str">
        <x:v>Current / see source</x:v>
      </x:c>
      <x:c r="I218" s="102" t="str">
        <x:v>APM Terminals network asset / partnership; detailed equity not verified in this pass</x:v>
      </x:c>
      <x:c r="J218" s="102" t="str">
        <x:v>https://www2.apmterminals.com/en/</x:v>
      </x:c>
    </x:row>
    <x:row r="219">
      <x:c r="A219" s="102" t="str">
        <x:v>OWN00218</x:v>
      </x:c>
      <x:c r="B219" s="102" t="str">
        <x:v>TERM0211</x:v>
      </x:c>
      <x:c r="C219" s="102" t="str">
        <x:v>COMP_APMT</x:v>
      </x:c>
      <x:c r="D219" s="102" t="str">
        <x:v>APM Terminals / partner operator</x:v>
      </x:c>
      <x:c r="E219" s="102" t="str">
        <x:v>Operator / portfolio relationship</x:v>
      </x:c>
      <x:c r="F219" s="102"/>
      <x:c r="G219" s="102" t="str">
        <x:v>Yes</x:v>
      </x:c>
      <x:c r="H219" s="102" t="str">
        <x:v>Current / see source</x:v>
      </x:c>
      <x:c r="I219" s="102" t="str">
        <x:v>APM Terminals / CONCOR joint venture</x:v>
      </x:c>
      <x:c r="J219" s="102" t="str">
        <x:v>https://www2.apmterminals.com/en/mumbai/about/our-terminal</x:v>
      </x:c>
    </x:row>
    <x:row r="220">
      <x:c r="A220" s="102" t="str">
        <x:v>OWN00219</x:v>
      </x:c>
      <x:c r="B220" s="102" t="str">
        <x:v>TERM0212</x:v>
      </x:c>
      <x:c r="C220" s="102" t="str">
        <x:v>COMP_APMT</x:v>
      </x:c>
      <x:c r="D220" s="102" t="str">
        <x:v>APM Terminals / partner operator</x:v>
      </x:c>
      <x:c r="E220" s="102" t="str">
        <x:v>Operator / portfolio relationship</x:v>
      </x:c>
      <x:c r="F220" s="102"/>
      <x:c r="G220" s="102" t="str">
        <x:v>Yes</x:v>
      </x:c>
      <x:c r="H220" s="102" t="str">
        <x:v>Current / see source</x:v>
      </x:c>
      <x:c r="I220" s="102" t="str">
        <x:v>APM Terminals-controlled Gujarat Pipavav Port</x:v>
      </x:c>
      <x:c r="J220" s="102" t="str">
        <x:v>https://www2.apmterminals.com/en/pipavav/about/our-terminal</x:v>
      </x:c>
    </x:row>
    <x:row r="221">
      <x:c r="A221" s="102" t="str">
        <x:v>OWN00220</x:v>
      </x:c>
      <x:c r="B221" s="102" t="str">
        <x:v>TERM0213</x:v>
      </x:c>
      <x:c r="C221" s="102" t="str">
        <x:v>COMP_APMT</x:v>
      </x:c>
      <x:c r="D221" s="102" t="str">
        <x:v>APM Terminals / partner operator</x:v>
      </x:c>
      <x:c r="E221" s="102" t="str">
        <x:v>Operator / portfolio relationship</x:v>
      </x:c>
      <x:c r="F221" s="102"/>
      <x:c r="G221" s="102" t="str">
        <x:v>Yes</x:v>
      </x:c>
      <x:c r="H221" s="102" t="str">
        <x:v>Current / see source</x:v>
      </x:c>
      <x:c r="I221" s="102" t="str">
        <x:v>APM Terminals network asset / partnership; detailed equity not verified in this pass</x:v>
      </x:c>
      <x:c r="J221" s="102" t="str">
        <x:v>https://www2.apmterminals.com/en/</x:v>
      </x:c>
    </x:row>
    <x:row r="222">
      <x:c r="A222" s="102" t="str">
        <x:v>OWN00221</x:v>
      </x:c>
      <x:c r="B222" s="102" t="str">
        <x:v>TERM0214</x:v>
      </x:c>
      <x:c r="C222" s="102" t="str">
        <x:v>COMP_APMT</x:v>
      </x:c>
      <x:c r="D222" s="102" t="str">
        <x:v>APM Terminals / partner operator</x:v>
      </x:c>
      <x:c r="E222" s="102" t="str">
        <x:v>Operator / portfolio relationship</x:v>
      </x:c>
      <x:c r="F222" s="102"/>
      <x:c r="G222" s="102" t="str">
        <x:v>Yes</x:v>
      </x:c>
      <x:c r="H222" s="102" t="str">
        <x:v>Current / see source</x:v>
      </x:c>
      <x:c r="I222" s="102" t="str">
        <x:v>APM Terminals / MMC partnership</x:v>
      </x:c>
      <x:c r="J222" s="102" t="str">
        <x:v>https://akamai.apmterminals.com/en/tanjung-pelepas/about/our-terminal</x:v>
      </x:c>
    </x:row>
    <x:row r="223">
      <x:c r="A223" s="102" t="str">
        <x:v>OWN00222</x:v>
      </x:c>
      <x:c r="B223" s="102" t="str">
        <x:v>TERM0215</x:v>
      </x:c>
      <x:c r="C223" s="102" t="str">
        <x:v>COMP_APMT</x:v>
      </x:c>
      <x:c r="D223" s="102" t="str">
        <x:v>APM Terminals / partner operator</x:v>
      </x:c>
      <x:c r="E223" s="102" t="str">
        <x:v>Operator / portfolio relationship</x:v>
      </x:c>
      <x:c r="F223" s="102"/>
      <x:c r="G223" s="102" t="str">
        <x:v>Yes</x:v>
      </x:c>
      <x:c r="H223" s="102" t="str">
        <x:v>Current / see source</x:v>
      </x:c>
      <x:c r="I223" s="102" t="str">
        <x:v>APM Terminals network asset / partnership; detailed equity not verified in this pass</x:v>
      </x:c>
      <x:c r="J223" s="102" t="str">
        <x:v>https://www2.apmterminals.com/en/</x:v>
      </x:c>
    </x:row>
    <x:row r="224">
      <x:c r="A224" s="102" t="str">
        <x:v>OWN00223</x:v>
      </x:c>
      <x:c r="B224" s="102" t="str">
        <x:v>TERM0216</x:v>
      </x:c>
      <x:c r="C224" s="102" t="str">
        <x:v>COMP_APMT</x:v>
      </x:c>
      <x:c r="D224" s="102" t="str">
        <x:v>APM Terminals / partner operator</x:v>
      </x:c>
      <x:c r="E224" s="102" t="str">
        <x:v>Operator / portfolio relationship</x:v>
      </x:c>
      <x:c r="F224" s="102"/>
      <x:c r="G224" s="102" t="str">
        <x:v>Yes</x:v>
      </x:c>
      <x:c r="H224" s="102" t="str">
        <x:v>Current / see source</x:v>
      </x:c>
      <x:c r="I224" s="102" t="str">
        <x:v>Cai Mep International Terminal JV / APM Terminals investment</x:v>
      </x:c>
      <x:c r="J224" s="102" t="str">
        <x:v>https://akamai.apmterminals.com/en/cai-mep/about/our-terminal</x:v>
      </x:c>
    </x:row>
    <x:row r="225">
      <x:c r="A225" s="102" t="str">
        <x:v>OWN00224</x:v>
      </x:c>
      <x:c r="B225" s="102" t="str">
        <x:v>TERM0217</x:v>
      </x:c>
      <x:c r="C225" s="102" t="str">
        <x:v>COMP_APMT</x:v>
      </x:c>
      <x:c r="D225" s="102" t="str">
        <x:v>APM Terminals / partner operator</x:v>
      </x:c>
      <x:c r="E225" s="102" t="str">
        <x:v>Operator / portfolio relationship</x:v>
      </x:c>
      <x:c r="F225" s="102"/>
      <x:c r="G225" s="102" t="str">
        <x:v>Yes</x:v>
      </x:c>
      <x:c r="H225" s="102" t="str">
        <x:v>Current / see source</x:v>
      </x:c>
      <x:c r="I225" s="102" t="str">
        <x:v>51% APM Terminals / 49% ENNA Group</x:v>
      </x:c>
      <x:c r="J225" s="102" t="str">
        <x:v>https://www2.apmterminals.com/en/rijeka/about/our-terminal</x:v>
      </x:c>
    </x:row>
    <x:row r="226">
      <x:c r="A226" s="102" t="str">
        <x:v>OWN00225</x:v>
      </x:c>
      <x:c r="B226" s="102" t="str">
        <x:v>TERM0218</x:v>
      </x:c>
      <x:c r="C226" s="102" t="str">
        <x:v>COMP_APMT</x:v>
      </x:c>
      <x:c r="D226" s="102" t="str">
        <x:v>APM Terminals / partner operator</x:v>
      </x:c>
      <x:c r="E226" s="102" t="str">
        <x:v>Operator / portfolio relationship</x:v>
      </x:c>
      <x:c r="F226" s="102"/>
      <x:c r="G226" s="102" t="str">
        <x:v>Yes</x:v>
      </x:c>
      <x:c r="H226" s="102" t="str">
        <x:v>Current / see source</x:v>
      </x:c>
      <x:c r="I226" s="102" t="str">
        <x:v>APM Terminals operation</x:v>
      </x:c>
      <x:c r="J226" s="102" t="str">
        <x:v>https://www2.apmterminals.com/en/aarhus/about/our-terminal</x:v>
      </x:c>
    </x:row>
    <x:row r="227">
      <x:c r="A227" s="102" t="str">
        <x:v>OWN00226</x:v>
      </x:c>
      <x:c r="B227" s="102" t="str">
        <x:v>TERM0219</x:v>
      </x:c>
      <x:c r="C227" s="102" t="str">
        <x:v>COMP_APMT</x:v>
      </x:c>
      <x:c r="D227" s="102" t="str">
        <x:v>APM Terminals / partner operator</x:v>
      </x:c>
      <x:c r="E227" s="102" t="str">
        <x:v>Operator / portfolio relationship</x:v>
      </x:c>
      <x:c r="F227" s="102"/>
      <x:c r="G227" s="102" t="str">
        <x:v>Yes</x:v>
      </x:c>
      <x:c r="H227" s="102" t="str">
        <x:v>Current / see source</x:v>
      </x:c>
      <x:c r="I227" s="102" t="str">
        <x:v>APM Terminals network asset / partnership; detailed equity not verified in this pass</x:v>
      </x:c>
      <x:c r="J227" s="102" t="str">
        <x:v>https://www2.apmterminals.com/en/</x:v>
      </x:c>
    </x:row>
    <x:row r="228">
      <x:c r="A228" s="102" t="str">
        <x:v>OWN00227</x:v>
      </x:c>
      <x:c r="B228" s="102" t="str">
        <x:v>TERM0220</x:v>
      </x:c>
      <x:c r="C228" s="102" t="str">
        <x:v>COMP_APMT</x:v>
      </x:c>
      <x:c r="D228" s="102" t="str">
        <x:v>APM Terminals / partner operator</x:v>
      </x:c>
      <x:c r="E228" s="102" t="str">
        <x:v>Operator / portfolio relationship</x:v>
      </x:c>
      <x:c r="F228" s="102"/>
      <x:c r="G228" s="102" t="str">
        <x:v>Yes</x:v>
      </x:c>
      <x:c r="H228" s="102" t="str">
        <x:v>Current / see source</x:v>
      </x:c>
      <x:c r="I228" s="102" t="str">
        <x:v>APM Terminals network asset / partnership; detailed equity not verified in this pass</x:v>
      </x:c>
      <x:c r="J228" s="102" t="str">
        <x:v>https://www2.apmterminals.com/en/</x:v>
      </x:c>
    </x:row>
    <x:row r="229">
      <x:c r="A229" s="102" t="str">
        <x:v>OWN00228</x:v>
      </x:c>
      <x:c r="B229" s="102" t="str">
        <x:v>TERM0221</x:v>
      </x:c>
      <x:c r="C229" s="102" t="str">
        <x:v>COMP_APMT</x:v>
      </x:c>
      <x:c r="D229" s="102" t="str">
        <x:v>APM Terminals / partner operator</x:v>
      </x:c>
      <x:c r="E229" s="102" t="str">
        <x:v>Operator / portfolio relationship</x:v>
      </x:c>
      <x:c r="F229" s="102"/>
      <x:c r="G229" s="102" t="str">
        <x:v>Yes</x:v>
      </x:c>
      <x:c r="H229" s="102" t="str">
        <x:v>Current / see source</x:v>
      </x:c>
      <x:c r="I229" s="102" t="str">
        <x:v>APM Terminals network asset / partnership; detailed equity not verified in this pass</x:v>
      </x:c>
      <x:c r="J229" s="102" t="str">
        <x:v>https://www2.apmterminals.com/en/</x:v>
      </x:c>
    </x:row>
    <x:row r="230">
      <x:c r="A230" s="102" t="str">
        <x:v>OWN00229</x:v>
      </x:c>
      <x:c r="B230" s="102" t="str">
        <x:v>TERM0222</x:v>
      </x:c>
      <x:c r="C230" s="102" t="str">
        <x:v>COMP_APMT</x:v>
      </x:c>
      <x:c r="D230" s="102" t="str">
        <x:v>APM Terminals / partner operator</x:v>
      </x:c>
      <x:c r="E230" s="102" t="str">
        <x:v>Operator / portfolio relationship</x:v>
      </x:c>
      <x:c r="F230" s="102"/>
      <x:c r="G230" s="102" t="str">
        <x:v>Yes</x:v>
      </x:c>
      <x:c r="H230" s="102" t="str">
        <x:v>Current / see source</x:v>
      </x:c>
      <x:c r="I230" s="102" t="str">
        <x:v>APM Terminals network asset / partnership; detailed equity not verified in this pass</x:v>
      </x:c>
      <x:c r="J230" s="102" t="str">
        <x:v>https://www2.apmterminals.com/en/</x:v>
      </x:c>
    </x:row>
    <x:row r="231">
      <x:c r="A231" s="102" t="str">
        <x:v>OWN00230</x:v>
      </x:c>
      <x:c r="B231" s="102" t="str">
        <x:v>TERM0223</x:v>
      </x:c>
      <x:c r="C231" s="102" t="str">
        <x:v>COMP_APMT</x:v>
      </x:c>
      <x:c r="D231" s="102" t="str">
        <x:v>APM Terminals / partner operator</x:v>
      </x:c>
      <x:c r="E231" s="102" t="str">
        <x:v>Operator / portfolio relationship</x:v>
      </x:c>
      <x:c r="F231" s="102"/>
      <x:c r="G231" s="102" t="str">
        <x:v>Yes</x:v>
      </x:c>
      <x:c r="H231" s="102" t="str">
        <x:v>Current / see source</x:v>
      </x:c>
      <x:c r="I231" s="102" t="str">
        <x:v>APM Terminals Vado port system</x:v>
      </x:c>
      <x:c r="J231" s="102" t="str">
        <x:v>https://akamai.apmterminals.com/en/vado-ligure/about/our-terminal</x:v>
      </x:c>
    </x:row>
    <x:row r="232">
      <x:c r="A232" s="102" t="str">
        <x:v>OWN00231</x:v>
      </x:c>
      <x:c r="B232" s="102" t="str">
        <x:v>TERM0224</x:v>
      </x:c>
      <x:c r="C232" s="102" t="str">
        <x:v>COMP_APMT</x:v>
      </x:c>
      <x:c r="D232" s="102" t="str">
        <x:v>APM Terminals / partner operator</x:v>
      </x:c>
      <x:c r="E232" s="102" t="str">
        <x:v>Operator / portfolio relationship</x:v>
      </x:c>
      <x:c r="F232" s="102"/>
      <x:c r="G232" s="102" t="str">
        <x:v>Yes</x:v>
      </x:c>
      <x:c r="H232" s="102" t="str">
        <x:v>Current / see source</x:v>
      </x:c>
      <x:c r="I232" s="102" t="str">
        <x:v>APM Terminals operator; Hapag-Lloyd 25% stake agreement pending approval</x:v>
      </x:c>
      <x:c r="J232" s="102" t="str">
        <x:v>https://www2.apmterminals.com/en/news/news-releases/2026/260819-APMTerminals-and-Hapag-Lloyd-partner-at-Maasvlakte-II</x:v>
      </x:c>
    </x:row>
    <x:row r="233">
      <x:c r="A233" s="102" t="str">
        <x:v>OWN00232</x:v>
      </x:c>
      <x:c r="B233" s="102" t="str">
        <x:v>TERM0225</x:v>
      </x:c>
      <x:c r="C233" s="102" t="str">
        <x:v>COMP_APMT</x:v>
      </x:c>
      <x:c r="D233" s="102" t="str">
        <x:v>APM Terminals / partner operator</x:v>
      </x:c>
      <x:c r="E233" s="102" t="str">
        <x:v>Operator / portfolio relationship</x:v>
      </x:c>
      <x:c r="F233" s="102"/>
      <x:c r="G233" s="102" t="str">
        <x:v>Yes</x:v>
      </x:c>
      <x:c r="H233" s="102" t="str">
        <x:v>Current / see source</x:v>
      </x:c>
      <x:c r="I233" s="102" t="str">
        <x:v>APM Terminals network asset / partnership; detailed equity not verified in this pass</x:v>
      </x:c>
      <x:c r="J233" s="102" t="str">
        <x:v>https://www2.apmterminals.com/en/</x:v>
      </x:c>
    </x:row>
    <x:row r="234">
      <x:c r="A234" s="102" t="str">
        <x:v>OWN00233</x:v>
      </x:c>
      <x:c r="B234" s="102" t="str">
        <x:v>TERM0226</x:v>
      </x:c>
      <x:c r="C234" s="102" t="str">
        <x:v>COMP_APMT</x:v>
      </x:c>
      <x:c r="D234" s="102" t="str">
        <x:v>APM Terminals / partner operator</x:v>
      </x:c>
      <x:c r="E234" s="102" t="str">
        <x:v>Operator / portfolio relationship</x:v>
      </x:c>
      <x:c r="F234" s="102"/>
      <x:c r="G234" s="102" t="str">
        <x:v>Yes</x:v>
      </x:c>
      <x:c r="H234" s="102" t="str">
        <x:v>Current / see source</x:v>
      </x:c>
      <x:c r="I234" s="102" t="str">
        <x:v>APM Terminals network asset / partnership; detailed equity not verified in this pass</x:v>
      </x:c>
      <x:c r="J234" s="102" t="str">
        <x:v>https://www2.apmterminals.com/en/</x:v>
      </x:c>
    </x:row>
    <x:row r="235">
      <x:c r="A235" s="102" t="str">
        <x:v>OWN00234</x:v>
      </x:c>
      <x:c r="B235" s="102" t="str">
        <x:v>TERM0227</x:v>
      </x:c>
      <x:c r="C235" s="102" t="str">
        <x:v>COMP_APMT</x:v>
      </x:c>
      <x:c r="D235" s="102" t="str">
        <x:v>APM Terminals / partner operator</x:v>
      </x:c>
      <x:c r="E235" s="102" t="str">
        <x:v>Operator / portfolio relationship</x:v>
      </x:c>
      <x:c r="F235" s="102"/>
      <x:c r="G235" s="102" t="str">
        <x:v>Yes</x:v>
      </x:c>
      <x:c r="H235" s="102" t="str">
        <x:v>Current / see source</x:v>
      </x:c>
      <x:c r="I235" s="102" t="str">
        <x:v>APM Terminals network asset / partnership; detailed equity not verified in this pass</x:v>
      </x:c>
      <x:c r="J235" s="102" t="str">
        <x:v>https://www2.apmterminals.com/en/</x:v>
      </x:c>
    </x:row>
    <x:row r="236">
      <x:c r="A236" s="102" t="str">
        <x:v>OWN00235</x:v>
      </x:c>
      <x:c r="B236" s="102" t="str">
        <x:v>TERM0228</x:v>
      </x:c>
      <x:c r="C236" s="102" t="str">
        <x:v>COMP_APMT</x:v>
      </x:c>
      <x:c r="D236" s="102" t="str">
        <x:v>APM Terminals / partner operator</x:v>
      </x:c>
      <x:c r="E236" s="102" t="str">
        <x:v>Operator / portfolio relationship</x:v>
      </x:c>
      <x:c r="F236" s="102"/>
      <x:c r="G236" s="102" t="str">
        <x:v>Yes</x:v>
      </x:c>
      <x:c r="H236" s="102" t="str">
        <x:v>Current / see source</x:v>
      </x:c>
      <x:c r="I236" s="102" t="str">
        <x:v>APM Terminals concession extended to 2049</x:v>
      </x:c>
      <x:c r="J236" s="102" t="str">
        <x:v>https://www2.apmterminals.com/en/news/news-releases/2026/260422-APM-Terminals-invests-in-upgrade-and-extends-partnership</x:v>
      </x:c>
    </x:row>
    <x:row r="237">
      <x:c r="A237" s="102" t="str">
        <x:v>OWN00236</x:v>
      </x:c>
      <x:c r="B237" s="102" t="str">
        <x:v>TERM0229</x:v>
      </x:c>
      <x:c r="C237" s="102" t="str">
        <x:v>COMP_APMT</x:v>
      </x:c>
      <x:c r="D237" s="102" t="str">
        <x:v>APM Terminals / partner operator</x:v>
      </x:c>
      <x:c r="E237" s="102" t="str">
        <x:v>Operator / portfolio relationship</x:v>
      </x:c>
      <x:c r="F237" s="102"/>
      <x:c r="G237" s="102" t="str">
        <x:v>Yes</x:v>
      </x:c>
      <x:c r="H237" s="102" t="str">
        <x:v>Current / see source</x:v>
      </x:c>
      <x:c r="I237" s="102" t="str">
        <x:v>APM Terminals operation</x:v>
      </x:c>
      <x:c r="J237" s="102" t="str">
        <x:v>https://www2.apmterminals.com/en/gothenburg/about/our-terminal</x:v>
      </x:c>
    </x:row>
    <x:row r="238">
      <x:c r="A238" s="102" t="str">
        <x:v>OWN00237</x:v>
      </x:c>
      <x:c r="B238" s="102" t="str">
        <x:v>TERM0230</x:v>
      </x:c>
      <x:c r="C238" s="102" t="str">
        <x:v>COMP_APMT</x:v>
      </x:c>
      <x:c r="D238" s="102" t="str">
        <x:v>APM Terminals / partner operator</x:v>
      </x:c>
      <x:c r="E238" s="102" t="str">
        <x:v>Operator / portfolio relationship</x:v>
      </x:c>
      <x:c r="F238" s="102"/>
      <x:c r="G238" s="102" t="str">
        <x:v>Yes</x:v>
      </x:c>
      <x:c r="H238" s="102" t="str">
        <x:v>Current / see source</x:v>
      </x:c>
      <x:c r="I238" s="102" t="str">
        <x:v>APM Terminals long-term management; no current equity after 2018 divestment</x:v>
      </x:c>
      <x:c r="J238" s="102" t="str">
        <x:v>https://www2.apmterminals.com/en/izmir/about/our-terminal</x:v>
      </x:c>
    </x:row>
    <x:row r="239">
      <x:c r="A239" s="102" t="str">
        <x:v>OWN00238</x:v>
      </x:c>
      <x:c r="B239" s="102" t="str">
        <x:v>TERM0231</x:v>
      </x:c>
      <x:c r="C239" s="102" t="str">
        <x:v>COMP_APMT</x:v>
      </x:c>
      <x:c r="D239" s="102" t="str">
        <x:v>APM Terminals / partner operator</x:v>
      </x:c>
      <x:c r="E239" s="102" t="str">
        <x:v>Operator / portfolio relationship</x:v>
      </x:c>
      <x:c r="F239" s="102"/>
      <x:c r="G239" s="102" t="str">
        <x:v>Yes</x:v>
      </x:c>
      <x:c r="H239" s="102" t="str">
        <x:v>Current / see source</x:v>
      </x:c>
      <x:c r="I239" s="102" t="str">
        <x:v>Terminal 4 / APM Terminals</x:v>
      </x:c>
      <x:c r="J239" s="102" t="str">
        <x:v>https://akamai.apmterminals.com/en/buenos-aires/about/our-terminal</x:v>
      </x:c>
    </x:row>
    <x:row r="240">
      <x:c r="A240" s="102" t="str">
        <x:v>OWN00239</x:v>
      </x:c>
      <x:c r="B240" s="102" t="str">
        <x:v>TERM0232</x:v>
      </x:c>
      <x:c r="C240" s="102" t="str">
        <x:v>COMP_APMT</x:v>
      </x:c>
      <x:c r="D240" s="102" t="str">
        <x:v>APM Terminals / partner operator</x:v>
      </x:c>
      <x:c r="E240" s="102" t="str">
        <x:v>Operator / portfolio relationship</x:v>
      </x:c>
      <x:c r="F240" s="102"/>
      <x:c r="G240" s="102" t="str">
        <x:v>Yes</x:v>
      </x:c>
      <x:c r="H240" s="102" t="str">
        <x:v>Current / see source</x:v>
      </x:c>
      <x:c r="I240" s="102" t="str">
        <x:v>APM Terminals network asset / partnership; detailed equity not verified in this pass</x:v>
      </x:c>
      <x:c r="J240" s="102" t="str">
        <x:v>https://www2.apmterminals.com/en/</x:v>
      </x:c>
    </x:row>
    <x:row r="241">
      <x:c r="A241" s="102" t="str">
        <x:v>OWN00240</x:v>
      </x:c>
      <x:c r="B241" s="102" t="str">
        <x:v>TERM0233</x:v>
      </x:c>
      <x:c r="C241" s="102" t="str">
        <x:v>COMP_APMT</x:v>
      </x:c>
      <x:c r="D241" s="102" t="str">
        <x:v>APM Terminals / partner operator</x:v>
      </x:c>
      <x:c r="E241" s="102" t="str">
        <x:v>Operator / portfolio relationship</x:v>
      </x:c>
      <x:c r="F241" s="102"/>
      <x:c r="G241" s="102" t="str">
        <x:v>Yes</x:v>
      </x:c>
      <x:c r="H241" s="102" t="str">
        <x:v>Current / see source</x:v>
      </x:c>
      <x:c r="I241" s="102" t="str">
        <x:v>APM Terminals operation/management</x:v>
      </x:c>
      <x:c r="J241" s="102" t="str">
        <x:v>https://www2.apmterminals.com/en/pecem/about/our-terminal</x:v>
      </x:c>
    </x:row>
    <x:row r="242">
      <x:c r="A242" s="102" t="str">
        <x:v>OWN00241</x:v>
      </x:c>
      <x:c r="B242" s="102" t="str">
        <x:v>TERM0234</x:v>
      </x:c>
      <x:c r="C242" s="102" t="str">
        <x:v>COMP_APMT</x:v>
      </x:c>
      <x:c r="D242" s="102" t="str">
        <x:v>APM Terminals / partner operator</x:v>
      </x:c>
      <x:c r="E242" s="102" t="str">
        <x:v>Operator / portfolio relationship</x:v>
      </x:c>
      <x:c r="F242" s="102"/>
      <x:c r="G242" s="102" t="str">
        <x:v>Yes</x:v>
      </x:c>
      <x:c r="H242" s="102" t="str">
        <x:v>Current / see source</x:v>
      </x:c>
      <x:c r="I242" s="102" t="str">
        <x:v>APM Terminals network asset / partnership; detailed equity not verified in this pass</x:v>
      </x:c>
      <x:c r="J242" s="102" t="str">
        <x:v>https://www2.apmterminals.com/en/</x:v>
      </x:c>
    </x:row>
    <x:row r="243">
      <x:c r="A243" s="102" t="str">
        <x:v>OWN00242</x:v>
      </x:c>
      <x:c r="B243" s="102" t="str">
        <x:v>TERM0235</x:v>
      </x:c>
      <x:c r="C243" s="102" t="str">
        <x:v>COMP_APMT</x:v>
      </x:c>
      <x:c r="D243" s="102" t="str">
        <x:v>APM Terminals / partner operator</x:v>
      </x:c>
      <x:c r="E243" s="102" t="str">
        <x:v>Operator / portfolio relationship</x:v>
      </x:c>
      <x:c r="F243" s="102"/>
      <x:c r="G243" s="102" t="str">
        <x:v>Yes</x:v>
      </x:c>
      <x:c r="H243" s="102" t="str">
        <x:v>Current / see source</x:v>
      </x:c>
      <x:c r="I243" s="102" t="str">
        <x:v>APM Terminals concession</x:v>
      </x:c>
      <x:c r="J243" s="102" t="str">
        <x:v>https://www2.apmterminals.com/en/moin/about/our-terminal</x:v>
      </x:c>
    </x:row>
    <x:row r="244">
      <x:c r="A244" s="102" t="str">
        <x:v>OWN00243</x:v>
      </x:c>
      <x:c r="B244" s="102" t="str">
        <x:v>TERM0236</x:v>
      </x:c>
      <x:c r="C244" s="102" t="str">
        <x:v>COMP_APMT</x:v>
      </x:c>
      <x:c r="D244" s="102" t="str">
        <x:v>APM Terminals / partner operator</x:v>
      </x:c>
      <x:c r="E244" s="102" t="str">
        <x:v>Operator / portfolio relationship</x:v>
      </x:c>
      <x:c r="F244" s="102"/>
      <x:c r="G244" s="102" t="str">
        <x:v>Yes</x:v>
      </x:c>
      <x:c r="H244" s="102" t="str">
        <x:v>Current / see source</x:v>
      </x:c>
      <x:c r="I244" s="102" t="str">
        <x:v>APM Terminals operation</x:v>
      </x:c>
      <x:c r="J244" s="102" t="str">
        <x:v>https://www2.apmterminals.com/en/puerto-quetzal/about/our-terminal</x:v>
      </x:c>
    </x:row>
    <x:row r="245">
      <x:c r="A245" s="102" t="str">
        <x:v>OWN00244</x:v>
      </x:c>
      <x:c r="B245" s="102" t="str">
        <x:v>TERM0237</x:v>
      </x:c>
      <x:c r="C245" s="102" t="str">
        <x:v>COMP_APMT</x:v>
      </x:c>
      <x:c r="D245" s="102" t="str">
        <x:v>APM Terminals / partner operator</x:v>
      </x:c>
      <x:c r="E245" s="102" t="str">
        <x:v>Operator / portfolio relationship</x:v>
      </x:c>
      <x:c r="F245" s="102"/>
      <x:c r="G245" s="102" t="str">
        <x:v>Yes</x:v>
      </x:c>
      <x:c r="H245" s="102" t="str">
        <x:v>Current / see source</x:v>
      </x:c>
      <x:c r="I245" s="102" t="str">
        <x:v>APM Terminals network asset / partnership; detailed equity not verified in this pass</x:v>
      </x:c>
      <x:c r="J245" s="102" t="str">
        <x:v>https://www2.apmterminals.com/en/</x:v>
      </x:c>
    </x:row>
    <x:row r="246">
      <x:c r="A246" s="102" t="str">
        <x:v>OWN00245</x:v>
      </x:c>
      <x:c r="B246" s="102" t="str">
        <x:v>TERM0238</x:v>
      </x:c>
      <x:c r="C246" s="102" t="str">
        <x:v>COMP_APMT</x:v>
      </x:c>
      <x:c r="D246" s="102" t="str">
        <x:v>APM Terminals / partner operator</x:v>
      </x:c>
      <x:c r="E246" s="102" t="str">
        <x:v>Operator / portfolio relationship</x:v>
      </x:c>
      <x:c r="F246" s="102"/>
      <x:c r="G246" s="102" t="str">
        <x:v>Yes</x:v>
      </x:c>
      <x:c r="H246" s="102" t="str">
        <x:v>Current / see source</x:v>
      </x:c>
      <x:c r="I246" s="102" t="str">
        <x:v>APM Terminals Callao concession</x:v>
      </x:c>
      <x:c r="J246" s="102" t="str">
        <x:v>https://www2.apmterminals.com/en/callao/about/our-terminal</x:v>
      </x:c>
    </x:row>
    <x:row r="247">
      <x:c r="A247" s="102" t="str">
        <x:v>OWN00246</x:v>
      </x:c>
      <x:c r="B247" s="102" t="str">
        <x:v>TERM0239</x:v>
      </x:c>
      <x:c r="C247" s="102" t="str">
        <x:v>COMP_APMT</x:v>
      </x:c>
      <x:c r="D247" s="102" t="str">
        <x:v>APM Terminals / partner operator</x:v>
      </x:c>
      <x:c r="E247" s="102" t="str">
        <x:v>Operator / portfolio relationship</x:v>
      </x:c>
      <x:c r="F247" s="102"/>
      <x:c r="G247" s="102" t="str">
        <x:v>Yes</x:v>
      </x:c>
      <x:c r="H247" s="102" t="str">
        <x:v>Current / see source</x:v>
      </x:c>
      <x:c r="I247" s="102" t="str">
        <x:v>APM Terminals Pier 400</x:v>
      </x:c>
      <x:c r="J247" s="102" t="str">
        <x:v>https://www2.apmterminals.com/en/los-angeles/about/our-terminal</x:v>
      </x:c>
    </x:row>
    <x:row r="248">
      <x:c r="A248" s="102" t="str">
        <x:v>OWN00247</x:v>
      </x:c>
      <x:c r="B248" s="102" t="str">
        <x:v>TERM0240</x:v>
      </x:c>
      <x:c r="C248" s="102" t="str">
        <x:v>COMP_APMT</x:v>
      </x:c>
      <x:c r="D248" s="102" t="str">
        <x:v>APM Terminals / partner operator</x:v>
      </x:c>
      <x:c r="E248" s="102" t="str">
        <x:v>Operator / portfolio relationship</x:v>
      </x:c>
      <x:c r="F248" s="102"/>
      <x:c r="G248" s="102" t="str">
        <x:v>Yes</x:v>
      </x:c>
      <x:c r="H248" s="102" t="str">
        <x:v>Current / see source</x:v>
      </x:c>
      <x:c r="I248" s="102" t="str">
        <x:v>APM Terminals Mobile</x:v>
      </x:c>
      <x:c r="J248" s="102" t="str">
        <x:v>https://www2.apmterminals.com/en/mobile/about/our-terminal</x:v>
      </x:c>
    </x:row>
    <x:row r="249">
      <x:c r="A249" s="102" t="str">
        <x:v>OWN00248</x:v>
      </x:c>
      <x:c r="B249" s="102" t="str">
        <x:v>TERM0241</x:v>
      </x:c>
      <x:c r="C249" s="102" t="str">
        <x:v>COMP_APMT</x:v>
      </x:c>
      <x:c r="D249" s="102" t="str">
        <x:v>APM Terminals / partner operator</x:v>
      </x:c>
      <x:c r="E249" s="102" t="str">
        <x:v>Operator / portfolio relationship</x:v>
      </x:c>
      <x:c r="F249" s="102"/>
      <x:c r="G249" s="102" t="str">
        <x:v>Yes</x:v>
      </x:c>
      <x:c r="H249" s="102" t="str">
        <x:v>Current / see source</x:v>
      </x:c>
      <x:c r="I249" s="102" t="str">
        <x:v>APM Terminals Port Elizabeth</x:v>
      </x:c>
      <x:c r="J249" s="102" t="str">
        <x:v>https://www2.apmterminals.com/en/port-elizabeth/about/our-terminal</x:v>
      </x:c>
    </x:row>
    <x:row r="250">
      <x:c r="A250" s="102" t="str">
        <x:v>OWN00249</x:v>
      </x:c>
      <x:c r="B250" s="102" t="str">
        <x:v>TERM0242</x:v>
      </x:c>
      <x:c r="C250" s="102" t="str">
        <x:v>COMP_APMT</x:v>
      </x:c>
      <x:c r="D250" s="102" t="str">
        <x:v>APM Terminals / CPA / QNS partnership</x:v>
      </x:c>
      <x:c r="E250" s="102" t="str">
        <x:v>Operator / portfolio relationship</x:v>
      </x:c>
      <x:c r="F250" s="102"/>
      <x:c r="G250" s="102" t="str">
        <x:v>Yes</x:v>
      </x:c>
      <x:c r="H250" s="102" t="str">
        <x:v>Current / see source</x:v>
      </x:c>
      <x:c r="I250" s="102" t="str">
        <x:v>PPP with Chittagong Port Authority and QNS Container Services</x:v>
      </x:c>
      <x:c r="J250" s="102" t="str">
        <x:v>https://www2.apmterminals.com/en/news/news-releases/2026/260831-APMTerminals-breaks-ground-in-Laldia</x:v>
      </x:c>
    </x:row>
    <x:row r="251">
      <x:c r="A251" s="102" t="str">
        <x:v>OWN00250</x:v>
      </x:c>
      <x:c r="B251" s="102" t="str">
        <x:v>TERM0243</x:v>
      </x:c>
      <x:c r="C251" s="102" t="str">
        <x:v>COMP_APMT</x:v>
      </x:c>
      <x:c r="D251" s="102" t="str">
        <x:v>APM Terminals / Hateco Group</x:v>
      </x:c>
      <x:c r="E251" s="102" t="str">
        <x:v>Operator / portfolio relationship</x:v>
      </x:c>
      <x:c r="F251" s="102"/>
      <x:c r="G251" s="102" t="str">
        <x:v>Yes</x:v>
      </x:c>
      <x:c r="H251" s="102" t="str">
        <x:v>Current / see source</x:v>
      </x:c>
      <x:c r="I251" s="102" t="str">
        <x:v>Partnership with Hateco and Da Nang City</x:v>
      </x:c>
      <x:c r="J251" s="102" t="str">
        <x:v>https://akamai.apmterminals.com/en/news/news-releases/2026/260425-APM-Terminals-and-Hateco-partner-in-Da-Nang</x:v>
      </x:c>
    </x:row>
    <x:row r="252">
      <x:c r="A252" s="102" t="str">
        <x:v>OWN00251</x:v>
      </x:c>
      <x:c r="B252" s="102" t="str">
        <x:v>TERM0244</x:v>
      </x:c>
      <x:c r="C252" s="102" t="str">
        <x:v>COMP_APMT</x:v>
      </x:c>
      <x:c r="D252" s="102" t="str">
        <x:v>APM Terminals Panama</x:v>
      </x:c>
      <x:c r="E252" s="102" t="str">
        <x:v>Operator / portfolio relationship</x:v>
      </x:c>
      <x:c r="F252" s="102"/>
      <x:c r="G252" s="102" t="str">
        <x:v>Yes</x:v>
      </x:c>
      <x:c r="H252" s="102" t="str">
        <x:v>Current / see source</x:v>
      </x:c>
      <x:c r="I252" s="102" t="str">
        <x:v>Temporary operating mandate</x:v>
      </x:c>
      <x:c r="J252" s="102" t="str">
        <x:v>https://www2.apmterminals.com/en/news/news-releases/2026/260224-APM-Terminals-begins-temporary-operations-Port-of-Balboa</x:v>
      </x:c>
    </x:row>
    <x:row r="253">
      <x:c r="A253" s="102" t="str">
        <x:v>OWN00252</x:v>
      </x:c>
      <x:c r="B253" s="102" t="str">
        <x:v>TERM0245</x:v>
      </x:c>
      <x:c r="C253" s="102" t="str">
        <x:v>COMP_APMT</x:v>
      </x:c>
      <x:c r="D253" s="102" t="str">
        <x:v>HHIT</x:v>
      </x:c>
      <x:c r="E253" s="102" t="str">
        <x:v>Operator / portfolio relationship</x:v>
      </x:c>
      <x:c r="F253" s="102"/>
      <x:c r="G253" s="102" t="str">
        <x:v>Yes</x:v>
      </x:c>
      <x:c r="H253" s="102" t="str">
        <x:v>Current / see source</x:v>
      </x:c>
      <x:c r="I253" s="102" t="str">
        <x:v>APM Terminals / Hateco partnership</x:v>
      </x:c>
      <x:c r="J253" s="102" t="str">
        <x:v>https://akamai.apmterminals.com/en/news/news-releases/2026/260425-APM-Terminals-and-Hateco-partner-in-Da-Nang</x:v>
      </x:c>
    </x:row>
    <x:row r="254">
      <x:c r="A254" s="102" t="str">
        <x:v>OWN00253</x:v>
      </x:c>
      <x:c r="B254" s="102" t="str">
        <x:v>TERM0082</x:v>
      </x:c>
      <x:c r="C254" s="102" t="str">
        <x:v>COMP_CMA_TERMINALS</x:v>
      </x:c>
      <x:c r="D254" s="102" t="str">
        <x:v>CMA Terminals</x:v>
      </x:c>
      <x:c r="E254" s="102" t="str">
        <x:v>Owner</x:v>
      </x:c>
      <x:c r="F254" s="102" t="n">
        <x:v>70</x:v>
      </x:c>
      <x:c r="G254" s="102" t="str">
        <x:v>Joint operator / terminal partner</x:v>
      </x:c>
      <x:c r="H254" s="102" t="str">
        <x:v>Current</x:v>
      </x:c>
      <x:c r="I254" s="102" t="str">
        <x:v>70% CMA Terminals; 30% AD Ports Group</x:v>
      </x:c>
      <x:c r="J254" s="102" t="str">
        <x:v>https://www.adportsgroup.com/en/news-and-media/2025/11/18/ad-ports-group-signs-agreement-with-cma-cgm-group-to-expand-terminal-at-khalifa-port</x:v>
      </x:c>
    </x:row>
    <x:row r="255">
      <x:c r="A255" s="102" t="str">
        <x:v>OWN00254</x:v>
      </x:c>
      <x:c r="B255" s="102" t="str">
        <x:v>TERM0082</x:v>
      </x:c>
      <x:c r="C255" s="102" t="str">
        <x:v>COMP_ADPORTS</x:v>
      </x:c>
      <x:c r="D255" s="102" t="str">
        <x:v>AD Ports Group</x:v>
      </x:c>
      <x:c r="E255" s="102" t="str">
        <x:v>Owner</x:v>
      </x:c>
      <x:c r="F255" s="102" t="n">
        <x:v>30</x:v>
      </x:c>
      <x:c r="G255" s="102" t="str">
        <x:v>Joint terminal partner</x:v>
      </x:c>
      <x:c r="H255" s="102" t="str">
        <x:v>Current</x:v>
      </x:c>
      <x:c r="I255" s="102" t="str">
        <x:v>30% AD Ports Group</x:v>
      </x:c>
      <x:c r="J255" s="102" t="str">
        <x:v>https://www.adportsgroup.com/en/news-and-media/2025/11/18/ad-ports-group-signs-agreement-with-cma-cgm-group-to-expand-terminal-at-khalifa-port</x:v>
      </x:c>
    </x:row>
    <x:row r="256">
      <x:c r="A256" s="102" t="str">
        <x:v>OWN00255</x:v>
      </x:c>
      <x:c r="B256" s="102" t="str">
        <x:v>TERM0097</x:v>
      </x:c>
      <x:c r="C256" s="102" t="str">
        <x:v>COMP_ADPORTS</x:v>
      </x:c>
      <x:c r="D256" s="102" t="str">
        <x:v>AD Ports Group</x:v>
      </x:c>
      <x:c r="E256" s="102" t="str">
        <x:v>Owner</x:v>
      </x:c>
      <x:c r="F256" s="102" t="n">
        <x:v>51</x:v>
      </x:c>
      <x:c r="G256" s="102" t="str">
        <x:v>Lead JV / operator</x:v>
      </x:c>
      <x:c r="H256" s="102" t="str">
        <x:v>Development</x:v>
      </x:c>
      <x:c r="I256" s="102" t="str">
        <x:v>51% AD Ports Group</x:v>
      </x:c>
      <x:c r="J256" s="102" t="str"/>
    </x:row>
    <x:row r="257">
      <x:c r="A257" s="102" t="str">
        <x:v>OWN00256</x:v>
      </x:c>
      <x:c r="B257" s="102" t="str">
        <x:v>TERM0097</x:v>
      </x:c>
      <x:c r="C257" s="102" t="str">
        <x:v>COMP_CMA_TERMINALS</x:v>
      </x:c>
      <x:c r="D257" s="102" t="str">
        <x:v>CMA Terminals</x:v>
      </x:c>
      <x:c r="E257" s="102" t="str">
        <x:v>Owner</x:v>
      </x:c>
      <x:c r="F257" s="102" t="n">
        <x:v>49</x:v>
      </x:c>
      <x:c r="G257" s="102" t="str">
        <x:v>JV partner</x:v>
      </x:c>
      <x:c r="H257" s="102" t="str">
        <x:v>Development</x:v>
      </x:c>
      <x:c r="I257" s="102" t="str">
        <x:v>49% CMA Terminals</x:v>
      </x:c>
      <x:c r="J257" s="102" t="str">
        <x:v>https://www.adportsgroup.com/en/news-and-media/2026/05/18/ad-ports-group-awards-three-contracts-for-noatum-ports-pointe-noire-terminal</x:v>
      </x:c>
    </x:row>
    <x:row r="258">
      <x:c r="A258" s="102" t="str">
        <x:v>OWN00257</x:v>
      </x:c>
      <x:c r="B258" s="102" t="str">
        <x:v>TERM0155</x:v>
      </x:c>
      <x:c r="C258" s="102" t="str">
        <x:v>COMP_TERMINAL_LINK</x:v>
      </x:c>
      <x:c r="D258" s="102" t="str">
        <x:v>Terminal Link Miami</x:v>
      </x:c>
      <x:c r="E258" s="102" t="str">
        <x:v>Owner</x:v>
      </x:c>
      <x:c r="F258" s="102" t="n">
        <x:v>51</x:v>
      </x:c>
      <x:c r="G258" s="102"/>
      <x:c r="H258" s="102" t="str">
        <x:v>Current</x:v>
      </x:c>
      <x:c r="I258" s="102" t="str">
        <x:v>51% Terminal Link Miami / CMA CGM</x:v>
      </x:c>
      <x:c r="J258" s="102" t="str">
        <x:v>https://www.terminal-link.com/ports/location</x:v>
      </x:c>
    </x:row>
    <x:row r="259">
      <x:c r="A259" s="102" t="str">
        <x:v>OWN00258</x:v>
      </x:c>
      <x:c r="B259" s="102" t="str">
        <x:v>TERM0155</x:v>
      </x:c>
      <x:c r="C259" s="102" t="str">
        <x:v>COMP_APMT</x:v>
      </x:c>
      <x:c r="D259" s="102" t="str">
        <x:v>APM Terminals</x:v>
      </x:c>
      <x:c r="E259" s="102" t="str">
        <x:v>Owner</x:v>
      </x:c>
      <x:c r="F259" s="102" t="n">
        <x:v>49</x:v>
      </x:c>
      <x:c r="G259" s="102"/>
      <x:c r="H259" s="102" t="str">
        <x:v>Current</x:v>
      </x:c>
      <x:c r="I259" s="102" t="str">
        <x:v>49% APM Terminals</x:v>
      </x:c>
      <x:c r="J259" s="102" t="str">
        <x:v>https://www2.apmterminals.com/en/miami/about/our-terminal</x:v>
      </x:c>
    </x:row>
    <x:row r="260">
      <x:c r="A260" s="102" t="str">
        <x:v>OWN00259</x:v>
      </x:c>
      <x:c r="B260" s="102" t="str">
        <x:v>TERM0040</x:v>
      </x:c>
      <x:c r="C260" s="102" t="str">
        <x:v>COMP_DPW</x:v>
      </x:c>
      <x:c r="D260" s="102" t="str">
        <x:v>DP World</x:v>
      </x:c>
      <x:c r="E260" s="102" t="str">
        <x:v>Owner / operator</x:v>
      </x:c>
      <x:c r="F260" s="102" t="n">
        <x:v>62.5</x:v>
      </x:c>
      <x:c r="G260" s="102" t="str">
        <x:v>Yes</x:v>
      </x:c>
      <x:c r="H260" s="102" t="str">
        <x:v>Agreement structure</x:v>
      </x:c>
      <x:c r="I260" s="102" t="str">
        <x:v>DP World retains operating control</x:v>
      </x:c>
      <x:c r="J260" s="102" t="str">
        <x:v>https://www.dpworld.com/en/ports-terminals/saudi-arabia/jeddah</x:v>
      </x:c>
    </x:row>
    <x:row r="261">
      <x:c r="A261" s="102" t="str">
        <x:v>OWN00260</x:v>
      </x:c>
      <x:c r="B261" s="102" t="str">
        <x:v>TERM0040</x:v>
      </x:c>
      <x:c r="C261" s="102" t="str">
        <x:v>COMP_APMT</x:v>
      </x:c>
      <x:c r="D261" s="102" t="str">
        <x:v>APM Terminals</x:v>
      </x:c>
      <x:c r="E261" s="102" t="str">
        <x:v>Minority investment agreement</x:v>
      </x:c>
      <x:c r="F261" s="102" t="n">
        <x:v>37.5</x:v>
      </x:c>
      <x:c r="G261" s="102" t="str">
        <x:v>No</x:v>
      </x:c>
      <x:c r="H261" s="102" t="str">
        <x:v>Pending completion verification</x:v>
      </x:c>
      <x:c r="I261" s="102" t="str">
        <x:v>APM Terminals to acquire 37.5%</x:v>
      </x:c>
      <x:c r="J261" s="102" t="str">
        <x:v>https://www2.apmterminals.com/en/news/news-releases/2026/260218-APM-Terminals-DPWorld-strategic-partnership-Jeddah-Islamic-Port</x:v>
      </x:c>
    </x:row>
    <x:row r="262">
      <x:c r="A262" s="102" t="str">
        <x:v>OWN00261</x:v>
      </x:c>
      <x:c r="B262" s="102" t="str">
        <x:v>TERM0183</x:v>
      </x:c>
      <x:c r="C262" s="102" t="str">
        <x:v>COMP_APMT</x:v>
      </x:c>
      <x:c r="D262" s="102" t="str">
        <x:v>APM Terminals</x:v>
      </x:c>
      <x:c r="E262" s="102" t="str">
        <x:v>Owner</x:v>
      </x:c>
      <x:c r="F262" s="102" t="n">
        <x:v>50</x:v>
      </x:c>
      <x:c r="G262" s="102"/>
      <x:c r="H262" s="102" t="str">
        <x:v>Current</x:v>
      </x:c>
      <x:c r="I262" s="102" t="str">
        <x:v>50/50 JV</x:v>
      </x:c>
      <x:c r="J262" s="102" t="str">
        <x:v>https://www2.apmterminals.com/en/</x:v>
      </x:c>
    </x:row>
    <x:row r="263">
      <x:c r="A263" s="102" t="str">
        <x:v>OWN00262</x:v>
      </x:c>
      <x:c r="B263" s="102" t="str">
        <x:v>TERM0183</x:v>
      </x:c>
      <x:c r="C263" s="102" t="str">
        <x:v>COMP_TIL</x:v>
      </x:c>
      <x:c r="D263" s="102" t="str">
        <x:v>Terminal Investment Limited</x:v>
      </x:c>
      <x:c r="E263" s="102" t="str">
        <x:v>Owner</x:v>
      </x:c>
      <x:c r="F263" s="102" t="n">
        <x:v>50</x:v>
      </x:c>
      <x:c r="G263" s="102"/>
      <x:c r="H263" s="102" t="str">
        <x:v>Current</x:v>
      </x:c>
      <x:c r="I263" s="102" t="str">
        <x:v>50/50 JV</x:v>
      </x:c>
      <x:c r="J263" s="102" t="str">
        <x:v>https://tilgroup.com/about-us.html</x:v>
      </x:c>
    </x:row>
    <x:row r="264">
      <x:c r="A264" s="102" t="str">
        <x:v>OWN00263</x:v>
      </x:c>
      <x:c r="B264" s="102" t="str">
        <x:v>TERM0018</x:v>
      </x:c>
      <x:c r="C264" s="102" t="str">
        <x:v>COMP_DPW</x:v>
      </x:c>
      <x:c r="D264" s="102" t="str">
        <x:v>DP World</x:v>
      </x:c>
      <x:c r="E264" s="102" t="str">
        <x:v>Investor / operator</x:v>
      </x:c>
      <x:c r="F264" s="102"/>
      <x:c r="G264" s="102"/>
      <x:c r="H264" s="102" t="str">
        <x:v>Current</x:v>
      </x:c>
      <x:c r="I264" s="102" t="str">
        <x:v>Shared terminal investment; exact current equity to verify in next pass</x:v>
      </x:c>
      <x:c r="J264" s="102" t="str">
        <x:v>https://www.dpworld.com/en/ports-terminals/belgium/antwerp</x:v>
      </x:c>
    </x:row>
    <x:row r="265">
      <x:c r="A265" s="102" t="str">
        <x:v>OWN00264</x:v>
      </x:c>
      <x:c r="B265" s="102" t="str">
        <x:v>TERM0018</x:v>
      </x:c>
      <x:c r="C265" s="102" t="str">
        <x:v>COMP_TERMINAL_LINK</x:v>
      </x:c>
      <x:c r="D265" s="102" t="str">
        <x:v>Terminal Link</x:v>
      </x:c>
      <x:c r="E265" s="102" t="str">
        <x:v>Investor</x:v>
      </x:c>
      <x:c r="F265" s="102"/>
      <x:c r="G265" s="102"/>
      <x:c r="H265" s="102" t="str">
        <x:v>Current</x:v>
      </x:c>
      <x:c r="I265" s="102" t="str">
        <x:v>Shared terminal investment; exact current equity to verify in next pass</x:v>
      </x:c>
      <x:c r="J265" s="102" t="str">
        <x:v>https://www.terminal-link.com/ports/location</x:v>
      </x:c>
    </x:row>
  </x:sheetData>
  <x:pageMargins left="0.7" right="0.7" top="0.75" bottom="0.75" header="0.3" footer="0.3"/>
</x:worksheet>
</file>

<file path=xl/worksheets/sheet82.xml><?xml version="1.0" encoding="utf-8"?>
<x:worksheet xmlns:x="http://schemas.openxmlformats.org/spreadsheetml/2006/main">
  <x:sheetFormatPr defaultRowHeight="15"/>
  <x:cols>
    <x:col min="1" max="1" width="16" hidden="0" customWidth="1"/>
    <x:col min="2" max="2" width="14" hidden="0" customWidth="1"/>
    <x:col min="3" max="3" width="14" hidden="0" customWidth="1"/>
    <x:col min="4" max="4" width="24" hidden="0" customWidth="1"/>
    <x:col min="5" max="5" width="50" hidden="0" customWidth="1"/>
    <x:col min="6" max="6" width="70" hidden="0" customWidth="1"/>
    <x:col min="7" max="7" width="22" hidden="0" customWidth="1"/>
    <x:col min="8" max="8" width="70" hidden="0" customWidth="1"/>
    <x:col min="9" max="9" width="20" hidden="0" customWidth="1"/>
  </x:cols>
  <x:sheetData>
    <x:row r="1" ht="34" customHeight="1">
      <x:c r="A1" s="223" t="str">
        <x:v>News ID</x:v>
      </x:c>
      <x:c r="B1" s="223" t="str">
        <x:v>Terminal ID</x:v>
      </x:c>
      <x:c r="C1" s="223" t="str">
        <x:v>Date</x:v>
      </x:c>
      <x:c r="D1" s="223" t="str">
        <x:v>Event Type</x:v>
      </x:c>
      <x:c r="E1" s="223" t="str">
        <x:v>Headline</x:v>
      </x:c>
      <x:c r="F1" s="223" t="str">
        <x:v>Summary</x:v>
      </x:c>
      <x:c r="G1" s="223" t="str">
        <x:v>Source</x:v>
      </x:c>
      <x:c r="H1" s="223" t="str">
        <x:v>URL</x:v>
      </x:c>
      <x:c r="I1" s="223" t="str">
        <x:v>Source Asset ID</x:v>
      </x:c>
    </x:row>
    <x:row r="2">
      <x:c r="A2" s="102" t="str">
        <x:v>PNEWS00001</x:v>
      </x:c>
      <x:c r="B2" s="102" t="str">
        <x:v>TERM0057</x:v>
      </x:c>
      <x:c r="C2" s="102" t="str">
        <x:v>2026-08-20</x:v>
      </x:c>
      <x:c r="D2" s="102" t="str">
        <x:v>Performance / recognition</x:v>
      </x:c>
      <x:c r="E2" s="102" t="str">
        <x:v>Port of Posorja receives AAPA Port Industry Excellence Award for second consecutive year</x:v>
      </x:c>
      <x:c r="F2" s="102" t="str">
        <x:v>Recognition highlights port development and performance; expansion to 800 m berth and 1.4m TEU capacity reiterated.</x:v>
      </x:c>
      <x:c r="G2" s="102" t="str">
        <x:v>DP World</x:v>
      </x:c>
      <x:c r="H2" s="102" t="str">
        <x:v>https://www.dpworld.com/en/news/usa/posorja-aapa-port-industry-excellence-award-2026</x:v>
      </x:c>
      <x:c r="I2" s="102" t="str">
        <x:v>DPW-ECU-POS</x:v>
      </x:c>
    </x:row>
    <x:row r="3">
      <x:c r="A3" s="102" t="str">
        <x:v>PNEWS00002</x:v>
      </x:c>
      <x:c r="B3" s="102" t="str">
        <x:v>TERM0057</x:v>
      </x:c>
      <x:c r="C3" s="102" t="str">
        <x:v>2026-08-18</x:v>
      </x:c>
      <x:c r="D3" s="102" t="str">
        <x:v>Service / connectivity</x:v>
      </x:c>
      <x:c r="E3" s="102" t="str">
        <x:v>DP World strengthens Ecuador trade connectivity with new direct Asia shipping service</x:v>
      </x:c>
      <x:c r="F3" s="102" t="str">
        <x:v>New direct Asia service strengthens reefer/export connectivity through Posorja.</x:v>
      </x:c>
      <x:c r="G3" s="102" t="str">
        <x:v>DP World</x:v>
      </x:c>
      <x:c r="H3" s="102" t="str">
        <x:v>https://www.dpworld.com/en/news/usa/strengthen-ecuador-trade-new-asia-service</x:v>
      </x:c>
      <x:c r="I3" s="102" t="str">
        <x:v>DPW-ECU-POS</x:v>
      </x:c>
    </x:row>
    <x:row r="4">
      <x:c r="A4" s="102" t="str">
        <x:v>PNEWS00003</x:v>
      </x:c>
      <x:c r="B4" s="102" t="str">
        <x:v>TERM0049</x:v>
      </x:c>
      <x:c r="C4" s="102" t="str">
        <x:v>2026-07-22</x:v>
      </x:c>
      <x:c r="D4" s="102" t="str">
        <x:v>Development / concession</x:v>
      </x:c>
      <x:c r="E4" s="102" t="str">
        <x:v>DP World to expand UAE gateway network with new Fujairah terminals</x:v>
      </x:c>
      <x:c r="F4" s="102" t="str">
        <x:v>Agreement in principle covers Al Rugaylat and Dibba terminals on the UAE east coast.</x:v>
      </x:c>
      <x:c r="G4" s="102" t="str">
        <x:v>DP World</x:v>
      </x:c>
      <x:c r="H4" s="102" t="str">
        <x:v>https://www.dpworld.com/en/news/dp-world-to-expand-uae-gateway-network-with-new-fujairah-terminals</x:v>
      </x:c>
      <x:c r="I4" s="102" t="str">
        <x:v>DPW-UAE-RUG</x:v>
      </x:c>
    </x:row>
    <x:row r="5">
      <x:c r="A5" s="102" t="str">
        <x:v>PNEWS00004</x:v>
      </x:c>
      <x:c r="B5" s="102" t="str">
        <x:v>TERM0050</x:v>
      </x:c>
      <x:c r="C5" s="102" t="str">
        <x:v>2026-07-22</x:v>
      </x:c>
      <x:c r="D5" s="102" t="str">
        <x:v>Development / concession</x:v>
      </x:c>
      <x:c r="E5" s="102" t="str">
        <x:v>DP World to expand UAE gateway network with new Fujairah terminals</x:v>
      </x:c>
      <x:c r="F5" s="102" t="str">
        <x:v>Dibba General Cargo terminal announced with up to 3.6m tonnes/year capacity.</x:v>
      </x:c>
      <x:c r="G5" s="102" t="str">
        <x:v>DP World</x:v>
      </x:c>
      <x:c r="H5" s="102" t="str">
        <x:v>https://www.dpworld.com/en/news/dp-world-to-expand-uae-gateway-network-with-new-fujairah-terminals</x:v>
      </x:c>
      <x:c r="I5" s="102" t="str">
        <x:v>DPW-UAE-DIB</x:v>
      </x:c>
    </x:row>
    <x:row r="6">
      <x:c r="A6" s="102" t="str">
        <x:v>PNEWS00005</x:v>
      </x:c>
      <x:c r="B6" s="102" t="str">
        <x:v>TERM0044</x:v>
      </x:c>
      <x:c r="C6" s="102" t="str">
        <x:v>2026-07-08</x:v>
      </x:c>
      <x:c r="D6" s="102" t="str">
        <x:v>Operations / performance</x:v>
      </x:c>
      <x:c r="E6" s="102" t="str">
        <x:v>DP World drives record efficiency and vessel performance at Dar es Salaam Port</x:v>
      </x:c>
      <x:c r="F6" s="102" t="str">
        <x:v>DP World reports major reductions in discharge time and continued modernization under the concession.</x:v>
      </x:c>
      <x:c r="G6" s="102" t="str">
        <x:v>DP World</x:v>
      </x:c>
      <x:c r="H6" s="102" t="str">
        <x:v>https://www.dpworld.com/en/news/dp-world-drives-record-efficiency-and-vessel-performance-at-dar-es-salaam-port</x:v>
      </x:c>
      <x:c r="I6" s="102" t="str">
        <x:v>DPW-TZA-DAR</x:v>
      </x:c>
    </x:row>
    <x:row r="7">
      <x:c r="A7" s="102" t="str">
        <x:v>PNEWS00006</x:v>
      </x:c>
      <x:c r="B7" s="102" t="str">
        <x:v>TERM0068</x:v>
      </x:c>
      <x:c r="C7" s="102" t="str">
        <x:v>2026-06-16</x:v>
      </x:c>
      <x:c r="D7" s="102" t="str">
        <x:v>Proposed development</x:v>
      </x:c>
      <x:c r="E7" s="102" t="str">
        <x:v>DP World enters exclusive negotiations to develop container terminal at Port of Corpus Christi</x:v>
      </x:c>
      <x:c r="F7" s="102" t="str">
        <x:v>Exclusive negotiations begin for a long-term lease and new U.S. Gulf container terminal.</x:v>
      </x:c>
      <x:c r="G7" s="102" t="str">
        <x:v>DP World</x:v>
      </x:c>
      <x:c r="H7" s="102" t="str">
        <x:v>https://www.dpworld.com/en/news/usa/container-terminal-at-port-of-corpus-christi-texas</x:v>
      </x:c>
      <x:c r="I7" s="102" t="str">
        <x:v>DPW-USA-CRP</x:v>
      </x:c>
    </x:row>
    <x:row r="8">
      <x:c r="A8" s="102" t="str">
        <x:v>PNEWS00007</x:v>
      </x:c>
      <x:c r="B8" s="102" t="str">
        <x:v>TERM0018</x:v>
      </x:c>
      <x:c r="C8" s="102" t="str">
        <x:v>2026-05-28</x:v>
      </x:c>
      <x:c r="D8" s="102" t="str">
        <x:v>Equipment / electrification</x:v>
      </x:c>
      <x:c r="E8" s="102" t="str">
        <x:v>Investment in the electrification of terminal operations at Antwerp Gateway</x:v>
      </x:c>
      <x:c r="F8" s="102" t="str">
        <x:v>Antwerp Gateway is deploying electric terminal equipment, charging infrastructure, BESS and solar.</x:v>
      </x:c>
      <x:c r="G8" s="102" t="str">
        <x:v>DP World</x:v>
      </x:c>
      <x:c r="H8" s="102" t="str">
        <x:v>https://www.dpworld.com/en/news/belgium/investment-in-electrification-at-antwerp</x:v>
      </x:c>
      <x:c r="I8" s="102" t="str">
        <x:v>DPW-BEL-ANT</x:v>
      </x:c>
    </x:row>
    <x:row r="9">
      <x:c r="A9" s="102" t="str">
        <x:v>PNEWS00008</x:v>
      </x:c>
      <x:c r="B9" s="102" t="str">
        <x:v>TERM0056</x:v>
      </x:c>
      <x:c r="C9" s="102" t="str">
        <x:v>2026-05-26</x:v>
      </x:c>
      <x:c r="D9" s="102" t="str">
        <x:v>Investment / expansion</x:v>
      </x:c>
      <x:c r="E9" s="102" t="str">
        <x:v>DP World to expand logistics capacity in Dominican Republic with new US$100 million investment</x:v>
      </x:c>
      <x:c r="F9" s="102" t="str">
        <x:v>Additional logistics and warehousing investment at Caucedo builds on a larger port/FTZ expansion plan.</x:v>
      </x:c>
      <x:c r="G9" s="102" t="str">
        <x:v>DP World</x:v>
      </x:c>
      <x:c r="H9" s="102" t="str">
        <x:v>https://www.dpworld.com/en/news/dominican-republic/05262026_dp-world-to-expand-logistics-capacity-in-the-dr</x:v>
      </x:c>
      <x:c r="I9" s="102" t="str">
        <x:v>DPW-DOM-CAU</x:v>
      </x:c>
    </x:row>
    <x:row r="10">
      <x:c r="A10" s="102" t="str">
        <x:v>PNEWS00009</x:v>
      </x:c>
      <x:c r="B10" s="102" t="str">
        <x:v>TERM0034</x:v>
      </x:c>
      <x:c r="C10" s="102" t="str">
        <x:v>2026-05-25</x:v>
      </x:c>
      <x:c r="D10" s="102" t="str">
        <x:v>Economic impact / trade</x:v>
      </x:c>
      <x:c r="E10" s="102" t="str">
        <x:v>DP World Mundra could drive $9.2bn GDP impact for India by 2035</x:v>
      </x:c>
      <x:c r="F10" s="102" t="str">
        <x:v>Research highlights MICT's trade connectivity and national economic role.</x:v>
      </x:c>
      <x:c r="G10" s="102" t="str">
        <x:v>DP World</x:v>
      </x:c>
      <x:c r="H10" s="102" t="str">
        <x:v>https://www.dpworld.com/en/news/india/dp-world-mundra-india-gdp-impact-2035</x:v>
      </x:c>
      <x:c r="I10" s="102" t="str">
        <x:v>DPW-IND-MUN</x:v>
      </x:c>
    </x:row>
    <x:row r="11">
      <x:c r="A11" s="102" t="str">
        <x:v>PNEWS00010</x:v>
      </x:c>
      <x:c r="B11" s="102" t="str">
        <x:v>TERM0016</x:v>
      </x:c>
      <x:c r="C11" s="102" t="str">
        <x:v>2026-05-07</x:v>
      </x:c>
      <x:c r="D11" s="102" t="str">
        <x:v>Concession / operations</x:v>
      </x:c>
      <x:c r="E11" s="102" t="str">
        <x:v>DP World secures Laem Chabang concession extension amid rising intra-Asia trade</x:v>
      </x:c>
      <x:c r="F11" s="102" t="str">
        <x:v>Five-year extension for B5 runs to April 2031; LCIT operates B5 and C3.</x:v>
      </x:c>
      <x:c r="G11" s="102" t="str">
        <x:v>DP World</x:v>
      </x:c>
      <x:c r="H11" s="102" t="str">
        <x:v>https://www.dpworld.com/en/news/dp-world-secures-laem-chabang-concession-extension-amid-rising-intra-asia-trade</x:v>
      </x:c>
      <x:c r="I11" s="102" t="str">
        <x:v>DPW-THA-LCB</x:v>
      </x:c>
    </x:row>
    <x:row r="12">
      <x:c r="A12" s="102" t="str">
        <x:v>PNEWS00011</x:v>
      </x:c>
      <x:c r="B12" s="102" t="str">
        <x:v>TERM0057</x:v>
      </x:c>
      <x:c r="C12" s="102" t="str">
        <x:v>2026-04-23</x:v>
      </x:c>
      <x:c r="D12" s="102" t="str">
        <x:v>Infrastructure expansion</x:v>
      </x:c>
      <x:c r="E12" s="102" t="str">
        <x:v>DP World inaugurates Posorja terminal expansion, boosting Ecuador’s global trade capacity</x:v>
      </x:c>
      <x:c r="F12" s="102" t="str">
        <x:v>700 m quay inaugurated, two-vessel operation enabled; 800 m and 1.4m TEU capacity targeted by end-2026.</x:v>
      </x:c>
      <x:c r="G12" s="102" t="str">
        <x:v>DP World</x:v>
      </x:c>
      <x:c r="H12" s="102" t="str">
        <x:v>https://www.dpworld.com/en/news/dp-world-inaugurates-posorja-terminal-expansion-boosting-ecuadors-global-trade-capacity</x:v>
      </x:c>
      <x:c r="I12" s="102" t="str">
        <x:v>DPW-ECU-POS</x:v>
      </x:c>
    </x:row>
    <x:row r="13">
      <x:c r="A13" s="102" t="str">
        <x:v>PNEWS00012</x:v>
      </x:c>
      <x:c r="B13" s="102" t="str">
        <x:v>TERM0067</x:v>
      </x:c>
      <x:c r="C13" s="102" t="str">
        <x:v>2026-04-10</x:v>
      </x:c>
      <x:c r="D13" s="102" t="str">
        <x:v>Construction / expansion</x:v>
      </x:c>
      <x:c r="E13" s="102" t="str">
        <x:v>DP World marks new milestone in Canada with Contrecœur expansion groundbreaking</x:v>
      </x:c>
      <x:c r="F13" s="102" t="str">
        <x:v>Construction begins; about 1.15m TEU annual capacity planned with commissioning expected in 2030.</x:v>
      </x:c>
      <x:c r="G13" s="102" t="str">
        <x:v>DP World</x:v>
      </x:c>
      <x:c r="H13" s="102" t="str">
        <x:v>https://www.dpworld.com/en/news/canada/new-milestone-in-canada-with-contrecoeur-expansion-groundbreaking</x:v>
      </x:c>
      <x:c r="I13" s="102" t="str">
        <x:v>DPW-CAN-CON</x:v>
      </x:c>
    </x:row>
    <x:row r="14">
      <x:c r="A14" s="102" t="str">
        <x:v>PNEWS00013</x:v>
      </x:c>
      <x:c r="B14" s="102" t="str">
        <x:v>TERM0064</x:v>
      </x:c>
      <x:c r="C14" s="102" t="str">
        <x:v>2026-03-30</x:v>
      </x:c>
      <x:c r="D14" s="102" t="str">
        <x:v>Portfolio / investment</x:v>
      </x:c>
      <x:c r="E14" s="102" t="str">
        <x:v>DP World celebrates 20 years of growth and innovation in Canada</x:v>
      </x:c>
      <x:c r="F14" s="102" t="str">
        <x:v>Update covers Vancouver, Prince Rupert, Nanaimo, Fraser Surrey and Saint John investment and throughput.</x:v>
      </x:c>
      <x:c r="G14" s="102" t="str">
        <x:v>DP World</x:v>
      </x:c>
      <x:c r="H14" s="102" t="str">
        <x:v>https://www.dpworld.com/en/news/canada/03302026_canada_20th_anniversary</x:v>
      </x:c>
      <x:c r="I14" s="102" t="str">
        <x:v>DPW-CAN-NAN</x:v>
      </x:c>
    </x:row>
    <x:row r="15">
      <x:c r="A15" s="102" t="str">
        <x:v>PNEWS00014</x:v>
      </x:c>
      <x:c r="B15" s="102" t="str">
        <x:v>TERM0062</x:v>
      </x:c>
      <x:c r="C15" s="102" t="str">
        <x:v>2026-03-19</x:v>
      </x:c>
      <x:c r="D15" s="102" t="str">
        <x:v>Throughput / performance</x:v>
      </x:c>
      <x:c r="E15" s="102" t="str">
        <x:v>DP World’s Vancouver terminal posts record throughput in 2025</x:v>
      </x:c>
      <x:c r="F15" s="102" t="str">
        <x:v>Vancouver terminal handled 975,727 TEU in 2025, up 23% year-on-year.</x:v>
      </x:c>
      <x:c r="G15" s="102" t="str">
        <x:v>DP World</x:v>
      </x:c>
      <x:c r="H15" s="102" t="str">
        <x:v>https://www.dpworld.com/en/news/usa/dp-world-vancouver-terminal-record-throughput</x:v>
      </x:c>
      <x:c r="I15" s="102" t="str">
        <x:v>DPW-CAN-VAN</x:v>
      </x:c>
    </x:row>
    <x:row r="16">
      <x:c r="A16" s="102" t="str">
        <x:v>PNEWS00015</x:v>
      </x:c>
      <x:c r="B16" s="102" t="str">
        <x:v>TERM0034</x:v>
      </x:c>
      <x:c r="C16" s="102" t="str">
        <x:v>2026-03-16</x:v>
      </x:c>
      <x:c r="D16" s="102" t="str">
        <x:v>Throughput / performance</x:v>
      </x:c>
      <x:c r="E16" s="102" t="str">
        <x:v>DP World Mundra handles 1.5 million TEUs in CY25</x:v>
      </x:c>
      <x:c r="F16" s="102" t="str">
        <x:v>MICT throughput rose to nearly 1.5m TEU in 2025; vessel calls and rail volumes also grew.</x:v>
      </x:c>
      <x:c r="G16" s="102" t="str">
        <x:v>DP World</x:v>
      </x:c>
      <x:c r="H16" s="102" t="str">
        <x:v>https://www.dpworld.com/en/news/india/dp-world-mundra</x:v>
      </x:c>
      <x:c r="I16" s="102" t="str">
        <x:v>DPW-IND-MUN</x:v>
      </x:c>
    </x:row>
    <x:row r="17">
      <x:c r="A17" s="102" t="str">
        <x:v>PNEWS00016</x:v>
      </x:c>
      <x:c r="B17" s="102" t="str">
        <x:v>TERM0040</x:v>
      </x:c>
      <x:c r="C17" s="102" t="str">
        <x:v>2026-03-12</x:v>
      </x:c>
      <x:c r="D17" s="102" t="str">
        <x:v>Investment / capacity</x:v>
      </x:c>
      <x:c r="E17" s="102" t="str">
        <x:v>DP World reports record 2025 results and confirms modernized Jeddah South Container Terminal capacity</x:v>
      </x:c>
      <x:c r="F17" s="102" t="str">
        <x:v>DP World says the $800m Jeddah modernization more than doubled capacity to 4m TEU.</x:v>
      </x:c>
      <x:c r="G17" s="102" t="str">
        <x:v>DP World</x:v>
      </x:c>
      <x:c r="H17" s="102" t="str">
        <x:v>https://www.dpworld.com/en/news/releases/uae/dp-world-reports-record-244-bn-revenue-and-64bn-ebitda-for-2025</x:v>
      </x:c>
      <x:c r="I17" s="102" t="str">
        <x:v>DPW-SAU-JED</x:v>
      </x:c>
    </x:row>
    <x:row r="18">
      <x:c r="A18" s="102" t="str">
        <x:v>PNEWS00017</x:v>
      </x:c>
      <x:c r="B18" s="102" t="str">
        <x:v>TERM0026</x:v>
      </x:c>
      <x:c r="C18" s="102" t="str">
        <x:v>2026-01-19</x:v>
      </x:c>
      <x:c r="D18" s="102" t="str">
        <x:v>Throughput / expansion</x:v>
      </x:c>
      <x:c r="E18" s="102" t="str">
        <x:v>London Gateway container volumes up more than 50% to set new annual record</x:v>
      </x:c>
      <x:c r="F18" s="102" t="str">
        <x:v>London Gateway surpassed 3m TEU in 2025; two additional all-electric berths remain under construction.</x:v>
      </x:c>
      <x:c r="G18" s="102" t="str">
        <x:v>DP World</x:v>
      </x:c>
      <x:c r="H18" s="102" t="str">
        <x:v>https://www.dpworld.com/en/news/london-gateway-container-volumes-up-more-than-50-to-set-new-annual-record</x:v>
      </x:c>
      <x:c r="I18" s="102" t="str">
        <x:v>DPW-GBR-LGW</x:v>
      </x:c>
    </x:row>
    <x:row r="19">
      <x:c r="A19" s="102" t="str">
        <x:v>PNEWS00018</x:v>
      </x:c>
      <x:c r="B19" s="102" t="str">
        <x:v>TERM0034</x:v>
      </x:c>
      <x:c r="C19" s="102" t="str">
        <x:v>2025-09-16</x:v>
      </x:c>
      <x:c r="D19" s="102" t="str">
        <x:v>Equipment / capacity</x:v>
      </x:c>
      <x:c r="E19" s="102" t="str">
        <x:v>DP World Mundra boosts capacity and sustainability with new quay crane and electric RTG cranes</x:v>
      </x:c>
      <x:c r="F19" s="102" t="str">
        <x:v>New quay crane and three e-RTGs added; capacity planned to rise to ~1.56m TEU by 2027.</x:v>
      </x:c>
      <x:c r="G19" s="102" t="str">
        <x:v>DP World</x:v>
      </x:c>
      <x:c r="H19" s="102" t="str">
        <x:v>https://www.dpworld.com/en/news/india/dp-world-mundra-boosts-capacity-sustainability</x:v>
      </x:c>
      <x:c r="I19" s="102" t="str">
        <x:v>DPW-IND-MUN</x:v>
      </x:c>
    </x:row>
    <x:row r="20">
      <x:c r="A20" s="102" t="str">
        <x:v>PNEWS00019</x:v>
      </x:c>
      <x:c r="B20" s="102" t="str">
        <x:v>TERM0012</x:v>
      </x:c>
      <x:c r="C20" s="102" t="str">
        <x:v>2025-05-02</x:v>
      </x:c>
      <x:c r="D20" s="102" t="str">
        <x:v>Infrastructure expansion</x:v>
      </x:c>
      <x:c r="E20" s="102" t="str">
        <x:v>DP World and Asian Terminals invest US$100 million to boost capacity at Manila South Harbour</x:v>
      </x:c>
      <x:c r="F20" s="102" t="str">
        <x:v>Pier 3 berth extension, two new STS cranes and yard expansion raise annual capacity toward 2m TEU.</x:v>
      </x:c>
      <x:c r="G20" s="102" t="str">
        <x:v>DP World</x:v>
      </x:c>
      <x:c r="H20" s="102" t="str">
        <x:v>https://www.dpworld.com/en/news/dp-world-and-asian-terminals-inc-invest-us100-million-to-boost-capacity-at-manila-south-harbour</x:v>
      </x:c>
      <x:c r="I20" s="102" t="str">
        <x:v>DPW-PHL-MSH</x:v>
      </x:c>
    </x:row>
    <x:row r="21">
      <x:c r="A21" s="102" t="str">
        <x:v>PNEWS00020</x:v>
      </x:c>
      <x:c r="B21" s="102" t="str">
        <x:v>TERM0026</x:v>
      </x:c>
      <x:c r="C21" s="102" t="str">
        <x:v>2025-03-21</x:v>
      </x:c>
      <x:c r="D21" s="102" t="str">
        <x:v>Construction / expansion</x:v>
      </x:c>
      <x:c r="E21" s="102" t="str">
        <x:v>DP World to begin construction of £1bn London Gateway expansion</x:v>
      </x:c>
      <x:c r="F21" s="102" t="str">
        <x:v>Two additional 400 m all-electric berths and a second rail terminal will take London Gateway to six berths.</x:v>
      </x:c>
      <x:c r="G21" s="102" t="str">
        <x:v>DP World</x:v>
      </x:c>
      <x:c r="H21" s="102" t="str">
        <x:v>https://www.dpworld.com/en/news/united-kingdom/dp-world-to-begin-construction-of-london-gateway-expansion</x:v>
      </x:c>
      <x:c r="I21" s="102" t="str">
        <x:v>DPW-GBR-LGW</x:v>
      </x:c>
    </x:row>
    <x:row r="22">
      <x:c r="A22" s="102" t="str">
        <x:v>PNEWS00021</x:v>
      </x:c>
      <x:c r="B22" s="102" t="str">
        <x:v>TERM0042</x:v>
      </x:c>
      <x:c r="C22" s="102" t="str">
        <x:v>2024-12-18</x:v>
      </x:c>
      <x:c r="D22" s="102" t="str">
        <x:v>Construction / greenfield</x:v>
      </x:c>
      <x:c r="E22" s="102" t="str">
        <x:v>DP World kicks off maritime construction at new $1.2 billion port in Senegal</x:v>
      </x:c>
      <x:c r="F22" s="102" t="str">
        <x:v>Maritime construction begins on Ndayane; Phase 1 includes 840 m quay, 5 km channel and 1.2m TEU capacity.</x:v>
      </x:c>
      <x:c r="G22" s="102" t="str">
        <x:v>DP World</x:v>
      </x:c>
      <x:c r="H22" s="102" t="str">
        <x:v>https://www.dpworld.com/en/news/dp-world-kicks-off-maritime-construction-at-new-12-billion-port-in-senegal</x:v>
      </x:c>
      <x:c r="I22" s="102" t="str">
        <x:v>DPW-SEN-NDY</x:v>
      </x:c>
    </x:row>
    <x:row r="23">
      <x:c r="A23" s="102" t="str">
        <x:v>PNEWS00022</x:v>
      </x:c>
      <x:c r="B23" s="102" t="str">
        <x:v>TERM0079</x:v>
      </x:c>
      <x:c r="C23" s="102" t="str">
        <x:v>2026-06-18</x:v>
      </x:c>
      <x:c r="D23" s="102" t="str">
        <x:v>Infrastructure / digital</x:v>
      </x:c>
      <x:c r="E23" s="102" t="str">
        <x:v>Al Faya Dry Port receives UN/LOCODE AEALF</x:v>
      </x:c>
      <x:c r="F23" s="102" t="str">
        <x:v>UN code integrates the inland terminal more directly into global customs, shipping and trade systems.</x:v>
      </x:c>
      <x:c r="G23" s="102" t="str">
        <x:v>AD Ports Group</x:v>
      </x:c>
      <x:c r="H23" s="102" t="str">
        <x:v>https://www.adportsgroup.com/en/news-and-media/2026/06/18/ad-ports-group-enhances-al-faya-dry-ports-integration-with-the-global-trade-and-logistics-ecosystem</x:v>
      </x:c>
      <x:c r="I23" s="102" t="str">
        <x:v>ADP-UAE-ALFAYA</x:v>
      </x:c>
    </x:row>
    <x:row r="24">
      <x:c r="A24" s="102" t="str">
        <x:v>PNEWS00023</x:v>
      </x:c>
      <x:c r="B24" s="102" t="str">
        <x:v>TERM0102</x:v>
      </x:c>
      <x:c r="C24" s="102" t="str">
        <x:v>2026-06-18</x:v>
      </x:c>
      <x:c r="D24" s="102" t="str">
        <x:v>Digitalisation</x:v>
      </x:c>
      <x:c r="E24" s="102" t="str">
        <x:v>Noatum Ports – Maqta Ayla Digital Solutions launched in Jordan</x:v>
      </x:c>
      <x:c r="F24" s="102" t="str">
        <x:v>Port Community System JV adds digital layer to Aqaba port ecosystem.</x:v>
      </x:c>
      <x:c r="G24" s="102" t="str">
        <x:v>AD Ports Group</x:v>
      </x:c>
      <x:c r="H24" s="102" t="str">
        <x:v>https://www.adportsgroup.com/en/news-and-media/2026/06/18/ad-ports-group-launches-maqta-ayla-digital-solutions-in-jordan</x:v>
      </x:c>
      <x:c r="I24" s="102" t="str">
        <x:v>ADP-JOR-AQABA-MP</x:v>
      </x:c>
    </x:row>
    <x:row r="25">
      <x:c r="A25" s="102" t="str">
        <x:v>PNEWS00024</x:v>
      </x:c>
      <x:c r="B25" s="102" t="str">
        <x:v>TERM0092</x:v>
      </x:c>
      <x:c r="C25" s="102" t="str">
        <x:v>2026-06-08</x:v>
      </x:c>
      <x:c r="D25" s="102" t="str">
        <x:v>Operations</x:v>
      </x:c>
      <x:c r="E25" s="102" t="str">
        <x:v>Trial operations launched at Noatum Ports Safaga Terminal</x:v>
      </x:c>
      <x:c r="F25" s="102" t="str">
        <x:v>Terminal systems and operational readiness testing underway ahead of commercial opening.</x:v>
      </x:c>
      <x:c r="G25" s="102" t="str">
        <x:v>AD Ports Group</x:v>
      </x:c>
      <x:c r="H25" s="102" t="str">
        <x:v>https://www.adportsgroup.com/en/news-and-media/2026/06/08/ad-ports-group-launches-trial-operations-at-noatum-ports-safaga-terminal-in-egypt</x:v>
      </x:c>
      <x:c r="I25" s="102" t="str">
        <x:v>ADP-EGY-SAFAGA</x:v>
      </x:c>
    </x:row>
    <x:row r="26">
      <x:c r="A26" s="102" t="str">
        <x:v>PNEWS00025</x:v>
      </x:c>
      <x:c r="B26" s="102" t="str">
        <x:v>TERM0075</x:v>
      </x:c>
      <x:c r="C26" s="102" t="str">
        <x:v>2026-05-22</x:v>
      </x:c>
      <x:c r="D26" s="102" t="str">
        <x:v>Inland connectivity</x:v>
      </x:c>
      <x:c r="E26" s="102" t="str">
        <x:v>AD Ports Group establishes consolidated multimodal inland logistics network</x:v>
      </x:c>
      <x:c r="F26" s="102" t="str">
        <x:v>Links Khalifa Port and Fujairah Terminals with rail-linked dry ports and cargo depots.</x:v>
      </x:c>
      <x:c r="G26" s="102" t="str">
        <x:v>AD Ports Group</x:v>
      </x:c>
      <x:c r="H26" s="102" t="str">
        <x:v>https://www.adportsgroup.com/en/news-and-media/2026/05/22/ad-ports-group-establishes-consolidated-multimodal-inland-logistics-network</x:v>
      </x:c>
      <x:c r="I26" s="102" t="str">
        <x:v>ADP-UAE-FUJAIRAH</x:v>
      </x:c>
    </x:row>
    <x:row r="27">
      <x:c r="A27" s="102" t="str">
        <x:v>PNEWS00026</x:v>
      </x:c>
      <x:c r="B27" s="102" t="str">
        <x:v>TERM0090</x:v>
      </x:c>
      <x:c r="C27" s="102" t="str">
        <x:v>2026-05-19</x:v>
      </x:c>
      <x:c r="D27" s="102" t="str">
        <x:v>Passenger operations</x:v>
      </x:c>
      <x:c r="E27" s="102" t="str">
        <x:v>Cruise and ferry terminal services launched across Egypt Red Sea terminals</x:v>
      </x:c>
      <x:c r="F27" s="102" t="str">
        <x:v>Hurghada, Safaga and Sharm El Sheikh passenger services launched; Safaga-NEOM ferries also operated.</x:v>
      </x:c>
      <x:c r="G27" s="102" t="str">
        <x:v>AD Ports Group</x:v>
      </x:c>
      <x:c r="H27" s="102" t="str">
        <x:v>https://www.adportsgroup.com/en/news-and-media/2026/05/19/ad-ports-group-launches-cruise-and-ferry-terminal-services-in-egypt</x:v>
      </x:c>
      <x:c r="I27" s="102" t="str">
        <x:v>ADP-EGY-HURGHADA-CRUISE</x:v>
      </x:c>
    </x:row>
    <x:row r="28">
      <x:c r="A28" s="102" t="str">
        <x:v>PNEWS00027</x:v>
      </x:c>
      <x:c r="B28" s="102" t="str">
        <x:v>TERM0097</x:v>
      </x:c>
      <x:c r="C28" s="102" t="str">
        <x:v>2026-05-18</x:v>
      </x:c>
      <x:c r="D28" s="102" t="str">
        <x:v>Construction / equipment</x:v>
      </x:c>
      <x:c r="E28" s="102" t="str">
        <x:v>Three major Pointe-Noire terminal contracts awarded</x:v>
      </x:c>
      <x:c r="F28" s="102" t="str">
        <x:v>Marine/landside works plus three STS and nine RTG cranes move project into construction.</x:v>
      </x:c>
      <x:c r="G28" s="102" t="str">
        <x:v>AD Ports Group</x:v>
      </x:c>
      <x:c r="H28" s="102" t="str">
        <x:v>https://www.adportsgroup.com/en/news-and-media/2026/05/18/ad-ports-group-awards-three-contracts-for-noatum-ports-pointe-noire-terminal</x:v>
      </x:c>
      <x:c r="I28" s="102" t="str">
        <x:v>ADP-COG-POINTE</x:v>
      </x:c>
    </x:row>
    <x:row r="29">
      <x:c r="A29" s="102" t="str">
        <x:v>PNEWS00028</x:v>
      </x:c>
      <x:c r="B29" s="102" t="str">
        <x:v>TERM0082</x:v>
      </x:c>
      <x:c r="C29" s="102" t="str">
        <x:v>2026-05-05</x:v>
      </x:c>
      <x:c r="D29" s="102" t="str">
        <x:v>Inland connectivity</x:v>
      </x:c>
      <x:c r="E29" s="102" t="str">
        <x:v>CMA Terminals Khalifa Port and CMA CGM sign inland reach MoU</x:v>
      </x:c>
      <x:c r="F29" s="102" t="str">
        <x:v>Targets cargo flows across AD Ports Group rail-linked inland container depots and dry ports.</x:v>
      </x:c>
      <x:c r="G29" s="102" t="str">
        <x:v>AD Ports Group</x:v>
      </x:c>
      <x:c r="H29" s="102" t="str">
        <x:v>https://www.adportsgroup.com/en/news-and-media/2026/05/05/ad-ports-group-cma-terminals-khalifa-port-and-cma-cgm-group-sign-mou</x:v>
      </x:c>
      <x:c r="I29" s="102" t="str">
        <x:v>ADP-UAE-CMA</x:v>
      </x:c>
    </x:row>
    <x:row r="30">
      <x:c r="A30" s="102" t="str">
        <x:v>PNEWS00029</x:v>
      </x:c>
      <x:c r="B30" s="102" t="str">
        <x:v>TERM0092</x:v>
      </x:c>
      <x:c r="C30" s="102" t="str">
        <x:v>2026-04-06</x:v>
      </x:c>
      <x:c r="D30" s="102" t="str">
        <x:v>Equipment</x:v>
      </x:c>
      <x:c r="E30" s="102" t="str">
        <x:v>Safaga receives three STS and six RTG cranes</x:v>
      </x:c>
      <x:c r="F30" s="102" t="str">
        <x:v>ZPMC Super Post-Panamax STS and RTG equipment delivered before opening.</x:v>
      </x:c>
      <x:c r="G30" s="102" t="str">
        <x:v>AD Ports Group</x:v>
      </x:c>
      <x:c r="H30" s="102" t="str">
        <x:v>https://wpvip.adportsgroup.com/adportsgroup/news-and-media/2026/04/06/noatum-ports-safaga-terminal-egypt/</x:v>
      </x:c>
      <x:c r="I30" s="102" t="str">
        <x:v>ADP-EGY-SAFAGA</x:v>
      </x:c>
    </x:row>
    <x:row r="31">
      <x:c r="A31" s="102" t="str">
        <x:v>PNEWS00030</x:v>
      </x:c>
      <x:c r="B31" s="102" t="str">
        <x:v>TERM0069</x:v>
      </x:c>
      <x:c r="C31" s="102" t="str">
        <x:v>2026-03-04</x:v>
      </x:c>
      <x:c r="D31" s="102" t="str">
        <x:v>Security / operations</x:v>
      </x:c>
      <x:c r="E31" s="102" t="str">
        <x:v>Group confirms business continuity amid regional Gulf crisis</x:v>
      </x:c>
      <x:c r="F31" s="102" t="str">
        <x:v>Ports remained operational though lower Strait of Hormuz traffic was expected to reduce Khalifa calls.</x:v>
      </x:c>
      <x:c r="G31" s="102" t="str">
        <x:v>AD Ports Group</x:v>
      </x:c>
      <x:c r="H31" s="102" t="str">
        <x:v>https://www.adportsgroup.com/en/news-and-media/2026/03/04/ad-ports-group-confirms-business-continuity-across-all-operations-amid-regional-developments</x:v>
      </x:c>
      <x:c r="I31" s="102" t="str">
        <x:v>ADP-UAE-KHALIFA</x:v>
      </x:c>
    </x:row>
    <x:row r="32">
      <x:c r="A32" s="102" t="str">
        <x:v>PNEWS00031</x:v>
      </x:c>
      <x:c r="B32" s="102" t="str">
        <x:v>TERM0101</x:v>
      </x:c>
      <x:c r="C32" s="102" t="str">
        <x:v>2026-02-12</x:v>
      </x:c>
      <x:c r="D32" s="102" t="str">
        <x:v>Concession / investment</x:v>
      </x:c>
      <x:c r="E32" s="102" t="str">
        <x:v>AD Ports Group joins 30-year Douala dry bulk terminal concession</x:v>
      </x:c>
      <x:c r="F32" s="102" t="str">
        <x:v>Effective economic interest of 51% in new terminal development.</x:v>
      </x:c>
      <x:c r="G32" s="102" t="str">
        <x:v>AD Ports Group</x:v>
      </x:c>
      <x:c r="H32" s="102" t="str">
        <x:v>https://www.adportsgroup.com/en/news-and-media/2026/02/12/ad-ports-group-enters-into-30-year-concession-agreement-with-africa-ports-development</x:v>
      </x:c>
      <x:c r="I32" s="102" t="str">
        <x:v>ADP-CMR-DOUALA</x:v>
      </x:c>
    </x:row>
    <x:row r="33">
      <x:c r="A33" s="102" t="str">
        <x:v>PNEWS00032</x:v>
      </x:c>
      <x:c r="B33" s="102" t="str">
        <x:v>TERM0102</x:v>
      </x:c>
      <x:c r="C33" s="102" t="str">
        <x:v>2026-02-05</x:v>
      </x:c>
      <x:c r="D33" s="102" t="str">
        <x:v>Concession</x:v>
      </x:c>
      <x:c r="E33" s="102" t="str">
        <x:v>30-year Aqaba Multipurpose Port concession signed</x:v>
      </x:c>
      <x:c r="F33" s="102" t="str">
        <x:v>JV 70% AD Ports Group / 30% Aqaba Development Corporation.</x:v>
      </x:c>
      <x:c r="G33" s="102" t="str">
        <x:v>AD Ports Group</x:v>
      </x:c>
      <x:c r="H33" s="102" t="str">
        <x:v>https://wpvip.adportsgroup.com/adportsgroup/news-and-media/2026/02/05/ad-ports-group-signs-30-year-agreement-with-aqaba-development-corporation/</x:v>
      </x:c>
      <x:c r="I33" s="102" t="str">
        <x:v>ADP-JOR-AQABA-MP</x:v>
      </x:c>
    </x:row>
    <x:row r="34">
      <x:c r="A34" s="102" t="str">
        <x:v>PNEWS00033</x:v>
      </x:c>
      <x:c r="B34" s="102" t="str">
        <x:v>TERM0082</x:v>
      </x:c>
      <x:c r="C34" s="102" t="str">
        <x:v>2025-11-18</x:v>
      </x:c>
      <x:c r="D34" s="102" t="str">
        <x:v>Expansion</x:v>
      </x:c>
      <x:c r="E34" s="102" t="str">
        <x:v>CMA Terminals Khalifa Port expansion agreed</x:v>
      </x:c>
      <x:c r="F34" s="102" t="str">
        <x:v>Capacity planned from 1.8m to 2.7m TEU by early 2028.</x:v>
      </x:c>
      <x:c r="G34" s="102" t="str">
        <x:v>AD Ports Group</x:v>
      </x:c>
      <x:c r="H34" s="102" t="str">
        <x:v>https://www.adportsgroup.com/en/news-and-media/2025/11/18/ad-ports-group-signs-agreement-with-cma-cgm-group-to-expand-terminal-at-khalifa-port</x:v>
      </x:c>
      <x:c r="I34" s="102" t="str">
        <x:v>ADP-UAE-CMA</x:v>
      </x:c>
    </x:row>
    <x:row r="35">
      <x:c r="A35" s="102" t="str">
        <x:v>PNEWS00034</x:v>
      </x:c>
      <x:c r="B35" s="102" t="str">
        <x:v>TERM0096</x:v>
      </x:c>
      <x:c r="C35" s="102" t="str">
        <x:v>2025-09-19</x:v>
      </x:c>
      <x:c r="D35" s="102" t="str">
        <x:v>Construction</x:v>
      </x:c>
      <x:c r="E35" s="102" t="str">
        <x:v>Luanda terminal modernisation breaks ground</x:v>
      </x:c>
      <x:c r="F35" s="102" t="str">
        <x:v>Project targets 350k TEU and &gt;40k vehicles after completion in Q1 2027.</x:v>
      </x:c>
      <x:c r="G35" s="102" t="str">
        <x:v>AD Ports Group</x:v>
      </x:c>
      <x:c r="H35" s="102" t="str">
        <x:v>https://www.adportsgroup.com/en/news-and-media/2025/09/19/ad-ports-group-breaks-ground-on-noatum-ports-luanda-terminal</x:v>
      </x:c>
      <x:c r="I35" s="102" t="str">
        <x:v>ADP-AGO-LUANDA</x:v>
      </x:c>
    </x:row>
    <x:row r="36">
      <x:c r="A36" s="102" t="str">
        <x:v>PNEWS00035</x:v>
      </x:c>
      <x:c r="B36" s="102" t="str">
        <x:v>TERM0094</x:v>
      </x:c>
      <x:c r="C36" s="102" t="str">
        <x:v>2025-09-02</x:v>
      </x:c>
      <x:c r="D36" s="102" t="str">
        <x:v>Dredging / expansion</x:v>
      </x:c>
      <x:c r="E36" s="102" t="str">
        <x:v>Karachi terminals sign dredging agreement</x:v>
      </x:c>
      <x:c r="F36" s="102" t="str">
        <x:v>KGTL draft to rise from 13 m to 15.5 m and capacity from 750k to 1m TEU.</x:v>
      </x:c>
      <x:c r="G36" s="102" t="str">
        <x:v>AD Ports Group</x:v>
      </x:c>
      <x:c r="H36" s="102" t="str">
        <x:v>https://www.adportsgroup.com/en/news-and-media/2025/09/02/ad-ports-groups-karachi-terminals-in-pakistan-sign-major-dredging-agreement</x:v>
      </x:c>
      <x:c r="I36" s="102" t="str">
        <x:v>ADP-PAK-KGTL</x:v>
      </x:c>
    </x:row>
    <x:row r="37">
      <x:c r="A37" s="102" t="str">
        <x:v>PNEWS00036</x:v>
      </x:c>
      <x:c r="B37" s="102" t="str">
        <x:v>TERM0099</x:v>
      </x:c>
      <x:c r="C37" s="102" t="str">
        <x:v>2025-06-03</x:v>
      </x:c>
      <x:c r="D37" s="102" t="str">
        <x:v>Opening</x:v>
      </x:c>
      <x:c r="E37" s="102" t="str">
        <x:v>Tbilisi Intermodal Hub phase 1 inaugurated</x:v>
      </x:c>
      <x:c r="F37" s="102" t="str">
        <x:v>96k TEU initial capacity with rail-linked container yard; 200k TEU phase expansion planned.</x:v>
      </x:c>
      <x:c r="G37" s="102" t="str">
        <x:v>AD Ports Group</x:v>
      </x:c>
      <x:c r="H37" s="102" t="str">
        <x:v>https://www.adportsgroup.com/en/news-and-media/2025/06/03/ad-ports-group-inaugurates-tbilisi-intermodal-hub-in-georgia</x:v>
      </x:c>
      <x:c r="I37" s="102" t="str">
        <x:v>ADP-GEO-TBILISI</x:v>
      </x:c>
    </x:row>
    <x:row r="38">
      <x:c r="A38" s="102" t="str">
        <x:v>PNEWS00037</x:v>
      </x:c>
      <x:c r="B38" s="102" t="str">
        <x:v>TERM0082</x:v>
      </x:c>
      <x:c r="C38" s="102" t="str">
        <x:v>2025-03-14</x:v>
      </x:c>
      <x:c r="D38" s="102" t="str">
        <x:v>Vessel call</x:v>
      </x:c>
      <x:c r="E38" s="102" t="str">
        <x:v>CMA CGM Iron makes methanol-fuelled vessel call</x:v>
      </x:c>
      <x:c r="F38" s="102" t="str">
        <x:v>Demonstrates terminal capability for 13,000 TEU vessel and confirms equipment specification.</x:v>
      </x:c>
      <x:c r="G38" s="102" t="str">
        <x:v>AD Ports Group</x:v>
      </x:c>
      <x:c r="H38" s="102" t="str">
        <x:v>https://www.adportsgroup.com/en/news-and-media/2025/03/14/the-cma-cgm-iron-the-first-dual-fuel-methanol-vessel-to-visit-abu-dhabi-at-khalifa-port</x:v>
      </x:c>
      <x:c r="I38" s="102" t="str">
        <x:v>ADP-UAE-CMA</x:v>
      </x:c>
    </x:row>
    <x:row r="39">
      <x:c r="A39" s="102" t="str">
        <x:v>PNEWS00038</x:v>
      </x:c>
      <x:c r="B39" s="102" t="str">
        <x:v>TERM0079</x:v>
      </x:c>
      <x:c r="C39" s="102" t="str">
        <x:v>2025-02-24</x:v>
      </x:c>
      <x:c r="D39" s="102" t="str">
        <x:v>Opening</x:v>
      </x:c>
      <x:c r="E39" s="102" t="str">
        <x:v>Al Faya Dry Port inaugurated</x:v>
      </x:c>
      <x:c r="F39" s="102" t="str">
        <x:v>Custom-bound ICD opened with CMA CGM as anchor client.</x:v>
      </x:c>
      <x:c r="G39" s="102" t="str">
        <x:v>AD Ports Group</x:v>
      </x:c>
      <x:c r="H39" s="102" t="str">
        <x:v>https://www.adportsgroup.com/en/news-and-media/2025/02/24/ad-ports-group-opens-its-first-inland-dry-port-facility-in-abu-dhabi-anchored-by-cma-cgm</x:v>
      </x:c>
      <x:c r="I39" s="102" t="str">
        <x:v>ADP-UAE-ALFAYA</x:v>
      </x:c>
    </x:row>
    <x:row r="40">
      <x:c r="A40" s="102" t="str">
        <x:v>PNEWS00039</x:v>
      </x:c>
      <x:c r="B40" s="102" t="str">
        <x:v>TERM0096</x:v>
      </x:c>
      <x:c r="C40" s="102" t="str">
        <x:v>2025-01-30</x:v>
      </x:c>
      <x:c r="D40" s="102" t="str">
        <x:v>Operations</x:v>
      </x:c>
      <x:c r="E40" s="102" t="str">
        <x:v>AD Ports Group begins operations at Luanda terminal</x:v>
      </x:c>
      <x:c r="F40" s="102" t="str">
        <x:v>Long-term management and logistics operations commenced.</x:v>
      </x:c>
      <x:c r="G40" s="102" t="str">
        <x:v>AD Ports Group</x:v>
      </x:c>
      <x:c r="H40" s="102" t="str">
        <x:v>https://wpvip.adportsgroup.com/adportsgroup/news-and-media/2025/01/30/ad-ports-group-starts-port-and-logistics-operations-in-luanda-angola/</x:v>
      </x:c>
      <x:c r="I40" s="102" t="str">
        <x:v>ADP-AGO-LUANDA</x:v>
      </x:c>
    </x:row>
    <x:row r="41">
      <x:c r="A41" s="102" t="str">
        <x:v>PNEWS00040</x:v>
      </x:c>
      <x:c r="B41" s="102" t="str">
        <x:v>TERM0100</x:v>
      </x:c>
      <x:c r="C41" s="102" t="str">
        <x:v>2025-01-14</x:v>
      </x:c>
      <x:c r="D41" s="102" t="str">
        <x:v>Investment / development</x:v>
      </x:c>
      <x:c r="E41" s="102" t="str">
        <x:v>Sarzha Grain Terminal JV announced</x:v>
      </x:c>
      <x:c r="F41" s="102" t="str">
        <x:v>Phase 1 planned at 570k tonnes/year, expanding to 1.5m.</x:v>
      </x:c>
      <x:c r="G41" s="102" t="str">
        <x:v>AD Ports Group</x:v>
      </x:c>
      <x:c r="H41" s="102" t="str">
        <x:v>https://www.adportsgroup.com/en/news-and-media/2025/01/14/ad-ports-group-to-invest-in-greenfield-sarzha-grain-terminal-in-kuryk-port-kazakhstan</x:v>
      </x:c>
      <x:c r="I41" s="102" t="str">
        <x:v>ADP-KAZ-SARZHA</x:v>
      </x:c>
    </x:row>
    <x:row r="42">
      <x:c r="A42" s="102" t="str">
        <x:v>PNEWS00041</x:v>
      </x:c>
      <x:c r="B42" s="102" t="str">
        <x:v>TERM0130</x:v>
      </x:c>
      <x:c r="C42" s="102" t="str">
        <x:v>2026-08-25</x:v>
      </x:c>
      <x:c r="D42" s="102" t="str">
        <x:v>Investment / JV</x:v>
      </x:c>
      <x:c r="E42" s="102" t="str">
        <x:v>RSGT and CMA CGM sign definitive Terminal 4 agreements</x:v>
      </x:c>
      <x:c r="F42" s="102" t="str">
        <x:v>US$434m initial investment; up to 2.6m TEU capacity and ten new STS cranes.</x:v>
      </x:c>
      <x:c r="G42" s="102" t="str">
        <x:v>RSGT</x:v>
      </x:c>
      <x:c r="H42" s="102" t="str">
        <x:v>https://rsgt.com.sa/news/rsgt-and-cma-cgm-announce-usd-434-million-initial-investment-sar-1-6-billion-to-develop-terminal-4-and-add-up-to-2-6-million-teus-of-capacity-at-jeddah-islamic-port/</x:v>
      </x:c>
      <x:c r="I42" s="102" t="str">
        <x:v>CMA-SA-JED4</x:v>
      </x:c>
    </x:row>
    <x:row r="43">
      <x:c r="A43" s="102" t="str">
        <x:v>PNEWS00042</x:v>
      </x:c>
      <x:c r="B43" s="102" t="str">
        <x:v>TERM0115</x:v>
      </x:c>
      <x:c r="C43" s="102" t="str">
        <x:v>2026-07-28</x:v>
      </x:c>
      <x:c r="D43" s="102" t="str">
        <x:v>Corporate / portfolio</x:v>
      </x:c>
      <x:c r="E43" s="102" t="str">
        <x:v>United Ports LLC formation completed</x:v>
      </x:c>
      <x:c r="F43" s="102" t="str">
        <x:v>Nine CMA CGM-operated terminal assets moved into the 75/25 CMA CGM-Stonepeak JV.</x:v>
      </x:c>
      <x:c r="G43" s="102" t="str">
        <x:v>CMA CGM</x:v>
      </x:c>
      <x:c r="H43" s="102" t="str">
        <x:v>https://www.cmacgm-group.com/en/news-media/cma-cgm-and-stonepeak-complete-formation-united-ports-llc</x:v>
      </x:c>
      <x:c r="I43" s="102" t="str">
        <x:v>CMA-US-FENIX</x:v>
      </x:c>
    </x:row>
    <x:row r="44">
      <x:c r="A44" s="102" t="str">
        <x:v>PNEWS00043</x:v>
      </x:c>
      <x:c r="B44" s="102" t="str">
        <x:v>TERM0126</x:v>
      </x:c>
      <x:c r="C44" s="102" t="str">
        <x:v>2026-07-28</x:v>
      </x:c>
      <x:c r="D44" s="102" t="str">
        <x:v>Corporate / portfolio</x:v>
      </x:c>
      <x:c r="E44" s="102" t="str">
        <x:v>Nhava Sheva remains a pending United Ports addition</x:v>
      </x:c>
      <x:c r="F44" s="102" t="str">
        <x:v>Asset was not in the nine-terminal closing portfolio; addition remains subject to approvals.</x:v>
      </x:c>
      <x:c r="G44" s="102" t="str">
        <x:v>CMA CGM</x:v>
      </x:c>
      <x:c r="H44" s="102" t="str">
        <x:v>https://www.cmacgm-group.com/en/news-media/cma-cgm-and-stonepeak-complete-formation-united-ports-llc</x:v>
      </x:c>
      <x:c r="I44" s="102" t="str">
        <x:v>CMA-IN-NSFT</x:v>
      </x:c>
    </x:row>
    <x:row r="45">
      <x:c r="A45" s="102" t="str">
        <x:v>PNEWS00044</x:v>
      </x:c>
      <x:c r="B45" s="102" t="str">
        <x:v>TERM0120</x:v>
      </x:c>
      <x:c r="C45" s="102" t="str">
        <x:v>2026-07-20</x:v>
      </x:c>
      <x:c r="D45" s="102" t="str">
        <x:v>Digitalisation</x:v>
      </x:c>
      <x:c r="E45" s="102" t="str">
        <x:v>Santos Brasil deploys OPUS TOS at Tecon Imbituba</x:v>
      </x:c>
      <x:c r="F45" s="102" t="str">
        <x:v>Part of a R$34m+ technology modernization program across terminal operations.</x:v>
      </x:c>
      <x:c r="G45" s="102" t="str">
        <x:v>Santos Brasil</x:v>
      </x:c>
      <x:c r="H45" s="102" t="str">
        <x:v>https://www.santosbrasil.com.br/v2021/noticia/santos-brasil-implanta-novo-sistema-operacional-no-tecon-imbituba</x:v>
      </x:c>
      <x:c r="I45" s="102" t="str">
        <x:v>CMA-BR-IMB</x:v>
      </x:c>
    </x:row>
    <x:row r="46">
      <x:c r="A46" s="102" t="str">
        <x:v>PNEWS00045</x:v>
      </x:c>
      <x:c r="B46" s="102" t="str">
        <x:v>TERM0132</x:v>
      </x:c>
      <x:c r="C46" s="102" t="str">
        <x:v>2026-06-29</x:v>
      </x:c>
      <x:c r="D46" s="102" t="str">
        <x:v>Ownership / negotiation</x:v>
      </x:c>
      <x:c r="E46" s="102" t="str">
        <x:v>CMA Terminals 20% Hamburg talks remain ongoing</x:v>
      </x:c>
      <x:c r="F46" s="102" t="str">
        <x:v>EUROKAI states final legally binding agreements are still being negotiated.</x:v>
      </x:c>
      <x:c r="G46" s="102" t="str">
        <x:v>EUROKAI / EQS</x:v>
      </x:c>
      <x:c r="H46" s="102" t="str">
        <x:v>https://www.eqs-news.com/news/ad-hoc/eurokai-gmbh-co-kgaa-gesprache-uber-mogliche-verauserung-einer-minderheitsbeteiligung-an-eurogate-container-terminal-hamburg-gmbh/7493bbee-38a3-4d68-81f2-564f67cadc7c_de</x:v>
      </x:c>
      <x:c r="I46" s="102" t="str">
        <x:v>CMA-DE-HAM</x:v>
      </x:c>
    </x:row>
    <x:row r="47">
      <x:c r="A47" s="102" t="str">
        <x:v>PNEWS00046</x:v>
      </x:c>
      <x:c r="B47" s="102" t="str">
        <x:v>TERM0097</x:v>
      </x:c>
      <x:c r="C47" s="102" t="str">
        <x:v>2026-05-18</x:v>
      </x:c>
      <x:c r="D47" s="102" t="str">
        <x:v>Construction / equipment</x:v>
      </x:c>
      <x:c r="E47" s="102" t="str">
        <x:v>Pointe-Noire contracts awarded</x:v>
      </x:c>
      <x:c r="F47" s="102" t="str">
        <x:v>Marine/landside works plus 3 STS and 9 RTGs move project into construction.</x:v>
      </x:c>
      <x:c r="G47" s="102" t="str">
        <x:v>AD Ports Group</x:v>
      </x:c>
      <x:c r="H47" s="102" t="str">
        <x:v>https://www.adportsgroup.com/en/news-and-media/2026/05/18/ad-ports-group-awards-three-contracts-for-noatum-ports-pointe-noire-terminal</x:v>
      </x:c>
      <x:c r="I47" s="102" t="str">
        <x:v>CMA-CG-PNR</x:v>
      </x:c>
    </x:row>
    <x:row r="48">
      <x:c r="A48" s="102" t="str">
        <x:v>PNEWS00047</x:v>
      </x:c>
      <x:c r="B48" s="102" t="str">
        <x:v>TERM0133</x:v>
      </x:c>
      <x:c r="C48" s="102" t="str">
        <x:v>2026-05-10</x:v>
      </x:c>
      <x:c r="D48" s="102" t="str">
        <x:v>Strategic investment</x:v>
      </x:c>
      <x:c r="E48" s="102" t="str">
        <x:v>CMA CGM signs Kenya transport/logistics infrastructure framework</x:v>
      </x:c>
      <x:c r="F48" s="102" t="str">
        <x:v>Framework centers on expansion of Kenyan port/logistics capacity, with Mombasa terminal development subsequently described.</x:v>
      </x:c>
      <x:c r="G48" s="102" t="str">
        <x:v>CMA CGM</x:v>
      </x:c>
      <x:c r="H48" s="102" t="str">
        <x:v>https://cmacgm-group.com/en/news-media/africa-forward-summit-rodolphe-saade-signs-government-republic-of-kenya-strategic-partnership-agreement</x:v>
      </x:c>
      <x:c r="I48" s="102" t="str">
        <x:v>CMA-KE-MBA</x:v>
      </x:c>
    </x:row>
    <x:row r="49">
      <x:c r="A49" s="102" t="str">
        <x:v>PNEWS00048</x:v>
      </x:c>
      <x:c r="B49" s="102" t="str">
        <x:v>TERM0125</x:v>
      </x:c>
      <x:c r="C49" s="102" t="str">
        <x:v>2026</x:v>
      </x:c>
      <x:c r="D49" s="102" t="str">
        <x:v>Expansion</x:v>
      </x:c>
      <x:c r="E49" s="102" t="str">
        <x:v>Gemalink Phase 2 works launched</x:v>
      </x:c>
      <x:c r="F49" s="102" t="str">
        <x:v>Capacity target rises to about 3m TEU by Q4 2027, with quay and crane expansion.</x:v>
      </x:c>
      <x:c r="G49" s="102" t="str">
        <x:v>CMA CGM</x:v>
      </x:c>
      <x:c r="H49" s="102" t="str">
        <x:v>https://www.cmacgm-group.com/en/news-media/cma-cgm-launches-phase-2-expansion-works-gemalink-container-terminal</x:v>
      </x:c>
      <x:c r="I49" s="102" t="str">
        <x:v>CMA-VN-GEMA</x:v>
      </x:c>
    </x:row>
    <x:row r="50">
      <x:c r="A50" s="102" t="str">
        <x:v>PNEWS00049</x:v>
      </x:c>
      <x:c r="B50" s="102" t="str">
        <x:v>TERM0134</x:v>
      </x:c>
      <x:c r="C50" s="102" t="str">
        <x:v>2026-03-06</x:v>
      </x:c>
      <x:c r="D50" s="102" t="str">
        <x:v>Investment</x:v>
      </x:c>
      <x:c r="E50" s="102" t="str">
        <x:v>CMA CGM confirms 35% October Dry Port stake</x:v>
      </x:c>
      <x:c r="F50" s="102" t="str">
        <x:v>Adds a rail-linked inland node to its Egyptian terminal/logistics footprint.</x:v>
      </x:c>
      <x:c r="G50" s="102" t="str">
        <x:v>CMA CGM</x:v>
      </x:c>
      <x:c r="H50" s="102" t="str">
        <x:v>https://www.cmacgm-group.com/en/news-media/annual-financial-results-2025</x:v>
      </x:c>
      <x:c r="I50" s="102" t="str">
        <x:v>CMA-EG-ODP</x:v>
      </x:c>
    </x:row>
    <x:row r="51">
      <x:c r="A51" s="102" t="str">
        <x:v>PNEWS00050</x:v>
      </x:c>
      <x:c r="B51" s="102" t="str">
        <x:v>TERM0082</x:v>
      </x:c>
      <x:c r="C51" s="102" t="str">
        <x:v>2025-11-18</x:v>
      </x:c>
      <x:c r="D51" s="102" t="str">
        <x:v>Expansion</x:v>
      </x:c>
      <x:c r="E51" s="102" t="str">
        <x:v>Khalifa terminal expansion agreed</x:v>
      </x:c>
      <x:c r="F51" s="102" t="str">
        <x:v>Capacity planned from 1.8m to 2.7m TEU and quay from 800m to 1,200m by early 2028.</x:v>
      </x:c>
      <x:c r="G51" s="102" t="str">
        <x:v>AD Ports Group</x:v>
      </x:c>
      <x:c r="H51" s="102" t="str">
        <x:v>https://www.adportsgroup.com/en/news-and-media/2025/11/18/ad-ports-group-signs-agreement-with-cma-cgm-group-to-expand-terminal-at-khalifa-port</x:v>
      </x:c>
      <x:c r="I51" s="102" t="str">
        <x:v>CMA-AE-KHAL</x:v>
      </x:c>
    </x:row>
    <x:row r="52">
      <x:c r="A52" s="102" t="str">
        <x:v>PNEWS00051</x:v>
      </x:c>
      <x:c r="B52" s="102" t="str">
        <x:v>TERM0129</x:v>
      </x:c>
      <x:c r="C52" s="102" t="str">
        <x:v>2025-10-24</x:v>
      </x:c>
      <x:c r="D52" s="102" t="str">
        <x:v>JV / development</x:v>
      </x:c>
      <x:c r="E52" s="102" t="str">
        <x:v>Nador West Med operating agreement finalized</x:v>
      </x:c>
      <x:c r="F52" s="102" t="str">
        <x:v>51/49 Marsa Maroc-CMA Terminals JV targets 1.8m TEU and 2027 operation.</x:v>
      </x:c>
      <x:c r="G52" s="102" t="str">
        <x:v>CMA CGM</x:v>
      </x:c>
      <x:c r="H52" s="102" t="str">
        <x:v>https://www.cma-cgm.com/news/5223/marsa-maroc-and-cma-cgm-finalize-the-agreement-for-the-operation-of-a-container-terminal-at-the-port-of-nador-west-med</x:v>
      </x:c>
      <x:c r="I52" s="102" t="str">
        <x:v>CMA-MA-NADOR</x:v>
      </x:c>
    </x:row>
    <x:row r="53">
      <x:c r="A53" s="102" t="str">
        <x:v>PNEWS00052</x:v>
      </x:c>
      <x:c r="B53" s="102" t="str">
        <x:v>TERM0162</x:v>
      </x:c>
      <x:c r="C53" s="102" t="str">
        <x:v>2026-08</x:v>
      </x:c>
      <x:c r="D53" s="102" t="str">
        <x:v>Infrastructure / capacity</x:v>
      </x:c>
      <x:c r="E53" s="102" t="str">
        <x:v>Portonave expands operational quay length</x:v>
      </x:c>
      <x:c r="F53" s="102" t="str">
        <x:v>Project enables simultaneous berthing of two vessels as reinforcement program advances.</x:v>
      </x:c>
      <x:c r="G53" s="102" t="str">
        <x:v>Portonave</x:v>
      </x:c>
      <x:c r="H53" s="102" t="str">
        <x:v>https://www.portonave.com.br/en/todas-as-noticias/portonave-expands-operational-quay-length-and-enables-simultaneous-berthing-of-two-vessels</x:v>
      </x:c>
      <x:c r="I53" s="102" t="str">
        <x:v>TIL-BR-PORTO</x:v>
      </x:c>
    </x:row>
    <x:row r="54">
      <x:c r="A54" s="102" t="str">
        <x:v>PNEWS00053</x:v>
      </x:c>
      <x:c r="B54" s="102" t="str">
        <x:v>TERM0177</x:v>
      </x:c>
      <x:c r="C54" s="102" t="str">
        <x:v>2026-06-30</x:v>
      </x:c>
      <x:c r="D54" s="102" t="str">
        <x:v>Ownership / investment</x:v>
      </x:c>
      <x:c r="E54" s="102" t="str">
        <x:v>TiL agrees to acquire 49% of Vizhinjam concessionaire</x:v>
      </x:c>
      <x:c r="F54" s="102" t="str">
        <x:v>US$1.397bn investment; port capacity expansion target rises from 1.6m to 5.7m TEU.</x:v>
      </x:c>
      <x:c r="G54" s="102" t="str">
        <x:v>Adani Ports</x:v>
      </x:c>
      <x:c r="H54" s="102" t="str">
        <x:v>https://www.adani.com/newsroom/media-releases/apsez-and-msc-group-deepen-long-term-partnership</x:v>
      </x:c>
      <x:c r="I54" s="102" t="str">
        <x:v>TIL-IN-VIZ</x:v>
      </x:c>
    </x:row>
    <x:row r="55">
      <x:c r="A55" s="102" t="str">
        <x:v>PNEWS00054</x:v>
      </x:c>
      <x:c r="B55" s="102" t="str">
        <x:v>TERM0178</x:v>
      </x:c>
      <x:c r="C55" s="102" t="str">
        <x:v>2026-05-12</x:v>
      </x:c>
      <x:c r="D55" s="102" t="str">
        <x:v>Regulatory / investment</x:v>
      </x:c>
      <x:c r="E55" s="102" t="str">
        <x:v>COMESA approves TiL-Misurata Free Zone transaction</x:v>
      </x:c>
      <x:c r="F55" s="102" t="str">
        <x:v>Regulatory approval advances TiL's role in the Misurata container-terminal development.</x:v>
      </x:c>
      <x:c r="G55" s="102" t="str">
        <x:v>COMESA Competition Commission</x:v>
      </x:c>
      <x:c r="H55" s="102" t="str">
        <x:v>https://comesacompetition.org/decided-cases/</x:v>
      </x:c>
      <x:c r="I55" s="102" t="str">
        <x:v>TIL-LY-MIS</x:v>
      </x:c>
    </x:row>
    <x:row r="56">
      <x:c r="A56" s="102" t="str">
        <x:v>PNEWS00055</x:v>
      </x:c>
      <x:c r="B56" s="102" t="str">
        <x:v>TERM0174</x:v>
      </x:c>
      <x:c r="C56" s="102" t="str">
        <x:v>2026-05-01</x:v>
      </x:c>
      <x:c r="D56" s="102" t="str">
        <x:v>Construction</x:v>
      </x:c>
      <x:c r="E56" s="102" t="str">
        <x:v>Sparrows Point Container Terminal breaks ground</x:v>
      </x:c>
      <x:c r="F56" s="102" t="str">
        <x:v>330-acre Baltimore-area container/intermodal development moves into construction.</x:v>
      </x:c>
      <x:c r="G56" s="102" t="str">
        <x:v>SPCT</x:v>
      </x:c>
      <x:c r="H56" s="102" t="str">
        <x:v>https://www.spctmd.com/</x:v>
      </x:c>
      <x:c r="I56" s="102" t="str">
        <x:v>TIL-US-SPCT</x:v>
      </x:c>
    </x:row>
    <x:row r="57">
      <x:c r="A57" s="102" t="str">
        <x:v>PNEWS00056</x:v>
      </x:c>
      <x:c r="B57" s="102" t="str">
        <x:v>TERM0178</x:v>
      </x:c>
      <x:c r="C57" s="102" t="str">
        <x:v>2026-01-18</x:v>
      </x:c>
      <x:c r="D57" s="102" t="str">
        <x:v>PPP / expansion</x:v>
      </x:c>
      <x:c r="E57" s="102" t="str">
        <x:v>Misurata Free Zone signs long-term TiL/Maha Capital partnership</x:v>
      </x:c>
      <x:c r="F57" s="102" t="str">
        <x:v>US$2.7bn program targets modernization and capacity of up to 4m TEU.</x:v>
      </x:c>
      <x:c r="G57" s="102" t="str">
        <x:v>Misurata Free Zone</x:v>
      </x:c>
      <x:c r="H57" s="102" t="str">
        <x:v>https://www.mfzly.com/en/post.php?id=90</x:v>
      </x:c>
      <x:c r="I57" s="102" t="str">
        <x:v>TIL-LY-MIS</x:v>
      </x:c>
    </x:row>
    <x:row r="58">
      <x:c r="A58" s="102" t="str">
        <x:v>PNEWS00057</x:v>
      </x:c>
      <x:c r="B58" s="102" t="str">
        <x:v>TERM0164</x:v>
      </x:c>
      <x:c r="C58" s="102" t="str">
        <x:v>2026</x:v>
      </x:c>
      <x:c r="D58" s="102" t="str">
        <x:v>Modernization</x:v>
      </x:c>
      <x:c r="E58" s="102" t="str">
        <x:v>Le Havre modernization continues toward 2028</x:v>
      </x:c>
      <x:c r="F58" s="102" t="str">
        <x:v>Project targets 20 STS cranes, tripled storage capacity and shore power.</x:v>
      </x:c>
      <x:c r="G58" s="102" t="str">
        <x:v>TiL</x:v>
      </x:c>
      <x:c r="H58" s="102" t="str">
        <x:v>https://tilgroup.com/our-terminals/havre.html</x:v>
      </x:c>
      <x:c r="I58" s="102" t="str">
        <x:v>TIL-FR-TN</x:v>
      </x:c>
    </x:row>
    <x:row r="59">
      <x:c r="A59" s="102" t="str">
        <x:v>PNEWS00058</x:v>
      </x:c>
      <x:c r="B59" s="102" t="str">
        <x:v>TERM0163</x:v>
      </x:c>
      <x:c r="C59" s="102" t="str">
        <x:v>2026</x:v>
      </x:c>
      <x:c r="D59" s="102" t="str">
        <x:v>Expansion</x:v>
      </x:c>
      <x:c r="E59" s="102" t="str">
        <x:v>TiL continues planning 4.8m TEU automated Valencia expansion</x:v>
      </x:c>
      <x:c r="F59" s="102" t="str">
        <x:v>Concept calls for 22 STS, 50 ASCs and 160 AGVs.</x:v>
      </x:c>
      <x:c r="G59" s="102" t="str">
        <x:v>TiL</x:v>
      </x:c>
      <x:c r="H59" s="102" t="str">
        <x:v>https://www.tilgroup.com/our-terminals/valencia.html</x:v>
      </x:c>
      <x:c r="I59" s="102" t="str">
        <x:v>TIL-ES-VAL</x:v>
      </x:c>
    </x:row>
    <x:row r="60">
      <x:c r="A60" s="102" t="str">
        <x:v>PNEWS00059</x:v>
      </x:c>
      <x:c r="B60" s="102" t="str">
        <x:v>TERM0242</x:v>
      </x:c>
      <x:c r="C60" s="102" t="str">
        <x:v>2026-08-31</x:v>
      </x:c>
      <x:c r="D60" s="102" t="str">
        <x:v>Construction</x:v>
      </x:c>
      <x:c r="E60" s="102" t="str">
        <x:v>APM Terminals breaks ground in Laldia</x:v>
      </x:c>
      <x:c r="F60" s="102" t="str">
        <x:v>US$550m PPP moves into construction; &gt;800k TEU capacity planned.</x:v>
      </x:c>
      <x:c r="G60" s="102" t="str">
        <x:v>APM Terminals</x:v>
      </x:c>
      <x:c r="H60" s="102" t="str">
        <x:v>https://www2.apmterminals.com/en/news/news-releases/2026/260831-APMTerminals-breaks-ground-in-Laldia</x:v>
      </x:c>
      <x:c r="I60" s="102" t="str">
        <x:v>APM-BD-LALDIA</x:v>
      </x:c>
    </x:row>
    <x:row r="61">
      <x:c r="A61" s="102" t="str">
        <x:v>PNEWS00060</x:v>
      </x:c>
      <x:c r="B61" s="102" t="str">
        <x:v>TERM0224</x:v>
      </x:c>
      <x:c r="C61" s="102" t="str">
        <x:v>2026-08-19</x:v>
      </x:c>
      <x:c r="D61" s="102" t="str">
        <x:v>Ownership / expansion</x:v>
      </x:c>
      <x:c r="E61" s="102" t="str">
        <x:v>Hapag-Lloyd agrees to acquire 25% of Maasvlakte II</x:v>
      </x:c>
      <x:c r="F61" s="102" t="str">
        <x:v>Expansion targets 2,000m deep-sea berth and 5.4m TEU annual capacity.</x:v>
      </x:c>
      <x:c r="G61" s="102" t="str">
        <x:v>APM Terminals</x:v>
      </x:c>
      <x:c r="H61" s="102" t="str">
        <x:v>https://www2.apmterminals.com/en/news/news-releases/2026/260819-APMTerminals-and-Hapag-Lloyd-partner-at-Maasvlakte-II</x:v>
      </x:c>
      <x:c r="I61" s="102" t="str">
        <x:v>APM-ROTTERDAM-MAASVLAKTE-II</x:v>
      </x:c>
    </x:row>
    <x:row r="62">
      <x:c r="A62" s="102" t="str">
        <x:v>PNEWS00061</x:v>
      </x:c>
      <x:c r="B62" s="102" t="str">
        <x:v>TERM0192</x:v>
      </x:c>
      <x:c r="C62" s="102" t="str">
        <x:v>2026-06-12</x:v>
      </x:c>
      <x:c r="D62" s="102" t="str">
        <x:v>Opening / commissioning</x:v>
      </x:c>
      <x:c r="E62" s="102" t="str">
        <x:v>APM Terminals delivers Suape terminal</x:v>
      </x:c>
      <x:c r="F62" s="102" t="str">
        <x:v>New fully electric Northeast Brazil gateway reaches final readiness stage with 400k TEU initial capacity.</x:v>
      </x:c>
      <x:c r="G62" s="102" t="str">
        <x:v>APM Terminals</x:v>
      </x:c>
      <x:c r="H62" s="102" t="str">
        <x:v>https://www2.apmterminals.com/en/news/news-releases/2026/260612-APMTerminals-delivers-Suape-Brazil</x:v>
      </x:c>
      <x:c r="I62" s="102" t="str">
        <x:v>APM-SUAPE-TERMINAL</x:v>
      </x:c>
    </x:row>
    <x:row r="63">
      <x:c r="A63" s="102" t="str">
        <x:v>PNEWS00062</x:v>
      </x:c>
      <x:c r="B63" s="102" t="str">
        <x:v>TERM0243</x:v>
      </x:c>
      <x:c r="C63" s="102" t="str">
        <x:v>2026-04-25</x:v>
      </x:c>
      <x:c r="D63" s="102" t="str">
        <x:v>Development</x:v>
      </x:c>
      <x:c r="E63" s="102" t="str">
        <x:v>APM Terminals and Hateco partner on Da Nang deep-water terminal</x:v>
      </x:c>
      <x:c r="F63" s="102" t="str">
        <x:v>Project targets &gt;5.7m TEU and up to eight berths.</x:v>
      </x:c>
      <x:c r="G63" s="102" t="str">
        <x:v>APM Terminals</x:v>
      </x:c>
      <x:c r="H63" s="102" t="str">
        <x:v>https://akamai.apmterminals.com/en/news/news-releases/2026/260425-APM-Terminals-and-Hateco-partner-in-Da-Nang</x:v>
      </x:c>
      <x:c r="I63" s="102" t="str">
        <x:v>APM-VN-DANANG</x:v>
      </x:c>
    </x:row>
    <x:row r="64">
      <x:c r="A64" s="102" t="str">
        <x:v>PNEWS00063</x:v>
      </x:c>
      <x:c r="B64" s="102" t="str">
        <x:v>TERM0228</x:v>
      </x:c>
      <x:c r="C64" s="102" t="str">
        <x:v>2026-04-22</x:v>
      </x:c>
      <x:c r="D64" s="102" t="str">
        <x:v>Concession / investment</x:v>
      </x:c>
      <x:c r="E64" s="102" t="str">
        <x:v>Valencia partnership extended with electric upgrade</x:v>
      </x:c>
      <x:c r="F64" s="102" t="str">
        <x:v>Concession extended to 2049 with quay and electrification investment.</x:v>
      </x:c>
      <x:c r="G64" s="102" t="str">
        <x:v>APM Terminals</x:v>
      </x:c>
      <x:c r="H64" s="102" t="str">
        <x:v>https://www2.apmterminals.com/en/news/news-releases/2026/260422-APM-Terminals-invests-in-upgrade-and-extends-partnership</x:v>
      </x:c>
      <x:c r="I64" s="102" t="str">
        <x:v>APM-VALENCIA</x:v>
      </x:c>
    </x:row>
    <x:row r="65">
      <x:c r="A65" s="102" t="str">
        <x:v>PNEWS00064</x:v>
      </x:c>
      <x:c r="B65" s="102" t="str">
        <x:v>TERM0191</x:v>
      </x:c>
      <x:c r="C65" s="102" t="str">
        <x:v>2026-03-20</x:v>
      </x:c>
      <x:c r="D65" s="102" t="str">
        <x:v>Expansion</x:v>
      </x:c>
      <x:c r="E65" s="102" t="str">
        <x:v>Lázaro Cárdenas Phase II opens; Phase III begins</x:v>
      </x:c>
      <x:c r="F65" s="102" t="str">
        <x:v>Capacity reaches up to 2m TEU; &gt;US$350m next-stage investment launched.</x:v>
      </x:c>
      <x:c r="G65" s="102" t="str">
        <x:v>APM Terminals</x:v>
      </x:c>
      <x:c r="H65" s="102" t="str">
        <x:v>https://www2.apmterminals.com/en/news/news-releases/2026/260320-APMTerminals-lazaro-cardenas-announces-investment-PhaseII</x:v>
      </x:c>
      <x:c r="I65" s="102" t="str">
        <x:v>APM-LÁZARO-CÁRDENAS-TERMINAL</x:v>
      </x:c>
    </x:row>
    <x:row r="66">
      <x:c r="A66" s="102" t="str">
        <x:v>PNEWS00065</x:v>
      </x:c>
      <x:c r="B66" s="102" t="str">
        <x:v>TERM0244</x:v>
      </x:c>
      <x:c r="C66" s="102" t="str">
        <x:v>2026-02-24</x:v>
      </x:c>
      <x:c r="D66" s="102" t="str">
        <x:v>Temporary operation</x:v>
      </x:c>
      <x:c r="E66" s="102" t="str">
        <x:v>APM Terminals begins temporary Balboa operations</x:v>
      </x:c>
      <x:c r="F66" s="102" t="str">
        <x:v>Up to 18-month stabilization mandate includes TOS migration and asset diagnostics.</x:v>
      </x:c>
      <x:c r="G66" s="102" t="str">
        <x:v>APM Terminals</x:v>
      </x:c>
      <x:c r="H66" s="102" t="str">
        <x:v>https://www2.apmterminals.com/en/news/news-releases/2026/260224-APM-Terminals-begins-temporary-operations-Port-of-Balboa</x:v>
      </x:c>
      <x:c r="I66" s="102" t="str">
        <x:v>APM-PA-BALBOA</x:v>
      </x:c>
    </x:row>
    <x:row r="67">
      <x:c r="A67" s="102" t="str">
        <x:v>PNEWS00066</x:v>
      </x:c>
      <x:c r="B67" s="102" t="str">
        <x:v>TERM0040</x:v>
      </x:c>
      <x:c r="C67" s="102" t="str">
        <x:v>2026-02-18</x:v>
      </x:c>
      <x:c r="D67" s="102" t="str">
        <x:v>Ownership / investment</x:v>
      </x:c>
      <x:c r="E67" s="102" t="str">
        <x:v>APM Terminals and DP World announce Jeddah partnership</x:v>
      </x:c>
      <x:c r="F67" s="102" t="str">
        <x:v>APM to acquire 37.5% minority stake; DP World retains 62.5% and operation.</x:v>
      </x:c>
      <x:c r="G67" s="102" t="str">
        <x:v>APM Terminals</x:v>
      </x:c>
      <x:c r="H67" s="102" t="str">
        <x:v>https://www2.apmterminals.com/en/news/news-releases/2026/260218-APM-Terminals-DPWorld-strategic-partnership-Jeddah-Islamic-Port</x:v>
      </x:c>
      <x:c r="I67" s="102" t="str">
        <x:v>APM-SA-JEDDAH-SCT</x:v>
      </x:c>
    </x:row>
  </x:sheetData>
  <x:pageMargins left="0.7" right="0.7" top="0.75" bottom="0.75" header="0.3" footer="0.3"/>
</x:worksheet>
</file>

<file path=xl/worksheets/sheet83.xml><?xml version="1.0" encoding="utf-8"?>
<x:worksheet xmlns:x="http://schemas.openxmlformats.org/spreadsheetml/2006/main">
  <x:sheetFormatPr defaultRowHeight="15"/>
  <x:cols>
    <x:col min="1" max="1" width="28" hidden="0" customWidth="1"/>
    <x:col min="2" max="2" width="90" hidden="0" customWidth="1"/>
    <x:col min="3" max="3" width="80" hidden="0" customWidth="1"/>
  </x:cols>
  <x:sheetData>
    <x:row r="1" ht="34" customHeight="1">
      <x:c r="A1" s="223" t="str">
        <x:v>Topic</x:v>
      </x:c>
      <x:c r="B1" s="223" t="str">
        <x:v>v1.13 Port Infrastructure Rule</x:v>
      </x:c>
      <x:c r="C1" s="223" t="str">
        <x:v>Why It Matters</x:v>
      </x:c>
    </x:row>
    <x:row r="2">
      <x:c r="A2" s="102" t="str">
        <x:v>Canonical physical identity</x:v>
      </x:c>
      <x:c r="B2" s="102" t="str">
        <x:v>A physical terminal appears once in Port Terminals even when several operators, investors or JV partners appear in source datasets.</x:v>
      </x:c>
      <x:c r="C2" s="102" t="str">
        <x:v>Prevents double counting and lets Ask P&amp;C distinguish ownership from physical infrastructure.</x:v>
      </x:c>
    </x:row>
    <x:row r="3">
      <x:c r="A3" s="102" t="str">
        <x:v>Parent ports</x:v>
      </x:c>
      <x:c r="B3" s="102" t="str">
        <x:v>Ports is now the parent harbour/port layer; Port Terminals is the facility layer beneath it.</x:v>
      </x:c>
      <x:c r="C3" s="102" t="str">
        <x:v>Lets the app show Port of Santos → BTP / DP World Santos / Tecon Santos as distinct terminals within one port system.</x:v>
      </x:c>
    </x:row>
    <x:row r="4">
      <x:c r="A4" s="102" t="str">
        <x:v>Berths &amp; depth</x:v>
      </x:c>
      <x:c r="B4" s="102" t="str">
        <x:v>Berth-level length/depth records live in Port Berths; terminal rows carry a best verified summary only.</x:v>
      </x:c>
      <x:c r="C4" s="102" t="str">
        <x:v>Supports operational questions such as which terminals can accept deeper-draft vessels.</x:v>
      </x:c>
    </x:row>
    <x:row r="5">
      <x:c r="A5" s="102" t="str">
        <x:v>Equipment</x:v>
      </x:c>
      <x:c r="B5" s="102" t="str">
        <x:v>STS, RTG, RMG, ASC, straddles, reach stackers and related equipment are row-wise records in Port Equipment.</x:v>
      </x:c>
      <x:c r="C5" s="102" t="str">
        <x:v>Allows equipment counts and automation/electrification analysis without dozens of columns.</x:v>
      </x:c>
    </x:row>
    <x:row r="6">
      <x:c r="A6" s="102" t="str">
        <x:v>Ownership / operation</x:v>
      </x:c>
      <x:c r="B6" s="102" t="str">
        <x:v>Equity, concession, minority investment and operating control are separated in Port Ownership.</x:v>
      </x:c>
      <x:c r="C6" s="102" t="str">
        <x:v>A 49% shareholder is not automatically the operator; proposed investments do not become current control.</x:v>
      </x:c>
    </x:row>
    <x:row r="7">
      <x:c r="A7" s="102" t="str">
        <x:v>Port news</x:v>
      </x:c>
      <x:c r="B7" s="102" t="str">
        <x:v>News/developments are stored in Port News with live URLs and linked to Terminal ID.</x:v>
      </x:c>
      <x:c r="C7" s="102" t="str">
        <x:v>The Streamlit port-detail view can display current developments separately from static infrastructure.</x:v>
      </x:c>
    </x:row>
    <x:row r="8">
      <x:c r="A8" s="102" t="str">
        <x:v>Source confidence</x:v>
      </x:c>
      <x:c r="B8" s="102" t="str">
        <x:v>Blank infrastructure values mean not publicly verified, never zero.</x:v>
      </x:c>
      <x:c r="C8" s="102" t="str">
        <x:v>Avoids false comparisons when operator websites do not publish depth or crane counts.</x:v>
      </x:c>
    </x:row>
    <x:row r="9">
      <x:c r="A9" s="102" t="str">
        <x:v>Legacy assets</x:v>
      </x:c>
      <x:c r="B9" s="102" t="str">
        <x:v>Assets remains for backward compatibility, but terminal analytics should use Port Terminals and related tables.</x:v>
      </x:c>
      <x:c r="C9" s="102" t="str">
        <x:v>Preserves existing joins while migrating the app to the richer model.</x:v>
      </x:c>
    </x:row>
  </x:sheetData>
  <x:pageMargins left="0.7" right="0.7" top="0.75" bottom="0.75" header="0.3" footer="0.3"/>
</x:worksheet>
</file>
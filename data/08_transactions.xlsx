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beb93b5d243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Index" sheetId="1" r:id="R13c004b74d1c4c10"/>
    <x:sheet xmlns:r="http://schemas.openxmlformats.org/officeDocument/2006/relationships" name="Infra Deals" sheetId="2" r:id="R9ebd31a8130c4250"/>
    <x:sheet xmlns:r="http://schemas.openxmlformats.org/officeDocument/2006/relationships" name="Transactions V125" sheetId="3" r:id="R3d1f6b47ca9c4c74"/>
    <x:sheet xmlns:r="http://schemas.openxmlformats.org/officeDocument/2006/relationships" name="Transaction Approvals" sheetId="4" r:id="R27cd6e7593db4838"/>
    <x:sheet xmlns:r="http://schemas.openxmlformats.org/officeDocument/2006/relationships" name="Transaction Status History" sheetId="5" r:id="R40538f4ed58d4300"/>
    <x:sheet xmlns:r="http://schemas.openxmlformats.org/officeDocument/2006/relationships" name="Transaction Asset Links" sheetId="6" r:id="R8257455d859e4255"/>
    <x:sheet xmlns:r="http://schemas.openxmlformats.org/officeDocument/2006/relationships" name="Vessel Transactions" sheetId="7" r:id="R03d816697dd14a1f"/>
    <x:sheet xmlns:r="http://schemas.openxmlformats.org/officeDocument/2006/relationships" name="Asset Control History" sheetId="8" r:id="Rfbc0030ea9674ac1"/>
    <x:sheet xmlns:r="http://schemas.openxmlformats.org/officeDocument/2006/relationships" name="FX Normalization" sheetId="9" r:id="R29b8440a0c174e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000"/>
    <x:numFmt numFmtId="202" formatCode="$#,##0.00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1F33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C5A253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7e37fd7d7547c9" /><Relationship Type="http://schemas.openxmlformats.org/officeDocument/2006/relationships/theme" Target="/xl/theme/theme1.xml" Id="Rc7f6609c63044d73" /><Relationship Type="http://schemas.openxmlformats.org/officeDocument/2006/relationships/sharedStrings" Target="/xl/sharedStrings.xml" Id="R4b3f883066944a13" /><Relationship Type="http://schemas.openxmlformats.org/officeDocument/2006/relationships/worksheet" Target="/xl/worksheets/sheet1.xml" Id="R13c004b74d1c4c10" /><Relationship Type="http://schemas.openxmlformats.org/officeDocument/2006/relationships/worksheet" Target="/xl/worksheets/sheet2.xml" Id="R9ebd31a8130c4250" /><Relationship Type="http://schemas.openxmlformats.org/officeDocument/2006/relationships/worksheet" Target="/xl/worksheets/sheet3.xml" Id="R3d1f6b47ca9c4c74" /><Relationship Type="http://schemas.openxmlformats.org/officeDocument/2006/relationships/worksheet" Target="/xl/worksheets/sheet4.xml" Id="R27cd6e7593db4838" /><Relationship Type="http://schemas.openxmlformats.org/officeDocument/2006/relationships/worksheet" Target="/xl/worksheets/sheet5.xml" Id="R40538f4ed58d4300" /><Relationship Type="http://schemas.openxmlformats.org/officeDocument/2006/relationships/worksheet" Target="/xl/worksheets/sheet6.xml" Id="R8257455d859e4255" /><Relationship Type="http://schemas.openxmlformats.org/officeDocument/2006/relationships/worksheet" Target="/xl/worksheets/sheet7.xml" Id="R03d816697dd14a1f" /><Relationship Type="http://schemas.openxmlformats.org/officeDocument/2006/relationships/worksheet" Target="/xl/worksheets/sheet8.xml" Id="Rfbc0030ea9674ac1" /><Relationship Type="http://schemas.openxmlformats.org/officeDocument/2006/relationships/worksheet" Target="/xl/worksheets/sheet9.xml" Id="R29b8440a0c174e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</x:cols>
  <x:sheetData>
    <x:row r="1">
      <x:c r="A1" s="3" t="str">
        <x:v>P&amp;C Trade System v1.25 — 08 Transactions</x:v>
      </x:c>
      <x:c r="B1" s="3" t="str"/>
      <x:c r="C1" s="3" t="str"/>
      <x:c r="D1" s="3" t="str"/>
    </x:row>
    <x:row r="2">
      <x:c r="A2" s="7" t="str">
        <x:v>Sheet</x:v>
      </x:c>
      <x:c r="B2" s="7" t="str">
        <x:v>Rows</x:v>
      </x:c>
      <x:c r="C2" s="7" t="str">
        <x:v>Columns</x:v>
      </x:c>
      <x:c r="D2" s="7" t="str">
        <x:v>Purpose</x:v>
      </x:c>
    </x:row>
    <x:row r="3">
      <x:c r="A3" t="str">
        <x:v>Infra Deals</x:v>
      </x:c>
      <x:c r="B3" t="n">
        <x:v>16</x:v>
      </x:c>
      <x:c r="C3" t="n">
        <x:v>20</x:v>
      </x:c>
      <x:c r="D3" t="str">
        <x:v>v1.25 theory model</x:v>
      </x:c>
    </x:row>
    <x:row r="4">
      <x:c r="A4" t="str">
        <x:v>Transactions V125</x:v>
      </x:c>
      <x:c r="B4" t="n">
        <x:v>4</x:v>
      </x:c>
      <x:c r="C4" t="n">
        <x:v>17</x:v>
      </x:c>
      <x:c r="D4" t="str">
        <x:v>v1.25 theory model</x:v>
      </x:c>
    </x:row>
    <x:row r="5">
      <x:c r="A5" t="str">
        <x:v>Transaction Approvals</x:v>
      </x:c>
      <x:c r="B5" t="n">
        <x:v>3</x:v>
      </x:c>
      <x:c r="C5" t="n">
        <x:v>9</x:v>
      </x:c>
      <x:c r="D5" t="str">
        <x:v>v1.25 theory model</x:v>
      </x:c>
    </x:row>
    <x:row r="6">
      <x:c r="A6" t="str">
        <x:v>Transaction Status History</x:v>
      </x:c>
      <x:c r="B6" t="n">
        <x:v>4</x:v>
      </x:c>
      <x:c r="C6" t="n">
        <x:v>8</x:v>
      </x:c>
      <x:c r="D6" t="str">
        <x:v>v1.25 theory model</x:v>
      </x:c>
    </x:row>
    <x:row r="7">
      <x:c r="A7" t="str">
        <x:v>Transaction Asset Links</x:v>
      </x:c>
      <x:c r="B7" t="n">
        <x:v>11</x:v>
      </x:c>
      <x:c r="C7" t="n">
        <x:v>7</x:v>
      </x:c>
      <x:c r="D7" t="str">
        <x:v>v1.25 theory model</x:v>
      </x:c>
    </x:row>
    <x:row r="8">
      <x:c r="A8" t="str">
        <x:v>Vessel Transactions</x:v>
      </x:c>
      <x:c r="B8" t="n">
        <x:v>1</x:v>
      </x:c>
      <x:c r="C8" t="n">
        <x:v>15</x:v>
      </x:c>
      <x:c r="D8" t="str">
        <x:v>v1.25 theory model</x:v>
      </x:c>
    </x:row>
    <x:row r="9">
      <x:c r="A9" t="str">
        <x:v>Asset Control History</x:v>
      </x:c>
      <x:c r="B9" t="n">
        <x:v>1</x:v>
      </x:c>
      <x:c r="C9" t="n">
        <x:v>10</x:v>
      </x:c>
      <x:c r="D9" t="str">
        <x:v>v1.25 theory model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</x:cols>
  <x:sheetData>
    <x:row r="1">
      <x:c r="A1" s="11" t="str">
        <x:v>Deal ID</x:v>
      </x:c>
      <x:c r="B1" s="11" t="str">
        <x:v>Announced Date</x:v>
      </x:c>
      <x:c r="C1" s="11" t="str">
        <x:v>Completed / Effective Date</x:v>
      </x:c>
      <x:c r="D1" s="11" t="str">
        <x:v>Investor / Buyer IDs</x:v>
      </x:c>
      <x:c r="E1" s="11" t="str">
        <x:v>Co-Investor / Partner IDs</x:v>
      </x:c>
      <x:c r="F1" s="11" t="str">
        <x:v>Seller / Counterparty</x:v>
      </x:c>
      <x:c r="G1" s="11" t="str">
        <x:v>Target Entity / Asset ID</x:v>
      </x:c>
      <x:c r="H1" s="11" t="str">
        <x:v>Target / Asset</x:v>
      </x:c>
      <x:c r="I1" s="11" t="str">
        <x:v>Asset Class</x:v>
      </x:c>
      <x:c r="J1" s="11" t="str">
        <x:v>Country / Region</x:v>
      </x:c>
      <x:c r="K1" s="11" t="str">
        <x:v>Deal Type</x:v>
      </x:c>
      <x:c r="L1" s="11" t="str">
        <x:v>Equity %</x:v>
      </x:c>
      <x:c r="M1" s="11" t="str">
        <x:v>Reported Value</x:v>
      </x:c>
      <x:c r="N1" s="11" t="str">
        <x:v>Currency</x:v>
      </x:c>
      <x:c r="O1" s="11" t="str">
        <x:v>Operating Control</x:v>
      </x:c>
      <x:c r="P1" s="11" t="str">
        <x:v>Status</x:v>
      </x:c>
      <x:c r="Q1" s="11" t="str">
        <x:v>Regulatory / Political Status</x:v>
      </x:c>
      <x:c r="R1" s="11" t="str">
        <x:v>Source ID</x:v>
      </x:c>
      <x:c r="S1" s="11" t="str">
        <x:v>Source URL</x:v>
      </x:c>
      <x:c r="T1" s="11" t="str">
        <x:v>Notes</x:v>
      </x:c>
    </x:row>
    <x:row r="2">
      <x:c r="A2" s="14" t="str">
        <x:v>IDEAL_0001</x:v>
      </x:c>
      <x:c r="B2" s="14" t="str">
        <x:v>2026-01-28</x:v>
      </x:c>
      <x:c r="C2" s="14" t="str">
        <x:v>2026-07-28</x:v>
      </x:c>
      <x:c r="D2" s="14" t="str">
        <x:v>COMP_STONEPEAK</x:v>
      </x:c>
      <x:c r="E2" s="14" t="str">
        <x:v>COMP_CMA_CGM</x:v>
      </x:c>
      <x:c r="F2" s="14"/>
      <x:c r="G2" s="14" t="str">
        <x:v>COMP_UNITED_PORTS</x:v>
      </x:c>
      <x:c r="H2" s="14" t="str">
        <x:v>United Ports LLC / 9-terminal portfolio</x:v>
      </x:c>
      <x:c r="I2" s="14" t="str">
        <x:v>Port terminals</x:v>
      </x:c>
      <x:c r="J2" s="14" t="str">
        <x:v>Global</x:v>
      </x:c>
      <x:c r="K2" s="14" t="str">
        <x:v>Minority investment / JV formation</x:v>
      </x:c>
      <x:c r="L2" s="14" t="str">
        <x:v>25</x:v>
      </x:c>
      <x:c r="M2" s="14" t="str">
        <x:v>2400000000</x:v>
      </x:c>
      <x:c r="N2" s="14" t="str">
        <x:v>USD</x:v>
      </x:c>
      <x:c r="O2" s="14" t="str">
        <x:v>CMA CGM retains full operational control</x:v>
      </x:c>
      <x:c r="P2" s="14" t="str">
        <x:v>Completed</x:v>
      </x:c>
      <x:c r="Q2" s="14" t="str">
        <x:v>Regulatory approvals received</x:v>
      </x:c>
      <x:c r="R2" s="14" t="str">
        <x:v>SRC_0256</x:v>
      </x:c>
      <x:c r="S2" s="14" t="str">
        <x:v>https://stonepeak.com/news/cma-cgm-and-stonepeak-complete-the-formation-of-united-ports-llc</x:v>
      </x:c>
      <x:c r="T2" s="14" t="str">
        <x:v>Potential addition of Nhava Sheva Freeport Terminal remains subject to approvals; Stonepeak may invest up to another $3.6bn.</x:v>
      </x:c>
    </x:row>
    <x:row r="3">
      <x:c r="A3" s="14" t="str">
        <x:v>IDEAL_0002</x:v>
      </x:c>
      <x:c r="B3" s="14"/>
      <x:c r="C3" s="14" t="str">
        <x:v>2025-10-01</x:v>
      </x:c>
      <x:c r="D3" s="14" t="str">
        <x:v>COMP_BROOKFIELD_INFRA</x:v>
      </x:c>
      <x:c r="E3" s="14"/>
      <x:c r="F3" s="14"/>
      <x:c r="G3" s="14" t="str">
        <x:v>COMP_PDPORTS</x:v>
      </x:c>
      <x:c r="H3" s="14" t="str">
        <x:v>UK port operation / PD Ports</x:v>
      </x:c>
      <x:c r="I3" s="14" t="str">
        <x:v>Port infrastructure</x:v>
      </x:c>
      <x:c r="J3" s="14" t="str">
        <x:v>United Kingdom</x:v>
      </x:c>
      <x:c r="K3" s="14" t="str">
        <x:v>Partial disposition</x:v>
      </x:c>
      <x:c r="L3" s="14" t="str">
        <x:v>34</x:v>
      </x:c>
      <x:c r="M3" s="14" t="str">
        <x:v>380000000</x:v>
      </x:c>
      <x:c r="N3" s="14" t="str">
        <x:v>USD</x:v>
      </x:c>
      <x:c r="O3" s="14" t="str">
        <x:v>Retained 25% interest only</x:v>
      </x:c>
      <x:c r="P3" s="14" t="str">
        <x:v>Completed</x:v>
      </x:c>
      <x:c r="Q3" s="14" t="str">
        <x:v>Completed</x:v>
      </x:c>
      <x:c r="R3" s="14" t="str">
        <x:v>SRC_0255</x:v>
      </x:c>
      <x:c r="S3" s="14" t="str">
        <x:v>https://www.sec.gov/Archives/edgar/data/1406234/000140623426000006/bip-20260630_d2.htm</x:v>
      </x:c>
      <x:c r="T3" s="14" t="str">
        <x:v>Value is net proceeds to Brookfield Infrastructure partnership; consortium-level proceeds higher.</x:v>
      </x:c>
    </x:row>
    <x:row r="4">
      <x:c r="A4" s="14" t="str">
        <x:v>IDEAL_0003</x:v>
      </x:c>
      <x:c r="B4" s="14"/>
      <x:c r="C4" s="14" t="str">
        <x:v>2026-07-31</x:v>
      </x:c>
      <x:c r="D4" s="14" t="str">
        <x:v>COMP_KKR</x:v>
      </x:c>
      <x:c r="E4" s="14" t="str">
        <x:v>COMP_MIRASTAR</x:v>
      </x:c>
      <x:c r="F4" s="14" t="str">
        <x:v>COMP_PLP</x:v>
      </x:c>
      <x:c r="G4" s="14" t="str">
        <x:v>ASSET077</x:v>
      </x:c>
      <x:c r="H4" s="14" t="str">
        <x:v>Four UK logistics assets</x:v>
      </x:c>
      <x:c r="I4" s="14" t="str">
        <x:v>Logistics real estate</x:v>
      </x:c>
      <x:c r="J4" s="14" t="str">
        <x:v>United Kingdom</x:v>
      </x:c>
      <x:c r="K4" s="14" t="str">
        <x:v>Portfolio acquisition</x:v>
      </x:c>
      <x:c r="L4" s="14"/>
      <x:c r="M4" s="14" t="str">
        <x:v>170000000</x:v>
      </x:c>
      <x:c r="N4" s="14" t="str">
        <x:v>GBP</x:v>
      </x:c>
      <x:c r="O4" s="14" t="str">
        <x:v>KKR/Mirastar ownership / asset management</x:v>
      </x:c>
      <x:c r="P4" s="14" t="str">
        <x:v>Completed</x:v>
      </x:c>
      <x:c r="Q4" s="14" t="str">
        <x:v>Completed</x:v>
      </x:c>
      <x:c r="R4" s="14" t="str">
        <x:v>SRC_0263</x:v>
      </x:c>
      <x:c r="S4" s="14" t="str">
        <x:v>https://media.kkr.com/news-details?news_id=4f6ff0d9-9b59-487c-abce-108f533fdd9b</x:v>
      </x:c>
      <x:c r="T4" s="14" t="str">
        <x:v>Stafford, Crewe, Ellesmere Port and Wakefield; 1.25m sq ft.</x:v>
      </x:c>
    </x:row>
    <x:row r="5">
      <x:c r="A5" s="14" t="str">
        <x:v>IDEAL_0004</x:v>
      </x:c>
      <x:c r="B5" s="14" t="str">
        <x:v>2026-03-19</x:v>
      </x:c>
      <x:c r="C5" s="14" t="str">
        <x:v>2026-03-19</x:v>
      </x:c>
      <x:c r="D5" s="14" t="str">
        <x:v>COMP_PROLOGIS</x:v>
      </x:c>
      <x:c r="E5" s="14" t="str">
        <x:v>COMP_GIC</x:v>
      </x:c>
      <x:c r="F5" s="14"/>
      <x:c r="G5" s="14"/>
      <x:c r="H5" s="14" t="str">
        <x:v>U.S. Build-to-Suit Logistics JV</x:v>
      </x:c>
      <x:c r="I5" s="14" t="str">
        <x:v>Logistics real estate</x:v>
      </x:c>
      <x:c r="J5" s="14" t="str">
        <x:v>United States</x:v>
      </x:c>
      <x:c r="K5" s="14" t="str">
        <x:v>JV formation / development capital</x:v>
      </x:c>
      <x:c r="L5" s="14"/>
      <x:c r="M5" s="14" t="str">
        <x:v>1600000000</x:v>
      </x:c>
      <x:c r="N5" s="14" t="str">
        <x:v>USD</x:v>
      </x:c>
      <x:c r="O5" s="14" t="str">
        <x:v>Prologis development / operating expertise</x:v>
      </x:c>
      <x:c r="P5" s="14" t="str">
        <x:v>Formed</x:v>
      </x:c>
      <x:c r="Q5" s="14" t="str">
        <x:v>Active</x:v>
      </x:c>
      <x:c r="R5" s="14" t="str">
        <x:v>SRC_0267</x:v>
      </x:c>
      <x:c r="S5" s="14" t="str">
        <x:v>https://ir.prologis.com/news-events/press-releases/detail/1034/prologis-and-gic-form-1-6-billion-u-s-build-to-suit-logistics-joint-venture</x:v>
      </x:c>
      <x:c r="T5" s="14" t="str">
        <x:v>Initial portfolio ~4.1m sq ft.</x:v>
      </x:c>
    </x:row>
    <x:row r="6">
      <x:c r="A6" s="14" t="str">
        <x:v>IDEAL_0005</x:v>
      </x:c>
      <x:c r="B6" s="14" t="str">
        <x:v>2026-04-09</x:v>
      </x:c>
      <x:c r="C6" s="14" t="str">
        <x:v>2026-04-09</x:v>
      </x:c>
      <x:c r="D6" s="14" t="str">
        <x:v>COMP_LA_CAISSE</x:v>
      </x:c>
      <x:c r="E6" s="14" t="str">
        <x:v>COMP_PROLOGIS</x:v>
      </x:c>
      <x:c r="F6" s="14"/>
      <x:c r="G6" s="14" t="str">
        <x:v>COMP_PLIVE</x:v>
      </x:c>
      <x:c r="H6" s="14" t="str">
        <x:v>PLIVE</x:v>
      </x:c>
      <x:c r="I6" s="14" t="str">
        <x:v>Logistics real estate</x:v>
      </x:c>
      <x:c r="J6" s="14" t="str">
        <x:v>Europe</x:v>
      </x:c>
      <x:c r="K6" s="14" t="str">
        <x:v>JV formation</x:v>
      </x:c>
      <x:c r="L6" s="14" t="str">
        <x:v>70</x:v>
      </x:c>
      <x:c r="M6" s="14" t="str">
        <x:v>1000000000</x:v>
      </x:c>
      <x:c r="N6" s="14" t="str">
        <x:v>EUR</x:v>
      </x:c>
      <x:c r="O6" s="14" t="str">
        <x:v>Shared governance; Prologis operating partner</x:v>
      </x:c>
      <x:c r="P6" s="14" t="str">
        <x:v>Formed</x:v>
      </x:c>
      <x:c r="Q6" s="14" t="str">
        <x:v>Active</x:v>
      </x:c>
      <x:c r="R6" s="14" t="str">
        <x:v>SRC_0268</x:v>
      </x:c>
      <x:c r="S6" s="14" t="str">
        <x:v>https://ir.prologis.com/news-events/press-releases/detail/1035/la-caisse-and-prologis-launch-pan-european-logistics-joint-venture</x:v>
      </x:c>
      <x:c r="T6" s="14" t="str">
        <x:v>Reported value is seed portfolio; equity percentage shown for La Caisse.</x:v>
      </x:c>
    </x:row>
    <x:row r="7">
      <x:c r="A7" s="14" t="str">
        <x:v>IDEAL_0006</x:v>
      </x:c>
      <x:c r="B7" s="14" t="str">
        <x:v>2024-01-12</x:v>
      </x:c>
      <x:c r="C7" s="14" t="str">
        <x:v>2024-10-01</x:v>
      </x:c>
      <x:c r="D7" s="14" t="str">
        <x:v>COMP_BLACKROCK</x:v>
      </x:c>
      <x:c r="E7" s="14"/>
      <x:c r="F7" s="14" t="str">
        <x:v>GIP owners / partners</x:v>
      </x:c>
      <x:c r="G7" s="14" t="str">
        <x:v>COMP_GIP</x:v>
      </x:c>
      <x:c r="H7" s="14" t="str">
        <x:v>Global Infrastructure Partners</x:v>
      </x:c>
      <x:c r="I7" s="14" t="str">
        <x:v>Infrastructure investment platform</x:v>
      </x:c>
      <x:c r="J7" s="14" t="str">
        <x:v>Global</x:v>
      </x:c>
      <x:c r="K7" s="14" t="str">
        <x:v>Corporate acquisition</x:v>
      </x:c>
      <x:c r="L7" s="14" t="str">
        <x:v>100</x:v>
      </x:c>
      <x:c r="M7" s="14" t="str">
        <x:v>3000000000</x:v>
      </x:c>
      <x:c r="N7" s="14" t="str">
        <x:v>USD</x:v>
      </x:c>
      <x:c r="O7" s="14" t="str">
        <x:v>BlackRock parent ownership</x:v>
      </x:c>
      <x:c r="P7" s="14" t="str">
        <x:v>Completed</x:v>
      </x:c>
      <x:c r="Q7" s="14" t="str">
        <x:v>Completed</x:v>
      </x:c>
      <x:c r="R7" s="14" t="str">
        <x:v>SRC_0258</x:v>
      </x:c>
      <x:c r="S7" s="14" t="str">
        <x:v>https://ir.blackrock.com/news-and-events/press-releases/press-releases-details/2024/BlackRock-Completes-Acquisition-of-Global-Infrastructure-Partners/default.aspx</x:v>
      </x:c>
      <x:c r="T7" s="14" t="str">
        <x:v>$3bn cash plus BlackRock shares; reported cash value is not total consideration.</x:v>
      </x:c>
    </x:row>
    <x:row r="8">
      <x:c r="A8" s="14" t="str">
        <x:v>IDEAL_0007</x:v>
      </x:c>
      <x:c r="B8" s="14" t="str">
        <x:v>2022-11-20</x:v>
      </x:c>
      <x:c r="C8" s="14" t="str">
        <x:v>2023-04-26</x:v>
      </x:c>
      <x:c r="D8" s="14" t="str">
        <x:v>COMP_STONEPEAK</x:v>
      </x:c>
      <x:c r="E8" s="14" t="str">
        <x:v>COMP_CARESUPER</x:v>
      </x:c>
      <x:c r="F8" s="14"/>
      <x:c r="G8" s="14" t="str">
        <x:v>COMP_GEELONGPORT</x:v>
      </x:c>
      <x:c r="H8" s="14" t="str">
        <x:v>GeelongPort</x:v>
      </x:c>
      <x:c r="I8" s="14" t="str">
        <x:v>Port infrastructure</x:v>
      </x:c>
      <x:c r="J8" s="14" t="str">
        <x:v>Australia</x:v>
      </x:c>
      <x:c r="K8" s="14" t="str">
        <x:v>Acquisition</x:v>
      </x:c>
      <x:c r="L8" s="14" t="str">
        <x:v>70</x:v>
      </x:c>
      <x:c r="M8" s="14"/>
      <x:c r="N8" s="14"/>
      <x:c r="O8" s="14" t="str">
        <x:v>Stonepeak majority investor</x:v>
      </x:c>
      <x:c r="P8" s="14" t="str">
        <x:v>Completed</x:v>
      </x:c>
      <x:c r="Q8" s="14" t="str">
        <x:v>Completed</x:v>
      </x:c>
      <x:c r="R8" s="14" t="str">
        <x:v>SRC_0257</x:v>
      </x:c>
      <x:c r="S8" s="14" t="str">
        <x:v>https://stonepeak.com/investments</x:v>
      </x:c>
      <x:c r="T8" s="14" t="str">
        <x:v>CareSuper owns remaining 30%.</x:v>
      </x:c>
    </x:row>
    <x:row r="9">
      <x:c r="A9" s="14" t="str">
        <x:v>IDEAL_0008</x:v>
      </x:c>
      <x:c r="B9" s="14" t="str">
        <x:v>2024-03-22</x:v>
      </x:c>
      <x:c r="C9" s="14" t="str">
        <x:v>2024-08-15</x:v>
      </x:c>
      <x:c r="D9" s="14" t="str">
        <x:v>COMP_ADPORTS</x:v>
      </x:c>
      <x:c r="E9" s="14" t="str">
        <x:v>COMP_WILHELMSEN_PORT_SERVICES;COMP_INVECO</x:v>
      </x:c>
      <x:c r="F9" s="14"/>
      <x:c r="G9" s="14" t="str">
        <x:v>COMP_TBILISI_DRY_PORT</x:v>
      </x:c>
      <x:c r="H9" s="14" t="str">
        <x:v>Tbilisi Dry Port</x:v>
      </x:c>
      <x:c r="I9" s="14" t="str">
        <x:v>Dry port / inland logistics</x:v>
      </x:c>
      <x:c r="J9" s="14" t="str">
        <x:v>Georgia</x:v>
      </x:c>
      <x:c r="K9" s="14" t="str">
        <x:v>Majority acquisition</x:v>
      </x:c>
      <x:c r="L9" s="14" t="str">
        <x:v>60</x:v>
      </x:c>
      <x:c r="M9" s="14"/>
      <x:c r="N9" s="14"/>
      <x:c r="O9" s="14" t="str">
        <x:v>AD Ports majority owner</x:v>
      </x:c>
      <x:c r="P9" s="14" t="str">
        <x:v>Completed</x:v>
      </x:c>
      <x:c r="Q9" s="14" t="str">
        <x:v>Completed</x:v>
      </x:c>
      <x:c r="R9" s="14" t="str">
        <x:v>SRC_0277</x:v>
      </x:c>
      <x:c r="S9" s="14" t="str">
        <x:v>https://www.adportsgroup.com/en/news-and-media/2024/08/15/ad-ports-group-completes-tbilisi-dry-port-acquisition-to-become-majority-owner</x:v>
      </x:c>
      <x:c r="T9" s="14" t="str">
        <x:v>Remaining ownership percentages not publicly specified in cited source.</x:v>
      </x:c>
    </x:row>
    <x:row r="10">
      <x:c r="A10" s="14" t="str">
        <x:v>IDEAL_0009</x:v>
      </x:c>
      <x:c r="B10" s="14" t="str">
        <x:v>2025-04-29</x:v>
      </x:c>
      <x:c r="C10" s="14" t="str">
        <x:v>2025-04-29</x:v>
      </x:c>
      <x:c r="D10" s="14" t="str">
        <x:v>COMP_BLACKSTONE</x:v>
      </x:c>
      <x:c r="E10" s="14"/>
      <x:c r="F10" s="14"/>
      <x:c r="G10" s="14" t="str">
        <x:v>COMP_PROXITY</x:v>
      </x:c>
      <x:c r="H10" s="14" t="str">
        <x:v>Proxity</x:v>
      </x:c>
      <x:c r="I10" s="14" t="str">
        <x:v>Logistics real estate</x:v>
      </x:c>
      <x:c r="J10" s="14" t="str">
        <x:v>Europe</x:v>
      </x:c>
      <x:c r="K10" s="14" t="str">
        <x:v>Platform formation</x:v>
      </x:c>
      <x:c r="L10" s="14"/>
      <x:c r="M10" s="14"/>
      <x:c r="N10" s="14"/>
      <x:c r="O10" s="14" t="str">
        <x:v>Blackstone-managed funds own underlying assets</x:v>
      </x:c>
      <x:c r="P10" s="14" t="str">
        <x:v>Active platform</x:v>
      </x:c>
      <x:c r="Q10" s="14" t="str">
        <x:v>Active</x:v>
      </x:c>
      <x:c r="R10" s="14" t="str">
        <x:v>SRC_0264</x:v>
      </x:c>
      <x:c r="S10" s="14" t="str">
        <x:v>https://www.blackstone.com/news/press/blackstone-launches-proxity-a-new-pan-european-logistics-platform/</x:v>
      </x:c>
      <x:c r="T10" s="14" t="str">
        <x:v>~500 properties and developments / &gt;7m sqm at launch.</x:v>
      </x:c>
    </x:row>
    <x:row r="11">
      <x:c r="A11" s="14" t="str">
        <x:v>IDEAL_0010</x:v>
      </x:c>
      <x:c r="B11" s="14" t="str">
        <x:v>2025-03-04</x:v>
      </x:c>
      <x:c r="C11" s="14"/>
      <x:c r="D11" s="14" t="str">
        <x:v>COMP_BLACKROCK;COMP_GIP</x:v>
      </x:c>
      <x:c r="E11" s="14" t="str">
        <x:v>COMP_TIL</x:v>
      </x:c>
      <x:c r="F11" s="14" t="str">
        <x:v>CK Hutchison</x:v>
      </x:c>
      <x:c r="G11" s="14" t="str">
        <x:v>43-port sale perimeter</x:v>
      </x:c>
      <x:c r="H11" s="14" t="str">
        <x:v>CK Hutchison global port portfolio</x:v>
      </x:c>
      <x:c r="I11" s="14" t="str">
        <x:v>Port terminals</x:v>
      </x:c>
      <x:c r="J11" s="14" t="str">
        <x:v>23 countries</x:v>
      </x:c>
      <x:c r="K11" s="14" t="str">
        <x:v>In-principle acquisition</x:v>
      </x:c>
      <x:c r="L11" s="14" t="str">
        <x:v>80</x:v>
      </x:c>
      <x:c r="M11" s="14" t="str">
        <x:v>22800000000</x:v>
      </x:c>
      <x:c r="N11" s="14" t="str">
        <x:v>USD</x:v>
      </x:c>
      <x:c r="O11" s="14"/>
      <x:c r="P11" s="14" t="str">
        <x:v>In principle / unresolved</x:v>
      </x:c>
      <x:c r="Q11" s="14" t="str">
        <x:v>Strategic, competition and geopolitical review; specific Barcelona approval request withdrawn Aug 2026</x:v>
      </x:c>
      <x:c r="R11" s="14" t="str">
        <x:v>SRC_0283;SRC_0284</x:v>
      </x:c>
      <x:c r="S11" s="14" t="str">
        <x:v>https://www.ckh.com.hk/en/media/press_each.php?id=3431&amp;print=Y | https://www.reuters.com/business/msc-blackrock-withdraw-approval-request-purchase-stake-barcelona-port-2026-08-10/</x:v>
      </x:c>
      <x:c r="T11" s="14" t="str">
        <x:v>Track failed/withdrawn approvals and any revised transaction perimeter separately; do not treat as closed ownership.</x:v>
      </x:c>
    </x:row>
    <x:row r="12">
      <x:c r="A12" s="14" t="str">
        <x:v>IDEAL_0011</x:v>
      </x:c>
      <x:c r="B12" s="14"/>
      <x:c r="C12" s="14" t="str">
        <x:v>2026-08-11</x:v>
      </x:c>
      <x:c r="D12" s="14" t="str">
        <x:v>COMP_STONEPEAK</x:v>
      </x:c>
      <x:c r="E12" s="14"/>
      <x:c r="F12" s="14"/>
      <x:c r="G12" s="14" t="str">
        <x:v>ASSET078</x:v>
      </x:c>
      <x:c r="H12" s="14" t="str">
        <x:v>Fort Worth rail-served logistics asset</x:v>
      </x:c>
      <x:c r="I12" s="14" t="str">
        <x:v>Logistics real estate / intermodal</x:v>
      </x:c>
      <x:c r="J12" s="14" t="str">
        <x:v>United States</x:v>
      </x:c>
      <x:c r="K12" s="14" t="str">
        <x:v>Asset acquisition</x:v>
      </x:c>
      <x:c r="L12" s="14"/>
      <x:c r="M12" s="14"/>
      <x:c r="N12" s="14"/>
      <x:c r="O12" s="14" t="str">
        <x:v>Stonepeak owner</x:v>
      </x:c>
      <x:c r="P12" s="14" t="str">
        <x:v>Completed</x:v>
      </x:c>
      <x:c r="Q12" s="14" t="str">
        <x:v>Completed</x:v>
      </x:c>
      <x:c r="R12" s="14" t="str">
        <x:v>SRC_0285</x:v>
      </x:c>
      <x:c r="S12" s="14" t="str">
        <x:v>https://stonepeak.com/news/stonepeak-acquires-rail-served-logistics-asset-in-fort-worth-texas</x:v>
      </x:c>
      <x:c r="T12" s="14" t="str">
        <x:v>860,100 sq ft; BNSF Alliance, cargo airport and I-35 corridor.</x:v>
      </x:c>
    </x:row>
    <x:row r="13">
      <x:c r="A13" s="14" t="str">
        <x:v>IDEAL_0012</x:v>
      </x:c>
      <x:c r="B13" s="14" t="str">
        <x:v>2025</x:v>
      </x:c>
      <x:c r="C13" s="14"/>
      <x:c r="D13" s="14" t="str">
        <x:v>COMP_KEZAD</x:v>
      </x:c>
      <x:c r="E13" s="14" t="str">
        <x:v>COMP_ADPORTS</x:v>
      </x:c>
      <x:c r="F13" s="14" t="str">
        <x:v>Suez Canal Economic Zone</x:v>
      </x:c>
      <x:c r="G13" s="14" t="str">
        <x:v>ASSET088</x:v>
      </x:c>
      <x:c r="H13" s="14" t="str">
        <x:v>KEZAD East Port Said Economic Zone</x:v>
      </x:c>
      <x:c r="I13" s="14" t="str">
        <x:v>Economic zone / logistics real estate</x:v>
      </x:c>
      <x:c r="J13" s="14" t="str">
        <x:v>Egypt</x:v>
      </x:c>
      <x:c r="K13" s="14" t="str">
        <x:v>50-year renewable usufruct / development</x:v>
      </x:c>
      <x:c r="L13" s="14"/>
      <x:c r="M13" s="14" t="str">
        <x:v>120000000</x:v>
      </x:c>
      <x:c r="N13" s="14" t="str">
        <x:v>USD</x:v>
      </x:c>
      <x:c r="O13" s="14" t="str">
        <x:v>Developer/operator under agreement</x:v>
      </x:c>
      <x:c r="P13" s="14" t="str">
        <x:v>Development</x:v>
      </x:c>
      <x:c r="Q13" s="14" t="str">
        <x:v>Phase 1 development</x:v>
      </x:c>
      <x:c r="R13" s="14" t="str">
        <x:v>SRC_0281</x:v>
      </x:c>
      <x:c r="S13" s="14" t="str">
        <x:v>https://www.adportsgroup.com/-/media/sites/adports/investors/2025/downloads/adpg-earnings-presentation-q3-2025.pdf?rev=-1</x:v>
      </x:c>
      <x:c r="T13" s="14" t="str">
        <x:v>Reported value relates to phase-1 investment over three years.</x:v>
      </x:c>
    </x:row>
    <x:row r="14">
      <x:c r="A14" s="14" t="str">
        <x:v>IDEAL_0013</x:v>
      </x:c>
      <x:c r="B14" s="14" t="str">
        <x:v>2026-09-03</x:v>
      </x:c>
      <x:c r="C14" s="14"/>
      <x:c r="D14" s="14" t="str">
        <x:v>COMP_ICTSI</x:v>
      </x:c>
      <x:c r="E14" s="14"/>
      <x:c r="F14" s="14" t="str">
        <x:v>COMP_AIIM;COMP_MOKOBELA</x:v>
      </x:c>
      <x:c r="G14" s="14" t="str">
        <x:v>COMP_TLG</x:v>
      </x:c>
      <x:c r="H14" s="14" t="str">
        <x:v>The Logistics Group (TLG)</x:v>
      </x:c>
      <x:c r="I14" s="14" t="str">
        <x:v>Integrated logistics / ports / rail</x:v>
      </x:c>
      <x:c r="J14" s="14" t="str">
        <x:v>Southern Africa</x:v>
      </x:c>
      <x:c r="K14" s="14" t="str">
        <x:v>Corporate acquisition</x:v>
      </x:c>
      <x:c r="L14" s="14" t="str">
        <x:v>100</x:v>
      </x:c>
      <x:c r="M14" s="14"/>
      <x:c r="N14" s="14"/>
      <x:c r="O14" s="14" t="str">
        <x:v>ICTSI would control TLG</x:v>
      </x:c>
      <x:c r="P14" s="14" t="str">
        <x:v>Agreement signed / pending close</x:v>
      </x:c>
      <x:c r="Q14" s="14" t="str">
        <x:v>Subject to closing conditions / approvals</x:v>
      </x:c>
      <x:c r="R14" s="14" t="str">
        <x:v>SRC_0354</x:v>
      </x:c>
      <x:c r="S14" s="14" t="str">
        <x:v>https://maritime-executive.com/article/ictsi-expands-southern-africa-market-grip-with-tlg-acquisition</x:v>
      </x:c>
      <x:c r="T14" s="14" t="str">
        <x:v>AIIM 74% and Mokobela Shataki 26% pre-transaction ownership cited.</x:v>
      </x:c>
    </x:row>
    <x:row r="15">
      <x:c r="A15" s="14" t="str">
        <x:v>IDEAL_0014</x:v>
      </x:c>
      <x:c r="B15" s="14"/>
      <x:c r="C15" s="14"/>
      <x:c r="D15" s="14" t="str">
        <x:v>COMP_HANWHA_GROUP</x:v>
      </x:c>
      <x:c r="E15" s="14"/>
      <x:c r="F15" s="14" t="str">
        <x:v>COMP_AUSTAL</x:v>
      </x:c>
      <x:c r="G15" s="14" t="str">
        <x:v>COMP_AUSTAL_USA</x:v>
      </x:c>
      <x:c r="H15" s="14" t="str">
        <x:v>Austal USA</x:v>
      </x:c>
      <x:c r="I15" s="14" t="str">
        <x:v>Defense shipbuilding</x:v>
      </x:c>
      <x:c r="J15" s="14" t="str">
        <x:v>United States</x:v>
      </x:c>
      <x:c r="K15" s="14" t="str">
        <x:v>Indicative acquisition / due diligence</x:v>
      </x:c>
      <x:c r="L15" s="14" t="str">
        <x:v>100</x:v>
      </x:c>
      <x:c r="M15" s="14" t="str">
        <x:v>1050000000</x:v>
      </x:c>
      <x:c r="N15" s="14" t="str">
        <x:v>USD</x:v>
      </x:c>
      <x:c r="O15" s="14" t="str">
        <x:v>Would transfer U.S. operations if completed</x:v>
      </x:c>
      <x:c r="P15" s="14" t="str">
        <x:v>Due diligence</x:v>
      </x:c>
      <x:c r="Q15" s="14" t="str">
        <x:v>National-security / regulatory sensitivity</x:v>
      </x:c>
      <x:c r="R15" s="14" t="str">
        <x:v>SRC_0348</x:v>
      </x:c>
      <x:c r="S15" s="14" t="str">
        <x:v>https://maritime-executive.com/article/potential-u-s-bidder-emerges-to-challenge-hanwha-for-austal-usa</x:v>
      </x:c>
      <x:c r="T15" s="14" t="str">
        <x:v>Reported indicative range extends to about $1.2bn; stored low end in value field, range noted here.</x:v>
      </x:c>
    </x:row>
    <x:row r="16">
      <x:c r="A16" s="14" t="str">
        <x:v>IDEAL_0015</x:v>
      </x:c>
      <x:c r="B16" s="14" t="str">
        <x:v>2026-09-09</x:v>
      </x:c>
      <x:c r="C16" s="14"/>
      <x:c r="D16" s="14" t="str">
        <x:v>COMP_WILDCAT_INFRA</x:v>
      </x:c>
      <x:c r="E16" s="14"/>
      <x:c r="F16" s="14" t="str">
        <x:v>COMP_AUSTAL</x:v>
      </x:c>
      <x:c r="G16" s="14" t="str">
        <x:v>COMP_AUSTAL_USA</x:v>
      </x:c>
      <x:c r="H16" s="14" t="str">
        <x:v>Austal USA</x:v>
      </x:c>
      <x:c r="I16" s="14" t="str">
        <x:v>Defense shipbuilding</x:v>
      </x:c>
      <x:c r="J16" s="14" t="str">
        <x:v>United States</x:v>
      </x:c>
      <x:c r="K16" s="14" t="str">
        <x:v>Non-binding indication of interest</x:v>
      </x:c>
      <x:c r="L16" s="14"/>
      <x:c r="M16" s="14" t="str">
        <x:v>1250000000</x:v>
      </x:c>
      <x:c r="N16" s="14" t="str">
        <x:v>USD</x:v>
      </x:c>
      <x:c r="O16" s="14" t="str">
        <x:v>Standalone platform proposed</x:v>
      </x:c>
      <x:c r="P16" s="14" t="str">
        <x:v>Under review / due diligence</x:v>
      </x:c>
      <x:c r="Q16" s="14" t="str">
        <x:v>U.S. government approval required for any control change</x:v>
      </x:c>
      <x:c r="R16" s="14" t="str">
        <x:v>SRC260910_007</x:v>
      </x:c>
      <x:c r="S16" s="14" t="str">
        <x:v>https://maritime-executive.com/article/us-investors-top-hanwha-s-bid-for-austal-usa</x:v>
      </x:c>
      <x:c r="T16" s="14" t="str">
        <x:v>Wildcat indicated $1.25bn-$1.35bn EV; stored low end in value field. Hanwha range reported at $1.05bn-$1.20bn.</x:v>
      </x:c>
    </x:row>
    <x:row r="17">
      <x:c r="A17" s="14" t="str">
        <x:v>IDEAL_0016</x:v>
      </x:c>
      <x:c r="B17" s="14"/>
      <x:c r="C17" s="14"/>
      <x:c r="D17" s="14" t="str">
        <x:v>COMP_HAPAG_LLOYD</x:v>
      </x:c>
      <x:c r="E17" s="14"/>
      <x:c r="F17" s="14" t="str">
        <x:v>COMP_ZIM</x:v>
      </x:c>
      <x:c r="G17" s="14" t="str">
        <x:v>COMP_ZIM</x:v>
      </x:c>
      <x:c r="H17" s="14" t="str">
        <x:v>ZIM Integrated Shipping Services</x:v>
      </x:c>
      <x:c r="I17" s="14" t="str">
        <x:v>Container shipping</x:v>
      </x:c>
      <x:c r="J17" s="14" t="str">
        <x:v>Israel / Global</x:v>
      </x:c>
      <x:c r="K17" s="14" t="str">
        <x:v>Proposed acquisition</x:v>
      </x:c>
      <x:c r="L17" s="14"/>
      <x:c r="M17" s="14" t="str">
        <x:v>4200000000</x:v>
      </x:c>
      <x:c r="N17" s="14" t="str">
        <x:v>USD</x:v>
      </x:c>
      <x:c r="O17" s="14"/>
      <x:c r="P17" s="14" t="str">
        <x:v>Regulatory review / restructuring</x:v>
      </x:c>
      <x:c r="Q17" s="14" t="str">
        <x:v>Israeli golden-share / ministry review; other competition reviews</x:v>
      </x:c>
      <x:c r="R17" s="14" t="str">
        <x:v>SRC_0350</x:v>
      </x:c>
      <x:c r="S17" s="14" t="str">
        <x:v>https://maritime-executive.com/article/hapag-lloyd-gets-extension-to-address-concerns-and-rework-bid-for-zim</x:v>
      </x:c>
      <x:c r="T17" s="14" t="str">
        <x:v>30-day extension reported; revised proposal expected by end-Sep 2026.</x:v>
      </x:c>
    </x:row>
    <x:row r="18">
      <x:c r="A18" t="str">
        <x:v>IDEAL_0017</x:v>
      </x:c>
      <x:c r="B18" t="str">
        <x:v>2026-09-10</x:v>
      </x:c>
      <x:c r="C18"/>
      <x:c r="D18" t="str">
        <x:v>COMP_COCHIN_SHIPYARD</x:v>
      </x:c>
      <x:c r="E18" t="str">
        <x:v>COMP_DRYDOCKS_WORLD</x:v>
      </x:c>
      <x:c r="F18"/>
      <x:c r="G18" t="str">
        <x:v>ASSET_KOCHI_ISRF</x:v>
      </x:c>
      <x:c r="H18" t="str">
        <x:v>International Ship Repair Facility (ISRF), Kochi</x:v>
      </x:c>
      <x:c r="I18" t="str">
        <x:v>Ship repair / shipyard</x:v>
      </x:c>
      <x:c r="J18" t="str">
        <x:v>India</x:v>
      </x:c>
      <x:c r="K18" t="str">
        <x:v>50:50 joint venture / asset transfer</x:v>
      </x:c>
      <x:c r="L18" t="str">
        <x:v>50</x:v>
      </x:c>
      <x:c r="M18" t="str">
        <x:v>189000000</x:v>
      </x:c>
      <x:c r="N18" t="str">
        <x:v>USD</x:v>
      </x:c>
      <x:c r="O18" t="str">
        <x:v>Drydocks World management lead</x:v>
      </x:c>
      <x:c r="P18" t="str">
        <x:v>Announced / approvals pending</x:v>
      </x:c>
      <x:c r="Q18" t="str">
        <x:v>Multiple Indian approvals and shareholder approval required</x:v>
      </x:c>
      <x:c r="R18" t="str">
        <x:v>SRC260910_003</x:v>
      </x:c>
      <x:c r="S18" t="str">
        <x:v>https://splash247.com/cochin-and-drydocks-world-seal-kochi-repair-venture/</x:v>
      </x:c>
      <x:c r="T18" t="str">
        <x:v>Cochin to transfer facility to JV at not less than $189m; Drydocks World to nominate 3 of 5 directors.</x:v>
      </x:c>
    </x:row>
    <x:row r="19">
      <x:c r="A19" t="str">
        <x:v>IDEAL_0018</x:v>
      </x:c>
      <x:c r="B19" t="str">
        <x:v>2026-09-09</x:v>
      </x:c>
      <x:c r="C19"/>
      <x:c r="D19"/>
      <x:c r="E19"/>
      <x:c r="F19"/>
      <x:c r="G19" t="str">
        <x:v>PORTG0358</x:v>
      </x:c>
      <x:c r="H19" t="str">
        <x:v>Xiangshan Port offshore-wind base</x:v>
      </x:c>
      <x:c r="I19" t="str">
        <x:v>Port infrastructure</x:v>
      </x:c>
      <x:c r="J19" t="str">
        <x:v>China</x:v>
      </x:c>
      <x:c r="K19" t="str">
        <x:v>Greenfield specialist port development</x:v>
      </x:c>
      <x:c r="L19"/>
      <x:c r="M19" t="str">
        <x:v>223000000</x:v>
      </x:c>
      <x:c r="N19" t="str">
        <x:v>USD</x:v>
      </x:c>
      <x:c r="O19"/>
      <x:c r="P19" t="str">
        <x:v>Approved / pre-construction</x:v>
      </x:c>
      <x:c r="Q19" t="str">
        <x:v>Design and construction approvals progressing</x:v>
      </x:c>
      <x:c r="R19" t="str">
        <x:v>SRC260910_010</x:v>
      </x:c>
      <x:c r="S19" t="str">
        <x:v>https://splash247.com/ningbo-clears-223m-offshore-wind-port-development/</x:v>
      </x:c>
      <x:c r="T19" t="str">
        <x:v>First phase includes 50,000-tonne ro-ro and multipurpose berths.</x:v>
      </x:c>
    </x:row>
    <x:row r="20">
      <x:c r="A20" t="str">
        <x:v>IDEAL_0019</x:v>
      </x:c>
      <x:c r="B20" t="str">
        <x:v>2026-09-09</x:v>
      </x:c>
      <x:c r="C20"/>
      <x:c r="D20"/>
      <x:c r="E20"/>
      <x:c r="F20"/>
      <x:c r="G20" t="str">
        <x:v>PORTG0170</x:v>
      </x:c>
      <x:c r="H20" t="str">
        <x:v>Port of Colombo digital infrastructure</x:v>
      </x:c>
      <x:c r="I20" t="str">
        <x:v>Port digital infrastructure</x:v>
      </x:c>
      <x:c r="J20" t="str">
        <x:v>Sri Lanka</x:v>
      </x:c>
      <x:c r="K20" t="str">
        <x:v>Government assistance / digital upgrade</x:v>
      </x:c>
      <x:c r="L20"/>
      <x:c r="M20" t="str">
        <x:v>15000000</x:v>
      </x:c>
      <x:c r="N20" t="str">
        <x:v>USD</x:v>
      </x:c>
      <x:c r="O20"/>
      <x:c r="P20" t="str">
        <x:v>Proposed</x:v>
      </x:c>
      <x:c r="Q20" t="str">
        <x:v>U.S. congressional approval still required</x:v>
      </x:c>
      <x:c r="R20" t="str">
        <x:v>SRC260910_011</x:v>
      </x:c>
      <x:c r="S20" t="str">
        <x:v>https://splash247.com/us-lines-up-15m-for-colombo-port-digital-upgrade/</x:v>
      </x:c>
      <x:c r="T20" t="str">
        <x:v>State Department approval reported; aimed at turnaround and waiting-time improvement.</x:v>
      </x:c>
    </x:row>
    <x:row r="21">
      <x:c r="A21" t="str">
        <x:v>IDEAL_0020</x:v>
      </x:c>
      <x:c r="B21" t="str">
        <x:v>2026-09-09</x:v>
      </x:c>
      <x:c r="C21" t="str">
        <x:v>2026-09-09</x:v>
      </x:c>
      <x:c r="D21"/>
      <x:c r="E21"/>
      <x:c r="F21" t="str">
        <x:v>Australian federal and New South Wales governments</x:v>
      </x:c>
      <x:c r="G21" t="str">
        <x:v>PORTG0356</x:v>
      </x:c>
      <x:c r="H21" t="str">
        <x:v>Port of Newcastle freight access / M1 extension</x:v>
      </x:c>
      <x:c r="I21" t="str">
        <x:v>Road / port-hinterland infrastructure</x:v>
      </x:c>
      <x:c r="J21" t="str">
        <x:v>Australia</x:v>
      </x:c>
      <x:c r="K21" t="str">
        <x:v>Public infrastructure upgrade</x:v>
      </x:c>
      <x:c r="L21"/>
      <x:c r="M21" t="str">
        <x:v>1620000000</x:v>
      </x:c>
      <x:c r="N21" t="str">
        <x:v>USD</x:v>
      </x:c>
      <x:c r="O21"/>
      <x:c r="P21" t="str">
        <x:v>Entering service</x:v>
      </x:c>
      <x:c r="Q21" t="str">
        <x:v>Completed public works</x:v>
      </x:c>
      <x:c r="R21" t="str">
        <x:v>SRC260910_012</x:v>
      </x:c>
      <x:c r="S21" t="str">
        <x:v>https://splash247.com/newcastle-gets-1-62bn-freight-access-upgrade/</x:v>
      </x:c>
      <x:c r="T21" t="str">
        <x:v>A$2.24bn programme; strengthens Sydney-Brisbane freight corridor access.</x:v>
      </x:c>
    </x:row>
    <x:row r="22">
      <x:c r="A22" t="str">
        <x:v>IDEAL_0021</x:v>
      </x:c>
      <x:c r="B22" t="str">
        <x:v>2026-09-09</x:v>
      </x:c>
      <x:c r="C22"/>
      <x:c r="D22" t="str">
        <x:v>COMP_GUOYOU_RESOURCES</x:v>
      </x:c>
      <x:c r="E22"/>
      <x:c r="F22" t="str">
        <x:v>Mangystau regional authorities</x:v>
      </x:c>
      <x:c r="G22" t="str">
        <x:v>PORTG0141</x:v>
      </x:c>
      <x:c r="H22" t="str">
        <x:v>Caspian port and logistics hub / Kuryk area</x:v>
      </x:c>
      <x:c r="I22" t="str">
        <x:v>Port / logistics hub</x:v>
      </x:c>
      <x:c r="J22" t="str">
        <x:v>Kazakhstan</x:v>
      </x:c>
      <x:c r="K22" t="str">
        <x:v>Greenfield multimodal hub</x:v>
      </x:c>
      <x:c r="L22"/>
      <x:c r="M22" t="str">
        <x:v>1000000000</x:v>
      </x:c>
      <x:c r="N22" t="str">
        <x:v>USD</x:v>
      </x:c>
      <x:c r="O22" t="str">
        <x:v>Developer-led project</x:v>
      </x:c>
      <x:c r="P22" t="str">
        <x:v>Design / survey</x:v>
      </x:c>
      <x:c r="Q22" t="str">
        <x:v>Regional approvals / project development</x:v>
      </x:c>
      <x:c r="R22" t="str">
        <x:v>SRC260910_014</x:v>
      </x:c>
      <x:c r="S22" t="str">
        <x:v>https://splash247.com/kazakhstan-advances-1bn-caspian-port-hub/</x:v>
      </x:c>
      <x:c r="T22" t="str">
        <x:v>Seven berths, rail/road, ferry and shipbuilding-repair infrastructure; first phase about $300m.</x:v>
      </x:c>
    </x:row>
    <x:row r="23">
      <x:c r="A23" t="str">
        <x:v>IDEAL_0022</x:v>
      </x:c>
      <x:c r="B23" t="str">
        <x:v>2026-09-09</x:v>
      </x:c>
      <x:c r="C23"/>
      <x:c r="D23" t="str">
        <x:v>COMP_TIL</x:v>
      </x:c>
      <x:c r="E23"/>
      <x:c r="F23" t="str">
        <x:v>Valencia Port Authority</x:v>
      </x:c>
      <x:c r="G23" t="str">
        <x:v>PORTG0159</x:v>
      </x:c>
      <x:c r="H23" t="str">
        <x:v>Valencia North Container Terminal</x:v>
      </x:c>
      <x:c r="I23" t="str">
        <x:v>Container terminal</x:v>
      </x:c>
      <x:c r="J23" t="str">
        <x:v>Spain</x:v>
      </x:c>
      <x:c r="K23" t="str">
        <x:v>50-year concession / terminal development</x:v>
      </x:c>
      <x:c r="L23"/>
      <x:c r="M23" t="str">
        <x:v>767000000</x:v>
      </x:c>
      <x:c r="N23" t="str">
        <x:v>USD</x:v>
      </x:c>
      <x:c r="O23" t="str">
        <x:v>Terminal Investment Limited concessionaire</x:v>
      </x:c>
      <x:c r="P23" t="str">
        <x:v>Court challenge rejected / project progressing</x:v>
      </x:c>
      <x:c r="Q23" t="str">
        <x:v>Environmental challenge dismissed</x:v>
      </x:c>
      <x:c r="R23" t="str">
        <x:v>SRC260910_015</x:v>
      </x:c>
      <x:c r="S23" t="str">
        <x:v>https://splash247.com/valencia-north-terminal-survives-environmental-court-challenge/</x:v>
      </x:c>
      <x:c r="T23" t="str">
        <x:v>Tender budget exceeds €660m; designed capacity approaches 4.8m TEU/year.</x:v>
      </x:c>
    </x:row>
    <x:row r="24">
      <x:c r="A24" t="str">
        <x:v>IDEAL_0023</x:v>
      </x:c>
      <x:c r="B24" t="str">
        <x:v>2026-09-10</x:v>
      </x:c>
      <x:c r="C24"/>
      <x:c r="D24" t="str">
        <x:v>COMP_DPW</x:v>
      </x:c>
      <x:c r="E24" t="str">
        <x:v>COMP_GULFCAP_AFRICA</x:v>
      </x:c>
      <x:c r="F24"/>
      <x:c r="G24" t="str">
        <x:v>ASSET_MOMBASA_IP</x:v>
      </x:c>
      <x:c r="H24" t="str">
        <x:v>Mombasa Industrial Park</x:v>
      </x:c>
      <x:c r="I24" t="str">
        <x:v>Industrial park / logistics real estate</x:v>
      </x:c>
      <x:c r="J24" t="str">
        <x:v>Kenya</x:v>
      </x:c>
      <x:c r="K24" t="str">
        <x:v>Joint venture / SEZ development</x:v>
      </x:c>
      <x:c r="L24"/>
      <x:c r="M24"/>
      <x:c r="N24"/>
      <x:c r="O24" t="str">
        <x:v>JV structure established</x:v>
      </x:c>
      <x:c r="P24" t="str">
        <x:v>Shareholders agreement signed</x:v>
      </x:c>
      <x:c r="Q24" t="str">
        <x:v>Investment value and timetable undisclosed</x:v>
      </x:c>
      <x:c r="R24" t="str">
        <x:v>SRC260910_017</x:v>
      </x:c>
      <x:c r="S24" t="str">
        <x:v>https://splash247.com/dp-world-formalises-mombasa-industrial-park-joint-venture/</x:v>
      </x:c>
      <x:c r="T24" t="str">
        <x:v>222 ha project; first phase 40 ha; less than 20 km from Port of Mombasa.</x:v>
      </x:c>
    </x:row>
    <x:row r="25">
      <x:c r="A25" t="str">
        <x:v>IDEAL_0024</x:v>
      </x:c>
      <x:c r="B25" t="str">
        <x:v>2026-09-10</x:v>
      </x:c>
      <x:c r="C25"/>
      <x:c r="D25" t="str">
        <x:v>COMP_ADANI_PORTS</x:v>
      </x:c>
      <x:c r="E25"/>
      <x:c r="F25" t="str">
        <x:v>Paradip Port Authority</x:v>
      </x:c>
      <x:c r="G25" t="str">
        <x:v>PORTG0357</x:v>
      </x:c>
      <x:c r="H25" t="str">
        <x:v>CQ-I and CQ-II dry-bulk berths, Paradip</x:v>
      </x:c>
      <x:c r="I25" t="str">
        <x:v>Dry bulk terminal</x:v>
      </x:c>
      <x:c r="J25" t="str">
        <x:v>India</x:v>
      </x:c>
      <x:c r="K25" t="str">
        <x:v>30-year BOT concession</x:v>
      </x:c>
      <x:c r="L25"/>
      <x:c r="M25" t="str">
        <x:v>103000000</x:v>
      </x:c>
      <x:c r="N25" t="str">
        <x:v>USD</x:v>
      </x:c>
      <x:c r="O25" t="str">
        <x:v>APSEZ to develop and operate</x:v>
      </x:c>
      <x:c r="P25" t="str">
        <x:v>Letter of award / development</x:v>
      </x:c>
      <x:c r="Q25" t="str">
        <x:v>Competitive award</x:v>
      </x:c>
      <x:c r="R25" t="str">
        <x:v>SRC260910_018</x:v>
      </x:c>
      <x:c r="S25" t="str">
        <x:v>https://splash247.com/adani-lands-30-year-paradip-berth-concession/</x:v>
      </x:c>
      <x:c r="T25" t="str">
        <x:v>Adds 18m tonnes/year mechanised dry-bulk capacity.</x:v>
      </x:c>
    </x:row>
    <x:row r="26">
      <x:c r="A26" t="str">
        <x:v>IDEAL_BF_001</x:v>
      </x:c>
      <x:c r="B26" t="str">
        <x:v>2025-02-01</x:v>
      </x:c>
      <x:c r="C26" t="str">
        <x:v>2026-01-21</x:v>
      </x:c>
      <x:c r="D26" t="str">
        <x:v>COMP_TIL</x:v>
      </x:c>
      <x:c r="E26" t="str">
        <x:v>COMP_MARSA_MAROC</x:v>
      </x:c>
      <x:c r="F26"/>
      <x:c r="G26" t="str">
        <x:v>COMP_WMCT</x:v>
      </x:c>
      <x:c r="H26" t="str">
        <x:v>West Med Container Terminal</x:v>
      </x:c>
      <x:c r="I26" t="str">
        <x:v>Container terminal SPV</x:v>
      </x:c>
      <x:c r="J26" t="str">
        <x:v>Morocco</x:v>
      </x:c>
      <x:c r="K26" t="str">
        <x:v>Minority strategic investment / JV completion</x:v>
      </x:c>
      <x:c r="L26" t="str">
        <x:v>50% - 1 share</x:v>
      </x:c>
      <x:c r="M26"/>
      <x:c r="N26"/>
      <x:c r="O26" t="str">
        <x:v>Shared operating/ownership structure</x:v>
      </x:c>
      <x:c r="P26" t="str">
        <x:v>Completed</x:v>
      </x:c>
      <x:c r="Q26" t="str">
        <x:v>Required approvals received</x:v>
      </x:c>
      <x:c r="R26" t="str">
        <x:v>SRC_BF_NADOR_MARSA26</x:v>
      </x:c>
      <x:c r="S26" t="str">
        <x:v>https://www.marsamaroc.co.ma/sites/default/files/2026-01/CP%20%20WEST%20MED%20CONTAINER%20TERMINAL%20UK.pdf</x:v>
      </x:c>
      <x:c r="T26" t="str">
        <x:v>Partnership signed Feb 2025; transaction completed Jan 2026.</x:v>
      </x:c>
    </x:row>
    <x:row r="27">
      <x:c r="A27" t="str">
        <x:v>IDEAL_BF_002</x:v>
      </x:c>
      <x:c r="B27" t="str">
        <x:v>2022-02-17</x:v>
      </x:c>
      <x:c r="C27" t="str">
        <x:v>2022-03-01</x:v>
      </x:c>
      <x:c r="D27" t="str">
        <x:v>COMP_CMA_TERMINALS</x:v>
      </x:c>
      <x:c r="E27" t="str">
        <x:v>COMP_CMA_CGM</x:v>
      </x:c>
      <x:c r="F27" t="str">
        <x:v>Port of Beirut</x:v>
      </x:c>
      <x:c r="G27" t="str">
        <x:v>TERM_BEIRUT_CT</x:v>
      </x:c>
      <x:c r="H27" t="str">
        <x:v>Port of Beirut Container Terminal</x:v>
      </x:c>
      <x:c r="I27" t="str">
        <x:v>Container terminal</x:v>
      </x:c>
      <x:c r="J27" t="str">
        <x:v>Lebanon</x:v>
      </x:c>
      <x:c r="K27" t="str">
        <x:v>10-year operating concession / modernization commitment</x:v>
      </x:c>
      <x:c r="L27"/>
      <x:c r="M27" t="n">
        <x:v>33000000</x:v>
      </x:c>
      <x:c r="N27" t="str">
        <x:v>USD</x:v>
      </x:c>
      <x:c r="O27" t="str">
        <x:v>CMA Terminals management, operation and maintenance</x:v>
      </x:c>
      <x:c r="P27" t="str">
        <x:v>Operating</x:v>
      </x:c>
      <x:c r="Q27" t="str">
        <x:v>Awarded after bidding process</x:v>
      </x:c>
      <x:c r="R27" t="str">
        <x:v>SRC_BF_BEIRUT_CMA22</x:v>
      </x:c>
      <x:c r="S27" t="str">
        <x:v>https://www.cmacgm-group.com/en/news-media/the-cma-cgm-group-was-awarded-the-concession-of-the-beirut-port-container-terminal-and-foresees-an-ambitious-development-plan</x:v>
      </x:c>
      <x:c r="T27" t="str">
        <x:v>Concession began March 2022; 1.4m TEU target at award.</x:v>
      </x:c>
    </x:row>
    <x:row r="28">
      <x:c r="A28" t="str">
        <x:v>IDEAL_BF_003</x:v>
      </x:c>
      <x:c r="B28" t="str">
        <x:v>2026-09-09</x:v>
      </x:c>
      <x:c r="C28"/>
      <x:c r="D28" t="str">
        <x:v>COMP_NELTUME</x:v>
      </x:c>
      <x:c r="E28"/>
      <x:c r="F28" t="str">
        <x:v>Government of Uruguay</x:v>
      </x:c>
      <x:c r="G28" t="str">
        <x:v>TERM_MCT_MONTEVIDEO</x:v>
      </x:c>
      <x:c r="H28" t="str">
        <x:v>Montevideo Container Terminal (MCT)</x:v>
      </x:c>
      <x:c r="I28" t="str">
        <x:v>Greenfield container terminal</x:v>
      </x:c>
      <x:c r="J28" t="str">
        <x:v>Uruguay</x:v>
      </x:c>
      <x:c r="K28" t="str">
        <x:v>Privately initiated project proposal</x:v>
      </x:c>
      <x:c r="L28"/>
      <x:c r="M28" t="n">
        <x:v>900000000</x:v>
      </x:c>
      <x:c r="N28" t="str">
        <x:v>USD</x:v>
      </x:c>
      <x:c r="O28" t="str">
        <x:v>Proposed Neltume development</x:v>
      </x:c>
      <x:c r="P28" t="str">
        <x:v>Government evaluation</x:v>
      </x:c>
      <x:c r="Q28" t="str">
        <x:v>No concession structure/timetable disclosed</x:v>
      </x:c>
      <x:c r="R28" t="str">
        <x:v>SRC_BF_NELTUME_SPLASH</x:v>
      </x:c>
      <x:c r="S28" t="str">
        <x:v>https://splash247.com/neltume-pitches-900m-montevideo-container-terminal/</x:v>
      </x:c>
      <x:c r="T28" t="str">
        <x:v>Proposal follows withdrawal of Neltume ICSID arbitration.</x:v>
      </x:c>
    </x:row>
    <x:row r="29">
      <x:c r="A29" t="str">
        <x:v>IDEAL_BF_004</x:v>
      </x:c>
      <x:c r="B29" t="str">
        <x:v>2018-09-01</x:v>
      </x:c>
      <x:c r="C29" t="str">
        <x:v>2018-09-01</x:v>
      </x:c>
      <x:c r="D29" t="str">
        <x:v>COMP_ATCO</x:v>
      </x:c>
      <x:c r="E29" t="str">
        <x:v>COMP_ULTRAMAR</x:v>
      </x:c>
      <x:c r="F29"/>
      <x:c r="G29" t="str">
        <x:v>COMP_NELTUME</x:v>
      </x:c>
      <x:c r="H29" t="str">
        <x:v>Neltume Ports</x:v>
      </x:c>
      <x:c r="I29" t="str">
        <x:v>Port operator / infrastructure platform</x:v>
      </x:c>
      <x:c r="J29" t="str">
        <x:v>South America</x:v>
      </x:c>
      <x:c r="K29" t="str">
        <x:v>Minority equity acquisition</x:v>
      </x:c>
      <x:c r="L29" t="str">
        <x:v>40</x:v>
      </x:c>
      <x:c r="M29"/>
      <x:c r="N29"/>
      <x:c r="O29" t="str">
        <x:v>Non-controlled strategic interest</x:v>
      </x:c>
      <x:c r="P29" t="str">
        <x:v>Completed</x:v>
      </x:c>
      <x:c r="Q29" t="str">
        <x:v>Completed</x:v>
      </x:c>
      <x:c r="R29" t="str">
        <x:v>SRC_BF_ATCO_NELTUME</x:v>
      </x:c>
      <x:c r="S29" t="str">
        <x:v>https://www.atco.com/en-ca/businesses/investments/neltume-ports.html</x:v>
      </x:c>
      <x:c r="T29" t="str">
        <x:v>ATCO acquired 40% interest in 2018.</x:v>
      </x:c>
    </x:row>
    <x:row r="30">
      <x:c r="A30" t="str">
        <x:v>IDEAL_BF_005</x:v>
      </x:c>
      <x:c r="B30" t="str">
        <x:v>2021-02-01</x:v>
      </x:c>
      <x:c r="C30"/>
      <x:c r="D30" t="str">
        <x:v>COMP_KATOEN_NATIE</x:v>
      </x:c>
      <x:c r="E30" t="str">
        <x:v>COMP_ANP_URUGUAY</x:v>
      </x:c>
      <x:c r="F30" t="str">
        <x:v>Government of Uruguay</x:v>
      </x:c>
      <x:c r="G30" t="str">
        <x:v>COMP_TCP</x:v>
      </x:c>
      <x:c r="H30" t="str">
        <x:v>Terminal Cuenca del Plata / long-term expansion</x:v>
      </x:c>
      <x:c r="I30" t="str">
        <x:v>Container terminal</x:v>
      </x:c>
      <x:c r="J30" t="str">
        <x:v>Uruguay</x:v>
      </x:c>
      <x:c r="K30" t="str">
        <x:v>Concession extension / expansion commitment</x:v>
      </x:c>
      <x:c r="L30" t="str">
        <x:v>80</x:v>
      </x:c>
      <x:c r="M30" t="n">
        <x:v>600000000</x:v>
      </x:c>
      <x:c r="N30" t="str">
        <x:v>USD</x:v>
      </x:c>
      <x:c r="O30" t="str">
        <x:v>Katoen Natie/TCP majority operating control</x:v>
      </x:c>
      <x:c r="P30" t="str">
        <x:v>Active / development</x:v>
      </x:c>
      <x:c r="Q30" t="str">
        <x:v>Environmental works authorization reported in 2023</x:v>
      </x:c>
      <x:c r="R30" t="str">
        <x:v>SRC_BF_TCP_ANP</x:v>
      </x:c>
      <x:c r="S30" t="str">
        <x:v>https://www.anp.com.uy/en/node/1154</x:v>
      </x:c>
      <x:c r="T30" t="str">
        <x:v>ANP says &gt;US$600m expansion; 80% private / 20% ANP structure. Splash cites concession extension to 2081.</x:v>
      </x:c>
    </x:row>
    <x:row r="31">
      <x:c r="A31" t="str">
        <x:v>IDEAL_SAGAR_001</x:v>
      </x:c>
      <x:c r="B31" t="str">
        <x:v>2024-07-16</x:v>
      </x:c>
      <x:c r="C31"/>
      <x:c r="D31" t="str">
        <x:v>GOV_NCPOR</x:v>
      </x:c>
      <x:c r="E31" t="str">
        <x:v>COMP_GRSE</x:v>
      </x:c>
      <x:c r="F31" t="str">
        <x:v>Government of India / MoES</x:v>
      </x:c>
      <x:c r="G31" t="str">
        <x:v>VESSEL_SAGAR_MANTHAN</x:v>
      </x:c>
      <x:c r="H31" t="str">
        <x:v>ORV Sagar Manthan / Yard 3041</x:v>
      </x:c>
      <x:c r="I31" t="str">
        <x:v>Research vessel / shipbuilding</x:v>
      </x:c>
      <x:c r="J31" t="str">
        <x:v>India</x:v>
      </x:c>
      <x:c r="K31" t="str">
        <x:v>Government procurement / shipbuilding contract</x:v>
      </x:c>
      <x:c r="L31"/>
      <x:c r="M31" t="n">
        <x:v>100502512.56</x:v>
      </x:c>
      <x:c r="N31" t="str">
        <x:v>USD</x:v>
      </x:c>
      <x:c r="O31" t="str">
        <x:v>NCPOR/MoES customer; GRSE builder</x:v>
      </x:c>
      <x:c r="P31" t="str">
        <x:v>Active / launched</x:v>
      </x:c>
      <x:c r="Q31" t="str">
        <x:v>Government contract; delivery now scheduled 2028</x:v>
      </x:c>
      <x:c r="R31" t="str">
        <x:v>SRC_SAGAR_GRSE_CONTRACT</x:v>
      </x:c>
      <x:c r="S31" t="str">
        <x:v>https://www.grse.in/corporate-announcement/files/Signing_of_Contract_for_construction_and_delivery_of_ORV_for_NCPOR.pdf</x:v>
      </x:c>
      <x:c r="T31" t="str">
        <x:v>Primary contract value ₹840 crore (INR 8,400,000,000); USD normalized at historical 16 Jul 2024 rate ₹83.58/USD = ~US$100.50m.</x:v>
      </x:c>
    </x:row>
    <x:row r="32">
      <x:c r="A32" t="str">
        <x:v>IDEAL_SAGAR_002</x:v>
      </x:c>
      <x:c r="B32" t="str">
        <x:v>2024-10-29</x:v>
      </x:c>
      <x:c r="C32"/>
      <x:c r="D32" t="str">
        <x:v>GOV_NPOL</x:v>
      </x:c>
      <x:c r="E32" t="str">
        <x:v>COMP_GRSE</x:v>
      </x:c>
      <x:c r="F32" t="str">
        <x:v>DRDO / Government of India</x:v>
      </x:c>
      <x:c r="G32" t="str">
        <x:v>VESSEL_ARS_3058</x:v>
      </x:c>
      <x:c r="H32" t="str">
        <x:v>Acoustic Research Ship / Yard 3058</x:v>
      </x:c>
      <x:c r="I32" t="str">
        <x:v>Research vessel / defence R&amp;D shipbuilding</x:v>
      </x:c>
      <x:c r="J32" t="str">
        <x:v>India</x:v>
      </x:c>
      <x:c r="K32" t="str">
        <x:v>Government procurement / shipbuilding contract</x:v>
      </x:c>
      <x:c r="L32"/>
      <x:c r="M32" t="n">
        <x:v>58404152.74</x:v>
      </x:c>
      <x:c r="N32" t="str">
        <x:v>USD</x:v>
      </x:c>
      <x:c r="O32" t="str">
        <x:v>NPOL/DRDO customer; GRSE builder</x:v>
      </x:c>
      <x:c r="P32" t="str">
        <x:v>Active / under construction</x:v>
      </x:c>
      <x:c r="Q32" t="str">
        <x:v>Domestic government R&amp;D contract</x:v>
      </x:c>
      <x:c r="R32" t="str">
        <x:v>SRC_SAGAR_GRSE_ARS</x:v>
      </x:c>
      <x:c r="S32" t="str">
        <x:v>https://www.grse.in/corporate-announcement/files/Reg_30_GRSE_signed_Contract_for_One_Acoustic_Research_Ship_%28ARS%29_for_NPOL_Kochi_and_Press_Release.pdf</x:v>
      </x:c>
      <x:c r="T32" t="str">
        <x:v>Primary contract value ₹490.98 crore (INR 4,909,800,000); USD normalized at historical 29 Oct 2024 rate ₹84.06594/USD = ~US$58.40m.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</x:cols>
  <x:sheetData>
    <x:row r="1">
      <x:c r="A1" s="11" t="str">
        <x:v>Transaction ID</x:v>
      </x:c>
      <x:c r="B1" s="11" t="str">
        <x:v>Buyer Company ID</x:v>
      </x:c>
      <x:c r="C1" s="11" t="str">
        <x:v>Seller / Owner IDs</x:v>
      </x:c>
      <x:c r="D1" s="11" t="str">
        <x:v>Target Company</x:v>
      </x:c>
      <x:c r="E1" s="11" t="str">
        <x:v>Target Company ID</x:v>
      </x:c>
      <x:c r="F1" s="11" t="str">
        <x:v>Announcement Date</x:v>
      </x:c>
      <x:c r="G1" s="11" t="str">
        <x:v>Expected Close</x:v>
      </x:c>
      <x:c r="H1" s="11" t="str">
        <x:v>Actual Close</x:v>
      </x:c>
      <x:c r="I1" s="11" t="str">
        <x:v>Transaction Type</x:v>
      </x:c>
      <x:c r="J1" s="11" t="str">
        <x:v>Stake %</x:v>
      </x:c>
      <x:c r="K1" s="11" t="str">
        <x:v>Enterprise Value</x:v>
      </x:c>
      <x:c r="L1" s="11" t="str">
        <x:v>Currency</x:v>
      </x:c>
      <x:c r="M1" s="11" t="str">
        <x:v>Status</x:v>
      </x:c>
      <x:c r="N1" s="11" t="str">
        <x:v>Regulatory Status</x:v>
      </x:c>
      <x:c r="O1" s="11" t="str">
        <x:v>Source ID</x:v>
      </x:c>
      <x:c r="P1" s="11" t="str">
        <x:v>Source URL</x:v>
      </x:c>
      <x:c r="Q1" s="11" t="str">
        <x:v>Notes</x:v>
      </x:c>
    </x:row>
    <x:row r="2">
      <x:c r="A2" s="14" t="str">
        <x:v>TXN_001</x:v>
      </x:c>
      <x:c r="B2" s="14" t="str">
        <x:v>COMP_ADPORTS</x:v>
      </x:c>
      <x:c r="C2" s="14" t="str">
        <x:v>COMP_MIPV; COMP_IG4_PEFII</x:v>
      </x:c>
      <x:c r="D2" s="14" t="str">
        <x:v>CLI</x:v>
      </x:c>
      <x:c r="E2" s="14" t="str">
        <x:v>COMP_CLI</x:v>
      </x:c>
      <x:c r="F2" s="14" t="str">
        <x:v>2026-06-02</x:v>
      </x:c>
      <x:c r="G2" s="14" t="str">
        <x:v>H2 2026</x:v>
      </x:c>
      <x:c r="H2" s="14"/>
      <x:c r="I2" s="14" t="str">
        <x:v>Acquisition</x:v>
      </x:c>
      <x:c r="J2" s="14" t="str">
        <x:v>100</x:v>
      </x:c>
      <x:c r="K2" s="14" t="str">
        <x:v>3100000000</x:v>
      </x:c>
      <x:c r="L2" s="14" t="str">
        <x:v>AED</x:v>
      </x:c>
      <x:c r="M2" s="14" t="str">
        <x:v>Signed / pending completion</x:v>
      </x:c>
      <x:c r="N2" s="14" t="str">
        <x:v>Regulatory and antitrust approval required</x:v>
      </x:c>
      <x:c r="O2" s="14" t="str">
        <x:v>SRC_V125_003</x:v>
      </x:c>
      <x:c r="P2" s="14" t="str">
        <x:v>https://www.adportsgroup.com/en/news-and-media/2026/06/02/ad-ports-group-acquires-cli</x:v>
      </x:c>
      <x:c r="Q2" s="14"/>
    </x:row>
    <x:row r="3">
      <x:c r="A3" s="14" t="str">
        <x:v>TXN_002</x:v>
      </x:c>
      <x:c r="B3" s="14" t="str">
        <x:v>COMP_ADPORTS</x:v>
      </x:c>
      <x:c r="C3" s="14"/>
      <x:c r="D3" s="14" t="str">
        <x:v>MBS Logistics</x:v>
      </x:c>
      <x:c r="E3" s="14"/>
      <x:c r="F3" s="14" t="str">
        <x:v>2026-05-18</x:v>
      </x:c>
      <x:c r="G3" s="14" t="str">
        <x:v>Q4 2026</x:v>
      </x:c>
      <x:c r="H3" s="14"/>
      <x:c r="I3" s="14" t="str">
        <x:v>Acquisition of core business</x:v>
      </x:c>
      <x:c r="J3" s="14" t="str">
        <x:v>100</x:v>
      </x:c>
      <x:c r="K3" s="14" t="str">
        <x:v>300000000</x:v>
      </x:c>
      <x:c r="L3" s="14" t="str">
        <x:v>AED</x:v>
      </x:c>
      <x:c r="M3" s="14" t="str">
        <x:v>Signed / pending completion</x:v>
      </x:c>
      <x:c r="N3" s="14" t="str">
        <x:v>Customary closing conditions</x:v>
      </x:c>
      <x:c r="O3" s="14" t="str">
        <x:v>SRC_V125_004</x:v>
      </x:c>
      <x:c r="P3" s="14" t="str">
        <x:v>https://www.adportsgroup.com/en/news-and-media/2026/05/18/adpg-further-consolidates-its-global-logistics-platform-with-the-acquisition-of-mbs-logistics</x:v>
      </x:c>
      <x:c r="Q3" s="14" t="str">
        <x:v>Core business excludes JVs</x:v>
      </x:c>
    </x:row>
    <x:row r="4">
      <x:c r="A4" s="14" t="str">
        <x:v>TXN_003</x:v>
      </x:c>
      <x:c r="B4" s="14" t="str">
        <x:v>COMP_SAFEEN_DRYDOCKS</x:v>
      </x:c>
      <x:c r="C4" s="14"/>
      <x:c r="D4" s="14" t="str">
        <x:v>Balenciaga Shipyard</x:v>
      </x:c>
      <x:c r="E4" s="14" t="str">
        <x:v>COMP_BALENCIAGA</x:v>
      </x:c>
      <x:c r="F4" s="14" t="str">
        <x:v>2026-01-20</x:v>
      </x:c>
      <x:c r="G4" s="14" t="str">
        <x:v>2026-01-20</x:v>
      </x:c>
      <x:c r="H4" s="14" t="str">
        <x:v>2026-01-20</x:v>
      </x:c>
      <x:c r="I4" s="14" t="str">
        <x:v>Acquisition</x:v>
      </x:c>
      <x:c r="J4" s="14" t="str">
        <x:v>100</x:v>
      </x:c>
      <x:c r="K4" s="14" t="str">
        <x:v>11200000</x:v>
      </x:c>
      <x:c r="L4" s="14" t="str">
        <x:v>EUR</x:v>
      </x:c>
      <x:c r="M4" s="14" t="str">
        <x:v>Completed</x:v>
      </x:c>
      <x:c r="N4" s="14" t="str">
        <x:v>Completed</x:v>
      </x:c>
      <x:c r="O4" s="14" t="str">
        <x:v>SRC_V125_005</x:v>
      </x:c>
      <x:c r="P4" s="14" t="str">
        <x:v>https://www.adportsgroup.com/en/news-and-media/2026/01/20/ad-ports-group-expands-operations-in-spain-with-acquisition-of-balenciaga-astilleros-shipyard</x:v>
      </x:c>
      <x:c r="Q4" s="14"/>
    </x:row>
    <x:row r="5">
      <x:c r="A5" s="14" t="str">
        <x:v>TXN_004</x:v>
      </x:c>
      <x:c r="B5" s="14" t="str">
        <x:v>COMP_MACQUARIE_AM</x:v>
      </x:c>
      <x:c r="C5" s="14" t="str">
        <x:v>Qube public shareholders</x:v>
      </x:c>
      <x:c r="D5" s="14" t="str">
        <x:v>Qube Holdings</x:v>
      </x:c>
      <x:c r="E5" s="14" t="str">
        <x:v>COMP_QUBE</x:v>
      </x:c>
      <x:c r="F5" s="14" t="str">
        <x:v>2026-02-16</x:v>
      </x:c>
      <x:c r="G5" s="14" t="str">
        <x:v>2026-08-14</x:v>
      </x:c>
      <x:c r="H5" s="14" t="str">
        <x:v>2026-08-14</x:v>
      </x:c>
      <x:c r="I5" s="14" t="str">
        <x:v>Scheme of arrangement</x:v>
      </x:c>
      <x:c r="J5" s="14" t="str">
        <x:v>100</x:v>
      </x:c>
      <x:c r="K5" s="14" t="str">
        <x:v>11700000000</x:v>
      </x:c>
      <x:c r="L5" s="14" t="str">
        <x:v>AUD</x:v>
      </x:c>
      <x:c r="M5" s="14" t="str">
        <x:v>Completed</x:v>
      </x:c>
      <x:c r="N5" s="14" t="str">
        <x:v>Approvals completed</x:v>
      </x:c>
      <x:c r="O5" s="14" t="str">
        <x:v>SRC_V125_010</x:v>
      </x:c>
      <x:c r="P5" s="14" t="str">
        <x:v>https://www.macquarie.com/li/en/about/news/2026/macquarie-asset-management-led-consortium-announces-successful-completion-of-qube-investment.html</x:v>
      </x:c>
      <x:c r="Q5" s="14" t="str">
        <x:v>Consortium includes managed funds and co-investors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>
      <x:c r="A1" s="11" t="str">
        <x:v>Approval ID</x:v>
      </x:c>
      <x:c r="B1" s="11" t="str">
        <x:v>Transaction ID</x:v>
      </x:c>
      <x:c r="C1" s="11" t="str">
        <x:v>Approval Type</x:v>
      </x:c>
      <x:c r="D1" s="11" t="str">
        <x:v>Jurisdiction / Authority</x:v>
      </x:c>
      <x:c r="E1" s="11" t="str">
        <x:v>Status</x:v>
      </x:c>
      <x:c r="F1" s="11" t="str">
        <x:v>Decision Date</x:v>
      </x:c>
      <x:c r="G1" s="11" t="str">
        <x:v>Condition / Note</x:v>
      </x:c>
      <x:c r="H1" s="11" t="str">
        <x:v>Source ID</x:v>
      </x:c>
      <x:c r="I1" s="11" t="str">
        <x:v>Source URL</x:v>
      </x:c>
    </x:row>
    <x:row r="2">
      <x:c r="A2" s="14" t="str">
        <x:v>APPROVAL_001</x:v>
      </x:c>
      <x:c r="B2" s="14" t="str">
        <x:v>TXN_001</x:v>
      </x:c>
      <x:c r="C2" s="14" t="str">
        <x:v>Regulatory approval</x:v>
      </x:c>
      <x:c r="D2" s="14" t="str">
        <x:v>Brazil / relevant authorities</x:v>
      </x:c>
      <x:c r="E2" s="14" t="str">
        <x:v>Pending</x:v>
      </x:c>
      <x:c r="F2" s="14"/>
      <x:c r="G2" s="14" t="str">
        <x:v>Customary closing conditions include regulatory approval</x:v>
      </x:c>
      <x:c r="H2" s="14" t="str">
        <x:v>SRC_V125_003</x:v>
      </x:c>
      <x:c r="I2" s="14" t="str">
        <x:v>https://www.adportsgroup.com/en/news-and-media/2026/06/02/ad-ports-group-acquires-cli</x:v>
      </x:c>
    </x:row>
    <x:row r="3">
      <x:c r="A3" s="14" t="str">
        <x:v>APPROVAL_002</x:v>
      </x:c>
      <x:c r="B3" s="14" t="str">
        <x:v>TXN_001</x:v>
      </x:c>
      <x:c r="C3" s="14" t="str">
        <x:v>Antitrust approval</x:v>
      </x:c>
      <x:c r="D3" s="14" t="str">
        <x:v>Brazil / relevant authorities</x:v>
      </x:c>
      <x:c r="E3" s="14" t="str">
        <x:v>Pending</x:v>
      </x:c>
      <x:c r="F3" s="14"/>
      <x:c r="G3" s="14" t="str">
        <x:v>Antitrust approval required</x:v>
      </x:c>
      <x:c r="H3" s="14" t="str">
        <x:v>SRC_V125_003</x:v>
      </x:c>
      <x:c r="I3" s="14" t="str">
        <x:v>https://www.adportsgroup.com/en/news-and-media/2026/06/02/ad-ports-group-acquires-cli</x:v>
      </x:c>
    </x:row>
    <x:row r="4">
      <x:c r="A4" s="14" t="str">
        <x:v>APPROVAL_003</x:v>
      </x:c>
      <x:c r="B4" s="14" t="str">
        <x:v>TXN_004</x:v>
      </x:c>
      <x:c r="C4" s="14" t="str">
        <x:v>Scheme / regulatory approvals</x:v>
      </x:c>
      <x:c r="D4" s="14" t="str">
        <x:v>Australia / New Zealand</x:v>
      </x:c>
      <x:c r="E4" s="14" t="str">
        <x:v>Completed</x:v>
      </x:c>
      <x:c r="F4" s="14" t="str">
        <x:v>2026-07-03</x:v>
      </x:c>
      <x:c r="G4" s="14" t="str">
        <x:v>FIRB and OIO approval reported before implementation</x:v>
      </x:c>
      <x:c r="H4" s="14" t="str">
        <x:v>SRC_V125_011</x:v>
      </x:c>
      <x:c r="I4" s="14" t="str">
        <x:v>https://qube.com.au/investor/asx-media-announcements/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11" t="str">
        <x:v>Status History ID</x:v>
      </x:c>
      <x:c r="B1" s="11" t="str">
        <x:v>Transaction ID</x:v>
      </x:c>
      <x:c r="C1" s="11" t="str">
        <x:v>Status Date</x:v>
      </x:c>
      <x:c r="D1" s="11" t="str">
        <x:v>Status</x:v>
      </x:c>
      <x:c r="E1" s="11" t="str">
        <x:v>Regulatory Status</x:v>
      </x:c>
      <x:c r="F1" s="11" t="str">
        <x:v>Source ID</x:v>
      </x:c>
      <x:c r="G1" s="11" t="str">
        <x:v>Source URL</x:v>
      </x:c>
      <x:c r="H1" s="11" t="str">
        <x:v>Notes</x:v>
      </x:c>
    </x:row>
    <x:row r="2">
      <x:c r="A2" s="14" t="str">
        <x:v>TXNST_001</x:v>
      </x:c>
      <x:c r="B2" s="14" t="str">
        <x:v>TXN_001</x:v>
      </x:c>
      <x:c r="C2" s="14" t="str">
        <x:v>2026-06-02</x:v>
      </x:c>
      <x:c r="D2" s="14" t="str">
        <x:v>Signed / agreed</x:v>
      </x:c>
      <x:c r="E2" s="14" t="str">
        <x:v>Regulatory and antitrust pending</x:v>
      </x:c>
      <x:c r="F2" s="14" t="str">
        <x:v>SRC_V125_003</x:v>
      </x:c>
      <x:c r="G2" s="14" t="str">
        <x:v>https://www.adportsgroup.com/en/news-and-media/2026/06/02/ad-ports-group-acquires-cli</x:v>
      </x:c>
      <x:c r="H2" s="14"/>
    </x:row>
    <x:row r="3">
      <x:c r="A3" s="14" t="str">
        <x:v>TXNST_002</x:v>
      </x:c>
      <x:c r="B3" s="14" t="str">
        <x:v>TXN_002</x:v>
      </x:c>
      <x:c r="C3" s="14" t="str">
        <x:v>2026-05-18</x:v>
      </x:c>
      <x:c r="D3" s="14" t="str">
        <x:v>Signed / agreed</x:v>
      </x:c>
      <x:c r="E3" s="14" t="str">
        <x:v>Closing conditions pending</x:v>
      </x:c>
      <x:c r="F3" s="14" t="str">
        <x:v>SRC_V125_004</x:v>
      </x:c>
      <x:c r="G3" s="14" t="str">
        <x:v>https://www.adportsgroup.com/en/news-and-media/2026/05/18/adpg-further-consolidates-its-global-logistics-platform-with-the-acquisition-of-mbs-logistics</x:v>
      </x:c>
      <x:c r="H3" s="14"/>
    </x:row>
    <x:row r="4">
      <x:c r="A4" s="14" t="str">
        <x:v>TXNST_003</x:v>
      </x:c>
      <x:c r="B4" s="14" t="str">
        <x:v>TXN_004</x:v>
      </x:c>
      <x:c r="C4" s="14" t="str">
        <x:v>2026-08-14</x:v>
      </x:c>
      <x:c r="D4" s="14" t="str">
        <x:v>Completed</x:v>
      </x:c>
      <x:c r="E4" s="14" t="str">
        <x:v>Completed</x:v>
      </x:c>
      <x:c r="F4" s="14" t="str">
        <x:v>SRC_V125_010</x:v>
      </x:c>
      <x:c r="G4" s="14" t="str">
        <x:v>https://www.macquarie.com/li/en/about/news/2026/macquarie-asset-management-led-consortium-announces-successful-completion-of-qube-investment.html</x:v>
      </x:c>
      <x:c r="H4" s="14"/>
    </x:row>
    <x:row r="5">
      <x:c r="A5" s="14" t="str">
        <x:v>TXNST_004</x:v>
      </x:c>
      <x:c r="B5" s="14" t="str">
        <x:v>TXN_004</x:v>
      </x:c>
      <x:c r="C5" s="14" t="str">
        <x:v>2026-08-17</x:v>
      </x:c>
      <x:c r="D5" s="14" t="str">
        <x:v>Delisted</x:v>
      </x:c>
      <x:c r="E5" s="14" t="str">
        <x:v>Completed</x:v>
      </x:c>
      <x:c r="F5" s="14" t="str">
        <x:v>SRC_V125_011</x:v>
      </x:c>
      <x:c r="G5" s="14" t="str">
        <x:v>https://qube.com.au/investor/</x:v>
      </x:c>
      <x:c r="H5" s="14" t="str">
        <x:v>Qube removed from ASX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11" t="str">
        <x:v>Transaction Link ID</x:v>
      </x:c>
      <x:c r="B1" s="11" t="str">
        <x:v>Deal ID</x:v>
      </x:c>
      <x:c r="C1" s="11" t="str">
        <x:v>Entity / Asset ID</x:v>
      </x:c>
      <x:c r="D1" s="11" t="str">
        <x:v>Entity / Asset</x:v>
      </x:c>
      <x:c r="E1" s="11" t="str">
        <x:v>Link Type</x:v>
      </x:c>
      <x:c r="F1" s="11" t="str">
        <x:v>Confidence</x:v>
      </x:c>
      <x:c r="G1" s="11" t="str">
        <x:v>Notes</x:v>
      </x:c>
    </x:row>
    <x:row r="2">
      <x:c r="A2" s="14" t="str">
        <x:v>TALINK0001</x:v>
      </x:c>
      <x:c r="B2" s="14" t="str">
        <x:v>IDEAL_0013</x:v>
      </x:c>
      <x:c r="C2" s="14" t="str">
        <x:v>COMP_TLG</x:v>
      </x:c>
      <x:c r="D2" s="14" t="str">
        <x:v>The Logistics Group</x:v>
      </x:c>
      <x:c r="E2" s="14" t="str">
        <x:v>TARGET</x:v>
      </x:c>
      <x:c r="F2" s="14" t="str">
        <x:v>High</x:v>
      </x:c>
      <x:c r="G2" s="14" t="str">
        <x:v>Acquisition target</x:v>
      </x:c>
    </x:row>
    <x:row r="3">
      <x:c r="A3" s="14" t="str">
        <x:v>TALINK0002</x:v>
      </x:c>
      <x:c r="B3" s="14" t="str">
        <x:v>IDEAL_0013</x:v>
      </x:c>
      <x:c r="C3" s="14" t="str">
        <x:v>PORTG0211</x:v>
      </x:c>
      <x:c r="D3" s="14" t="str">
        <x:v>Port of Durban</x:v>
      </x:c>
      <x:c r="E3" s="14" t="str">
        <x:v>NETWORK_EXPOSURE</x:v>
      </x:c>
      <x:c r="F3" s="14" t="str">
        <x:v>Medium</x:v>
      </x:c>
      <x:c r="G3" s="14" t="str">
        <x:v>TLG/ICTSI Southern Africa exposure; exact asset relationship requires enrichment</x:v>
      </x:c>
    </x:row>
    <x:row r="4">
      <x:c r="A4" s="14" t="str">
        <x:v>TALINK0003</x:v>
      </x:c>
      <x:c r="B4" s="14" t="str">
        <x:v>IDEAL_0013</x:v>
      </x:c>
      <x:c r="C4" s="14" t="str">
        <x:v>PORTG0212</x:v>
      </x:c>
      <x:c r="D4" s="14" t="str">
        <x:v>Port of Beira</x:v>
      </x:c>
      <x:c r="E4" s="14" t="str">
        <x:v>NETWORK_EXPOSURE</x:v>
      </x:c>
      <x:c r="F4" s="14" t="str">
        <x:v>Medium</x:v>
      </x:c>
      <x:c r="G4" s="14" t="str">
        <x:v>TLG regional footprint research seed</x:v>
      </x:c>
    </x:row>
    <x:row r="5">
      <x:c r="A5" s="14" t="str">
        <x:v>TALINK0004</x:v>
      </x:c>
      <x:c r="B5" s="14" t="str">
        <x:v>IDEAL_0013</x:v>
      </x:c>
      <x:c r="C5" s="14" t="str">
        <x:v>PORTG0213</x:v>
      </x:c>
      <x:c r="D5" s="14" t="str">
        <x:v>Port of Maputo / Matola</x:v>
      </x:c>
      <x:c r="E5" s="14" t="str">
        <x:v>NETWORK_EXPOSURE</x:v>
      </x:c>
      <x:c r="F5" s="14" t="str">
        <x:v>Medium</x:v>
      </x:c>
      <x:c r="G5" s="14" t="str">
        <x:v>TLG regional footprint research seed</x:v>
      </x:c>
    </x:row>
    <x:row r="6">
      <x:c r="A6" s="14" t="str">
        <x:v>TALINK0005</x:v>
      </x:c>
      <x:c r="B6" s="14" t="str">
        <x:v>IDEAL_0013</x:v>
      </x:c>
      <x:c r="C6" s="14" t="str">
        <x:v>PORTG0214</x:v>
      </x:c>
      <x:c r="D6" s="14" t="str">
        <x:v>Port of Saldanha Bay</x:v>
      </x:c>
      <x:c r="E6" s="14" t="str">
        <x:v>NETWORK_EXPOSURE</x:v>
      </x:c>
      <x:c r="F6" s="14" t="str">
        <x:v>Medium</x:v>
      </x:c>
      <x:c r="G6" s="14" t="str">
        <x:v>TLG regional footprint research seed</x:v>
      </x:c>
    </x:row>
    <x:row r="7">
      <x:c r="A7" s="14" t="str">
        <x:v>TALINK0006</x:v>
      </x:c>
      <x:c r="B7" s="14" t="str">
        <x:v>IDEAL_0013</x:v>
      </x:c>
      <x:c r="C7" s="14" t="str">
        <x:v>PORTG0215</x:v>
      </x:c>
      <x:c r="D7" s="14" t="str">
        <x:v>Port of Nacala</x:v>
      </x:c>
      <x:c r="E7" s="14" t="str">
        <x:v>NETWORK_EXPOSURE</x:v>
      </x:c>
      <x:c r="F7" s="14" t="str">
        <x:v>Medium</x:v>
      </x:c>
      <x:c r="G7" s="14" t="str">
        <x:v>TLG regional footprint research seed</x:v>
      </x:c>
    </x:row>
    <x:row r="8">
      <x:c r="A8" s="14" t="str">
        <x:v>TALINK0007</x:v>
      </x:c>
      <x:c r="B8" s="14" t="str">
        <x:v>IDEAL_0014</x:v>
      </x:c>
      <x:c r="C8" s="14" t="str">
        <x:v>COMP_AUSTAL_USA</x:v>
      </x:c>
      <x:c r="D8" s="14" t="str">
        <x:v>Austal USA</x:v>
      </x:c>
      <x:c r="E8" s="14" t="str">
        <x:v>TARGET</x:v>
      </x:c>
      <x:c r="F8" s="14" t="str">
        <x:v>High</x:v>
      </x:c>
      <x:c r="G8" s="14"/>
    </x:row>
    <x:row r="9">
      <x:c r="A9" s="14" t="str">
        <x:v>TALINK0008</x:v>
      </x:c>
      <x:c r="B9" s="14" t="str">
        <x:v>IDEAL_0014</x:v>
      </x:c>
      <x:c r="C9" s="14" t="str">
        <x:v>YARD_0027</x:v>
      </x:c>
      <x:c r="D9" s="14" t="str">
        <x:v>Austal USA Mobile Shipyard</x:v>
      </x:c>
      <x:c r="E9" s="14" t="str">
        <x:v>PHYSICAL_ASSET</x:v>
      </x:c>
      <x:c r="F9" s="14" t="str">
        <x:v>High</x:v>
      </x:c>
      <x:c r="G9" s="14"/>
    </x:row>
    <x:row r="10">
      <x:c r="A10" s="14" t="str">
        <x:v>TALINK0009</x:v>
      </x:c>
      <x:c r="B10" s="14" t="str">
        <x:v>IDEAL_0014</x:v>
      </x:c>
      <x:c r="C10" s="14" t="str">
        <x:v>YARD_0028</x:v>
      </x:c>
      <x:c r="D10" s="14" t="str">
        <x:v>Austal USA San Diego</x:v>
      </x:c>
      <x:c r="E10" s="14" t="str">
        <x:v>PHYSICAL_ASSET</x:v>
      </x:c>
      <x:c r="F10" s="14" t="str">
        <x:v>High</x:v>
      </x:c>
      <x:c r="G10" s="14"/>
    </x:row>
    <x:row r="11">
      <x:c r="A11" s="14" t="str">
        <x:v>TALINK0010</x:v>
      </x:c>
      <x:c r="B11" s="14" t="str">
        <x:v>IDEAL_0015</x:v>
      </x:c>
      <x:c r="C11" s="14" t="str">
        <x:v>COMP_AUSTAL_USA</x:v>
      </x:c>
      <x:c r="D11" s="14" t="str">
        <x:v>Austal USA</x:v>
      </x:c>
      <x:c r="E11" s="14" t="str">
        <x:v>TARGET</x:v>
      </x:c>
      <x:c r="F11" s="14" t="str">
        <x:v>Medium</x:v>
      </x:c>
      <x:c r="G11" s="14" t="str">
        <x:v>Potential competing bid</x:v>
      </x:c>
    </x:row>
    <x:row r="12">
      <x:c r="A12" s="14" t="str">
        <x:v>TALINK0011</x:v>
      </x:c>
      <x:c r="B12" s="14" t="str">
        <x:v>IDEAL_0016</x:v>
      </x:c>
      <x:c r="C12" s="14" t="str">
        <x:v>COMP_ZIM</x:v>
      </x:c>
      <x:c r="D12" s="14" t="str">
        <x:v>ZIM Integrated Shipping Services</x:v>
      </x:c>
      <x:c r="E12" s="14" t="str">
        <x:v>TARGET</x:v>
      </x:c>
      <x:c r="F12" s="14" t="str">
        <x:v>High</x:v>
      </x:c>
      <x:c r="G12" s="14" t="str">
        <x:v>Company and fleet exposure</x:v>
      </x:c>
    </x:row>
    <x:row r="13">
      <x:c r="A13" t="str">
        <x:v>TALINK_BF_001</x:v>
      </x:c>
      <x:c r="B13" t="str">
        <x:v>IDEAL_BF_001</x:v>
      </x:c>
      <x:c r="C13" t="str">
        <x:v>TERM_NADOR_EAST</x:v>
      </x:c>
      <x:c r="D13" t="str">
        <x:v>Nador West Med Eastern Container Terminal</x:v>
      </x:c>
      <x:c r="E13" t="str">
        <x:v>TARGET / CONCESSION_ASSET</x:v>
      </x:c>
      <x:c r="F13" t="str">
        <x:v>High</x:v>
      </x:c>
      <x:c r="G13" t="str">
        <x:v>WMCT is concessionaire of the terminal.</x:v>
      </x:c>
    </x:row>
    <x:row r="14">
      <x:c r="A14" t="str">
        <x:v>TALINK_BF_002</x:v>
      </x:c>
      <x:c r="B14" t="str">
        <x:v>IDEAL_BF_002</x:v>
      </x:c>
      <x:c r="C14" t="str">
        <x:v>TERM_BEIRUT_CT</x:v>
      </x:c>
      <x:c r="D14" t="str">
        <x:v>Port of Beirut Container Terminal</x:v>
      </x:c>
      <x:c r="E14" t="str">
        <x:v>CONCESSION_ASSET</x:v>
      </x:c>
      <x:c r="F14" t="str">
        <x:v>High</x:v>
      </x:c>
      <x:c r="G14" t="str">
        <x:v>CMA Terminals operating concession.</x:v>
      </x:c>
    </x:row>
    <x:row r="15">
      <x:c r="A15" t="str">
        <x:v>TALINK_BF_003</x:v>
      </x:c>
      <x:c r="B15" t="str">
        <x:v>IDEAL_BF_003</x:v>
      </x:c>
      <x:c r="C15" t="str">
        <x:v>TERM_MCT_MONTEVIDEO</x:v>
      </x:c>
      <x:c r="D15" t="str">
        <x:v>Montevideo Container Terminal (MCT)</x:v>
      </x:c>
      <x:c r="E15" t="str">
        <x:v>PROPOSED_ASSET</x:v>
      </x:c>
      <x:c r="F15" t="str">
        <x:v>High</x:v>
      </x:c>
      <x:c r="G15" t="str">
        <x:v>US$900m greenfield proposal.</x:v>
      </x:c>
    </x:row>
    <x:row r="16">
      <x:c r="A16" t="str">
        <x:v>TALINK_BF_004</x:v>
      </x:c>
      <x:c r="B16" t="str">
        <x:v>IDEAL_BF_003</x:v>
      </x:c>
      <x:c r="C16" t="str">
        <x:v>PORTG0206</x:v>
      </x:c>
      <x:c r="D16" t="str">
        <x:v>Port of Montevideo</x:v>
      </x:c>
      <x:c r="E16" t="str">
        <x:v>LOCATION / NETWORK</x:v>
      </x:c>
      <x:c r="F16" t="str">
        <x:v>High</x:v>
      </x:c>
      <x:c r="G16" t="str">
        <x:v>Project proposed within Montevideo gateway.</x:v>
      </x:c>
    </x:row>
    <x:row r="17">
      <x:c r="A17" t="str">
        <x:v>TALINK_BF_005</x:v>
      </x:c>
      <x:c r="B17" t="str">
        <x:v>IDEAL_BF_005</x:v>
      </x:c>
      <x:c r="C17" t="str">
        <x:v>TERM_TCP_MONTEVIDEO</x:v>
      </x:c>
      <x:c r="D17" t="str">
        <x:v>Terminal Cuenca del Plata</x:v>
      </x:c>
      <x:c r="E17" t="str">
        <x:v>CONCESSION_ASSET</x:v>
      </x:c>
      <x:c r="F17" t="str">
        <x:v>High</x:v>
      </x:c>
      <x:c r="G17" t="str">
        <x:v>Long-term container-terminal expansion.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</x:cols>
  <x:sheetData>
    <x:row r="1">
      <x:c r="A1" s="11" t="str">
        <x:v>Transaction ID</x:v>
      </x:c>
      <x:c r="B1" s="11" t="str">
        <x:v>Vessel ID</x:v>
      </x:c>
      <x:c r="C1" s="11" t="str">
        <x:v>IMO</x:v>
      </x:c>
      <x:c r="D1" s="11" t="str">
        <x:v>Vessel Name</x:v>
      </x:c>
      <x:c r="E1" s="11" t="str">
        <x:v>Buyer Company ID</x:v>
      </x:c>
      <x:c r="F1" s="11" t="str">
        <x:v>Seller Company ID</x:v>
      </x:c>
      <x:c r="G1" s="11" t="str">
        <x:v>Transaction Type</x:v>
      </x:c>
      <x:c r="H1" s="11" t="str">
        <x:v>Announced Date</x:v>
      </x:c>
      <x:c r="I1" s="11" t="str">
        <x:v>Closed / Delivered Date</x:v>
      </x:c>
      <x:c r="J1" s="11" t="str">
        <x:v>Price USD</x:v>
      </x:c>
      <x:c r="K1" s="11" t="str">
        <x:v>Vessel Age at Sale</x:v>
      </x:c>
      <x:c r="L1" s="11" t="str">
        <x:v>Status</x:v>
      </x:c>
      <x:c r="M1" s="11" t="str">
        <x:v>Source ID</x:v>
      </x:c>
      <x:c r="N1" s="11" t="str">
        <x:v>Source URL</x:v>
      </x:c>
      <x:c r="O1" s="11" t="str">
        <x:v>Notes</x:v>
      </x:c>
    </x:row>
    <x:row r="2">
      <x:c r="A2" s="14" t="str">
        <x:v>VTX_TEMPLATE</x:v>
      </x:c>
      <x:c r="B2" s="14"/>
      <x:c r="C2" s="14"/>
      <x:c r="D2" s="14"/>
      <x:c r="E2" s="14"/>
      <x:c r="F2" s="14"/>
      <x:c r="G2" s="14" t="str">
        <x:v>Purchase / sale / sale-leaseback / fleet acquisition</x:v>
      </x:c>
      <x:c r="H2" s="14"/>
      <x:c r="I2" s="14"/>
      <x:c r="J2" s="14"/>
      <x:c r="K2" s="14"/>
      <x:c r="L2" s="14" t="str">
        <x:v>Template</x:v>
      </x:c>
      <x:c r="M2" s="14"/>
      <x:c r="N2" s="14"/>
      <x:c r="O2" s="14" t="str">
        <x:v>Use this table to measure second-hand accumulation, divestment and fleet renewal without changing historical ownership relationships.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>
      <x:c r="A1" s="11" t="str">
        <x:v>Control Record ID</x:v>
      </x:c>
      <x:c r="B1" s="11" t="str">
        <x:v>Asset / Port ID</x:v>
      </x:c>
      <x:c r="C1" s="11" t="str">
        <x:v>Asset / Port</x:v>
      </x:c>
      <x:c r="D1" s="11" t="str">
        <x:v>Controller Entity ID</x:v>
      </x:c>
      <x:c r="E1" s="11" t="str">
        <x:v>Controller</x:v>
      </x:c>
      <x:c r="F1" s="11" t="str">
        <x:v>Control Type</x:v>
      </x:c>
      <x:c r="G1" s="11" t="str">
        <x:v>Effective From</x:v>
      </x:c>
      <x:c r="H1" s="11" t="str">
        <x:v>Effective To</x:v>
      </x:c>
      <x:c r="I1" s="11" t="str">
        <x:v>Confidence</x:v>
      </x:c>
      <x:c r="J1" s="11" t="str">
        <x:v>Source ID / Notes</x:v>
      </x:c>
    </x:row>
    <x:row r="2">
      <x:c r="A2" s="14" t="str">
        <x:v>CTRL0001</x:v>
      </x:c>
      <x:c r="B2" s="14" t="str">
        <x:v>PORTG0196</x:v>
      </x:c>
      <x:c r="C2" s="14" t="str">
        <x:v>Ras Isa Terminal</x:v>
      </x:c>
      <x:c r="D2" s="14"/>
      <x:c r="E2" s="14" t="str">
        <x:v>Houthi authorities</x:v>
      </x:c>
      <x:c r="F2" s="14" t="str">
        <x:v>De facto control</x:v>
      </x:c>
      <x:c r="G2" s="14"/>
      <x:c r="H2" s="14"/>
      <x:c r="I2" s="14" t="str">
        <x:v>Medium</x:v>
      </x:c>
      <x:c r="J2" s="14" t="str">
        <x:v>SRC_0349 — reported Houthi-controlled at time of Nereida call; re-verify continuously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20" hidden="0" customWidth="1"/>
    <x:col min="4" max="4" width="14" hidden="0" customWidth="1"/>
    <x:col min="5" max="5" width="14" hidden="0" customWidth="1"/>
    <x:col min="6" max="6" width="18" hidden="0" customWidth="1"/>
    <x:col min="7" max="7" width="46" hidden="0" customWidth="1"/>
    <x:col min="8" max="8" width="30" hidden="0" customWidth="1"/>
  </x:cols>
  <x:sheetData>
    <x:row r="1">
      <x:c r="A1" s="19" t="str">
        <x:v>Record ID</x:v>
      </x:c>
      <x:c r="B1" s="19" t="str">
        <x:v>Programme / Contract</x:v>
      </x:c>
      <x:c r="C1" s="19" t="str">
        <x:v>Native Value (INR)</x:v>
      </x:c>
      <x:c r="D1" s="19" t="str">
        <x:v>Contract Date</x:v>
      </x:c>
      <x:c r="E1" s="19" t="str">
        <x:v>INR per USD</x:v>
      </x:c>
      <x:c r="F1" s="19" t="str">
        <x:v>USD Equivalent</x:v>
      </x:c>
      <x:c r="G1" s="19" t="str">
        <x:v>FX Source URL</x:v>
      </x:c>
      <x:c r="H1" s="19" t="str">
        <x:v>Method</x:v>
      </x:c>
    </x:row>
    <x:row r="2">
      <x:c r="A2" s="14" t="str">
        <x:v>IDEAL_SAGAR_001</x:v>
      </x:c>
      <x:c r="B2" s="14" t="str">
        <x:v>ORV Sagar Manthan / Yard 3041</x:v>
      </x:c>
      <x:c r="C2" s="20" t="n">
        <x:v>8400000000</x:v>
      </x:c>
      <x:c r="D2" s="14" t="str">
        <x:v>2024-07-16</x:v>
      </x:c>
      <x:c r="E2" s="21" t="n">
        <x:v>83.58</x:v>
      </x:c>
      <x:c r="F2" s="22" t="n">
        <x:f>C2/E2</x:f>
        <x:v>100502512.56281407</x:v>
      </x:c>
      <x:c r="G2" s="14" t="str">
        <x:v>https://www.exchange-rates.org/exchange-rate-history/usd-inr-2024-07-16</x:v>
      </x:c>
      <x:c r="H2" s="14" t="str">
        <x:v>Historical contract-date conversion</x:v>
      </x:c>
    </x:row>
    <x:row r="3">
      <x:c r="A3" s="14" t="str">
        <x:v>IDEAL_SAGAR_002</x:v>
      </x:c>
      <x:c r="B3" s="14" t="str">
        <x:v>Acoustic Research Ship / Yard 3058</x:v>
      </x:c>
      <x:c r="C3" s="20" t="n">
        <x:v>4909800000</x:v>
      </x:c>
      <x:c r="D3" s="14" t="str">
        <x:v>2024-10-29</x:v>
      </x:c>
      <x:c r="E3" s="21" t="n">
        <x:v>84.06594</x:v>
      </x:c>
      <x:c r="F3" s="22" t="n">
        <x:f>C3/E3</x:f>
        <x:v>58404152.74009902</x:v>
      </x:c>
      <x:c r="G3" s="14" t="str">
        <x:v>https://www.exchange-rates.org/exchange-rate-history/usd-inr-2024-10-29</x:v>
      </x:c>
      <x:c r="H3" s="14" t="str">
        <x:v>Historical contract-date conversion</x:v>
      </x:c>
    </x:row>
  </x:sheetData>
  <x:pageMargins left="0.7" right="0.7" top="0.75" bottom="0.75" header="0.3" footer="0.3"/>
</x:worksheet>
</file>